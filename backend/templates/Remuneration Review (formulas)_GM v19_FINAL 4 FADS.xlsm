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_rels/externalLink4.xml.rels" ContentType="application/vnd.openxmlformats-package.relationships+xml"/>
  <Override PartName="/xl/externalLinks/_rels/externalLink3.xml.rels" ContentType="application/vnd.openxmlformats-package.relationships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styles.xml" ContentType="application/vnd.openxmlformats-officedocument.spreadsheetml.styles+xml"/>
  <Override PartName="/xl/drawings/_rels/drawing5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media/image1.png" ContentType="image/png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cros" sheetId="1" state="visible" r:id="rId3"/>
    <sheet name="2023 ARR Summary" sheetId="2" state="visible" r:id="rId4"/>
    <sheet name="Employee Data" sheetId="3" state="visible" r:id="rId5"/>
    <sheet name="Graphs" sheetId="4" state="visible" r:id="rId6"/>
    <sheet name="Lookup_Rem Ranges" sheetId="5" state="hidden" r:id="rId7"/>
    <sheet name="Pivot_BU" sheetId="6" state="hidden" r:id="rId8"/>
    <sheet name="Lookup_EA Award Compliance" sheetId="7" state="hidden" r:id="rId9"/>
  </sheets>
  <externalReferences>
    <externalReference r:id="rId10"/>
    <externalReference r:id="rId11"/>
    <externalReference r:id="rId12"/>
    <externalReference r:id="rId13"/>
  </externalReferences>
  <definedNames>
    <definedName function="false" hidden="false" localSheetId="2" name="_xlnm.Print_Area" vbProcedure="false">'Employee Data'!$E$16:$BP$16</definedName>
    <definedName function="false" hidden="false" localSheetId="2" name="_xlnm.Print_Titles" vbProcedure="false">'Employee Data'!$16:$16</definedName>
    <definedName function="false" hidden="false" name="ARR_Increase" vbProcedure="false">#REF!</definedName>
    <definedName function="false" hidden="false" name="CIQWBGuid" vbProcedure="false">"faee302c-b0fe-48d8-85a3-816a2ff1510b"</definedName>
    <definedName function="false" hidden="false" name="Comp_ratio_min" vbProcedure="false">#REF!</definedName>
    <definedName function="false" hidden="false" name="Impact_DD" vbProcedure="false">[2]SynergyConfig!$G$78:$G$97</definedName>
    <definedName function="false" hidden="false" name="Income_Tax_Max" vbProcedure="false">#REF!</definedName>
    <definedName function="false" hidden="false" name="Income_Tax_Max_Calc" vbProcedure="false">#REF!</definedName>
    <definedName function="false" hidden="false" name="Income_Tax_Min" vbProcedure="false">#REF!</definedName>
    <definedName function="false" hidden="false" name="IQ_ADDIN" vbProcedure="false">"AUTO"</definedName>
    <definedName function="false" hidden="false" name="IQ_CH" vbProcedure="false">110000</definedName>
    <definedName function="false" hidden="false" name="IQ_CQ" vbProcedure="false">5000</definedName>
    <definedName function="false" hidden="false" name="IQ_CY" vbProcedure="false">10000</definedName>
    <definedName function="false" hidden="false" name="IQ_DAILY" vbProcedure="false">500000</definedName>
    <definedName function="false" hidden="false" name="IQ_DNTM" vbProcedure="false">700000</definedName>
    <definedName function="false" hidden="false" name="IQ_FH" vbProcedure="false">100000</definedName>
    <definedName function="false" hidden="false" name="IQ_FQ" vbProcedure="false">500</definedName>
    <definedName function="false" hidden="false" name="IQ_FWD_CY" vbProcedure="false">10001</definedName>
    <definedName function="false" hidden="false" name="IQ_FWD_CY1" vbProcedure="false">10002</definedName>
    <definedName function="false" hidden="false" name="IQ_FWD_CY2" vbProcedure="false">10003</definedName>
    <definedName function="false" hidden="false" name="IQ_FWD_FY" vbProcedure="false">1001</definedName>
    <definedName function="false" hidden="false" name="IQ_FWD_FY1" vbProcedure="false">1002</definedName>
    <definedName function="false" hidden="false" name="IQ_FWD_FY2" vbProcedure="false">1003</definedName>
    <definedName function="false" hidden="false" name="IQ_FWD_Q" vbProcedure="false">501</definedName>
    <definedName function="false" hidden="false" name="IQ_FWD_Q1" vbProcedure="false">502</definedName>
    <definedName function="false" hidden="false" name="IQ_FWD_Q2" vbProcedure="false">503</definedName>
    <definedName function="false" hidden="false" name="IQ_FY" vbProcedure="false">1000</definedName>
    <definedName function="false" hidden="false" name="IQ_LATESTK" vbProcedure="false">1000</definedName>
    <definedName function="false" hidden="false" name="IQ_LATESTQ" vbProcedure="false">500</definedName>
    <definedName function="false" hidden="false" name="IQ_LTM" vbProcedure="false">2000</definedName>
    <definedName function="false" hidden="false" name="IQ_LTMMONTH" vbProcedure="false">120000</definedName>
    <definedName function="false" hidden="false" name="IQ_MONTH" vbProcedure="false">15000</definedName>
    <definedName function="false" hidden="false" name="IQ_MTD" vbProcedure="false">800000</definedName>
    <definedName function="false" hidden="false" name="IQ_NAMES_REVISION_DATE_" vbProcedure="false">41602.9657175926</definedName>
    <definedName function="false" hidden="false" name="IQ_NTM" vbProcedure="false">6000</definedName>
    <definedName function="false" hidden="false" name="IQ_QTD" vbProcedure="false">750000</definedName>
    <definedName function="false" hidden="false" name="IQ_TODAY" vbProcedure="false">0</definedName>
    <definedName function="false" hidden="false" name="IQ_WEEK" vbProcedure="false">50000</definedName>
    <definedName function="false" hidden="false" name="IQ_YTD" vbProcedure="false">3000</definedName>
    <definedName function="false" hidden="false" name="IQ_YTDMONTH" vbProcedure="false">130000</definedName>
    <definedName function="false" hidden="false" name="Perf_rating" vbProcedure="false">#REF!</definedName>
    <definedName function="false" hidden="false" name="Tax_Payable_Amount" vbProcedure="false">#REF!</definedName>
    <definedName function="false" hidden="false" name="Tax_Percentage" vbProcedure="false">#REF!</definedName>
    <definedName function="false" hidden="false" name="UC_Payline" vbProcedure="false">#REF!</definedName>
    <definedName function="false" hidden="false" name="UC_WorkLevel" vbProcedure="false">#REF!</definedName>
    <definedName function="false" hidden="false" name="_Key1" vbProcedure="false">#REF!</definedName>
    <definedName function="false" hidden="false" name="_Key2" vbProcedure="false">#REF!</definedName>
    <definedName function="false" hidden="false" name="_Order1" vbProcedure="false">0</definedName>
    <definedName function="false" hidden="false" name="_Order2" vbProcedure="false">0</definedName>
    <definedName function="false" hidden="false" name="_Sort" vbProcedure="false">#REF!</definedName>
    <definedName function="false" hidden="false" localSheetId="0" name="_xlnm.Extract" vbProcedure="false">Macros!$DT$11:$DU$11</definedName>
    <definedName function="false" hidden="false" localSheetId="2" name="_Key1" vbProcedure="false">#REF!</definedName>
    <definedName function="false" hidden="false" localSheetId="2" name="_Key2" vbProcedure="false">#REF!</definedName>
    <definedName function="false" hidden="false" localSheetId="2" name="_Sort" vbProcedure="false">#REF!</definedName>
    <definedName function="false" hidden="false" localSheetId="2" name="_xlnm.Extract" vbProcedure="false">'Employee Data'!$DN$16</definedName>
    <definedName function="false" hidden="false" localSheetId="6" name="ARR_Increase" vbProcedure="false">'[1]Increase Formulation'!$E$9:$L$14</definedName>
    <definedName function="false" hidden="false" localSheetId="6" name="Comp_ratio_min" vbProcedure="false">'[1]Increase Formulation'!$E$8:$L$8</definedName>
    <definedName function="false" hidden="false" localSheetId="6" name="Income_Tax_Max" vbProcedure="false">'[1]PBI Tax Calc'!$C$3:$C$7</definedName>
    <definedName function="false" hidden="false" localSheetId="6" name="Income_Tax_Max_Calc" vbProcedure="false">'[1]PBI Tax Calc'!$B$3:$B$7</definedName>
    <definedName function="false" hidden="false" localSheetId="6" name="Income_Tax_Min" vbProcedure="false">'[1]PBI Tax Calc'!$A$3:$A$7</definedName>
    <definedName function="false" hidden="false" localSheetId="6" name="Perf_rating" vbProcedure="false">'[1]Increase Formulation'!$A$9:$A$14</definedName>
    <definedName function="false" hidden="false" localSheetId="6" name="Tax_Payable_Amount" vbProcedure="false">'[1]PBI Tax Calc'!$D$3:$D$7</definedName>
    <definedName function="false" hidden="false" localSheetId="6" name="Tax_Percentage" vbProcedure="false">'[1]PBI Tax Calc'!$E$3:$E$7</definedName>
    <definedName function="false" hidden="false" localSheetId="6" name="UC_Payline" vbProcedure="false">'[1]UCQ RF'!$G$9:$G$14</definedName>
    <definedName function="false" hidden="false" localSheetId="6" name="UC_WorkLevel" vbProcedure="false">'[1]UCQ RF'!$A$9:$A$14</definedName>
    <definedName function="false" hidden="false" localSheetId="6" name="_Key1" vbProcedure="false">#REF!</definedName>
    <definedName function="false" hidden="false" localSheetId="6" name="_Key2" vbProcedure="false">#REF!</definedName>
    <definedName function="false" hidden="false" localSheetId="6" name="_Sort" vbProcedure="false">#REF!</definedName>
  </definedNames>
  <calcPr iterateCount="100" refMode="A1" iterate="false" iterateDelta="0.0001"/>
  <pivotCaches>
    <pivotCache cacheId="1" r:id="rId15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<sst xmlns="http://schemas.openxmlformats.org/spreadsheetml/2006/main" count="4358" uniqueCount="1378">
  <si>
    <t xml:space="preserve">Business Partner Name</t>
  </si>
  <si>
    <t xml:space="preserve">Business Partner Email</t>
  </si>
  <si>
    <t xml:space="preserve">Michelle Miller</t>
  </si>
  <si>
    <t xml:space="preserve">michelle.miller@ucareqld.com.au</t>
  </si>
  <si>
    <t xml:space="preserve">Belinda Harry</t>
  </si>
  <si>
    <t xml:space="preserve">belinda.harry@ucareqld.com.au</t>
  </si>
  <si>
    <t xml:space="preserve">Julia Kroll</t>
  </si>
  <si>
    <t xml:space="preserve">julia.kroll@ucareqld.com.au</t>
  </si>
  <si>
    <t xml:space="preserve">Katrina Wright</t>
  </si>
  <si>
    <t xml:space="preserve">katrina.wright@ucareqld.com.au</t>
  </si>
  <si>
    <t xml:space="preserve">2023 UnitingCare Non-Executive Annual Remuneration Review (FY24) </t>
  </si>
  <si>
    <t xml:space="preserve">ARR Budget Spent
%</t>
  </si>
  <si>
    <t xml:space="preserve">ARR Budget Spent
$</t>
  </si>
  <si>
    <t xml:space="preserve">Extra Spend (Outside ARR Budget)</t>
  </si>
  <si>
    <t xml:space="preserve">EA/Award Compliance Increase</t>
  </si>
  <si>
    <t xml:space="preserve">New Rem Framework Min Increase </t>
  </si>
  <si>
    <t xml:space="preserve">ARR Increase</t>
  </si>
  <si>
    <t xml:space="preserve">One Off Payment</t>
  </si>
  <si>
    <t xml:space="preserve">`</t>
  </si>
  <si>
    <t xml:space="preserve">Additional Increase $</t>
  </si>
  <si>
    <t xml:space="preserve">FY24 TOTAL ARR Spend</t>
  </si>
  <si>
    <t xml:space="preserve">TOTAL ARR BUDGET
</t>
  </si>
  <si>
    <t xml:space="preserve">ARR  BUDGET SPENT</t>
  </si>
  <si>
    <t xml:space="preserve">EXTRA SPEND (OUTISDE ARR BUDGET)</t>
  </si>
  <si>
    <t xml:space="preserve">FINAL NEW FY24 SALARY</t>
  </si>
  <si>
    <t xml:space="preserve">Business Unit/ Function</t>
  </si>
  <si>
    <t xml:space="preserve">Salaried Headcount TOTAL</t>
  </si>
  <si>
    <t xml:space="preserve">Eligible Salaried Headcount TOTAL</t>
  </si>
  <si>
    <t xml:space="preserve">Current Base Salary FTE  </t>
  </si>
  <si>
    <t xml:space="preserve">Current Base Salary Actual (Pro-rata)
$</t>
  </si>
  <si>
    <t xml:space="preserve">Current Base Salary FTE (Eligible Employees)
$</t>
  </si>
  <si>
    <t xml:space="preserve">Total Budget
%
</t>
  </si>
  <si>
    <t xml:space="preserve">Total Budget
$
</t>
  </si>
  <si>
    <t xml:space="preserve">EA/Award  Increase 
@ July 2023
$</t>
  </si>
  <si>
    <t xml:space="preserve">New Rem Framework Min.  Increase
$</t>
  </si>
  <si>
    <t xml:space="preserve">ARR
Increase 
$</t>
  </si>
  <si>
    <t xml:space="preserve">Additional Increase
 $</t>
  </si>
  <si>
    <t xml:space="preserve">One Off Payment  (Lump Sum) - FTE
$</t>
  </si>
  <si>
    <t xml:space="preserve">Total ARR Spend
%</t>
  </si>
  <si>
    <t xml:space="preserve">Total ARR Spend 
$</t>
  </si>
  <si>
    <t xml:space="preserve">EA/Award Over Budget
%</t>
  </si>
  <si>
    <t xml:space="preserve">EA/Award Over Budget
$</t>
  </si>
  <si>
    <t xml:space="preserve">New Rem Framework Min Over Budget
%</t>
  </si>
  <si>
    <t xml:space="preserve">New Rem Framework Min Over Budget
$</t>
  </si>
  <si>
    <t xml:space="preserve">TOTAL Extra Spend (Outside ARR Budget)
%
</t>
  </si>
  <si>
    <t xml:space="preserve">TOTAL Extra Spend (Outside ARR Budget)
$</t>
  </si>
  <si>
    <t xml:space="preserve">FINAL TOTAL ARR Increase  %</t>
  </si>
  <si>
    <t xml:space="preserve">FINAL TOTAL ARR Increase $</t>
  </si>
  <si>
    <t xml:space="preserve">FINAL New Base Salary FTE
(38 hrs)
$</t>
  </si>
  <si>
    <t xml:space="preserve">New  Base Salary Actual 
(Pro-rata)
$</t>
  </si>
  <si>
    <t xml:space="preserve">Aged Care &amp; Community Services</t>
  </si>
  <si>
    <t xml:space="preserve">ACCS - SLT &amp; Support</t>
  </si>
  <si>
    <t xml:space="preserve">Aged Care Funding</t>
  </si>
  <si>
    <t xml:space="preserve">Care &amp; Clinical Governance</t>
  </si>
  <si>
    <t xml:space="preserve">Community</t>
  </si>
  <si>
    <t xml:space="preserve">Community Pivot Alliance</t>
  </si>
  <si>
    <t xml:space="preserve">Customer Service Centre</t>
  </si>
  <si>
    <t xml:space="preserve">Residential</t>
  </si>
  <si>
    <t xml:space="preserve">Family &amp; Disability Services</t>
  </si>
  <si>
    <t xml:space="preserve">FADS - SLT &amp; Support</t>
  </si>
  <si>
    <t xml:space="preserve">Business Performance &amp; Enablement</t>
  </si>
  <si>
    <t xml:space="preserve">Child Family &amp; Individual Support</t>
  </si>
  <si>
    <t xml:space="preserve">Disability Services</t>
  </si>
  <si>
    <t xml:space="preserve">Lifeline and Wellbeing Service</t>
  </si>
  <si>
    <t xml:space="preserve">Lifeline Retail</t>
  </si>
  <si>
    <t xml:space="preserve">Practice Improvement &amp; Development</t>
  </si>
  <si>
    <t xml:space="preserve">Hospitals</t>
  </si>
  <si>
    <t xml:space="preserve">Hospitals - SLT &amp; Support</t>
  </si>
  <si>
    <t xml:space="preserve">Buderim Private Hospital</t>
  </si>
  <si>
    <t xml:space="preserve">Hospitals - Clinical Education</t>
  </si>
  <si>
    <t xml:space="preserve">Patient Revenue &amp; Health Fund Relatlions</t>
  </si>
  <si>
    <t xml:space="preserve">St Andrews War Memorial Hospital</t>
  </si>
  <si>
    <t xml:space="preserve">St Stephens Hervey Bay</t>
  </si>
  <si>
    <t xml:space="preserve">The Wesley Hospital</t>
  </si>
  <si>
    <t xml:space="preserve">Business, Finance &amp; Strategy</t>
  </si>
  <si>
    <t xml:space="preserve">BFS - SLT &amp; Support</t>
  </si>
  <si>
    <t xml:space="preserve">Corporate Finance</t>
  </si>
  <si>
    <t xml:space="preserve">Finance Moderisation</t>
  </si>
  <si>
    <t xml:space="preserve">Finance Reporting and Services</t>
  </si>
  <si>
    <t xml:space="preserve">Finance Strategy and Analysis</t>
  </si>
  <si>
    <t xml:space="preserve">Procurement Transformation</t>
  </si>
  <si>
    <t xml:space="preserve">Property</t>
  </si>
  <si>
    <t xml:space="preserve">Retirement Living</t>
  </si>
  <si>
    <t xml:space="preserve">Digital &amp; Technology</t>
  </si>
  <si>
    <t xml:space="preserve">D&amp;T - SLT &amp; Support</t>
  </si>
  <si>
    <t xml:space="preserve">ACCS Digitial and Technology</t>
  </si>
  <si>
    <t xml:space="preserve">Corporate Digital and  Technology</t>
  </si>
  <si>
    <t xml:space="preserve">Cyber Security</t>
  </si>
  <si>
    <t xml:space="preserve">Digital &amp; Technology Transformation</t>
  </si>
  <si>
    <t xml:space="preserve">Digital Backbone and Service Management</t>
  </si>
  <si>
    <t xml:space="preserve">Digital Platforms</t>
  </si>
  <si>
    <t xml:space="preserve">Hospitals &amp; FADS</t>
  </si>
  <si>
    <t xml:space="preserve">Governance</t>
  </si>
  <si>
    <t xml:space="preserve">Gov - SLT &amp; Support</t>
  </si>
  <si>
    <t xml:space="preserve">Board Support &amp; Policy</t>
  </si>
  <si>
    <t xml:space="preserve">Legal</t>
  </si>
  <si>
    <t xml:space="preserve">Risk and Assurance</t>
  </si>
  <si>
    <t xml:space="preserve">Marketing and Corporate Affairs</t>
  </si>
  <si>
    <t xml:space="preserve">M&amp;CA - SLT &amp; Support</t>
  </si>
  <si>
    <t xml:space="preserve">Advocacy &amp; Government Relations</t>
  </si>
  <si>
    <t xml:space="preserve">Brand &amp; Marketing</t>
  </si>
  <si>
    <t xml:space="preserve">Corporate Communications</t>
  </si>
  <si>
    <t xml:space="preserve">Customer Experience &amp; Insights</t>
  </si>
  <si>
    <t xml:space="preserve">Digital Marketing</t>
  </si>
  <si>
    <t xml:space="preserve">Mission</t>
  </si>
  <si>
    <t xml:space="preserve">Office of the CEO</t>
  </si>
  <si>
    <t xml:space="preserve">People &amp; Culture</t>
  </si>
  <si>
    <t xml:space="preserve">P&amp;C - SLT &amp; Support</t>
  </si>
  <si>
    <t xml:space="preserve">Business Partnering</t>
  </si>
  <si>
    <t xml:space="preserve">Employee Relations</t>
  </si>
  <si>
    <t xml:space="preserve">Health Safety and Wellbeing</t>
  </si>
  <si>
    <t xml:space="preserve">Organisational Capability</t>
  </si>
  <si>
    <t xml:space="preserve">Service Delivery</t>
  </si>
  <si>
    <t xml:space="preserve">Talent Acquisition</t>
  </si>
  <si>
    <t xml:space="preserve">Workforce Experience</t>
  </si>
  <si>
    <t xml:space="preserve">Transformation</t>
  </si>
  <si>
    <t xml:space="preserve">TOTAL</t>
  </si>
  <si>
    <t xml:space="preserve">Approved by Group Executive - Famility and Disability Services: Donna Revellac-Skhalla</t>
  </si>
  <si>
    <t xml:space="preserve">Date:</t>
  </si>
  <si>
    <t xml:space="preserve">Data/Formula</t>
  </si>
  <si>
    <t xml:space="preserve">Data</t>
  </si>
  <si>
    <t xml:space="preserve">Formula
</t>
  </si>
  <si>
    <t xml:space="preserve">Formula Lookup to Hidden Rem Ranges tab</t>
  </si>
  <si>
    <t xml:space="preserve">Formula</t>
  </si>
  <si>
    <t xml:space="preserve">Rem Team Input (pre ELT Approval)</t>
  </si>
  <si>
    <t xml:space="preserve">Leader Input</t>
  </si>
  <si>
    <t xml:space="preserve">Data Source</t>
  </si>
  <si>
    <t xml:space="preserve">SSOT</t>
  </si>
  <si>
    <t xml:space="preserve">Rem Framework S/S</t>
  </si>
  <si>
    <t xml:space="preserve">Rem Framework S/S; Manual Update</t>
  </si>
  <si>
    <t xml:space="preserve">Rem Team</t>
  </si>
  <si>
    <t xml:space="preserve">Other Report</t>
  </si>
  <si>
    <t xml:space="preserve">Rem team auto populate</t>
  </si>
  <si>
    <t xml:space="preserve">2022 Rem Review S/S</t>
  </si>
  <si>
    <t xml:space="preserve">Rem team</t>
  </si>
  <si>
    <t xml:space="preserve">Plus Rem team to update</t>
  </si>
  <si>
    <t xml:space="preserve">Manual Update by Rem Team as required</t>
  </si>
  <si>
    <t xml:space="preserve">NO WRAPPING OF CELL</t>
  </si>
  <si>
    <t xml:space="preserve">Manual update by Rem Team as required</t>
  </si>
  <si>
    <t xml:space="preserve">Report</t>
  </si>
  <si>
    <t xml:space="preserve">GM View Columns</t>
  </si>
  <si>
    <t xml:space="preserve">Hidden</t>
  </si>
  <si>
    <t xml:space="preserve">Visible</t>
  </si>
  <si>
    <t xml:space="preserve">Locked or Editable</t>
  </si>
  <si>
    <t xml:space="preserve">Locked</t>
  </si>
  <si>
    <t xml:space="preserve">Editable</t>
  </si>
  <si>
    <t xml:space="preserve">UCQ 2023 SALARIED ANNUAL REMUNERATION INCREASES</t>
  </si>
  <si>
    <t xml:space="preserve">Extra Spend (Outside ARR Budget) %</t>
  </si>
  <si>
    <t xml:space="preserve">Extra Spend (Outside ARR Budget) $</t>
  </si>
  <si>
    <t xml:space="preserve">Current Base Salary FTE  
$</t>
  </si>
  <si>
    <t xml:space="preserve">Base Salary FTE (38 hrs) 
@ July '23
$</t>
  </si>
  <si>
    <t xml:space="preserve">New Rem Framework Min. Increase </t>
  </si>
  <si>
    <t xml:space="preserve">FINAL TOTAL ARR Increase  
%</t>
  </si>
  <si>
    <t xml:space="preserve">FINAL TOTAL ARR Increase 
$</t>
  </si>
  <si>
    <t xml:space="preserve">Acting/ Seconded Increase 
$</t>
  </si>
  <si>
    <t xml:space="preserve">Total Budget
%</t>
  </si>
  <si>
    <t xml:space="preserve">Total Budget
$</t>
  </si>
  <si>
    <t xml:space="preserve">EA/Compliance Spend (Within Budget)
%</t>
  </si>
  <si>
    <t xml:space="preserve">EA/Compliance Spend (Within Budget)
$</t>
  </si>
  <si>
    <t xml:space="preserve">New Rem Framework Min Spend (Within Budget)
%</t>
  </si>
  <si>
    <t xml:space="preserve">New Rem Framework Min Spend (Within Budget)
$</t>
  </si>
  <si>
    <t xml:space="preserve">ARR Increase Within Budget
%</t>
  </si>
  <si>
    <t xml:space="preserve">ARR Increase Within Budget
$</t>
  </si>
  <si>
    <t xml:space="preserve">One Off Payment Within Budget
%</t>
  </si>
  <si>
    <t xml:space="preserve">One Off Payment Within Budget
$</t>
  </si>
  <si>
    <t xml:space="preserve">Additional Increase 
%</t>
  </si>
  <si>
    <t xml:space="preserve">Additional Increase 
$</t>
  </si>
  <si>
    <t xml:space="preserve">Total ARR Spent
%</t>
  </si>
  <si>
    <t xml:space="preserve">Total ARR Spent 
$</t>
  </si>
  <si>
    <t xml:space="preserve">Total Spend Over Budget
%</t>
  </si>
  <si>
    <t xml:space="preserve">Total Spend Over Budget $</t>
  </si>
  <si>
    <t xml:space="preserve">Additional ELT Increase</t>
  </si>
  <si>
    <t xml:space="preserve">add data</t>
  </si>
  <si>
    <t xml:space="preserve">EA/Award  Increase</t>
  </si>
  <si>
    <t xml:space="preserve">SALARY</t>
  </si>
  <si>
    <t xml:space="preserve">FY24 ANNUAL REMUNERATION REVIEW PROCESS - Increase/One Off Payment</t>
  </si>
  <si>
    <t xml:space="preserve">FINAL NEW FY24 SALARY - effective September 2023</t>
  </si>
  <si>
    <t xml:space="preserve">FY24 TOTAL ARR SPEND</t>
  </si>
  <si>
    <t xml:space="preserve">For Payroll</t>
  </si>
  <si>
    <t xml:space="preserve">STIP &amp; Total Reward</t>
  </si>
  <si>
    <t xml:space="preserve">SECONDMENT</t>
  </si>
  <si>
    <t xml:space="preserve">Outcome Letters</t>
  </si>
  <si>
    <t xml:space="preserve">BUDGET CALCULATIONS</t>
  </si>
  <si>
    <t xml:space="preserve">Heading</t>
  </si>
  <si>
    <t xml:space="preserve">Entity</t>
  </si>
  <si>
    <t xml:space="preserve">Entity and Employee ID</t>
  </si>
  <si>
    <t xml:space="preserve">Employee ID</t>
  </si>
  <si>
    <t xml:space="preserve">First Name</t>
  </si>
  <si>
    <t xml:space="preserve">Surname</t>
  </si>
  <si>
    <t xml:space="preserve">Gender</t>
  </si>
  <si>
    <t xml:space="preserve">Internal Position Code</t>
  </si>
  <si>
    <t xml:space="preserve">Position Number</t>
  </si>
  <si>
    <t xml:space="preserve">Position Title (Nominal)</t>
  </si>
  <si>
    <t xml:space="preserve">Hire Date</t>
  </si>
  <si>
    <t xml:space="preserve">Contract End Date
(for fixed term contracts only)</t>
  </si>
  <si>
    <t xml:space="preserve">Position Start Date</t>
  </si>
  <si>
    <t xml:space="preserve">Employment Type</t>
  </si>
  <si>
    <t xml:space="preserve">Hours Worked per Week
(Average for casuals)</t>
  </si>
  <si>
    <t xml:space="preserve">FTE
38hpw</t>
  </si>
  <si>
    <t xml:space="preserve">WGEA Category</t>
  </si>
  <si>
    <t xml:space="preserve">Manager Employee No.</t>
  </si>
  <si>
    <t xml:space="preserve">Manager Name</t>
  </si>
  <si>
    <t xml:space="preserve">Manager Position No.</t>
  </si>
  <si>
    <t xml:space="preserve">Manager Position Title</t>
  </si>
  <si>
    <t xml:space="preserve">Business Unit</t>
  </si>
  <si>
    <t xml:space="preserve">Function</t>
  </si>
  <si>
    <t xml:space="preserve">ELT/GGM Name</t>
  </si>
  <si>
    <t xml:space="preserve">ELT /GGM Email</t>
  </si>
  <si>
    <t xml:space="preserve">GM  Name</t>
  </si>
  <si>
    <t xml:space="preserve">GM Position Title</t>
  </si>
  <si>
    <t xml:space="preserve">GM Email</t>
  </si>
  <si>
    <t xml:space="preserve">P&amp;C Contact who will be sent the Rem Spreadsheet 
(CC EMAIL ONLY)</t>
  </si>
  <si>
    <t xml:space="preserve">P&amp;C BP Contact who will be sent the Rem Spreadsheet 
(EMAIL ADDRESS)</t>
  </si>
  <si>
    <t xml:space="preserve">Market Min</t>
  </si>
  <si>
    <t xml:space="preserve">Market Midpoint</t>
  </si>
  <si>
    <t xml:space="preserve">Market Max</t>
  </si>
  <si>
    <t xml:space="preserve">Leave Group</t>
  </si>
  <si>
    <t xml:space="preserve">Additional Ann Lve Days</t>
  </si>
  <si>
    <t xml:space="preserve">Additional Ann Lve Value FTE 
$</t>
  </si>
  <si>
    <t xml:space="preserve">Additional Benefits (eg. MV/Housing)</t>
  </si>
  <si>
    <t xml:space="preserve">Market Comparison/Job Level Code</t>
  </si>
  <si>
    <t xml:space="preserve">Market Comparison
(GI; CASS; 
HOS-CLIN; HOS-MED)</t>
  </si>
  <si>
    <t xml:space="preserve">New Rem Framework 
Job Level</t>
  </si>
  <si>
    <t xml:space="preserve">Remuneration Comments</t>
  </si>
  <si>
    <t xml:space="preserve"> Base Salary FTE
 June'23 
$</t>
  </si>
  <si>
    <t xml:space="preserve">2022 Rem Increase %</t>
  </si>
  <si>
    <t xml:space="preserve">Out Cycle  Increase 
FY22-23
%</t>
  </si>
  <si>
    <t xml:space="preserve">EA/Award Underpinning Role </t>
  </si>
  <si>
    <t xml:space="preserve">EA/Award Min. Salary 
$</t>
  </si>
  <si>
    <t xml:space="preserve">EA/Award  Increase 
@ July '23
%</t>
  </si>
  <si>
    <t xml:space="preserve">EA/Award  Increase 
@ July '23
$</t>
  </si>
  <si>
    <t xml:space="preserve"> New Rem Framework Compa-ratio 
%</t>
  </si>
  <si>
    <t xml:space="preserve">Eligibility</t>
  </si>
  <si>
    <t xml:space="preserve">2023  Performance Rating</t>
  </si>
  <si>
    <t xml:space="preserve">New Rem Framework Min. Increase
%</t>
  </si>
  <si>
    <t xml:space="preserve">ARR
Increase 
%</t>
  </si>
  <si>
    <t xml:space="preserve">Additonal ELT Increase 
%</t>
  </si>
  <si>
    <t xml:space="preserve">Additional ELT Increase
 $</t>
  </si>
  <si>
    <t xml:space="preserve"> One Off Payment
 (Lump Sum) - FTE
%</t>
  </si>
  <si>
    <t xml:space="preserve">One Off Payment  (Pro-rata  P/T)
$</t>
  </si>
  <si>
    <r>
      <rPr>
        <b val="true"/>
        <sz val="9"/>
        <color rgb="FFFFFFFF"/>
        <rFont val="Calibri"/>
        <family val="2"/>
        <charset val="1"/>
      </rPr>
      <t xml:space="preserve">Manager Comments
</t>
    </r>
    <r>
      <rPr>
        <sz val="9"/>
        <color rgb="FFFFFFFF"/>
        <rFont val="Calibri"/>
        <family val="2"/>
        <charset val="1"/>
      </rPr>
      <t xml:space="preserve">(Req'd if increase &gt;3.25% and/or One-Off Payment)</t>
    </r>
  </si>
  <si>
    <t xml:space="preserve">FINAL TOTAL ARR Increase
  %</t>
  </si>
  <si>
    <r>
      <rPr>
        <b val="true"/>
        <sz val="9"/>
        <color rgb="FFFFFFFF"/>
        <rFont val="Calibri"/>
        <family val="2"/>
        <charset val="1"/>
      </rPr>
      <t xml:space="preserve">FINAL New Base Salary FTE
</t>
    </r>
    <r>
      <rPr>
        <sz val="9"/>
        <color rgb="FFFFFFFF"/>
        <rFont val="Calibri"/>
        <family val="2"/>
        <charset val="1"/>
      </rPr>
      <t xml:space="preserve">(38 hrs)
</t>
    </r>
    <r>
      <rPr>
        <b val="true"/>
        <sz val="9"/>
        <color rgb="FFFFFFFF"/>
        <rFont val="Calibri"/>
        <family val="2"/>
        <charset val="1"/>
      </rPr>
      <t xml:space="preserve">$</t>
    </r>
  </si>
  <si>
    <r>
      <rPr>
        <b val="true"/>
        <sz val="9"/>
        <color rgb="FFFFFFFF"/>
        <rFont val="Calibri"/>
        <family val="2"/>
        <charset val="1"/>
      </rPr>
      <t xml:space="preserve">Super FTE
</t>
    </r>
    <r>
      <rPr>
        <sz val="9"/>
        <color rgb="FFFFFFFF"/>
        <rFont val="Calibri"/>
        <family val="2"/>
        <charset val="1"/>
      </rPr>
      <t xml:space="preserve">(FY24 CAP = $27398.80)
</t>
    </r>
    <r>
      <rPr>
        <b val="true"/>
        <sz val="9"/>
        <color rgb="FFFFFFFF"/>
        <rFont val="Calibri"/>
        <family val="2"/>
        <charset val="1"/>
      </rPr>
      <t xml:space="preserve">$</t>
    </r>
  </si>
  <si>
    <r>
      <rPr>
        <b val="true"/>
        <sz val="9"/>
        <color rgb="FFFFFFFF"/>
        <rFont val="Calibri"/>
        <family val="2"/>
        <charset val="1"/>
      </rPr>
      <t xml:space="preserve">FINAL Total Rem FTE </t>
    </r>
    <r>
      <rPr>
        <sz val="9"/>
        <color rgb="FFFFFFFF"/>
        <rFont val="Calibri"/>
        <family val="2"/>
        <charset val="1"/>
      </rPr>
      <t xml:space="preserve">(Annual Base Salary + Super</t>
    </r>
    <r>
      <rPr>
        <b val="true"/>
        <sz val="9"/>
        <color rgb="FFFFFFFF"/>
        <rFont val="Calibri"/>
        <family val="2"/>
        <charset val="1"/>
      </rPr>
      <t xml:space="preserve">)
$</t>
    </r>
  </si>
  <si>
    <t xml:space="preserve">New Rem Framework
Compa-Ratio 
%</t>
  </si>
  <si>
    <r>
      <rPr>
        <b val="true"/>
        <sz val="8"/>
        <color rgb="FFFFFFFF"/>
        <rFont val="Calibri"/>
        <family val="2"/>
        <charset val="1"/>
      </rPr>
      <t xml:space="preserve">ONE-OFF TRANSITION  PAYMENT 
</t>
    </r>
    <r>
      <rPr>
        <sz val="8"/>
        <color rgb="FFFFFFFF"/>
        <rFont val="Calibri"/>
        <family val="2"/>
        <charset val="1"/>
      </rPr>
      <t xml:space="preserve">(Due to change Jul to Sept) 
</t>
    </r>
  </si>
  <si>
    <t xml:space="preserve">TOTAL ARR Spend
%</t>
  </si>
  <si>
    <t xml:space="preserve">TOTAL ARR Spend
$</t>
  </si>
  <si>
    <t xml:space="preserve">New Hourly Rate
$</t>
  </si>
  <si>
    <t xml:space="preserve">FY23 STI Outcome (SLT) including super
$</t>
  </si>
  <si>
    <t xml:space="preserve">Total Reward (including FY 23 STI Outcome) 
$</t>
  </si>
  <si>
    <t xml:space="preserve">Acting/ Seconded  (Yes/No)</t>
  </si>
  <si>
    <t xml:space="preserve">Acting/ Seconded Position Number</t>
  </si>
  <si>
    <t xml:space="preserve">Acting/ Seconded Position </t>
  </si>
  <si>
    <t xml:space="preserve">Acting/ Seconded Job Classification Level</t>
  </si>
  <si>
    <t xml:space="preserve">New Rem Framework Job Level Min</t>
  </si>
  <si>
    <t xml:space="preserve">Acting/ Seconded Position Start Date</t>
  </si>
  <si>
    <t xml:space="preserve">Acting/ Seconded Position End Date</t>
  </si>
  <si>
    <t xml:space="preserve">Acting/ Second Current Base Salary Annual FTE
(38 hrs)
$</t>
  </si>
  <si>
    <t xml:space="preserve">Acting/ Seconded Increase 
%
</t>
  </si>
  <si>
    <t xml:space="preserve">Acting/ Seconded New Base Salary Annual FTE
(38 hrs)
$</t>
  </si>
  <si>
    <t xml:space="preserve">Manager Comments</t>
  </si>
  <si>
    <t xml:space="preserve"> Acting / Seconded Super
(FY24 CAP = $27398.80)</t>
  </si>
  <si>
    <t xml:space="preserve">Letter Template Type</t>
  </si>
  <si>
    <t xml:space="preserve">Total Min Spend (EA/Award + Job Level Min)</t>
  </si>
  <si>
    <t xml:space="preserve">Check %</t>
  </si>
  <si>
    <t xml:space="preserve">Total ARR Spent
$</t>
  </si>
  <si>
    <t xml:space="preserve">P&amp;C BP Data Validation Comments</t>
  </si>
  <si>
    <t xml:space="preserve">P&amp;C BP Contact - Data validation</t>
  </si>
  <si>
    <t xml:space="preserve">P&amp;C BP Contact email - Data validation</t>
  </si>
  <si>
    <t xml:space="preserve">Placeholder</t>
  </si>
  <si>
    <t xml:space="preserve">Signatures_Position_Title</t>
  </si>
  <si>
    <t xml:space="preserve">UCC</t>
  </si>
  <si>
    <t xml:space="preserve">UCC016308</t>
  </si>
  <si>
    <t xml:space="preserve">Vivien</t>
  </si>
  <si>
    <t xml:space="preserve">Bull</t>
  </si>
  <si>
    <t xml:space="preserve">FEMALE</t>
  </si>
  <si>
    <t xml:space="preserve">FAD03</t>
  </si>
  <si>
    <t xml:space="preserve">P07388</t>
  </si>
  <si>
    <t xml:space="preserve">General Manager Family Child and Individual Support</t>
  </si>
  <si>
    <t xml:space="preserve">FULL</t>
  </si>
  <si>
    <t xml:space="preserve">Other Exec / Gen Mgrs</t>
  </si>
  <si>
    <t xml:space="preserve">Donna Reveillac-Shkalla</t>
  </si>
  <si>
    <t xml:space="preserve">P06450</t>
  </si>
  <si>
    <t xml:space="preserve">Group Executive Family And Disability Services</t>
  </si>
  <si>
    <t xml:space="preserve">Donna Revellac-Skhalla</t>
  </si>
  <si>
    <t xml:space="preserve">Donna.Shkalla@uccommunity.org.au</t>
  </si>
  <si>
    <t xml:space="preserve">Group Executive - Family and Disability Services</t>
  </si>
  <si>
    <t xml:space="preserve">Neuza Fernandes-Green</t>
  </si>
  <si>
    <t xml:space="preserve">neuza.fernandes-green@uccommunity.org.au</t>
  </si>
  <si>
    <t xml:space="preserve">20C (4 Wks)</t>
  </si>
  <si>
    <t xml:space="preserve">CASS</t>
  </si>
  <si>
    <t xml:space="preserve">Yes</t>
  </si>
  <si>
    <t xml:space="preserve">No</t>
  </si>
  <si>
    <t xml:space="preserve">5. TEMPLATE_No Rem Increase</t>
  </si>
  <si>
    <t xml:space="preserve">XXX</t>
  </si>
  <si>
    <t xml:space="preserve">UCC019124</t>
  </si>
  <si>
    <t xml:space="preserve">Luke</t>
  </si>
  <si>
    <t xml:space="preserve">Lindsay</t>
  </si>
  <si>
    <t xml:space="preserve">MALE</t>
  </si>
  <si>
    <t xml:space="preserve">FAD05</t>
  </si>
  <si>
    <t xml:space="preserve">P07389</t>
  </si>
  <si>
    <t xml:space="preserve">General Manager Lifeline and Wellbeing Service</t>
  </si>
  <si>
    <t xml:space="preserve">Senior Managers</t>
  </si>
  <si>
    <t xml:space="preserve">4. TEMPLATE_Casual hourly rate</t>
  </si>
  <si>
    <t xml:space="preserve">UCC017956</t>
  </si>
  <si>
    <t xml:space="preserve">Jamie</t>
  </si>
  <si>
    <t xml:space="preserve">Mackay</t>
  </si>
  <si>
    <t xml:space="preserve">FAD06</t>
  </si>
  <si>
    <t xml:space="preserve">P06452</t>
  </si>
  <si>
    <t xml:space="preserve">General Manager Lifeline Retail</t>
  </si>
  <si>
    <t xml:space="preserve">GI</t>
  </si>
  <si>
    <t xml:space="preserve">3. TEMPLATE_One off payment only</t>
  </si>
  <si>
    <t xml:space="preserve">UCC008939</t>
  </si>
  <si>
    <t xml:space="preserve">Joanne</t>
  </si>
  <si>
    <t xml:space="preserve">Moses</t>
  </si>
  <si>
    <t xml:space="preserve">FAD04</t>
  </si>
  <si>
    <t xml:space="preserve">P03882</t>
  </si>
  <si>
    <t xml:space="preserve">Practice &amp; Quality Manager</t>
  </si>
  <si>
    <t xml:space="preserve">Other Managers</t>
  </si>
  <si>
    <t xml:space="preserve">On Secondment/Acting-increase applies to nominal role, also review secondment salary; </t>
  </si>
  <si>
    <t xml:space="preserve">P06446</t>
  </si>
  <si>
    <t xml:space="preserve">General Manager</t>
  </si>
  <si>
    <t xml:space="preserve">2. TEMPLATE_Rem Increase with one off payment</t>
  </si>
  <si>
    <t xml:space="preserve">UCC017817</t>
  </si>
  <si>
    <t xml:space="preserve">Nyomie</t>
  </si>
  <si>
    <t xml:space="preserve">Sherrington</t>
  </si>
  <si>
    <t xml:space="preserve">FAD12</t>
  </si>
  <si>
    <t xml:space="preserve">P06411</t>
  </si>
  <si>
    <t xml:space="preserve">Project and Service Planning Leader</t>
  </si>
  <si>
    <t xml:space="preserve">PART</t>
  </si>
  <si>
    <t xml:space="preserve">Professionals</t>
  </si>
  <si>
    <t xml:space="preserve">UCC021991</t>
  </si>
  <si>
    <t xml:space="preserve">Martin</t>
  </si>
  <si>
    <t xml:space="preserve">Woollaston</t>
  </si>
  <si>
    <t xml:space="preserve">FAD02</t>
  </si>
  <si>
    <t xml:space="preserve">P06451</t>
  </si>
  <si>
    <t xml:space="preserve">General Manager Disability Services</t>
  </si>
  <si>
    <t xml:space="preserve">N/A</t>
  </si>
  <si>
    <t xml:space="preserve">UCC020741</t>
  </si>
  <si>
    <t xml:space="preserve">Xue</t>
  </si>
  <si>
    <t xml:space="preserve">Zhang</t>
  </si>
  <si>
    <t xml:space="preserve">FAD07</t>
  </si>
  <si>
    <t xml:space="preserve">P06466</t>
  </si>
  <si>
    <t xml:space="preserve">Senior Manager Business Performance and Enablement</t>
  </si>
  <si>
    <t xml:space="preserve">UCC015882</t>
  </si>
  <si>
    <t xml:space="preserve">Michael</t>
  </si>
  <si>
    <t xml:space="preserve">Powell</t>
  </si>
  <si>
    <t xml:space="preserve">FAD60</t>
  </si>
  <si>
    <t xml:space="preserve">P01917</t>
  </si>
  <si>
    <t xml:space="preserve">Transport Supervisor</t>
  </si>
  <si>
    <t xml:space="preserve">Clerical &amp; Admin</t>
  </si>
  <si>
    <t xml:space="preserve">Andrea Coling</t>
  </si>
  <si>
    <t xml:space="preserve">P00226</t>
  </si>
  <si>
    <t xml:space="preserve">Distribution Manager</t>
  </si>
  <si>
    <t xml:space="preserve">Jamie MacKay</t>
  </si>
  <si>
    <t xml:space="preserve">jamie.mackay@uccommunity.org.au</t>
  </si>
  <si>
    <t xml:space="preserve">Not eligible-moving to EA; </t>
  </si>
  <si>
    <t xml:space="preserve">UCC005088</t>
  </si>
  <si>
    <t xml:space="preserve">Viola</t>
  </si>
  <si>
    <t xml:space="preserve">Stewart</t>
  </si>
  <si>
    <t xml:space="preserve">FAD57</t>
  </si>
  <si>
    <t xml:space="preserve">P00235</t>
  </si>
  <si>
    <t xml:space="preserve">Recycling Supervisor</t>
  </si>
  <si>
    <t xml:space="preserve">Not eligible-moving to EA,however if decided to remain on salary will need increase to new min. of job level;</t>
  </si>
  <si>
    <t xml:space="preserve">UCC021170</t>
  </si>
  <si>
    <t xml:space="preserve">Diana</t>
  </si>
  <si>
    <t xml:space="preserve">Morales Obando</t>
  </si>
  <si>
    <t xml:space="preserve">FAD58</t>
  </si>
  <si>
    <t xml:space="preserve">P07641</t>
  </si>
  <si>
    <t xml:space="preserve">Regional Team Coordinator</t>
  </si>
  <si>
    <t xml:space="preserve">Sales</t>
  </si>
  <si>
    <t xml:space="preserve">Angela Clark</t>
  </si>
  <si>
    <t xml:space="preserve">P00237</t>
  </si>
  <si>
    <t xml:space="preserve">Retail Operations Manager</t>
  </si>
  <si>
    <t xml:space="preserve">UCC007728</t>
  </si>
  <si>
    <t xml:space="preserve">Colleen</t>
  </si>
  <si>
    <t xml:space="preserve">Reside</t>
  </si>
  <si>
    <t xml:space="preserve">FAD34</t>
  </si>
  <si>
    <t xml:space="preserve">P00613</t>
  </si>
  <si>
    <t xml:space="preserve">Office Coordinator</t>
  </si>
  <si>
    <t xml:space="preserve">Cheryl Shaw</t>
  </si>
  <si>
    <t xml:space="preserve">P06440</t>
  </si>
  <si>
    <t xml:space="preserve">Regional Business Manager</t>
  </si>
  <si>
    <t xml:space="preserve">UCC017456</t>
  </si>
  <si>
    <t xml:space="preserve">Blundell</t>
  </si>
  <si>
    <t xml:space="preserve">FAD50</t>
  </si>
  <si>
    <t xml:space="preserve">P06890</t>
  </si>
  <si>
    <t xml:space="preserve">Inventory Coordinator</t>
  </si>
  <si>
    <t xml:space="preserve">David Gale</t>
  </si>
  <si>
    <t xml:space="preserve">P06608</t>
  </si>
  <si>
    <t xml:space="preserve">State Merchandise and Logistics Manager</t>
  </si>
  <si>
    <t xml:space="preserve">Received increase with position change; </t>
  </si>
  <si>
    <t xml:space="preserve">UCC005120</t>
  </si>
  <si>
    <t xml:space="preserve">Andrea</t>
  </si>
  <si>
    <t xml:space="preserve">coling</t>
  </si>
  <si>
    <t xml:space="preserve">FAD48</t>
  </si>
  <si>
    <t xml:space="preserve">20A (4 Wks)</t>
  </si>
  <si>
    <t xml:space="preserve">UCC021403</t>
  </si>
  <si>
    <t xml:space="preserve">Sonja</t>
  </si>
  <si>
    <t xml:space="preserve">Urban</t>
  </si>
  <si>
    <t xml:space="preserve">FAD21</t>
  </si>
  <si>
    <t xml:space="preserve">P07826</t>
  </si>
  <si>
    <t xml:space="preserve">Merchandise Planner</t>
  </si>
  <si>
    <t xml:space="preserve">UCC011634</t>
  </si>
  <si>
    <t xml:space="preserve">Anne</t>
  </si>
  <si>
    <t xml:space="preserve">Bailey</t>
  </si>
  <si>
    <t xml:space="preserve">FAD62</t>
  </si>
  <si>
    <t xml:space="preserve">P01904</t>
  </si>
  <si>
    <t xml:space="preserve">Retail Coordinator</t>
  </si>
  <si>
    <t xml:space="preserve">Donna Green</t>
  </si>
  <si>
    <t xml:space="preserve">P06510</t>
  </si>
  <si>
    <t xml:space="preserve">Regional Business Manager Cairns and Townsville</t>
  </si>
  <si>
    <t xml:space="preserve">UCC021109</t>
  </si>
  <si>
    <t xml:space="preserve">Anne-Maree</t>
  </si>
  <si>
    <t xml:space="preserve">Bell</t>
  </si>
  <si>
    <t xml:space="preserve">P07138</t>
  </si>
  <si>
    <t xml:space="preserve">UCC017947</t>
  </si>
  <si>
    <t xml:space="preserve">Stephen</t>
  </si>
  <si>
    <t xml:space="preserve">Girardi</t>
  </si>
  <si>
    <t xml:space="preserve">FAD42</t>
  </si>
  <si>
    <t xml:space="preserve">P03798</t>
  </si>
  <si>
    <t xml:space="preserve">Truck Driver</t>
  </si>
  <si>
    <t xml:space="preserve">CASUAL</t>
  </si>
  <si>
    <t xml:space="preserve">Machine Operator &amp; Driver</t>
  </si>
  <si>
    <t xml:space="preserve">NIL (Nil)</t>
  </si>
  <si>
    <t xml:space="preserve">UCC020135</t>
  </si>
  <si>
    <t xml:space="preserve">Wayne</t>
  </si>
  <si>
    <t xml:space="preserve">Vermeer</t>
  </si>
  <si>
    <t xml:space="preserve">P07139</t>
  </si>
  <si>
    <t xml:space="preserve">UCC019129</t>
  </si>
  <si>
    <t xml:space="preserve">Scott</t>
  </si>
  <si>
    <t xml:space="preserve">Adams</t>
  </si>
  <si>
    <t xml:space="preserve">FAD14</t>
  </si>
  <si>
    <t xml:space="preserve">P00852</t>
  </si>
  <si>
    <t xml:space="preserve">Business Manager</t>
  </si>
  <si>
    <t xml:space="preserve">UCC005267</t>
  </si>
  <si>
    <t xml:space="preserve">Belinda</t>
  </si>
  <si>
    <t xml:space="preserve">Bath</t>
  </si>
  <si>
    <t xml:space="preserve">P00280</t>
  </si>
  <si>
    <t xml:space="preserve">UCC014167</t>
  </si>
  <si>
    <t xml:space="preserve">Kylie</t>
  </si>
  <si>
    <t xml:space="preserve">Brogden</t>
  </si>
  <si>
    <t xml:space="preserve">P05738</t>
  </si>
  <si>
    <t xml:space="preserve">Business Manager Bundaberg and Fraser Coast</t>
  </si>
  <si>
    <t xml:space="preserve">UCC018750</t>
  </si>
  <si>
    <t xml:space="preserve">Wendy</t>
  </si>
  <si>
    <t xml:space="preserve">Canfyn</t>
  </si>
  <si>
    <t xml:space="preserve">FAD46</t>
  </si>
  <si>
    <t xml:space="preserve">P06470</t>
  </si>
  <si>
    <t xml:space="preserve">State Visual Merchandising Manager</t>
  </si>
  <si>
    <t xml:space="preserve">UCC018797</t>
  </si>
  <si>
    <t xml:space="preserve">Angela</t>
  </si>
  <si>
    <t xml:space="preserve">Clark</t>
  </si>
  <si>
    <t xml:space="preserve">FAD44</t>
  </si>
  <si>
    <t xml:space="preserve">UCC005140</t>
  </si>
  <si>
    <t xml:space="preserve">Roy</t>
  </si>
  <si>
    <t xml:space="preserve">Frith</t>
  </si>
  <si>
    <t xml:space="preserve">P00285</t>
  </si>
  <si>
    <t xml:space="preserve">UCC018151</t>
  </si>
  <si>
    <t xml:space="preserve">David</t>
  </si>
  <si>
    <t xml:space="preserve">Gale</t>
  </si>
  <si>
    <t xml:space="preserve">FAD29</t>
  </si>
  <si>
    <t xml:space="preserve">UCC018959</t>
  </si>
  <si>
    <t xml:space="preserve">Donna</t>
  </si>
  <si>
    <t xml:space="preserve">Green</t>
  </si>
  <si>
    <t xml:space="preserve">UCC005136</t>
  </si>
  <si>
    <t xml:space="preserve">Tracey</t>
  </si>
  <si>
    <t xml:space="preserve">Laird</t>
  </si>
  <si>
    <t xml:space="preserve">FAD56</t>
  </si>
  <si>
    <t xml:space="preserve">P06892</t>
  </si>
  <si>
    <t xml:space="preserve">Online Shop Supervisor</t>
  </si>
  <si>
    <t xml:space="preserve">UCC018243</t>
  </si>
  <si>
    <t xml:space="preserve">Werner</t>
  </si>
  <si>
    <t xml:space="preserve">Martincich</t>
  </si>
  <si>
    <t xml:space="preserve">FAD25</t>
  </si>
  <si>
    <t xml:space="preserve">P06187</t>
  </si>
  <si>
    <t xml:space="preserve">Senior Business Performance Analyst</t>
  </si>
  <si>
    <t xml:space="preserve">UCC018779</t>
  </si>
  <si>
    <t xml:space="preserve">Deborah</t>
  </si>
  <si>
    <t xml:space="preserve">Mitchell</t>
  </si>
  <si>
    <t xml:space="preserve">FAD45</t>
  </si>
  <si>
    <t xml:space="preserve">P06471</t>
  </si>
  <si>
    <t xml:space="preserve">State Retail Operations Coordinator</t>
  </si>
  <si>
    <t xml:space="preserve">UCC018794</t>
  </si>
  <si>
    <t xml:space="preserve">Stacey</t>
  </si>
  <si>
    <t xml:space="preserve">Rebis</t>
  </si>
  <si>
    <t xml:space="preserve">P06472</t>
  </si>
  <si>
    <t xml:space="preserve">Regional Manager Brisbane South</t>
  </si>
  <si>
    <t xml:space="preserve">UCC004212</t>
  </si>
  <si>
    <t xml:space="preserve">Cheryl</t>
  </si>
  <si>
    <t xml:space="preserve">Shaw</t>
  </si>
  <si>
    <t xml:space="preserve">UCC021404</t>
  </si>
  <si>
    <t xml:space="preserve">Whitehead</t>
  </si>
  <si>
    <t xml:space="preserve">FAD59</t>
  </si>
  <si>
    <t xml:space="preserve">P07827</t>
  </si>
  <si>
    <t xml:space="preserve">Store Experience Coordinator</t>
  </si>
  <si>
    <t xml:space="preserve">YYYT</t>
  </si>
  <si>
    <t xml:space="preserve">UCC022015</t>
  </si>
  <si>
    <t xml:space="preserve">Daniel</t>
  </si>
  <si>
    <t xml:space="preserve">Wallace</t>
  </si>
  <si>
    <t xml:space="preserve">FAD63</t>
  </si>
  <si>
    <t xml:space="preserve">P08108</t>
  </si>
  <si>
    <t xml:space="preserve">Distribution Supervisor</t>
  </si>
  <si>
    <t xml:space="preserve">Kylie Brogden</t>
  </si>
  <si>
    <t xml:space="preserve">UCC013959</t>
  </si>
  <si>
    <t xml:space="preserve">Bryant</t>
  </si>
  <si>
    <t xml:space="preserve">Ohlsen</t>
  </si>
  <si>
    <t xml:space="preserve">P00159</t>
  </si>
  <si>
    <t xml:space="preserve">Michael Powell</t>
  </si>
  <si>
    <t xml:space="preserve">UCC016745</t>
  </si>
  <si>
    <t xml:space="preserve">Warren</t>
  </si>
  <si>
    <t xml:space="preserve">Dale</t>
  </si>
  <si>
    <t xml:space="preserve">P00412</t>
  </si>
  <si>
    <t xml:space="preserve">Roy Frith</t>
  </si>
  <si>
    <t xml:space="preserve">UCC013066</t>
  </si>
  <si>
    <t xml:space="preserve">Trudi</t>
  </si>
  <si>
    <t xml:space="preserve">Maxwell</t>
  </si>
  <si>
    <t xml:space="preserve">FAD53</t>
  </si>
  <si>
    <t xml:space="preserve">P02448</t>
  </si>
  <si>
    <t xml:space="preserve">Retail Services Manager</t>
  </si>
  <si>
    <t xml:space="preserve">Scott Adams</t>
  </si>
  <si>
    <t xml:space="preserve">UCC005079</t>
  </si>
  <si>
    <t xml:space="preserve">Dante</t>
  </si>
  <si>
    <t xml:space="preserve">Gilvonio</t>
  </si>
  <si>
    <t xml:space="preserve">FAD43</t>
  </si>
  <si>
    <t xml:space="preserve">P00212</t>
  </si>
  <si>
    <t xml:space="preserve">Sorter</t>
  </si>
  <si>
    <t xml:space="preserve">Labourers</t>
  </si>
  <si>
    <t xml:space="preserve">Viola Stewart</t>
  </si>
  <si>
    <t xml:space="preserve">UCC021455</t>
  </si>
  <si>
    <t xml:space="preserve">Leonard</t>
  </si>
  <si>
    <t xml:space="preserve">Bucklar</t>
  </si>
  <si>
    <t xml:space="preserve">FAD55</t>
  </si>
  <si>
    <t xml:space="preserve">P07828</t>
  </si>
  <si>
    <t xml:space="preserve">Visual Merchandise Coordinator</t>
  </si>
  <si>
    <t xml:space="preserve">Wendy Canfyn</t>
  </si>
  <si>
    <t xml:space="preserve">UCC017756</t>
  </si>
  <si>
    <t xml:space="preserve">Dylan</t>
  </si>
  <si>
    <t xml:space="preserve">Hormann</t>
  </si>
  <si>
    <t xml:space="preserve">FAD47</t>
  </si>
  <si>
    <t xml:space="preserve">P06642</t>
  </si>
  <si>
    <t xml:space="preserve">BI Data Analyst</t>
  </si>
  <si>
    <t xml:space="preserve">Werner Martincich</t>
  </si>
  <si>
    <t xml:space="preserve">UCC016358</t>
  </si>
  <si>
    <t xml:space="preserve">Larni</t>
  </si>
  <si>
    <t xml:space="preserve">Casini</t>
  </si>
  <si>
    <t xml:space="preserve">FAD38</t>
  </si>
  <si>
    <t xml:space="preserve">P06886</t>
  </si>
  <si>
    <t xml:space="preserve">Practice Improvement Advisor</t>
  </si>
  <si>
    <t xml:space="preserve">Carolyn Robinson</t>
  </si>
  <si>
    <t xml:space="preserve">P06410</t>
  </si>
  <si>
    <t xml:space="preserve">Practice Lead</t>
  </si>
  <si>
    <t xml:space="preserve">Joanne Moses</t>
  </si>
  <si>
    <t xml:space="preserve">Joanne.Trentin@uccommunity.org.au</t>
  </si>
  <si>
    <t xml:space="preserve">UCC015307</t>
  </si>
  <si>
    <t xml:space="preserve">Emma</t>
  </si>
  <si>
    <t xml:space="preserve">Jarvis</t>
  </si>
  <si>
    <t xml:space="preserve">P06435</t>
  </si>
  <si>
    <t xml:space="preserve">UCC018659</t>
  </si>
  <si>
    <t xml:space="preserve">Amanda</t>
  </si>
  <si>
    <t xml:space="preserve">Norris</t>
  </si>
  <si>
    <t xml:space="preserve">UCC021083</t>
  </si>
  <si>
    <t xml:space="preserve">Patricia</t>
  </si>
  <si>
    <t xml:space="preserve">Vuong</t>
  </si>
  <si>
    <t xml:space="preserve">P07448</t>
  </si>
  <si>
    <t xml:space="preserve">UCC014381</t>
  </si>
  <si>
    <t xml:space="preserve">Brett</t>
  </si>
  <si>
    <t xml:space="preserve">Wilcock</t>
  </si>
  <si>
    <t xml:space="preserve">FAD39</t>
  </si>
  <si>
    <t xml:space="preserve">P04091</t>
  </si>
  <si>
    <t xml:space="preserve">Practice Training and Development Advisor</t>
  </si>
  <si>
    <t xml:space="preserve">UCC015418</t>
  </si>
  <si>
    <t xml:space="preserve">Jennifer</t>
  </si>
  <si>
    <t xml:space="preserve">Williams</t>
  </si>
  <si>
    <t xml:space="preserve">UCC017258</t>
  </si>
  <si>
    <t xml:space="preserve">Krystal</t>
  </si>
  <si>
    <t xml:space="preserve">Beazley</t>
  </si>
  <si>
    <t xml:space="preserve">FAD26</t>
  </si>
  <si>
    <t xml:space="preserve">P05712</t>
  </si>
  <si>
    <t xml:space="preserve">ATSI Partnership and Engagement Coordinator</t>
  </si>
  <si>
    <t xml:space="preserve">Community &amp; Persnal Svcs</t>
  </si>
  <si>
    <t xml:space="preserve">UCC021671</t>
  </si>
  <si>
    <t xml:space="preserve">Sanesie</t>
  </si>
  <si>
    <t xml:space="preserve">Dukuly</t>
  </si>
  <si>
    <t xml:space="preserve">FAD36</t>
  </si>
  <si>
    <t xml:space="preserve">P00812</t>
  </si>
  <si>
    <t xml:space="preserve">Multicultural Partnership and Engagement Advisor</t>
  </si>
  <si>
    <t xml:space="preserve">General Manager </t>
  </si>
  <si>
    <t xml:space="preserve">UCC017292</t>
  </si>
  <si>
    <t xml:space="preserve">Sean</t>
  </si>
  <si>
    <t xml:space="preserve">Gilbert</t>
  </si>
  <si>
    <t xml:space="preserve">FAD10</t>
  </si>
  <si>
    <t xml:space="preserve">P07842</t>
  </si>
  <si>
    <t xml:space="preserve">Manager Client Data Integrity Reporting and Support</t>
  </si>
  <si>
    <t xml:space="preserve">UCC018816</t>
  </si>
  <si>
    <t xml:space="preserve">Andrew</t>
  </si>
  <si>
    <t xml:space="preserve">Horwood</t>
  </si>
  <si>
    <t xml:space="preserve">FAD20</t>
  </si>
  <si>
    <t xml:space="preserve">P06526</t>
  </si>
  <si>
    <t xml:space="preserve">Manager Performance Management and Reporting</t>
  </si>
  <si>
    <t xml:space="preserve">UCC020760</t>
  </si>
  <si>
    <t xml:space="preserve">Nikhia</t>
  </si>
  <si>
    <t xml:space="preserve">Itzkovich</t>
  </si>
  <si>
    <t xml:space="preserve">ACC35</t>
  </si>
  <si>
    <t xml:space="preserve">P07447</t>
  </si>
  <si>
    <t xml:space="preserve">UCC015317</t>
  </si>
  <si>
    <t xml:space="preserve">Chez</t>
  </si>
  <si>
    <t xml:space="preserve">Leggatt-Cook</t>
  </si>
  <si>
    <t xml:space="preserve">FAD11</t>
  </si>
  <si>
    <t xml:space="preserve">P03152</t>
  </si>
  <si>
    <t xml:space="preserve">Research and Knowledge Translation Manager</t>
  </si>
  <si>
    <t xml:space="preserve">UCC020790</t>
  </si>
  <si>
    <t xml:space="preserve">Carolyn</t>
  </si>
  <si>
    <t xml:space="preserve">Robinson</t>
  </si>
  <si>
    <t xml:space="preserve">UCC010317</t>
  </si>
  <si>
    <t xml:space="preserve">Rebecca</t>
  </si>
  <si>
    <t xml:space="preserve">Windle</t>
  </si>
  <si>
    <t xml:space="preserve">FAD08</t>
  </si>
  <si>
    <t xml:space="preserve">P04616</t>
  </si>
  <si>
    <t xml:space="preserve">Client Safety Manager</t>
  </si>
  <si>
    <t xml:space="preserve">UCC020095</t>
  </si>
  <si>
    <t xml:space="preserve">Stutee</t>
  </si>
  <si>
    <t xml:space="preserve">Bhattarai</t>
  </si>
  <si>
    <t xml:space="preserve">P06053</t>
  </si>
  <si>
    <t xml:space="preserve">Nikhia Itzkovich</t>
  </si>
  <si>
    <t xml:space="preserve">UCC004754</t>
  </si>
  <si>
    <t xml:space="preserve">Simone</t>
  </si>
  <si>
    <t xml:space="preserve">Harding</t>
  </si>
  <si>
    <t xml:space="preserve">P05833</t>
  </si>
  <si>
    <t xml:space="preserve">UCC022197</t>
  </si>
  <si>
    <t xml:space="preserve">Phillips</t>
  </si>
  <si>
    <t xml:space="preserve">P08297</t>
  </si>
  <si>
    <t xml:space="preserve">Not eligible new hire after 1 June; Fixed Term Contract; Not eligible - moving to EA;</t>
  </si>
  <si>
    <t xml:space="preserve">UCC015179</t>
  </si>
  <si>
    <t xml:space="preserve">Raymond</t>
  </si>
  <si>
    <t xml:space="preserve">Jones</t>
  </si>
  <si>
    <t xml:space="preserve">FAD40</t>
  </si>
  <si>
    <t xml:space="preserve">P04615</t>
  </si>
  <si>
    <t xml:space="preserve">Principal Advisor Client Safety</t>
  </si>
  <si>
    <t xml:space="preserve">Rebecca Windle</t>
  </si>
  <si>
    <t xml:space="preserve">UCC014380</t>
  </si>
  <si>
    <t xml:space="preserve">Balwinder</t>
  </si>
  <si>
    <t xml:space="preserve">Singh</t>
  </si>
  <si>
    <t xml:space="preserve">FAD41</t>
  </si>
  <si>
    <t xml:space="preserve">P06431</t>
  </si>
  <si>
    <t xml:space="preserve">Principal Practice and Compliance Advisor</t>
  </si>
  <si>
    <t xml:space="preserve">UCC017552</t>
  </si>
  <si>
    <t xml:space="preserve">Nicole</t>
  </si>
  <si>
    <t xml:space="preserve">Mohr</t>
  </si>
  <si>
    <t xml:space="preserve">FAD33</t>
  </si>
  <si>
    <t xml:space="preserve">P06145</t>
  </si>
  <si>
    <t xml:space="preserve">Data Migration Stream Lead</t>
  </si>
  <si>
    <t xml:space="preserve">Sean Gilbert</t>
  </si>
  <si>
    <t xml:space="preserve">UCC015380</t>
  </si>
  <si>
    <t xml:space="preserve">Felicity</t>
  </si>
  <si>
    <t xml:space="preserve">Voigt</t>
  </si>
  <si>
    <t xml:space="preserve">FAD35</t>
  </si>
  <si>
    <t xml:space="preserve">P04022</t>
  </si>
  <si>
    <t xml:space="preserve">Enterprise Systems Administrator</t>
  </si>
  <si>
    <t xml:space="preserve">UCC017469</t>
  </si>
  <si>
    <t xml:space="preserve">Craig</t>
  </si>
  <si>
    <t xml:space="preserve">Wilson</t>
  </si>
  <si>
    <t xml:space="preserve">FAD49</t>
  </si>
  <si>
    <t xml:space="preserve">P06170</t>
  </si>
  <si>
    <t xml:space="preserve">Functional Support Analyst</t>
  </si>
  <si>
    <t xml:space="preserve">UCC016654</t>
  </si>
  <si>
    <t xml:space="preserve">Lorraine</t>
  </si>
  <si>
    <t xml:space="preserve">Derbyshire</t>
  </si>
  <si>
    <t xml:space="preserve">FAD27</t>
  </si>
  <si>
    <t xml:space="preserve">P05532</t>
  </si>
  <si>
    <t xml:space="preserve">Service Area Manager</t>
  </si>
  <si>
    <t xml:space="preserve">Jessica Taylor</t>
  </si>
  <si>
    <t xml:space="preserve">P07843</t>
  </si>
  <si>
    <t xml:space="preserve">Operations Manager Early Childhood Approach</t>
  </si>
  <si>
    <t xml:space="preserve">Luke Lindsay</t>
  </si>
  <si>
    <t xml:space="preserve">luke.lindsay@uccommunity.org.au</t>
  </si>
  <si>
    <t xml:space="preserve">Fixed Term Contract; </t>
  </si>
  <si>
    <t xml:space="preserve">UCC018409</t>
  </si>
  <si>
    <t xml:space="preserve">Platt</t>
  </si>
  <si>
    <t xml:space="preserve">P05533</t>
  </si>
  <si>
    <t xml:space="preserve">UCC014689</t>
  </si>
  <si>
    <t xml:space="preserve">Samantha</t>
  </si>
  <si>
    <t xml:space="preserve">Silver</t>
  </si>
  <si>
    <t xml:space="preserve">P06426</t>
  </si>
  <si>
    <t xml:space="preserve">UCC018319</t>
  </si>
  <si>
    <t xml:space="preserve">Rhiannon</t>
  </si>
  <si>
    <t xml:space="preserve">Smythe</t>
  </si>
  <si>
    <t xml:space="preserve">T06229</t>
  </si>
  <si>
    <t xml:space="preserve">UCC015814</t>
  </si>
  <si>
    <t xml:space="preserve">Jaine</t>
  </si>
  <si>
    <t xml:space="preserve">Smiley</t>
  </si>
  <si>
    <t xml:space="preserve">P07409</t>
  </si>
  <si>
    <t xml:space="preserve">Practice Lead - Stregthening Practice</t>
  </si>
  <si>
    <t xml:space="preserve">Jonathan Turk</t>
  </si>
  <si>
    <t xml:space="preserve">P03273</t>
  </si>
  <si>
    <t xml:space="preserve">StateWide Manager</t>
  </si>
  <si>
    <t xml:space="preserve">Not eligible-moving to EA - Consider seconded/Acting role; </t>
  </si>
  <si>
    <t xml:space="preserve">Local Service Manager</t>
  </si>
  <si>
    <t xml:space="preserve">UCC005546</t>
  </si>
  <si>
    <t xml:space="preserve">Jadranka</t>
  </si>
  <si>
    <t xml:space="preserve">Spriggs</t>
  </si>
  <si>
    <t xml:space="preserve">FAD18</t>
  </si>
  <si>
    <t xml:space="preserve">P00313</t>
  </si>
  <si>
    <t xml:space="preserve">Juan Du Buisson</t>
  </si>
  <si>
    <t xml:space="preserve">P07385</t>
  </si>
  <si>
    <t xml:space="preserve">Statewide Manager Community Mental Health</t>
  </si>
  <si>
    <t xml:space="preserve">UCC020165</t>
  </si>
  <si>
    <t xml:space="preserve">Juan</t>
  </si>
  <si>
    <t xml:space="preserve">Du Buisson</t>
  </si>
  <si>
    <t xml:space="preserve">FAD13</t>
  </si>
  <si>
    <t xml:space="preserve">Has EAs reporting to this role at PA8.3 (new rate is ~$127K) - recommend difference of 10% which equates to $140,000;</t>
  </si>
  <si>
    <t xml:space="preserve">UCC018584</t>
  </si>
  <si>
    <t xml:space="preserve">Nanditha</t>
  </si>
  <si>
    <t xml:space="preserve">Hettitantri</t>
  </si>
  <si>
    <t xml:space="preserve">P07384</t>
  </si>
  <si>
    <t xml:space="preserve">Statewide Manager Early Childhood Early Intervention</t>
  </si>
  <si>
    <t xml:space="preserve">UCC020556</t>
  </si>
  <si>
    <t xml:space="preserve">Geoffrey</t>
  </si>
  <si>
    <t xml:space="preserve">Norman</t>
  </si>
  <si>
    <t xml:space="preserve">P00899</t>
  </si>
  <si>
    <t xml:space="preserve">Statewide Manager</t>
  </si>
  <si>
    <t xml:space="preserve">UCC020132</t>
  </si>
  <si>
    <t xml:space="preserve">Jonathan</t>
  </si>
  <si>
    <t xml:space="preserve">Turk</t>
  </si>
  <si>
    <t xml:space="preserve">UCC008229</t>
  </si>
  <si>
    <t xml:space="preserve">Jody-Ann</t>
  </si>
  <si>
    <t xml:space="preserve">Willoughby</t>
  </si>
  <si>
    <t xml:space="preserve">P07379</t>
  </si>
  <si>
    <t xml:space="preserve">Statewide Manager Homelessness and Domestic Violence</t>
  </si>
  <si>
    <t xml:space="preserve">UCC019721</t>
  </si>
  <si>
    <t xml:space="preserve">Evans</t>
  </si>
  <si>
    <t xml:space="preserve">FAD51</t>
  </si>
  <si>
    <t xml:space="preserve">P05526</t>
  </si>
  <si>
    <t xml:space="preserve">Paediatric Therapist Early Childhood Early Intervention</t>
  </si>
  <si>
    <t xml:space="preserve">Rhiannon Hall</t>
  </si>
  <si>
    <t xml:space="preserve">P06229</t>
  </si>
  <si>
    <t xml:space="preserve">Fixed term contract; </t>
  </si>
  <si>
    <t xml:space="preserve">UCC018323</t>
  </si>
  <si>
    <t xml:space="preserve">Kirstie</t>
  </si>
  <si>
    <t xml:space="preserve">Sharp</t>
  </si>
  <si>
    <t xml:space="preserve">P06261</t>
  </si>
  <si>
    <t xml:space="preserve">ECEI Paediatric Therapist</t>
  </si>
  <si>
    <t xml:space="preserve">ZZSAZ</t>
  </si>
  <si>
    <t xml:space="preserve">UCC020064</t>
  </si>
  <si>
    <t xml:space="preserve">Pascall</t>
  </si>
  <si>
    <t xml:space="preserve">P05527</t>
  </si>
  <si>
    <t xml:space="preserve">Samantha Silver</t>
  </si>
  <si>
    <t xml:space="preserve">UCC010642</t>
  </si>
  <si>
    <t xml:space="preserve">Thomas</t>
  </si>
  <si>
    <t xml:space="preserve">Hegarty</t>
  </si>
  <si>
    <t xml:space="preserve">FAD28</t>
  </si>
  <si>
    <t xml:space="preserve">P07234</t>
  </si>
  <si>
    <t xml:space="preserve">Service Coordinator Capacity Building</t>
  </si>
  <si>
    <t xml:space="preserve">Chelbi Walton</t>
  </si>
  <si>
    <t xml:space="preserve">P05798</t>
  </si>
  <si>
    <t xml:space="preserve">Disability Services Manager</t>
  </si>
  <si>
    <t xml:space="preserve">Martin Woolaston</t>
  </si>
  <si>
    <t xml:space="preserve">Martin.Woollaston@uccommunity.org.au</t>
  </si>
  <si>
    <t xml:space="preserve">UCC008128</t>
  </si>
  <si>
    <t xml:space="preserve">Lisa</t>
  </si>
  <si>
    <t xml:space="preserve">Negrello</t>
  </si>
  <si>
    <t xml:space="preserve">FAD24</t>
  </si>
  <si>
    <t xml:space="preserve">P05870</t>
  </si>
  <si>
    <t xml:space="preserve">Service Design and Quality Coordinator</t>
  </si>
  <si>
    <t xml:space="preserve">UCC014296</t>
  </si>
  <si>
    <t xml:space="preserve">Jo-Anne</t>
  </si>
  <si>
    <t xml:space="preserve">Rolph</t>
  </si>
  <si>
    <t xml:space="preserve">P05808</t>
  </si>
  <si>
    <t xml:space="preserve">UCC019885</t>
  </si>
  <si>
    <t xml:space="preserve">Ranjit</t>
  </si>
  <si>
    <t xml:space="preserve">P07064</t>
  </si>
  <si>
    <t xml:space="preserve">Service Coordinator Core Support</t>
  </si>
  <si>
    <t xml:space="preserve">UCC020185</t>
  </si>
  <si>
    <t xml:space="preserve">Susan</t>
  </si>
  <si>
    <t xml:space="preserve">FAD32</t>
  </si>
  <si>
    <t xml:space="preserve">P07167</t>
  </si>
  <si>
    <t xml:space="preserve">Business Services Coordinator</t>
  </si>
  <si>
    <t xml:space="preserve">UCC017933</t>
  </si>
  <si>
    <t xml:space="preserve">Nickola</t>
  </si>
  <si>
    <t xml:space="preserve">Zeeuwen</t>
  </si>
  <si>
    <t xml:space="preserve">P06099</t>
  </si>
  <si>
    <t xml:space="preserve">Service Coordinator Holidays</t>
  </si>
  <si>
    <t xml:space="preserve">UCC007077</t>
  </si>
  <si>
    <t xml:space="preserve">Nadia</t>
  </si>
  <si>
    <t xml:space="preserve">Gray</t>
  </si>
  <si>
    <t xml:space="preserve">P06509</t>
  </si>
  <si>
    <t xml:space="preserve">Service Coordinator Core Supports</t>
  </si>
  <si>
    <t xml:space="preserve">Jodie Gorrel</t>
  </si>
  <si>
    <t xml:space="preserve">P05848</t>
  </si>
  <si>
    <t xml:space="preserve">Disability Service Manager SEQ Integrated</t>
  </si>
  <si>
    <t xml:space="preserve">UCC015833</t>
  </si>
  <si>
    <t xml:space="preserve">Chontay</t>
  </si>
  <si>
    <t xml:space="preserve">Gustowski</t>
  </si>
  <si>
    <t xml:space="preserve">P06685</t>
  </si>
  <si>
    <t xml:space="preserve">UCC015553</t>
  </si>
  <si>
    <t xml:space="preserve">Pamela</t>
  </si>
  <si>
    <t xml:space="preserve">Spelling</t>
  </si>
  <si>
    <t xml:space="preserve">T05984</t>
  </si>
  <si>
    <t xml:space="preserve">UCC020190</t>
  </si>
  <si>
    <t xml:space="preserve">Nigel</t>
  </si>
  <si>
    <t xml:space="preserve">Tappenden</t>
  </si>
  <si>
    <t xml:space="preserve">P07168</t>
  </si>
  <si>
    <t xml:space="preserve">UCC019890</t>
  </si>
  <si>
    <t xml:space="preserve">Chelbi</t>
  </si>
  <si>
    <t xml:space="preserve">Walton</t>
  </si>
  <si>
    <t xml:space="preserve">P07067</t>
  </si>
  <si>
    <t xml:space="preserve">Service Coordinator</t>
  </si>
  <si>
    <t xml:space="preserve">Kathy Rayner</t>
  </si>
  <si>
    <t xml:space="preserve">P06480</t>
  </si>
  <si>
    <t xml:space="preserve">Disability Service Manager</t>
  </si>
  <si>
    <t xml:space="preserve">UCC004221</t>
  </si>
  <si>
    <t xml:space="preserve">Raelene</t>
  </si>
  <si>
    <t xml:space="preserve">Wood</t>
  </si>
  <si>
    <t xml:space="preserve">P06607</t>
  </si>
  <si>
    <t xml:space="preserve">Service Coordinator South West</t>
  </si>
  <si>
    <t xml:space="preserve">UCC007326</t>
  </si>
  <si>
    <t xml:space="preserve">Jodie</t>
  </si>
  <si>
    <t xml:space="preserve">Gorrel</t>
  </si>
  <si>
    <t xml:space="preserve">FAD09</t>
  </si>
  <si>
    <t xml:space="preserve">Martin Woollaston</t>
  </si>
  <si>
    <t xml:space="preserve">UCC008681</t>
  </si>
  <si>
    <t xml:space="preserve">Corinne</t>
  </si>
  <si>
    <t xml:space="preserve">Mcphee</t>
  </si>
  <si>
    <t xml:space="preserve">FAD19</t>
  </si>
  <si>
    <t xml:space="preserve">P05419</t>
  </si>
  <si>
    <t xml:space="preserve">Manager Employment Services</t>
  </si>
  <si>
    <t xml:space="preserve">UCC013369</t>
  </si>
  <si>
    <t xml:space="preserve">Kathy</t>
  </si>
  <si>
    <t xml:space="preserve">Rayner</t>
  </si>
  <si>
    <t xml:space="preserve">UCC021375</t>
  </si>
  <si>
    <t xml:space="preserve">Brenda</t>
  </si>
  <si>
    <t xml:space="preserve">Simon</t>
  </si>
  <si>
    <t xml:space="preserve">FAD52</t>
  </si>
  <si>
    <t xml:space="preserve">P07511</t>
  </si>
  <si>
    <t xml:space="preserve">Program Planning Lead</t>
  </si>
  <si>
    <t xml:space="preserve">Clerical &amp; admin</t>
  </si>
  <si>
    <t xml:space="preserve">Nickola Zeeuwen</t>
  </si>
  <si>
    <t xml:space="preserve">UCC019012</t>
  </si>
  <si>
    <t xml:space="preserve">Rand</t>
  </si>
  <si>
    <t xml:space="preserve">Asmaro</t>
  </si>
  <si>
    <t xml:space="preserve">FAD22</t>
  </si>
  <si>
    <t xml:space="preserve">P06726</t>
  </si>
  <si>
    <t xml:space="preserve">Business Performance Analyst</t>
  </si>
  <si>
    <t xml:space="preserve">Anthony Nunn</t>
  </si>
  <si>
    <t xml:space="preserve">P07507</t>
  </si>
  <si>
    <t xml:space="preserve">Business Performance Lead</t>
  </si>
  <si>
    <t xml:space="preserve">Susan Zhang</t>
  </si>
  <si>
    <t xml:space="preserve">Susan.Zhang@uccommunity.org.au</t>
  </si>
  <si>
    <t xml:space="preserve">UCC021035</t>
  </si>
  <si>
    <t xml:space="preserve">Bale</t>
  </si>
  <si>
    <t xml:space="preserve">FAD37</t>
  </si>
  <si>
    <t xml:space="preserve">P05606</t>
  </si>
  <si>
    <t xml:space="preserve">Performance Analyst</t>
  </si>
  <si>
    <t xml:space="preserve">UCC019860</t>
  </si>
  <si>
    <t xml:space="preserve">Michayla</t>
  </si>
  <si>
    <t xml:space="preserve">Parsons</t>
  </si>
  <si>
    <t xml:space="preserve">P06920</t>
  </si>
  <si>
    <t xml:space="preserve">UCC020270</t>
  </si>
  <si>
    <t xml:space="preserve">Karen</t>
  </si>
  <si>
    <t xml:space="preserve">P05607</t>
  </si>
  <si>
    <t xml:space="preserve">1. TEMPLATE_Rem Increase only</t>
  </si>
  <si>
    <t xml:space="preserve">UCC018450</t>
  </si>
  <si>
    <t xml:space="preserve">Sonia</t>
  </si>
  <si>
    <t xml:space="preserve">Bingley</t>
  </si>
  <si>
    <t xml:space="preserve">FAD54</t>
  </si>
  <si>
    <t xml:space="preserve">P06280</t>
  </si>
  <si>
    <t xml:space="preserve">Support Officer NDIS</t>
  </si>
  <si>
    <t xml:space="preserve">Xue Zhang</t>
  </si>
  <si>
    <t xml:space="preserve">P08107</t>
  </si>
  <si>
    <t xml:space="preserve">Change Business Partner</t>
  </si>
  <si>
    <t xml:space="preserve">UCC021411</t>
  </si>
  <si>
    <t xml:space="preserve">FAD16</t>
  </si>
  <si>
    <t xml:space="preserve">P07847</t>
  </si>
  <si>
    <t xml:space="preserve">Business Systems Analyst</t>
  </si>
  <si>
    <t xml:space="preserve">UCC021062</t>
  </si>
  <si>
    <t xml:space="preserve">Anthony</t>
  </si>
  <si>
    <t xml:space="preserve">Nunn</t>
  </si>
  <si>
    <t xml:space="preserve">FAD15</t>
  </si>
  <si>
    <t xml:space="preserve">UCC008450</t>
  </si>
  <si>
    <t xml:space="preserve">Pfeifle</t>
  </si>
  <si>
    <t xml:space="preserve">P07231</t>
  </si>
  <si>
    <t xml:space="preserve">Business Service Coordinator</t>
  </si>
  <si>
    <t xml:space="preserve">Support Officer NDIS </t>
  </si>
  <si>
    <t xml:space="preserve">UCC006389</t>
  </si>
  <si>
    <t xml:space="preserve">Bearman</t>
  </si>
  <si>
    <t xml:space="preserve">FAD61</t>
  </si>
  <si>
    <t xml:space="preserve">P07382</t>
  </si>
  <si>
    <t xml:space="preserve">Statewide Manager Family Protection and Men's Programs</t>
  </si>
  <si>
    <t xml:space="preserve">Vivien Bull</t>
  </si>
  <si>
    <t xml:space="preserve">vivien.bull@uccommunity.org.au</t>
  </si>
  <si>
    <t xml:space="preserve">UCC013839</t>
  </si>
  <si>
    <t xml:space="preserve">Chamberlain</t>
  </si>
  <si>
    <t xml:space="preserve">P07383</t>
  </si>
  <si>
    <t xml:space="preserve">Statewide Manager Family Law</t>
  </si>
  <si>
    <t xml:space="preserve">UCC014970</t>
  </si>
  <si>
    <t xml:space="preserve">Mark</t>
  </si>
  <si>
    <t xml:space="preserve">Clissold</t>
  </si>
  <si>
    <t xml:space="preserve">P07381</t>
  </si>
  <si>
    <t xml:space="preserve">Statewide Manager Family Support</t>
  </si>
  <si>
    <t xml:space="preserve">UCC015536</t>
  </si>
  <si>
    <t xml:space="preserve">John</t>
  </si>
  <si>
    <t xml:space="preserve">Kelly</t>
  </si>
  <si>
    <t xml:space="preserve">P07378</t>
  </si>
  <si>
    <t xml:space="preserve">Statewide Manager Out of Home Care North and West</t>
  </si>
  <si>
    <t xml:space="preserve">UCC007015</t>
  </si>
  <si>
    <t xml:space="preserve">Moormann</t>
  </si>
  <si>
    <t xml:space="preserve">P07380</t>
  </si>
  <si>
    <t xml:space="preserve">Statewide Manager Foster and Kinship Care</t>
  </si>
  <si>
    <t xml:space="preserve">AD</t>
  </si>
  <si>
    <t xml:space="preserve">UCC008518</t>
  </si>
  <si>
    <t xml:space="preserve">Brooke</t>
  </si>
  <si>
    <t xml:space="preserve">O'Connor</t>
  </si>
  <si>
    <t xml:space="preserve">P07377</t>
  </si>
  <si>
    <t xml:space="preserve">Statewide Manager Out of Home Care South East</t>
  </si>
  <si>
    <t xml:space="preserve">PPP</t>
  </si>
  <si>
    <t xml:space="preserve">Market Comparison</t>
  </si>
  <si>
    <t xml:space="preserve">Job Level</t>
  </si>
  <si>
    <t xml:space="preserve">Min</t>
  </si>
  <si>
    <t xml:space="preserve">Midpoint</t>
  </si>
  <si>
    <t xml:space="preserve">Max</t>
  </si>
  <si>
    <t xml:space="preserve">General Industry</t>
  </si>
  <si>
    <t xml:space="preserve">Community, Advocacy and Social Services</t>
  </si>
  <si>
    <t xml:space="preserve">Hospital - Clinical</t>
  </si>
  <si>
    <t xml:space="preserve">HOS-CLIN</t>
  </si>
  <si>
    <t xml:space="preserve">Hospital - Medical</t>
  </si>
  <si>
    <t xml:space="preserve">HOS-MED</t>
  </si>
  <si>
    <t xml:space="preserve">(empty)</t>
  </si>
  <si>
    <t xml:space="preserve">Total Result</t>
  </si>
  <si>
    <t xml:space="preserve">Award Comparison</t>
  </si>
  <si>
    <t xml:space="preserve">VLOOKUP for Main S/S</t>
  </si>
  <si>
    <t xml:space="preserve">Enterprise Agreement/ Award Level</t>
  </si>
  <si>
    <t xml:space="preserve">Hourly Rate eff 01/07/2022 
$</t>
  </si>
  <si>
    <t xml:space="preserve">Annual 38hpw</t>
  </si>
  <si>
    <t xml:space="preserve">Additional Annual Leave Days</t>
  </si>
  <si>
    <t xml:space="preserve">Additional Annual Leave</t>
  </si>
  <si>
    <t xml:space="preserve">Leave Loading</t>
  </si>
  <si>
    <t xml:space="preserve"> Leave Loading</t>
  </si>
  <si>
    <t xml:space="preserve">TOTAL - ANNUAL EA + ADD LVE DAYS + A/L LOADING</t>
  </si>
  <si>
    <t xml:space="preserve">Hourly rate incl. A/L Loading</t>
  </si>
  <si>
    <t xml:space="preserve">ANNUAL EA +  ADD LVE DAYS + A/L LOADING
(ROUND UP $100)</t>
  </si>
  <si>
    <t xml:space="preserve">2022 BUFFER APPLIED:
EA rate + A/L LOADING + BUFFER (Assumption:
X hrs OT @ 1.5x)</t>
  </si>
  <si>
    <t xml:space="preserve">Buffer $ difference</t>
  </si>
  <si>
    <t xml:space="preserve">OPTION 2: 
Extra O/T included for role classificiation, add in reguar O/T hours  
(EA rate + A/L LOADING + Buffer (Assumption: 1 hrs OT @ 1.5x each wks) + Extra O/T Hours</t>
  </si>
  <si>
    <t xml:space="preserve">TO BE UPDATED FOR 2023</t>
  </si>
  <si>
    <t xml:space="preserve">UCC EA 2012 - 2014 Profesional and Administrative Workers</t>
  </si>
  <si>
    <t xml:space="preserve">hrs OT @ 1.5x</t>
  </si>
  <si>
    <t xml:space="preserve">Add OT hrs regularly worked - leave blank if none</t>
  </si>
  <si>
    <t xml:space="preserve">hrs OT @ 1.5x per week</t>
  </si>
  <si>
    <t xml:space="preserve">Social &amp; Community Services Employee 5.14</t>
  </si>
  <si>
    <t xml:space="preserve">UCC Prof &amp; Admin EA 2012 - 2014 - PA1.1</t>
  </si>
  <si>
    <t xml:space="preserve">PA1.1</t>
  </si>
  <si>
    <t xml:space="preserve">Social &amp; Community Services Employee 5.13</t>
  </si>
  <si>
    <t xml:space="preserve">UCC Prof &amp; Admin EA 2012 - 2014 - PA1.2</t>
  </si>
  <si>
    <t xml:space="preserve">PA1.2</t>
  </si>
  <si>
    <t xml:space="preserve">Social &amp; Community Services Employee 5.12</t>
  </si>
  <si>
    <t xml:space="preserve">UCC Prof &amp; Admin EA 2012 - 2014 - PA1.3</t>
  </si>
  <si>
    <t xml:space="preserve">PA1.3</t>
  </si>
  <si>
    <t xml:space="preserve">Social &amp; Community Services Employee 5.11</t>
  </si>
  <si>
    <t xml:space="preserve">UCC Prof &amp; Admin EA 2012 - 2014 - PA2.1</t>
  </si>
  <si>
    <t xml:space="preserve">PA2.1</t>
  </si>
  <si>
    <t xml:space="preserve">Social &amp; Community Services Employee 5.10</t>
  </si>
  <si>
    <t xml:space="preserve">UCC Prof &amp; Admin EA 2012 - 2014 - PA2.2</t>
  </si>
  <si>
    <t xml:space="preserve">PA2.2</t>
  </si>
  <si>
    <t xml:space="preserve">Social &amp; Community Services Employee 5.9</t>
  </si>
  <si>
    <t xml:space="preserve">UCC Prof &amp; Admin EA 2012 - 2014 - PA2.3</t>
  </si>
  <si>
    <t xml:space="preserve">PA2.3</t>
  </si>
  <si>
    <t xml:space="preserve">Social &amp; Community Services Employee 5.8</t>
  </si>
  <si>
    <t xml:space="preserve">UCC Prof &amp; Admin EA 2012 - 2014 - PA2.4</t>
  </si>
  <si>
    <t xml:space="preserve">PA2.4</t>
  </si>
  <si>
    <t xml:space="preserve">Social &amp; Community Services Employee 5.7</t>
  </si>
  <si>
    <t xml:space="preserve">UCC Prof &amp; Admin EA 2012 - 2014 - PA3.1</t>
  </si>
  <si>
    <t xml:space="preserve">PA3.1</t>
  </si>
  <si>
    <t xml:space="preserve">Social &amp; Community Services Employee 5.6</t>
  </si>
  <si>
    <t xml:space="preserve">UCC Prof &amp; Admin EA 2012 - 2014 - PA3.2</t>
  </si>
  <si>
    <t xml:space="preserve">PA3.2</t>
  </si>
  <si>
    <t xml:space="preserve">Social &amp; Community Services Employee 5.5</t>
  </si>
  <si>
    <t xml:space="preserve">UCC Prof &amp; Admin EA 2012 - 2014 - PA3.3</t>
  </si>
  <si>
    <t xml:space="preserve">PA3.3</t>
  </si>
  <si>
    <t xml:space="preserve">Social &amp; Community Services Employee 5.4</t>
  </si>
  <si>
    <t xml:space="preserve">UCC Prof &amp; Admin EA 2012 - 2014 - PA3.4</t>
  </si>
  <si>
    <t xml:space="preserve">PA3.4</t>
  </si>
  <si>
    <t xml:space="preserve">Social &amp; Community Services Employee 5.3</t>
  </si>
  <si>
    <t xml:space="preserve">UCC Prof &amp; Admin EA 2012 - 2014 - PA4.1</t>
  </si>
  <si>
    <t xml:space="preserve">PA4.1</t>
  </si>
  <si>
    <t xml:space="preserve">Social &amp; Community Services Employee 5.2</t>
  </si>
  <si>
    <t xml:space="preserve">UCC Prof &amp; Admin EA 2012 - 2014 - PA4.2</t>
  </si>
  <si>
    <t xml:space="preserve">PA4.2</t>
  </si>
  <si>
    <t xml:space="preserve">Social &amp; Community Services Employee 5.1</t>
  </si>
  <si>
    <t xml:space="preserve">UCC Prof &amp; Admin EA 2012 - 2014 - PA4.3</t>
  </si>
  <si>
    <t xml:space="preserve">PA4.3</t>
  </si>
  <si>
    <t xml:space="preserve">Social &amp; Community Services Employee 5.0</t>
  </si>
  <si>
    <t xml:space="preserve">UCC Prof &amp; Admin EA 2012 - 2014 - PA4.4</t>
  </si>
  <si>
    <t xml:space="preserve">PA4.4</t>
  </si>
  <si>
    <t xml:space="preserve">UCC Prof &amp; Admin EA 2012 - 2014 - PA5.1</t>
  </si>
  <si>
    <t xml:space="preserve">PA5.1</t>
  </si>
  <si>
    <t xml:space="preserve">UCC Prof &amp; Admin EA 2012 - 2014 - PA5.2</t>
  </si>
  <si>
    <t xml:space="preserve">PA5.2</t>
  </si>
  <si>
    <t xml:space="preserve">UCC Prof &amp; Admin EA 2012 - 2014 - PA5.3</t>
  </si>
  <si>
    <t xml:space="preserve">PA5.3</t>
  </si>
  <si>
    <t xml:space="preserve">Social &amp; Community Services Employee 6.1</t>
  </si>
  <si>
    <t xml:space="preserve">UCC Prof &amp; Admin EA 2012 - 2014 - PA6.1</t>
  </si>
  <si>
    <t xml:space="preserve">PA6.1</t>
  </si>
  <si>
    <t xml:space="preserve">Social &amp; Community Services Employee 6.2</t>
  </si>
  <si>
    <t xml:space="preserve">UCC Prof &amp; Admin EA 2012 - 2014 - PA6.2</t>
  </si>
  <si>
    <t xml:space="preserve">PA6.2</t>
  </si>
  <si>
    <t xml:space="preserve">Social &amp; Community Services Employee 6.3</t>
  </si>
  <si>
    <t xml:space="preserve">UCC Prof &amp; Admin EA 2012 - 2014 - PA6.3</t>
  </si>
  <si>
    <t xml:space="preserve">PA6.3</t>
  </si>
  <si>
    <t xml:space="preserve">Social &amp; Community Services Employee 7.1</t>
  </si>
  <si>
    <t xml:space="preserve">UCC Prof &amp; Admin EA 2012 - 2014 - PA7.1</t>
  </si>
  <si>
    <t xml:space="preserve">PA7.1</t>
  </si>
  <si>
    <t xml:space="preserve">Social &amp; Community Services Employee 7.2</t>
  </si>
  <si>
    <t xml:space="preserve">UCC Prof &amp; Admin EA 2012 - 2014 - PA7.2</t>
  </si>
  <si>
    <t xml:space="preserve">PA7.2</t>
  </si>
  <si>
    <t xml:space="preserve">Social &amp; Community Services Employee7.3</t>
  </si>
  <si>
    <t xml:space="preserve">UCC Prof &amp; Admin EA 2012 - 2014 - PA7.3</t>
  </si>
  <si>
    <t xml:space="preserve">PA7.3</t>
  </si>
  <si>
    <t xml:space="preserve">Social &amp; Community Services Employee 8.1</t>
  </si>
  <si>
    <t xml:space="preserve">UCC Prof &amp; Admin EA 2012 - 2014 - PA8.1</t>
  </si>
  <si>
    <t xml:space="preserve">PA8.1</t>
  </si>
  <si>
    <t xml:space="preserve">Social &amp; Community Services Employee 8.2</t>
  </si>
  <si>
    <t xml:space="preserve">UCC Prof &amp; Admin EA 2012 - 2014 - PA8.2</t>
  </si>
  <si>
    <t xml:space="preserve">PA8.2</t>
  </si>
  <si>
    <t xml:space="preserve">Social &amp; Community Services Employee 8.3</t>
  </si>
  <si>
    <t xml:space="preserve">UCC Prof &amp; Admin EA 2012 - 2014 - PA8.3</t>
  </si>
  <si>
    <t xml:space="preserve">PA8.3</t>
  </si>
  <si>
    <t xml:space="preserve">UCC EA 2015 - 2018 Retail Workers</t>
  </si>
  <si>
    <t xml:space="preserve">Retail Employee Level 1</t>
  </si>
  <si>
    <t xml:space="preserve">UCC Retail Workers EA 2015 - 2018 - RE1</t>
  </si>
  <si>
    <t xml:space="preserve">RE1</t>
  </si>
  <si>
    <t xml:space="preserve">Retail Employee Level 2</t>
  </si>
  <si>
    <t xml:space="preserve">UCC Retail Workers EA 2015 - 2018 - RE2</t>
  </si>
  <si>
    <t xml:space="preserve">RE2</t>
  </si>
  <si>
    <t xml:space="preserve">Retail Employee Level 3</t>
  </si>
  <si>
    <t xml:space="preserve">UCC Retail Workers EA 2015 - 2018 - RE3</t>
  </si>
  <si>
    <t xml:space="preserve">RE3</t>
  </si>
  <si>
    <t xml:space="preserve">Retail Employee Level 4</t>
  </si>
  <si>
    <t xml:space="preserve">UCC Retail Workers EA 2015 - 2018 - RE4</t>
  </si>
  <si>
    <t xml:space="preserve">RE4</t>
  </si>
  <si>
    <t xml:space="preserve">Retail Employee Level 8</t>
  </si>
  <si>
    <t xml:space="preserve">UCC Retail Workers EA 2015 - 2018 - RE8</t>
  </si>
  <si>
    <t xml:space="preserve">RE8</t>
  </si>
  <si>
    <t xml:space="preserve">Retail Level 4 Year 1</t>
  </si>
  <si>
    <t xml:space="preserve">UCC Retail Workers EA 2015 - 2018 - CE2</t>
  </si>
  <si>
    <t xml:space="preserve">CE2</t>
  </si>
  <si>
    <t xml:space="preserve">Retail Level 6</t>
  </si>
  <si>
    <t xml:space="preserve">UCC Retail Workers EA 2015 - 2018 - CE3</t>
  </si>
  <si>
    <t xml:space="preserve">CE3</t>
  </si>
  <si>
    <t xml:space="preserve">Retail Level 7</t>
  </si>
  <si>
    <t xml:space="preserve">UCC Retail Workers EA 2015 - 2018 - CE4</t>
  </si>
  <si>
    <t xml:space="preserve">CE4</t>
  </si>
  <si>
    <t xml:space="preserve">Retail Level 8</t>
  </si>
  <si>
    <t xml:space="preserve">UCC Retail Workers EA 2015 - 2018 - CE5</t>
  </si>
  <si>
    <t xml:space="preserve">CE5</t>
  </si>
  <si>
    <t xml:space="preserve">UCC EA 2012 - 2014 - Disability Workers</t>
  </si>
  <si>
    <t xml:space="preserve">Social &amp; Community Services Employee 3.4</t>
  </si>
  <si>
    <t xml:space="preserve">DIS44</t>
  </si>
  <si>
    <t xml:space="preserve">UCC EA 2015 - 2018 Transport and Distribution</t>
  </si>
  <si>
    <t xml:space="preserve">Transport Worker Grade 1</t>
  </si>
  <si>
    <t xml:space="preserve">UCC Transport and Distribution EA 2015 - 2018 - TW1</t>
  </si>
  <si>
    <t xml:space="preserve">TW1</t>
  </si>
  <si>
    <t xml:space="preserve">Transport Worker Grade 2</t>
  </si>
  <si>
    <t xml:space="preserve">UCC Transport and Distribution EA 2015 - 2018 - TW2</t>
  </si>
  <si>
    <t xml:space="preserve">TW2</t>
  </si>
  <si>
    <t xml:space="preserve">Transport Worker Grade 3</t>
  </si>
  <si>
    <t xml:space="preserve">UCC Transport and Distribution EA 2015 - 2018 - TW31</t>
  </si>
  <si>
    <t xml:space="preserve">TW31</t>
  </si>
  <si>
    <t xml:space="preserve">UCC Transport and Distribution EA 2015 - 2018 - TW32</t>
  </si>
  <si>
    <t xml:space="preserve">TW32</t>
  </si>
  <si>
    <t xml:space="preserve">UCC Transport and Distribution EA 2015 - 2018 - TW33</t>
  </si>
  <si>
    <t xml:space="preserve">TW33</t>
  </si>
  <si>
    <t xml:space="preserve">UCC Transport and Distribution EA 2015 - 2018 - TW34</t>
  </si>
  <si>
    <t xml:space="preserve">TW34</t>
  </si>
  <si>
    <t xml:space="preserve">Transport Worker Grade 4</t>
  </si>
  <si>
    <t xml:space="preserve">UCC Transport and Distribution EA 2015 - 2018 - TW41</t>
  </si>
  <si>
    <t xml:space="preserve">TW41</t>
  </si>
  <si>
    <t xml:space="preserve">UCC Transport and Distribution EA 2015 - 2018 - TW42</t>
  </si>
  <si>
    <t xml:space="preserve">TW42</t>
  </si>
  <si>
    <t xml:space="preserve">UCC Transport and Distribution EA 2015 - 2018 - TW43</t>
  </si>
  <si>
    <t xml:space="preserve">TW43</t>
  </si>
  <si>
    <t xml:space="preserve">UCC Transport and Distribution EA 2015 - 2018 - TW44</t>
  </si>
  <si>
    <t xml:space="preserve">TW44</t>
  </si>
  <si>
    <t xml:space="preserve">UCC Transport and Distribution EA 2015 - 2018 - DW2</t>
  </si>
  <si>
    <t xml:space="preserve">DW2</t>
  </si>
  <si>
    <t xml:space="preserve">Blue Care - Care and Support Employees</t>
  </si>
  <si>
    <t xml:space="preserve">Level 2</t>
  </si>
  <si>
    <t xml:space="preserve">Blue Care - Care and Support Employees EA - SPT021</t>
  </si>
  <si>
    <t xml:space="preserve">SPT021</t>
  </si>
  <si>
    <t xml:space="preserve">Blue Care - Care and Support Employees EA - SPT022</t>
  </si>
  <si>
    <t xml:space="preserve">SPT022</t>
  </si>
  <si>
    <t xml:space="preserve">Level 2 </t>
  </si>
  <si>
    <t xml:space="preserve">Blue Care - Care and Support Employees EA - SPT023</t>
  </si>
  <si>
    <t xml:space="preserve">SPT023</t>
  </si>
  <si>
    <t xml:space="preserve">Level 3</t>
  </si>
  <si>
    <t xml:space="preserve">Blue Care - Care and Support Employees EA - SPT02S</t>
  </si>
  <si>
    <t xml:space="preserve">SPT02S</t>
  </si>
  <si>
    <t xml:space="preserve">Blue Care - Care and Support Employees EA - SPT031</t>
  </si>
  <si>
    <t xml:space="preserve">SPT031</t>
  </si>
  <si>
    <t xml:space="preserve">Blue Care - Care and Support Employees EA - SPT032</t>
  </si>
  <si>
    <t xml:space="preserve">SPT032</t>
  </si>
  <si>
    <t xml:space="preserve">Blue Care - Care and Support Employees EA - SPT033</t>
  </si>
  <si>
    <t xml:space="preserve">SPT033</t>
  </si>
  <si>
    <t xml:space="preserve">Blue Care - Care and Support Employees EA - SPT03S</t>
  </si>
  <si>
    <t xml:space="preserve">SPT03S</t>
  </si>
  <si>
    <t xml:space="preserve">Level 4</t>
  </si>
  <si>
    <t xml:space="preserve">Blue Care - Care and Support Employees EA - SPT041</t>
  </si>
  <si>
    <t xml:space="preserve">SPT041</t>
  </si>
  <si>
    <t xml:space="preserve">Blue Care - Care and Support Employees EA - SPT042</t>
  </si>
  <si>
    <t xml:space="preserve">SPT042</t>
  </si>
  <si>
    <t xml:space="preserve">Blue Care - Care and Support Employees EA - SPT043</t>
  </si>
  <si>
    <t xml:space="preserve">SPT043</t>
  </si>
  <si>
    <t xml:space="preserve">Level 5</t>
  </si>
  <si>
    <t xml:space="preserve">Blue Care - Care and Support Employees EA - SPT051</t>
  </si>
  <si>
    <t xml:space="preserve">SPT051</t>
  </si>
  <si>
    <t xml:space="preserve">Blue Care - Care and Support Employees EA - SPT052</t>
  </si>
  <si>
    <t xml:space="preserve">SPT052</t>
  </si>
  <si>
    <t xml:space="preserve">Blue Care - Care and Support Employees EA - SPT053</t>
  </si>
  <si>
    <t xml:space="preserve">SPT053</t>
  </si>
  <si>
    <t xml:space="preserve">Level 6</t>
  </si>
  <si>
    <t xml:space="preserve">Blue Care - Care and Support Employees EA - SPT061</t>
  </si>
  <si>
    <t xml:space="preserve">SPT061</t>
  </si>
  <si>
    <t xml:space="preserve">Blue Care - Care and Support Employees EA - SPT062</t>
  </si>
  <si>
    <t xml:space="preserve">SPT062</t>
  </si>
  <si>
    <t xml:space="preserve">Blue Care - Care and Support Employees EA - SPT063</t>
  </si>
  <si>
    <t xml:space="preserve">SPT063</t>
  </si>
  <si>
    <t xml:space="preserve">Blue Care Nursing EA 2013 - 2016</t>
  </si>
  <si>
    <t xml:space="preserve">Registered Nurse - L1.1</t>
  </si>
  <si>
    <t xml:space="preserve">Blue Care Nursing EA - QRN11</t>
  </si>
  <si>
    <t xml:space="preserve">QRN11</t>
  </si>
  <si>
    <t xml:space="preserve">Registered Nurse - L1.2</t>
  </si>
  <si>
    <t xml:space="preserve">Blue Care Nursing EA - QRN12</t>
  </si>
  <si>
    <t xml:space="preserve">QRN12</t>
  </si>
  <si>
    <t xml:space="preserve">Registered Nurse - L1.3</t>
  </si>
  <si>
    <t xml:space="preserve">Blue Care Nursing EA - QRN13</t>
  </si>
  <si>
    <t xml:space="preserve">QRN13</t>
  </si>
  <si>
    <t xml:space="preserve">Registered Nurse - L1.4</t>
  </si>
  <si>
    <t xml:space="preserve">Blue Care Nursing EA - QRN14</t>
  </si>
  <si>
    <t xml:space="preserve">QRN14</t>
  </si>
  <si>
    <t xml:space="preserve">Registered Nurse - L2.1</t>
  </si>
  <si>
    <t xml:space="preserve">Blue Care Nursing EA - QRN21</t>
  </si>
  <si>
    <t xml:space="preserve">QRN21</t>
  </si>
  <si>
    <t xml:space="preserve">Registered Nurse - L2.2</t>
  </si>
  <si>
    <t xml:space="preserve">Blue Care Nursing EA - QRN22</t>
  </si>
  <si>
    <t xml:space="preserve">QRN22</t>
  </si>
  <si>
    <t xml:space="preserve">Registered Nurse - L3.1</t>
  </si>
  <si>
    <t xml:space="preserve">Blue Care Nursing EA - QRN31</t>
  </si>
  <si>
    <t xml:space="preserve">QRN31</t>
  </si>
  <si>
    <t xml:space="preserve">Registered Nurse - L3.2</t>
  </si>
  <si>
    <t xml:space="preserve">Blue Care Nursing EA - QRN32</t>
  </si>
  <si>
    <t xml:space="preserve">QRN32</t>
  </si>
  <si>
    <t xml:space="preserve">Registered Nurse - L4.1</t>
  </si>
  <si>
    <t xml:space="preserve">Blue Care Nursing EA - QRN41</t>
  </si>
  <si>
    <t xml:space="preserve">QRN41</t>
  </si>
  <si>
    <t xml:space="preserve">Registered Nurse - L4.2</t>
  </si>
  <si>
    <t xml:space="preserve">Blue Care Nursing EA - QRN42</t>
  </si>
  <si>
    <t xml:space="preserve">QRN42</t>
  </si>
  <si>
    <t xml:space="preserve">Registered Nurse - L4.3</t>
  </si>
  <si>
    <t xml:space="preserve">Blue Care Nursing EA - QRN43</t>
  </si>
  <si>
    <t xml:space="preserve">QRN43</t>
  </si>
  <si>
    <t xml:space="preserve">Registered Nurse - L5.1</t>
  </si>
  <si>
    <t xml:space="preserve">Blue Care Nursing EA - QRN51A</t>
  </si>
  <si>
    <t xml:space="preserve">QRN51A</t>
  </si>
  <si>
    <t xml:space="preserve">Blue Care Nursing EA - QRN51B</t>
  </si>
  <si>
    <t xml:space="preserve">QRN51B</t>
  </si>
  <si>
    <t xml:space="preserve">Blue Care Nursing EA - QRN51C</t>
  </si>
  <si>
    <t xml:space="preserve">QRN51C</t>
  </si>
  <si>
    <t xml:space="preserve">Registered Nurse - L5.2</t>
  </si>
  <si>
    <t xml:space="preserve">Blue Care Nursing EA - QRN52</t>
  </si>
  <si>
    <t xml:space="preserve">QRN52</t>
  </si>
  <si>
    <t xml:space="preserve">Registered Nurse - L5.3</t>
  </si>
  <si>
    <t xml:space="preserve">Blue Care Nursing EA - QRN53</t>
  </si>
  <si>
    <t xml:space="preserve">QRN53</t>
  </si>
  <si>
    <t xml:space="preserve">Registered Nurse - L5.4</t>
  </si>
  <si>
    <t xml:space="preserve">Blue Care Nursing EA - QRN54</t>
  </si>
  <si>
    <t xml:space="preserve">QRN54</t>
  </si>
  <si>
    <t xml:space="preserve">Blue Care Allied Health &amp; Community Service Stream EA</t>
  </si>
  <si>
    <t xml:space="preserve">SACSE Level 3.1</t>
  </si>
  <si>
    <t xml:space="preserve">Blue Care Allied Health &amp; Community Service Stream EA - CSS31</t>
  </si>
  <si>
    <t xml:space="preserve">CSS31</t>
  </si>
  <si>
    <t xml:space="preserve">SACSE Level 3.2</t>
  </si>
  <si>
    <t xml:space="preserve">Blue Care Allied Health &amp; Community Service Stream EA - CSS32</t>
  </si>
  <si>
    <t xml:space="preserve">CSS32</t>
  </si>
  <si>
    <t xml:space="preserve">SACSE Level 3.3</t>
  </si>
  <si>
    <t xml:space="preserve">Blue Care Allied Health &amp; Community Service Stream EA - CSS33</t>
  </si>
  <si>
    <t xml:space="preserve">CSS33</t>
  </si>
  <si>
    <t xml:space="preserve">SACSE Level 3.4</t>
  </si>
  <si>
    <t xml:space="preserve">Blue Care Allied Health &amp; Community Service Stream EA - CSS34</t>
  </si>
  <si>
    <t xml:space="preserve">CSS34</t>
  </si>
  <si>
    <t xml:space="preserve">SACSE Level 4.1</t>
  </si>
  <si>
    <t xml:space="preserve">Blue Care Allied Health &amp; Community Service Stream EA - CSS41</t>
  </si>
  <si>
    <t xml:space="preserve">CSS41</t>
  </si>
  <si>
    <t xml:space="preserve">SACSE Level 4.2</t>
  </si>
  <si>
    <t xml:space="preserve">Blue Care Allied Health &amp; Community Service Stream EA - CSS42</t>
  </si>
  <si>
    <t xml:space="preserve">CSS42</t>
  </si>
  <si>
    <t xml:space="preserve">SACSE Level 4.3</t>
  </si>
  <si>
    <t xml:space="preserve">Blue Care Allied Health &amp; Community Service Stream EA - CSS43</t>
  </si>
  <si>
    <t xml:space="preserve">CSS43</t>
  </si>
  <si>
    <t xml:space="preserve">SACSE Level 4.4</t>
  </si>
  <si>
    <t xml:space="preserve">Blue Care Allied Health &amp; Community Service Stream EA - CSS44</t>
  </si>
  <si>
    <t xml:space="preserve">CSS44</t>
  </si>
  <si>
    <t xml:space="preserve">SACSE Level 5.1</t>
  </si>
  <si>
    <t xml:space="preserve">Blue Care Allied Health &amp; Community Service Stream EA - CSS51</t>
  </si>
  <si>
    <t xml:space="preserve">CSS51</t>
  </si>
  <si>
    <t xml:space="preserve">SACSE Level 5.2</t>
  </si>
  <si>
    <t xml:space="preserve">Blue Care Allied Health &amp; Community Service Stream EA - CSS52</t>
  </si>
  <si>
    <t xml:space="preserve">CSS52</t>
  </si>
  <si>
    <t xml:space="preserve">SACSE Level 5.3</t>
  </si>
  <si>
    <t xml:space="preserve">Blue Care Allied Health &amp; Community Service Stream EA - CSS53</t>
  </si>
  <si>
    <t xml:space="preserve">CSS53</t>
  </si>
  <si>
    <t xml:space="preserve">SACSE Level 6.1</t>
  </si>
  <si>
    <t xml:space="preserve">Blue Care Allied Health &amp; Community Service Stream EA - CSS61</t>
  </si>
  <si>
    <t xml:space="preserve">CSS61</t>
  </si>
  <si>
    <t xml:space="preserve">SACSE Level 6.2</t>
  </si>
  <si>
    <t xml:space="preserve">Blue Care Allied Health &amp; Community Service Stream EA - CSS62</t>
  </si>
  <si>
    <t xml:space="preserve">CSS62</t>
  </si>
  <si>
    <t xml:space="preserve">SACSE Level 6.3</t>
  </si>
  <si>
    <t xml:space="preserve">Blue Care Allied Health &amp; Community Service Stream EA - CSS63</t>
  </si>
  <si>
    <t xml:space="preserve">CSS63</t>
  </si>
  <si>
    <t xml:space="preserve">Blue Care Allied Health &amp; Community Service Stream EA - PO5.2</t>
  </si>
  <si>
    <t xml:space="preserve">PO5.2</t>
  </si>
  <si>
    <t xml:space="preserve">Blue Care - Administration Employees EA</t>
  </si>
  <si>
    <t xml:space="preserve">Level 2 - year 1</t>
  </si>
  <si>
    <t xml:space="preserve">Blue Care Administration EA 2013 - AO21</t>
  </si>
  <si>
    <t xml:space="preserve">AO21</t>
  </si>
  <si>
    <t xml:space="preserve">Level 2 - year 2</t>
  </si>
  <si>
    <t xml:space="preserve">Blue Care Administration EA 2013 - AO22</t>
  </si>
  <si>
    <t xml:space="preserve">AO22</t>
  </si>
  <si>
    <t xml:space="preserve">not available</t>
  </si>
  <si>
    <t xml:space="preserve">Blue Care Administration EA 2013 - AO23</t>
  </si>
  <si>
    <t xml:space="preserve">AO23</t>
  </si>
  <si>
    <t xml:space="preserve">Level 3 </t>
  </si>
  <si>
    <t xml:space="preserve">Blue Care Administration EA 2013 - AO31</t>
  </si>
  <si>
    <t xml:space="preserve">AO31</t>
  </si>
  <si>
    <t xml:space="preserve">Blue Care Administration EA 2013 - AO32</t>
  </si>
  <si>
    <t xml:space="preserve">AO32</t>
  </si>
  <si>
    <t xml:space="preserve">Blue Care Administration EA 2013 - AO41</t>
  </si>
  <si>
    <t xml:space="preserve">AO41</t>
  </si>
  <si>
    <t xml:space="preserve">Blue Care Administration EA 2013 - AO42</t>
  </si>
  <si>
    <t xml:space="preserve">AO42</t>
  </si>
  <si>
    <t xml:space="preserve">Blue Care Administration EA 2013 - AO51</t>
  </si>
  <si>
    <t xml:space="preserve">AO51</t>
  </si>
  <si>
    <t xml:space="preserve">Blue Care Administration EA 2013 - AO52</t>
  </si>
  <si>
    <t xml:space="preserve">AO52</t>
  </si>
  <si>
    <t xml:space="preserve">Call Centre Technical Associate </t>
  </si>
  <si>
    <t xml:space="preserve">Blue Care Administration EA 2013 - AO61</t>
  </si>
  <si>
    <t xml:space="preserve">AO61</t>
  </si>
  <si>
    <t xml:space="preserve">UCH Nurses and Midwives EA</t>
  </si>
  <si>
    <t xml:space="preserve">No award classification as UCH created this level</t>
  </si>
  <si>
    <t xml:space="preserve">UCH Nurses and Midwives EA - RN3.5</t>
  </si>
  <si>
    <t xml:space="preserve">RN3.5</t>
  </si>
  <si>
    <t xml:space="preserve">UCH Clerical/Admin EA</t>
  </si>
  <si>
    <t xml:space="preserve">Support Services Employee Level 2</t>
  </si>
  <si>
    <t xml:space="preserve">UCH Clerical/Admin EA - CL2.1</t>
  </si>
  <si>
    <t xml:space="preserve">CL2.1</t>
  </si>
  <si>
    <t xml:space="preserve">UCH Clerical/Admin EA - CL2.2</t>
  </si>
  <si>
    <t xml:space="preserve">CL2.2</t>
  </si>
  <si>
    <t xml:space="preserve">UCH Clerical/Admin EA - CL2.3</t>
  </si>
  <si>
    <t xml:space="preserve">CL2.3</t>
  </si>
  <si>
    <t xml:space="preserve">UCH Clerical/Admin EA - CL2.4</t>
  </si>
  <si>
    <t xml:space="preserve">CL2.4</t>
  </si>
  <si>
    <t xml:space="preserve">Support Services Employee Level 3</t>
  </si>
  <si>
    <t xml:space="preserve">UCH Clerical/Admin EA - CL3.1</t>
  </si>
  <si>
    <t xml:space="preserve">CL3.1</t>
  </si>
  <si>
    <t xml:space="preserve">UCH Clerical/Admin EA - CL3.2</t>
  </si>
  <si>
    <t xml:space="preserve">CL3.2</t>
  </si>
  <si>
    <t xml:space="preserve">Support Services Employee Level 4</t>
  </si>
  <si>
    <t xml:space="preserve">UCH Clerical/Admin EA - CL4.1</t>
  </si>
  <si>
    <t xml:space="preserve">CL4.1</t>
  </si>
  <si>
    <t xml:space="preserve">UCH Clerical/Admin EA - CL4.2</t>
  </si>
  <si>
    <t xml:space="preserve">CL4.2</t>
  </si>
  <si>
    <t xml:space="preserve">Support Services Employee Level 5</t>
  </si>
  <si>
    <t xml:space="preserve">UCH Clerical/Admin EA - CL5.1</t>
  </si>
  <si>
    <t xml:space="preserve">CL5.1</t>
  </si>
  <si>
    <t xml:space="preserve">UCH Clerical/Admin EA - CL5.2</t>
  </si>
  <si>
    <t xml:space="preserve">CL5.2</t>
  </si>
  <si>
    <t xml:space="preserve">Support Services Employee Level 6</t>
  </si>
  <si>
    <t xml:space="preserve">UCH Clerical/Admin EA - CL6.1</t>
  </si>
  <si>
    <t xml:space="preserve">CL6.1</t>
  </si>
  <si>
    <t xml:space="preserve">UCH Clerical/Admin EA - CLC3</t>
  </si>
  <si>
    <t xml:space="preserve">CLC3</t>
  </si>
  <si>
    <t xml:space="preserve">UCH Clerical/Admin EA - CLC4</t>
  </si>
  <si>
    <t xml:space="preserve">CLC4</t>
  </si>
  <si>
    <t xml:space="preserve">UCH Clerical/Admin EA - CLC5</t>
  </si>
  <si>
    <t xml:space="preserve">CLC5</t>
  </si>
  <si>
    <t xml:space="preserve">UCH Clerical/Admin EA - CLC6</t>
  </si>
  <si>
    <t xml:space="preserve">CLC6</t>
  </si>
  <si>
    <t xml:space="preserve">UCH Clerical/Admin EA - EM1</t>
  </si>
  <si>
    <t xml:space="preserve">EM1</t>
  </si>
  <si>
    <t xml:space="preserve">UCH Clerical/Admin EA - EM2</t>
  </si>
  <si>
    <t xml:space="preserve">EM2</t>
  </si>
  <si>
    <t xml:space="preserve">UCH Clerical/Admin EA - EM3</t>
  </si>
  <si>
    <t xml:space="preserve">EM3</t>
  </si>
  <si>
    <t xml:space="preserve">UCH Clerical/Admin EA - EM5.1</t>
  </si>
  <si>
    <t xml:space="preserve">EM5.1</t>
  </si>
  <si>
    <t xml:space="preserve">UCH Clerical/Admin EA - EM5.2</t>
  </si>
  <si>
    <t xml:space="preserve">EM5.2</t>
  </si>
  <si>
    <t xml:space="preserve">UCH Clerical/Admin EA - EM5.3</t>
  </si>
  <si>
    <t xml:space="preserve">EM5.3</t>
  </si>
  <si>
    <t xml:space="preserve">Support Services Employee Level 7</t>
  </si>
  <si>
    <t xml:space="preserve">UCH Clerical/Admin EA - EM6.1</t>
  </si>
  <si>
    <t xml:space="preserve">EM6.1</t>
  </si>
  <si>
    <t xml:space="preserve">Support Services Employee Level 8</t>
  </si>
  <si>
    <t xml:space="preserve">UCH Clerical/Admin EA - EM6.2</t>
  </si>
  <si>
    <t xml:space="preserve">EM6.2</t>
  </si>
  <si>
    <t xml:space="preserve">Support Services Employee Level 9</t>
  </si>
  <si>
    <t xml:space="preserve">UCH Clerical/Admin EA - EM6.3</t>
  </si>
  <si>
    <t xml:space="preserve">EM6.3</t>
  </si>
  <si>
    <t xml:space="preserve">Support Services Employee Level 10</t>
  </si>
  <si>
    <t xml:space="preserve">UCH Clerical/Admin EA - EM7.1</t>
  </si>
  <si>
    <t xml:space="preserve">EM7.1</t>
  </si>
  <si>
    <t xml:space="preserve">Support Services Employee Level 11</t>
  </si>
  <si>
    <t xml:space="preserve">UCH Clerical/Admin EA - EM7.2</t>
  </si>
  <si>
    <t xml:space="preserve">EM7.2</t>
  </si>
  <si>
    <t xml:space="preserve">Support Services Employee Level 12</t>
  </si>
  <si>
    <t xml:space="preserve">UCH Clerical/Admin EA - EM7.3</t>
  </si>
  <si>
    <t xml:space="preserve">EM7.3</t>
  </si>
  <si>
    <t xml:space="preserve">UCH Clerical/Admin EA - SS2.5</t>
  </si>
  <si>
    <t xml:space="preserve">SS2.5</t>
  </si>
  <si>
    <t xml:space="preserve">Health Professional and Support Services Award 2022 (Allied Health)</t>
  </si>
  <si>
    <t xml:space="preserve">NES applies/Shiftworkers get extra 5 days</t>
  </si>
  <si>
    <t xml:space="preserve">Health Professionals Level 3 (3.1)</t>
  </si>
  <si>
    <t xml:space="preserve">Allied Health Award - Level 3 PP1</t>
  </si>
  <si>
    <t xml:space="preserve">Level 3 PP1</t>
  </si>
  <si>
    <t xml:space="preserve">Health Professionals Level 3 (3.2)</t>
  </si>
  <si>
    <t xml:space="preserve">Allied Health Award - Level 3 PP2</t>
  </si>
  <si>
    <t xml:space="preserve">Level 3 PP2</t>
  </si>
  <si>
    <t xml:space="preserve">Health Professionals Level 3 (3.3)</t>
  </si>
  <si>
    <t xml:space="preserve">Allied Health Award - Level 3 PP3</t>
  </si>
  <si>
    <t xml:space="preserve">Level 3 PP3</t>
  </si>
  <si>
    <t xml:space="preserve">Health Professionals Level 3 (3.4)</t>
  </si>
  <si>
    <t xml:space="preserve">Allied Health Award -  Level 3 PP4</t>
  </si>
  <si>
    <t xml:space="preserve"> Level 3 PP4</t>
  </si>
  <si>
    <t xml:space="preserve">Health Professionals Level 3 (3.5)</t>
  </si>
  <si>
    <t xml:space="preserve">Allied Health Award -  Level 3 PP5</t>
  </si>
  <si>
    <t xml:space="preserve"> Level 3 PP5</t>
  </si>
  <si>
    <t xml:space="preserve">Health Professionals Level 4 (4.1)</t>
  </si>
  <si>
    <t xml:space="preserve">Allied Health Award -  Level 4 PP1</t>
  </si>
  <si>
    <t xml:space="preserve"> Level 4 PP1</t>
  </si>
  <si>
    <t xml:space="preserve">Health Professionals Level 4 (4.2)</t>
  </si>
  <si>
    <t xml:space="preserve">Allied Health Award -  Level 4 PP2</t>
  </si>
  <si>
    <t xml:space="preserve"> Level 4 PP2</t>
  </si>
  <si>
    <t xml:space="preserve">Health Professionals Level 4 (4.3)</t>
  </si>
  <si>
    <t xml:space="preserve">Allied Health Award -  Level 4 PP3</t>
  </si>
  <si>
    <t xml:space="preserve"> Level 4 PP3</t>
  </si>
  <si>
    <t xml:space="preserve">Health Professionals Level 4 (4.4)</t>
  </si>
  <si>
    <t xml:space="preserve">Allied Health Award -  Level 4 PP4</t>
  </si>
  <si>
    <t xml:space="preserve"> Level 4 PP4</t>
  </si>
  <si>
    <t xml:space="preserve">Clerks Private Sector Award 2020</t>
  </si>
  <si>
    <t xml:space="preserve">Level 1 - Year 1</t>
  </si>
  <si>
    <t xml:space="preserve">Clerks - Private Sector Award 2010 - Level 1 - Year 1</t>
  </si>
  <si>
    <t xml:space="preserve">Level 1 - Year 2</t>
  </si>
  <si>
    <t xml:space="preserve">Clerks - Private Sector Award 2010 - Level 1 - Year 2</t>
  </si>
  <si>
    <t xml:space="preserve">Level 1 - Year 3</t>
  </si>
  <si>
    <t xml:space="preserve">Clerks - Private Sector Award 2010 - Level 1 - Year 3</t>
  </si>
  <si>
    <t xml:space="preserve">Level 2 - Year 1</t>
  </si>
  <si>
    <t xml:space="preserve">Clerks - Private Sector Award 2010 - Level 2 - Year 1</t>
  </si>
  <si>
    <t xml:space="preserve">Level 2 - Year 2</t>
  </si>
  <si>
    <t xml:space="preserve">Clerks - Private Sector Award 2010 - Level 2 - Year 2</t>
  </si>
  <si>
    <t xml:space="preserve">Clerks - Private Sector Award 2010 - Level 3</t>
  </si>
  <si>
    <t xml:space="preserve">Clerks - Private Sector Award 2010 - Level 4</t>
  </si>
  <si>
    <t xml:space="preserve">Clerks - Private Sector Award 2010 - Level 5</t>
  </si>
  <si>
    <t xml:space="preserve">General Retail Industry Award 2020</t>
  </si>
  <si>
    <t xml:space="preserve">General Retail Industry Award 2020 - Level 1 </t>
  </si>
  <si>
    <t xml:space="preserve">Level 1 </t>
  </si>
  <si>
    <t xml:space="preserve">General Retail Industry Award 2020 - Level 2</t>
  </si>
  <si>
    <t xml:space="preserve">General Retail Industry Award 2020 - Level 3</t>
  </si>
  <si>
    <t xml:space="preserve">General Retail Industry Award 2020 - Level 4</t>
  </si>
  <si>
    <t xml:space="preserve">Retail Employee Level 5</t>
  </si>
  <si>
    <t xml:space="preserve">General Retail Industry Award 2020 - Level 5</t>
  </si>
  <si>
    <t xml:space="preserve">Retail Employee Level 6</t>
  </si>
  <si>
    <t xml:space="preserve">General Retail Industry Award 2020 - Level 6</t>
  </si>
  <si>
    <t xml:space="preserve">Retail Employee Level 7</t>
  </si>
  <si>
    <t xml:space="preserve">General Retail Industry Award 2020 - Level 7</t>
  </si>
  <si>
    <t xml:space="preserve">Level 7</t>
  </si>
  <si>
    <t xml:space="preserve">General Retail Industry Award 2020 - Level 8</t>
  </si>
  <si>
    <t xml:space="preserve">Level 8</t>
  </si>
</sst>
</file>

<file path=xl/styles.xml><?xml version="1.0" encoding="utf-8"?>
<styleSheet xmlns="http://schemas.openxmlformats.org/spreadsheetml/2006/main">
  <numFmts count="39">
    <numFmt numFmtId="164" formatCode="General"/>
    <numFmt numFmtId="165" formatCode="_(\$#,##0.0_);&quot;($&quot;#,##0.0\);_(\-_)"/>
    <numFmt numFmtId="166" formatCode="d\ mmm\ yy"/>
    <numFmt numFmtId="167" formatCode="_(#,##0.0\x_);\(#,##0.0&quot;x)&quot;;_(\-_)"/>
    <numFmt numFmtId="168" formatCode="_(#,##0.0_);\(#,##0.0\);_(\-_)"/>
    <numFmt numFmtId="169" formatCode="_(#,##0.0%_);\(#,##0.0%\);_(\-_)"/>
    <numFmt numFmtId="170" formatCode="_(###0_);\(###0\);_(###0_)"/>
    <numFmt numFmtId="171" formatCode="_)d\-mmm\-yy_)"/>
    <numFmt numFmtId="172" formatCode="_(* #,##0.00_);_(* \(#,##0.00\);_(* \-??_);_(@_)"/>
    <numFmt numFmtId="173" formatCode="_-* #,##0.00_-;\-* #,##0.00_-;_-* \-??_-;_-@_-"/>
    <numFmt numFmtId="174" formatCode="_(\$* #,##0.00_);_(\$* \(#,##0.00\);_(\$* \-??_);_(@_)"/>
    <numFmt numFmtId="175" formatCode="_-\$* #,##0.00_-;&quot;-$&quot;* #,##0.00_-;_-\$* \-??_-;_-@_-"/>
    <numFmt numFmtId="176" formatCode="#,###,##0;\(#,###,##0\)"/>
    <numFmt numFmtId="177" formatCode="#,###,##0.00;\(#,###,##0.00\)"/>
    <numFmt numFmtId="178" formatCode="\$#,###,##0;&quot;($&quot;#,###,##0\)"/>
    <numFmt numFmtId="179" formatCode="#,##0.00%;\(#,##0.00%\)"/>
    <numFmt numFmtId="180" formatCode="_(#,##0_);\(#,##0\);_(\-_)"/>
    <numFmt numFmtId="181" formatCode="General_)"/>
    <numFmt numFmtId="182" formatCode="[$-409]d\-mmm\-yy;@"/>
    <numFmt numFmtId="183" formatCode="#,##0.00;[RED]\-#,##0.00"/>
    <numFmt numFmtId="184" formatCode="0%"/>
    <numFmt numFmtId="185" formatCode="@"/>
    <numFmt numFmtId="186" formatCode="0000"/>
    <numFmt numFmtId="187" formatCode="_-\$* #,##0_-;&quot;-$&quot;* #,##0_-;_-\$* \-??_-;_-@_-"/>
    <numFmt numFmtId="188" formatCode="0.00%"/>
    <numFmt numFmtId="189" formatCode="\$#,##0.00"/>
    <numFmt numFmtId="190" formatCode="\$#,##0"/>
    <numFmt numFmtId="191" formatCode="General"/>
    <numFmt numFmtId="192" formatCode="dd/mm/yyyy"/>
    <numFmt numFmtId="193" formatCode="0.0%"/>
    <numFmt numFmtId="194" formatCode="\$#,##0;&quot;-$&quot;#,##0"/>
    <numFmt numFmtId="195" formatCode="0.00"/>
    <numFmt numFmtId="196" formatCode="0"/>
    <numFmt numFmtId="197" formatCode="0.0"/>
    <numFmt numFmtId="198" formatCode="_-[$$-C09]* #,##0_-;\-[$$-C09]* #,##0_-;_-[$$-C09]* \-??_-;_-@_-"/>
    <numFmt numFmtId="199" formatCode="\$#,##0.00;[RED]&quot;-$&quot;#,##0.00"/>
    <numFmt numFmtId="200" formatCode="\$#,##0.000000;[RED]&quot;-$&quot;#,##0.000000"/>
    <numFmt numFmtId="201" formatCode="\$#,##0;[RED]&quot;-$&quot;#,##0"/>
    <numFmt numFmtId="202" formatCode="0.000%"/>
  </numFmts>
  <fonts count="14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9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FFFFFF"/>
      <name val="Calibri"/>
      <family val="2"/>
      <charset val="1"/>
    </font>
    <font>
      <sz val="9"/>
      <color rgb="FFFFFFFF"/>
      <name val="Calibri"/>
      <family val="2"/>
      <charset val="1"/>
    </font>
    <font>
      <sz val="10"/>
      <color rgb="FFFFFFFF"/>
      <name val="Arial"/>
      <family val="2"/>
      <charset val="1"/>
    </font>
    <font>
      <b val="true"/>
      <sz val="13"/>
      <color rgb="FF404040"/>
      <name val="Calibri Light"/>
      <family val="2"/>
      <charset val="1"/>
    </font>
    <font>
      <sz val="8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9C0006"/>
      <name val="Calibri"/>
      <family val="2"/>
      <charset val="1"/>
    </font>
    <font>
      <sz val="11"/>
      <color rgb="FF800080"/>
      <name val="Calibri"/>
      <family val="2"/>
      <charset val="1"/>
    </font>
    <font>
      <sz val="9"/>
      <color rgb="FF9C0006"/>
      <name val="Calibri"/>
      <family val="2"/>
      <charset val="1"/>
    </font>
    <font>
      <sz val="10"/>
      <color rgb="FF9C0006"/>
      <name val="Calibri"/>
      <family val="2"/>
      <charset val="1"/>
    </font>
    <font>
      <sz val="10"/>
      <color rgb="FF800080"/>
      <name val="Calibri"/>
      <family val="2"/>
      <charset val="1"/>
    </font>
    <font>
      <sz val="10"/>
      <color rgb="FF9C0006"/>
      <name val="Arial"/>
      <family val="2"/>
      <charset val="1"/>
    </font>
    <font>
      <sz val="10"/>
      <name val="Geneva"/>
      <family val="2"/>
      <charset val="1"/>
    </font>
    <font>
      <b val="true"/>
      <sz val="11"/>
      <color rgb="FFFA7D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9"/>
      <color rgb="FFFA7D00"/>
      <name val="Calibri"/>
      <family val="2"/>
      <charset val="1"/>
    </font>
    <font>
      <b val="true"/>
      <sz val="10"/>
      <color rgb="FFFA7D00"/>
      <name val="Arial"/>
      <family val="2"/>
      <charset val="1"/>
    </font>
    <font>
      <b val="true"/>
      <sz val="10"/>
      <color rgb="FFFF9900"/>
      <name val="Arial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9"/>
      <color rgb="FFFFFFFF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i val="true"/>
      <sz val="11"/>
      <color rgb="FF7F7F7F"/>
      <name val="Calibri"/>
      <family val="2"/>
      <charset val="1"/>
    </font>
    <font>
      <i val="true"/>
      <sz val="11"/>
      <color rgb="FF808080"/>
      <name val="Calibri"/>
      <family val="2"/>
      <charset val="1"/>
    </font>
    <font>
      <i val="true"/>
      <sz val="9"/>
      <color rgb="FF7F7F7F"/>
      <name val="Calibri"/>
      <family val="2"/>
      <charset val="1"/>
    </font>
    <font>
      <i val="true"/>
      <sz val="10"/>
      <color rgb="FF7F7F7F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1"/>
      <color rgb="FF006100"/>
      <name val="Calibri"/>
      <family val="2"/>
      <charset val="1"/>
    </font>
    <font>
      <sz val="11"/>
      <color rgb="FF008000"/>
      <name val="Calibri"/>
      <family val="2"/>
      <charset val="1"/>
    </font>
    <font>
      <sz val="9"/>
      <color rgb="FF006100"/>
      <name val="Calibri"/>
      <family val="2"/>
      <charset val="1"/>
    </font>
    <font>
      <sz val="10"/>
      <color rgb="FF006100"/>
      <name val="Arial"/>
      <family val="2"/>
      <charset val="1"/>
    </font>
    <font>
      <sz val="10"/>
      <color rgb="FF008000"/>
      <name val="Arial"/>
      <family val="2"/>
      <charset val="1"/>
    </font>
    <font>
      <b val="true"/>
      <sz val="15"/>
      <color rgb="FF44546A"/>
      <name val="Calibri"/>
      <family val="2"/>
      <charset val="1"/>
    </font>
    <font>
      <b val="true"/>
      <sz val="15"/>
      <color rgb="FF333399"/>
      <name val="Calibri"/>
      <family val="2"/>
      <charset val="1"/>
    </font>
    <font>
      <b val="true"/>
      <sz val="15"/>
      <color rgb="FF44546A"/>
      <name val="Arial"/>
      <family val="2"/>
      <charset val="1"/>
    </font>
    <font>
      <b val="true"/>
      <sz val="15"/>
      <color rgb="FF003366"/>
      <name val="Arial"/>
      <family val="2"/>
      <charset val="1"/>
    </font>
    <font>
      <b val="true"/>
      <sz val="13"/>
      <color rgb="FF44546A"/>
      <name val="Calibri"/>
      <family val="2"/>
      <charset val="1"/>
    </font>
    <font>
      <b val="true"/>
      <sz val="13"/>
      <color rgb="FF333399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3"/>
      <color rgb="FF44546A"/>
      <name val="Arial"/>
      <family val="2"/>
      <charset val="1"/>
    </font>
    <font>
      <b val="true"/>
      <sz val="11"/>
      <color rgb="FF44546A"/>
      <name val="Calibri"/>
      <family val="2"/>
      <charset val="1"/>
    </font>
    <font>
      <b val="true"/>
      <sz val="11"/>
      <color rgb="FF333399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b val="true"/>
      <sz val="11"/>
      <color rgb="FF44546A"/>
      <name val="Arial"/>
      <family val="2"/>
      <charset val="1"/>
    </font>
    <font>
      <b val="true"/>
      <sz val="11"/>
      <color rgb="FF003366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u val="single"/>
      <sz val="11"/>
      <color rgb="FF0563C1"/>
      <name val="Calibri"/>
      <family val="2"/>
      <charset val="1"/>
    </font>
    <font>
      <u val="single"/>
      <sz val="10"/>
      <color rgb="FF0000FF"/>
      <name val="MS Sans Serif"/>
      <family val="2"/>
      <charset val="1"/>
    </font>
    <font>
      <u val="single"/>
      <sz val="10"/>
      <color rgb="FF0563C1"/>
      <name val="Arial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Verdana"/>
      <family val="2"/>
      <charset val="1"/>
    </font>
    <font>
      <b val="true"/>
      <sz val="10"/>
      <color rgb="FF003366"/>
      <name val="Wingdings"/>
      <family val="0"/>
      <charset val="2"/>
    </font>
    <font>
      <b val="true"/>
      <u val="single"/>
      <sz val="8"/>
      <color rgb="FF003366"/>
      <name val="Arial"/>
      <family val="2"/>
      <charset val="1"/>
    </font>
    <font>
      <sz val="11"/>
      <color rgb="FF3F3F76"/>
      <name val="Calibri"/>
      <family val="2"/>
      <charset val="1"/>
    </font>
    <font>
      <sz val="11"/>
      <color rgb="FF333399"/>
      <name val="Calibri"/>
      <family val="2"/>
      <charset val="1"/>
    </font>
    <font>
      <sz val="9"/>
      <color rgb="FF3F3F76"/>
      <name val="Calibri"/>
      <family val="2"/>
      <charset val="1"/>
    </font>
    <font>
      <sz val="10"/>
      <color rgb="FF3F3F76"/>
      <name val="Arial"/>
      <family val="2"/>
      <charset val="1"/>
    </font>
    <font>
      <sz val="10"/>
      <color rgb="FF333399"/>
      <name val="Arial"/>
      <family val="2"/>
      <charset val="1"/>
    </font>
    <font>
      <sz val="11"/>
      <color rgb="FFFA7D00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rgb="FFFA7D00"/>
      <name val="Calibri"/>
      <family val="2"/>
      <charset val="1"/>
    </font>
    <font>
      <sz val="10"/>
      <color rgb="FFFA7D00"/>
      <name val="Arial"/>
      <family val="2"/>
      <charset val="1"/>
    </font>
    <font>
      <sz val="10"/>
      <color rgb="FFFF9900"/>
      <name val="Arial"/>
      <family val="2"/>
      <charset val="1"/>
    </font>
    <font>
      <b val="true"/>
      <sz val="8"/>
      <name val="Arial"/>
      <family val="2"/>
      <charset val="1"/>
    </font>
    <font>
      <b val="true"/>
      <sz val="12"/>
      <name val="Arial"/>
      <family val="2"/>
      <charset val="1"/>
    </font>
    <font>
      <sz val="11"/>
      <color rgb="FF9C6500"/>
      <name val="Calibri"/>
      <family val="2"/>
      <charset val="1"/>
    </font>
    <font>
      <sz val="11"/>
      <color rgb="FF808000"/>
      <name val="Calibri"/>
      <family val="2"/>
      <charset val="1"/>
    </font>
    <font>
      <sz val="9"/>
      <color rgb="FF9C6500"/>
      <name val="Calibri"/>
      <family val="2"/>
      <charset val="1"/>
    </font>
    <font>
      <sz val="11"/>
      <color rgb="FF993300"/>
      <name val="Calibri"/>
      <family val="2"/>
      <charset val="1"/>
    </font>
    <font>
      <sz val="10"/>
      <color rgb="FF9C6500"/>
      <name val="Arial"/>
      <family val="2"/>
      <charset val="1"/>
    </font>
    <font>
      <sz val="12"/>
      <name val="Arial Narrow"/>
      <family val="2"/>
      <charset val="1"/>
    </font>
    <font>
      <sz val="12"/>
      <name val="Comic Sans MS"/>
      <family val="4"/>
      <charset val="1"/>
    </font>
    <font>
      <sz val="12"/>
      <name val="Courier New"/>
      <family val="3"/>
      <charset val="1"/>
    </font>
    <font>
      <sz val="11"/>
      <color rgb="FF000000"/>
      <name val="Trebuchet MS"/>
      <family val="2"/>
      <charset val="1"/>
    </font>
    <font>
      <sz val="11"/>
      <color rgb="FF000000"/>
      <name val="Arial"/>
      <family val="2"/>
      <charset val="1"/>
    </font>
    <font>
      <sz val="10"/>
      <color rgb="FF000000"/>
      <name val="Calibri"/>
      <family val="2"/>
      <charset val="1"/>
    </font>
    <font>
      <b val="true"/>
      <sz val="11"/>
      <color rgb="FF3F3F3F"/>
      <name val="Calibri"/>
      <family val="2"/>
      <charset val="1"/>
    </font>
    <font>
      <b val="true"/>
      <sz val="11"/>
      <color rgb="FF333333"/>
      <name val="Calibri"/>
      <family val="2"/>
      <charset val="1"/>
    </font>
    <font>
      <b val="true"/>
      <sz val="9"/>
      <color rgb="FF3F3F3F"/>
      <name val="Calibri"/>
      <family val="2"/>
      <charset val="1"/>
    </font>
    <font>
      <b val="true"/>
      <sz val="10"/>
      <color rgb="FF3F3F3F"/>
      <name val="Arial"/>
      <family val="2"/>
      <charset val="1"/>
    </font>
    <font>
      <b val="true"/>
      <sz val="10"/>
      <color rgb="FF333333"/>
      <name val="Arial"/>
      <family val="2"/>
      <charset val="1"/>
    </font>
    <font>
      <sz val="11"/>
      <color rgb="FF000000"/>
      <name val="Times New Roman"/>
      <family val="1"/>
      <charset val="1"/>
    </font>
    <font>
      <b val="true"/>
      <i val="true"/>
      <sz val="11"/>
      <color rgb="FF000000"/>
      <name val="Times New Roman"/>
      <family val="1"/>
      <charset val="1"/>
    </font>
    <font>
      <b val="true"/>
      <sz val="11"/>
      <color rgb="FF800000"/>
      <name val="Times New Roman"/>
      <family val="1"/>
      <charset val="1"/>
    </font>
    <font>
      <b val="true"/>
      <sz val="22"/>
      <color rgb="FF000000"/>
      <name val="Times New Roman"/>
      <family val="1"/>
      <charset val="1"/>
    </font>
    <font>
      <sz val="8"/>
      <name val="Tahoma"/>
      <family val="2"/>
      <charset val="1"/>
    </font>
    <font>
      <b val="true"/>
      <sz val="10"/>
      <name val="Tahoma"/>
      <family val="2"/>
      <charset val="1"/>
    </font>
    <font>
      <b val="true"/>
      <sz val="9"/>
      <name val="Tahoma"/>
      <family val="2"/>
      <charset val="1"/>
    </font>
    <font>
      <b val="true"/>
      <sz val="8"/>
      <name val="Tahoma"/>
      <family val="2"/>
      <charset val="1"/>
    </font>
    <font>
      <b val="true"/>
      <u val="single"/>
      <sz val="8"/>
      <color rgb="FF003366"/>
      <name val="Tahoma"/>
      <family val="2"/>
      <charset val="1"/>
    </font>
    <font>
      <b val="true"/>
      <sz val="12"/>
      <name val="Tahoma"/>
      <family val="2"/>
      <charset val="1"/>
    </font>
    <font>
      <b val="true"/>
      <sz val="13"/>
      <name val="Tahoma"/>
      <family val="2"/>
      <charset val="1"/>
    </font>
    <font>
      <b val="true"/>
      <sz val="14"/>
      <name val="Tahoma"/>
      <family val="2"/>
      <charset val="1"/>
    </font>
    <font>
      <b val="true"/>
      <sz val="13"/>
      <name val="Arial"/>
      <family val="2"/>
      <charset val="1"/>
    </font>
    <font>
      <b val="true"/>
      <sz val="14"/>
      <name val="Arial"/>
      <family val="2"/>
      <charset val="1"/>
    </font>
    <font>
      <sz val="10"/>
      <name val="Arial"/>
      <family val="0"/>
      <charset val="1"/>
    </font>
    <font>
      <b val="true"/>
      <sz val="11"/>
      <color rgb="FF000000"/>
      <name val="Arial"/>
      <family val="2"/>
      <charset val="1"/>
    </font>
    <font>
      <b val="true"/>
      <sz val="12"/>
      <color rgb="FF000000"/>
      <name val="Times New Roman"/>
      <family val="1"/>
      <charset val="1"/>
    </font>
    <font>
      <i val="true"/>
      <sz val="10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9"/>
      <color rgb="FF000000"/>
      <name val="Arial"/>
      <family val="2"/>
      <charset val="1"/>
    </font>
    <font>
      <b val="true"/>
      <i val="true"/>
      <sz val="10"/>
      <color rgb="FF000000"/>
      <name val="Arial"/>
      <family val="2"/>
      <charset val="1"/>
    </font>
    <font>
      <b val="true"/>
      <i val="true"/>
      <sz val="12"/>
      <color rgb="FF000000"/>
      <name val="Arial"/>
      <family val="2"/>
      <charset val="1"/>
    </font>
    <font>
      <sz val="9"/>
      <name val="Arial"/>
      <family val="2"/>
      <charset val="1"/>
    </font>
    <font>
      <b val="true"/>
      <sz val="18"/>
      <color rgb="FF44546A"/>
      <name val="Calibri Light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8"/>
      <color rgb="FF333399"/>
      <name val="Cambria"/>
      <family val="2"/>
      <charset val="1"/>
    </font>
    <font>
      <b val="true"/>
      <u val="single"/>
      <sz val="9.5"/>
      <color rgb="FF003366"/>
      <name val="Arial"/>
      <family val="2"/>
      <charset val="1"/>
    </font>
    <font>
      <b val="true"/>
      <u val="single"/>
      <sz val="9"/>
      <color rgb="FF003366"/>
      <name val="Arial"/>
      <family val="2"/>
      <charset val="1"/>
    </font>
    <font>
      <u val="single"/>
      <sz val="8"/>
      <color rgb="FF003366"/>
      <name val="Arial"/>
      <family val="2"/>
      <charset val="1"/>
    </font>
    <font>
      <u val="single"/>
      <sz val="7.5"/>
      <color rgb="FF003366"/>
      <name val="Arial"/>
      <family val="2"/>
      <charset val="1"/>
    </font>
    <font>
      <b val="true"/>
      <sz val="9"/>
      <color rgb="FF000000"/>
      <name val="Calibri"/>
      <family val="2"/>
      <charset val="1"/>
    </font>
    <font>
      <sz val="9"/>
      <color rgb="FFFF0000"/>
      <name val="Calibri"/>
      <family val="2"/>
      <charset val="1"/>
    </font>
    <font>
      <sz val="10"/>
      <color rgb="FFFF0000"/>
      <name val="Arial"/>
      <family val="2"/>
      <charset val="1"/>
    </font>
    <font>
      <b val="true"/>
      <sz val="9"/>
      <name val="Calibri"/>
      <family val="2"/>
      <charset val="1"/>
    </font>
    <font>
      <b val="true"/>
      <sz val="11"/>
      <color rgb="FF800000"/>
      <name val="Calibri"/>
      <family val="0"/>
      <charset val="1"/>
    </font>
    <font>
      <sz val="11"/>
      <color rgb="FF000000"/>
      <name val="Calibri"/>
      <family val="0"/>
      <charset val="1"/>
    </font>
    <font>
      <sz val="11"/>
      <name val="Calibri"/>
      <family val="2"/>
      <charset val="1"/>
    </font>
    <font>
      <sz val="9"/>
      <name val="Calibri"/>
      <family val="2"/>
      <charset val="1"/>
    </font>
    <font>
      <b val="true"/>
      <sz val="18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2"/>
      <name val="Calibri"/>
      <family val="2"/>
      <charset val="1"/>
    </font>
    <font>
      <i val="true"/>
      <sz val="10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sz val="14"/>
      <name val="Calibri"/>
      <family val="2"/>
      <charset val="1"/>
    </font>
    <font>
      <u val="single"/>
      <sz val="11"/>
      <name val="Calibri"/>
      <family val="2"/>
      <charset val="1"/>
    </font>
    <font>
      <sz val="8"/>
      <color rgb="FF000000"/>
      <name val="Calibri"/>
      <family val="2"/>
      <charset val="1"/>
    </font>
    <font>
      <sz val="8"/>
      <name val="Calibri"/>
      <family val="2"/>
      <charset val="1"/>
    </font>
    <font>
      <b val="true"/>
      <sz val="8"/>
      <name val="Calibri"/>
      <family val="2"/>
      <charset val="1"/>
    </font>
    <font>
      <b val="true"/>
      <sz val="24"/>
      <name val="Calibri"/>
      <family val="2"/>
      <charset val="1"/>
    </font>
    <font>
      <b val="true"/>
      <sz val="8"/>
      <color rgb="FFFFFFFF"/>
      <name val="Calibri"/>
      <family val="2"/>
      <charset val="1"/>
    </font>
    <font>
      <b val="true"/>
      <sz val="9"/>
      <color rgb="FFFF0000"/>
      <name val="Calibri"/>
      <family val="2"/>
      <charset val="1"/>
    </font>
    <font>
      <sz val="8"/>
      <color rgb="FFFFFFFF"/>
      <name val="Calibri"/>
      <family val="2"/>
      <charset val="1"/>
    </font>
    <font>
      <b val="true"/>
      <u val="single"/>
      <sz val="11"/>
      <color rgb="FFFFFFFF"/>
      <name val="Calibri"/>
      <family val="2"/>
      <charset val="1"/>
    </font>
    <font>
      <sz val="10"/>
      <color rgb="FFFFFFFF"/>
      <name val="Calibri"/>
      <family val="2"/>
      <charset val="1"/>
    </font>
    <font>
      <b val="true"/>
      <i val="true"/>
      <sz val="10"/>
      <color rgb="FFFFFFFF"/>
      <name val="Calibri"/>
      <family val="2"/>
      <charset val="1"/>
    </font>
    <font>
      <b val="true"/>
      <sz val="16"/>
      <color rgb="FFFFFFFF"/>
      <name val="Calibri"/>
      <family val="2"/>
      <charset val="1"/>
    </font>
  </fonts>
  <fills count="40">
    <fill>
      <patternFill patternType="none"/>
    </fill>
    <fill>
      <patternFill patternType="gray125"/>
    </fill>
    <fill>
      <patternFill patternType="solid">
        <fgColor rgb="FFDEEBF7"/>
        <bgColor rgb="FFDAE3F3"/>
      </patternFill>
    </fill>
    <fill>
      <patternFill patternType="solid">
        <fgColor rgb="FFCCCCFF"/>
        <bgColor rgb="FFBDD7EE"/>
      </patternFill>
    </fill>
    <fill>
      <patternFill patternType="solid">
        <fgColor rgb="FF99CCFF"/>
        <bgColor rgb="FF96BBE4"/>
      </patternFill>
    </fill>
    <fill>
      <patternFill patternType="solid">
        <fgColor rgb="FFFBE5D6"/>
        <bgColor rgb="FFFFF2CC"/>
      </patternFill>
    </fill>
    <fill>
      <patternFill patternType="solid">
        <fgColor rgb="FFFF99CC"/>
        <bgColor rgb="FFFF8080"/>
      </patternFill>
    </fill>
    <fill>
      <patternFill patternType="solid">
        <fgColor rgb="FFFF8080"/>
        <bgColor rgb="FFFF99CC"/>
      </patternFill>
    </fill>
    <fill>
      <patternFill patternType="solid">
        <fgColor rgb="FFEDEDED"/>
        <bgColor rgb="FFF2F2F2"/>
      </patternFill>
    </fill>
    <fill>
      <patternFill patternType="solid">
        <fgColor rgb="FFCCFECC"/>
        <bgColor rgb="FFCCFFFF"/>
      </patternFill>
    </fill>
    <fill>
      <patternFill patternType="solid">
        <fgColor rgb="FFFFFFCC"/>
        <bgColor rgb="FFFFF2CC"/>
      </patternFill>
    </fill>
    <fill>
      <patternFill patternType="solid">
        <fgColor rgb="FFFFF2CC"/>
        <bgColor rgb="FFFFFFCC"/>
      </patternFill>
    </fill>
    <fill>
      <patternFill patternType="solid">
        <fgColor rgb="FFCC99FF"/>
        <bgColor rgb="FFFF99CC"/>
      </patternFill>
    </fill>
    <fill>
      <patternFill patternType="solid">
        <fgColor rgb="FFFFCB97"/>
        <bgColor rgb="FFF8CBAD"/>
      </patternFill>
    </fill>
    <fill>
      <patternFill patternType="solid">
        <fgColor rgb="FFDAE3F3"/>
        <bgColor rgb="FFDEEBF7"/>
      </patternFill>
    </fill>
    <fill>
      <patternFill patternType="solid">
        <fgColor rgb="FFCCFFFF"/>
        <bgColor rgb="FFCCFECC"/>
      </patternFill>
    </fill>
    <fill>
      <patternFill patternType="solid">
        <fgColor rgb="FFE2F0D9"/>
        <bgColor rgb="FFEDEDED"/>
      </patternFill>
    </fill>
    <fill>
      <patternFill patternType="solid">
        <fgColor rgb="FFBDD7EE"/>
        <bgColor rgb="FFCCCCFF"/>
      </patternFill>
    </fill>
    <fill>
      <patternFill patternType="solid">
        <fgColor rgb="FFF8CBAD"/>
        <bgColor rgb="FFFFCB97"/>
      </patternFill>
    </fill>
    <fill>
      <patternFill patternType="solid">
        <fgColor rgb="FFDBDBDB"/>
        <bgColor rgb="FFD9D9D9"/>
      </patternFill>
    </fill>
    <fill>
      <patternFill patternType="solid">
        <fgColor rgb="FF00FF00"/>
        <bgColor rgb="FF78B350"/>
      </patternFill>
    </fill>
    <fill>
      <patternFill patternType="solid">
        <fgColor rgb="FFFFFF99"/>
        <bgColor rgb="FFFFEB9C"/>
      </patternFill>
    </fill>
    <fill>
      <patternFill patternType="solid">
        <fgColor rgb="FFFFE699"/>
        <bgColor rgb="FFFFEB9C"/>
      </patternFill>
    </fill>
    <fill>
      <patternFill patternType="solid">
        <fgColor rgb="FFB4C7E7"/>
        <bgColor rgb="FFBDD7EE"/>
      </patternFill>
    </fill>
    <fill>
      <patternFill patternType="solid">
        <fgColor rgb="FFC4E0B2"/>
        <bgColor rgb="FFD9D9D9"/>
      </patternFill>
    </fill>
    <fill>
      <patternFill patternType="solid">
        <fgColor rgb="FFFFCB00"/>
        <bgColor rgb="FFFFD966"/>
      </patternFill>
    </fill>
    <fill>
      <patternFill patternType="solid">
        <fgColor rgb="FFFFFF00"/>
        <bgColor rgb="FFFFCB00"/>
      </patternFill>
    </fill>
    <fill>
      <patternFill patternType="solid">
        <fgColor rgb="FFFFFFFF"/>
        <bgColor rgb="FFF2F2F2"/>
      </patternFill>
    </fill>
    <fill>
      <patternFill patternType="mediumGray">
        <fgColor rgb="FF2E8327"/>
        <bgColor rgb="FF7F7F7F"/>
      </patternFill>
    </fill>
    <fill>
      <patternFill patternType="darkGray">
        <fgColor rgb="FF994703"/>
        <bgColor rgb="FF3F3F3F"/>
      </patternFill>
    </fill>
    <fill>
      <patternFill patternType="solid">
        <fgColor rgb="FF78B350"/>
        <bgColor rgb="FFA2A2A2"/>
      </patternFill>
    </fill>
    <fill>
      <patternFill patternType="darkGray">
        <fgColor rgb="FFCBCACA"/>
        <bgColor rgb="FFD9D9D9"/>
      </patternFill>
    </fill>
    <fill>
      <patternFill patternType="solid">
        <fgColor rgb="FF203864"/>
        <bgColor rgb="FF003366"/>
      </patternFill>
    </fill>
    <fill>
      <patternFill patternType="solid">
        <fgColor rgb="FF575A63"/>
        <bgColor rgb="FF3F3F3F"/>
      </patternFill>
    </fill>
    <fill>
      <patternFill patternType="solid">
        <fgColor rgb="FFD9D9D9"/>
        <bgColor rgb="FFDBDBDB"/>
      </patternFill>
    </fill>
    <fill>
      <patternFill patternType="solid">
        <fgColor rgb="FFC0C0C0"/>
        <bgColor rgb="FFCBCACA"/>
      </patternFill>
    </fill>
    <fill>
      <patternFill patternType="darkGray">
        <fgColor rgb="FF1B70C5"/>
        <bgColor rgb="FF575A63"/>
      </patternFill>
    </fill>
    <fill>
      <patternFill patternType="mediumGray">
        <fgColor rgb="FF994703"/>
        <bgColor rgb="FFFA7406"/>
      </patternFill>
    </fill>
    <fill>
      <patternFill patternType="solid">
        <fgColor rgb="FF78B350"/>
        <bgColor rgb="FF808080"/>
      </patternFill>
    </fill>
    <fill>
      <patternFill patternType="solid">
        <fgColor rgb="FFFE8800"/>
        <bgColor rgb="FFFA7406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155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8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52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5" fillId="5" borderId="0" applyFont="true" applyBorder="false" applyAlignment="true" applyProtection="false">
      <alignment horizontal="general" vertical="bottom" textRotation="0" wrapText="false" indent="0" shrinkToFit="false"/>
    </xf>
    <xf numFmtId="164" fontId="5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5" fillId="8" borderId="0" applyFont="true" applyBorder="false" applyAlignment="true" applyProtection="false">
      <alignment horizontal="general" vertical="bottom" textRotation="0" wrapText="false" indent="0" shrinkToFit="false"/>
    </xf>
    <xf numFmtId="164" fontId="5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1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4" fillId="14" borderId="0" applyFont="true" applyBorder="false" applyAlignment="true" applyProtection="false">
      <alignment horizontal="general" vertical="bottom" textRotation="0" wrapText="false" indent="0" shrinkToFit="false"/>
    </xf>
    <xf numFmtId="164" fontId="4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4" fillId="16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6" borderId="0" applyFont="true" applyBorder="false" applyAlignment="true" applyProtection="false">
      <alignment horizontal="general" vertical="bottom" textRotation="0" wrapText="false" indent="0" shrinkToFit="false"/>
    </xf>
    <xf numFmtId="164" fontId="0" fillId="13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4" fillId="17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17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4" fillId="18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1" borderId="0" applyFont="true" applyBorder="false" applyAlignment="true" applyProtection="false">
      <alignment horizontal="general" vertical="bottom" textRotation="0" wrapText="false" indent="0" shrinkToFit="false"/>
    </xf>
    <xf numFmtId="164" fontId="0" fillId="21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1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1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4" fillId="19" borderId="0" applyFont="true" applyBorder="false" applyAlignment="true" applyProtection="false">
      <alignment horizontal="general" vertical="bottom" textRotation="0" wrapText="false" indent="0" shrinkToFit="false"/>
    </xf>
    <xf numFmtId="164" fontId="4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0" applyFont="true" applyBorder="false" applyAlignment="true" applyProtection="false">
      <alignment horizontal="general" vertical="bottom" textRotation="0" wrapText="false" indent="0" shrinkToFit="false"/>
    </xf>
    <xf numFmtId="164" fontId="0" fillId="20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4" fillId="2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5" fillId="22" borderId="0" applyFont="true" applyBorder="false" applyAlignment="true" applyProtection="false">
      <alignment horizontal="general" vertical="bottom" textRotation="0" wrapText="false" indent="0" shrinkToFit="false"/>
    </xf>
    <xf numFmtId="164" fontId="5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12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4" fillId="2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5" fillId="23" borderId="0" applyFont="true" applyBorder="false" applyAlignment="true" applyProtection="false">
      <alignment horizontal="general" vertical="bottom" textRotation="0" wrapText="false" indent="0" shrinkToFit="false"/>
    </xf>
    <xf numFmtId="164" fontId="5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2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  <xf numFmtId="164" fontId="0" fillId="25" borderId="0" applyFont="true" applyBorder="false" applyAlignment="true" applyProtection="false">
      <alignment horizontal="general" vertical="bottom" textRotation="0" wrapText="false" indent="0" shrinkToFit="false"/>
    </xf>
    <xf numFmtId="164" fontId="0" fillId="24" borderId="0" applyFont="true" applyBorder="false" applyAlignment="true" applyProtection="false">
      <alignment horizontal="general" vertical="bottom" textRotation="0" wrapText="false" indent="0" shrinkToFit="false"/>
    </xf>
  </cellStyleXfs>
  <cellXfs count="4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6" fontId="120" fillId="2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86" fontId="52" fillId="0" borderId="1" xfId="2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23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3" fillId="27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87" fontId="123" fillId="27" borderId="0" xfId="17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8" fontId="123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87" fontId="123" fillId="27" borderId="0" xfId="17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87" fontId="123" fillId="27" borderId="0" xfId="1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3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87" fontId="124" fillId="27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5" fillId="27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87" fontId="120" fillId="27" borderId="0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20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87" fontId="120" fillId="27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7" fontId="120" fillId="27" borderId="0" xfId="17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20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86" fontId="120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24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89" fontId="120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86" fontId="26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90" fontId="26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26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8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20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5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7" fontId="124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6" fillId="28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126" fillId="29" borderId="1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0" fontId="120" fillId="27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86" fontId="126" fillId="30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8" fontId="124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4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6" fillId="28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7" fontId="124" fillId="31" borderId="1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6" fillId="28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6" fontId="126" fillId="32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8" fontId="120" fillId="14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0" fillId="14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20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0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20" fillId="27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7" fontId="120" fillId="0" borderId="0" xfId="17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7" fontId="120" fillId="0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0" fillId="0" borderId="4" xfId="1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6" fontId="126" fillId="3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7" fontId="120" fillId="0" borderId="0" xfId="17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26" fillId="2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126" fillId="29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26" fillId="3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0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6" fontId="120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9" fontId="120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6" fontId="26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90" fontId="26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6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6" fontId="126" fillId="33" borderId="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86" fontId="126" fillId="33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86" fontId="126" fillId="3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26" fillId="3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126" fillId="3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6" fillId="28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7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5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8" fillId="34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91" fontId="120" fillId="3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20" fillId="34" borderId="1" xfId="1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8" fontId="120" fillId="3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120" fillId="34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8" fontId="120" fillId="34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0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6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9" fillId="0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91" fontId="12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24" fillId="0" borderId="1" xfId="1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8" fontId="12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12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8" fontId="124" fillId="0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4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8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91" fontId="12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8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91" fontId="12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20" fillId="0" borderId="1" xfId="1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8" fontId="12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12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8" fontId="120" fillId="0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1" fontId="124" fillId="3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24" fillId="34" borderId="1" xfId="1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8" fontId="124" fillId="3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124" fillId="34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8" fontId="124" fillId="34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0" fillId="3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91" fontId="130" fillId="3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30" fillId="32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8" fontId="130" fillId="3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30" fillId="32" borderId="1" xfId="1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8" fontId="130" fillId="32" borderId="1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7" fontId="123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31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3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2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3" fillId="27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87" fontId="123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7" fontId="132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7" fontId="123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7" fontId="123" fillId="0" borderId="0" xfId="17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87" fontId="123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7" fontId="1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3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3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92" fontId="123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5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90" fontId="5" fillId="0" borderId="1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90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90" fontId="5" fillId="0" borderId="1" xfId="17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84" fontId="5" fillId="0" borderId="1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3" fontId="5" fillId="0" borderId="1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0" fontId="5" fillId="0" borderId="1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90" fontId="5" fillId="0" borderId="1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88" fontId="5" fillId="0" borderId="1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117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2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87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84" fontId="5" fillId="0" borderId="1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33" fillId="0" borderId="1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84" fontId="133" fillId="0" borderId="1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84" fontId="134" fillId="0" borderId="1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false" hidden="false"/>
    </xf>
    <xf numFmtId="164" fontId="5" fillId="0" borderId="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20" fillId="5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120" fillId="19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120" fillId="19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0" fillId="2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0" fillId="19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0" fontId="120" fillId="2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0" fillId="2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8" fontId="120" fillId="26" borderId="1" xfId="1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0" fillId="2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3" fontId="120" fillId="2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0" fillId="2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0" fillId="19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2" fontId="120" fillId="19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5" fillId="19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135" fillId="19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35" fillId="2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35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0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120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120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2" fontId="120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35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0" fontId="120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0" fillId="24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8" fontId="120" fillId="0" borderId="1" xfId="1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0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35" fillId="24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90" fontId="5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90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90" fontId="5" fillId="0" borderId="0" xfId="17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84" fontId="5" fillId="0" borderId="0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3" fontId="5" fillId="0" borderId="0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0" fontId="5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90" fontId="5" fillId="0" borderId="0" xfId="19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true" indent="0" shrinkToFit="false"/>
      <protection locked="false" hidden="false"/>
    </xf>
    <xf numFmtId="188" fontId="5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64" fontId="11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92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87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84" fontId="5" fillId="0" borderId="0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33" fillId="0" borderId="0" xfId="0" applyFont="true" applyBorder="false" applyAlignment="true" applyProtection="true">
      <alignment horizontal="general" vertical="bottom" textRotation="0" wrapText="true" indent="0" shrinkToFit="false"/>
      <protection locked="false" hidden="false"/>
    </xf>
    <xf numFmtId="184" fontId="133" fillId="0" borderId="0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84" fontId="134" fillId="0" borderId="0" xfId="19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86" fontId="136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88" fontId="5" fillId="0" borderId="7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6" fillId="28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26" fillId="29" borderId="2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5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33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5" fillId="0" borderId="2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86" fontId="120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86" fontId="120" fillId="0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90" fontId="120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86" fontId="26" fillId="0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90" fontId="124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24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4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8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26" fillId="3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86" fontId="26" fillId="3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86" fontId="26" fillId="30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8" fontId="124" fillId="16" borderId="6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4" fillId="16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5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5" fillId="0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8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92" fontId="124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2" fontId="124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34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34" fillId="0" borderId="0" xfId="1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24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64" fontId="124" fillId="0" borderId="6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4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4" fillId="35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6" fontId="2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6" fillId="2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28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28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8" fontId="124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26" fillId="0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37" fillId="32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7" fillId="3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7" fillId="37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5" fillId="27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86" fontId="137" fillId="28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90" fontId="8" fillId="0" borderId="0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18" fillId="0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24" fillId="34" borderId="1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8" fontId="8" fillId="0" borderId="0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8" fillId="0" borderId="0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34" fillId="0" borderId="1" xfId="17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7" fontId="134" fillId="0" borderId="1" xfId="17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88" fontId="134" fillId="0" borderId="1" xfId="17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88" fontId="134" fillId="27" borderId="0" xfId="17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87" fontId="134" fillId="27" borderId="0" xfId="17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94" fontId="134" fillId="0" borderId="1" xfId="17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88" fontId="8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6" fontId="135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86" fontId="26" fillId="33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88" fontId="124" fillId="16" borderId="1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34" fillId="0" borderId="0" xfId="1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87" fontId="120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90" fontId="120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20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0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26" fillId="32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6" fontId="26" fillId="3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6" fontId="26" fillId="32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138" fillId="27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20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92" fontId="120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2" fontId="120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35" fillId="0" borderId="0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35" fillId="0" borderId="0" xfId="1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20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64" fontId="120" fillId="0" borderId="6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0" fillId="35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0" fontId="124" fillId="0" borderId="0" xfId="17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7" fontId="124" fillId="0" borderId="0" xfId="1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87" fontId="124" fillId="0" borderId="0" xfId="17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87" fontId="124" fillId="0" borderId="0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20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86" fontId="26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86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86" fontId="12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90" fontId="1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90" fontId="12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9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6" fillId="33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6" fillId="33" borderId="1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6" fillId="3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28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6" fillId="28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6" fillId="28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6" fillId="28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86" fontId="26" fillId="3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6" fontId="26" fillId="33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6" fontId="26" fillId="28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6" fontId="26" fillId="28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6" fontId="26" fillId="2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6" fontId="137" fillId="33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86" fontId="137" fillId="33" borderId="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86" fontId="137" fillId="36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87" fontId="139" fillId="0" borderId="0" xfId="17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8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8" fillId="0" borderId="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8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20" fillId="5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90" fontId="26" fillId="3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26" fillId="39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3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26" fillId="38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28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88" fontId="26" fillId="28" borderId="2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26" fillId="3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7" fillId="3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26" fillId="3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2" fontId="26" fillId="3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26" fillId="28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86" fontId="26" fillId="28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137" fillId="28" borderId="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86" fontId="137" fillId="33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5" fillId="2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0" borderId="1" xfId="0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64" fontId="124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2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6" fontId="12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2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5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52" fillId="0" borderId="1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0" fontId="124" fillId="0" borderId="1" xfId="17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2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96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7" fontId="124" fillId="0" borderId="1" xfId="17" applyFont="true" applyBorder="true" applyAlignment="true" applyProtection="true">
      <alignment horizontal="left" vertical="top" textRotation="0" wrapText="true" indent="0" shrinkToFit="false"/>
      <protection locked="true" hidden="false"/>
    </xf>
    <xf numFmtId="188" fontId="124" fillId="0" borderId="1" xfId="1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88" fontId="5" fillId="0" borderId="2" xfId="19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4" fontId="124" fillId="0" borderId="1" xfId="1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7" fontId="124" fillId="1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124" fillId="16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0" fontId="124" fillId="0" borderId="1" xfId="19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24" fillId="16" borderId="1" xfId="19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4" fontId="124" fillId="0" borderId="1" xfId="19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24" fillId="16" borderId="1" xfId="15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24" fillId="16" borderId="1" xfId="19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24" fillId="16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88" fontId="124" fillId="2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0" fontId="124" fillId="2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7" fontId="124" fillId="2" borderId="1" xfId="1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7" fontId="5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87" fontId="12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4" fontId="124" fillId="2" borderId="1" xfId="19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7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2" fontId="12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87" fontId="12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88" fontId="124" fillId="16" borderId="1" xfId="19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87" fontId="134" fillId="16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87" fontId="134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88" fontId="134" fillId="0" borderId="1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94" fontId="134" fillId="0" borderId="1" xfId="0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88" fontId="134" fillId="0" borderId="1" xfId="19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90" fontId="134" fillId="0" borderId="1" xfId="19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93" fontId="134" fillId="0" borderId="1" xfId="19" applyFont="true" applyBorder="true" applyAlignment="true" applyProtection="true">
      <alignment horizontal="right" vertical="top" textRotation="0" wrapText="true" indent="0" shrinkToFit="false"/>
      <protection locked="false" hidden="false"/>
    </xf>
    <xf numFmtId="164" fontId="134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33" fillId="0" borderId="1" xfId="0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top" textRotation="0" wrapText="true" indent="0" shrinkToFit="false"/>
      <protection locked="false" hidden="false"/>
    </xf>
    <xf numFmtId="164" fontId="5" fillId="0" borderId="6" xfId="0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86" fontId="132" fillId="0" borderId="1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8" fontId="12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0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2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5" fillId="27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25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96" fontId="130" fillId="2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90" fontId="7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23" xfId="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12" fillId="0" borderId="24" xfId="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12" fillId="0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1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6" fontId="130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30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30" fillId="27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130" fillId="27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6" fillId="27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6" fontId="142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99" fontId="142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3" fontId="142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200" fontId="142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7" fontId="7" fillId="27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6" fontId="143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1" fillId="27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41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1" fillId="2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96" fontId="126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126" fillId="27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9" fontId="141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3" fontId="141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200" fontId="141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201" fontId="126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201" fontId="141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3" fontId="7" fillId="2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1" fillId="2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3" fontId="141" fillId="27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6" fontId="141" fillId="2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126" fillId="27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3" fillId="2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202" fontId="7" fillId="2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7" fillId="27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9" fontId="141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6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1" fillId="2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7" fillId="27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3" fontId="141" fillId="2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767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10" xfId="21"/>
    <cellStyle name="20% - Accent1 10 2" xfId="22"/>
    <cellStyle name="20% - Accent1 10_2.DATA" xfId="23"/>
    <cellStyle name="20% - Accent1 11" xfId="24"/>
    <cellStyle name="20% - Accent1 11 2" xfId="25"/>
    <cellStyle name="20% - Accent1 11_2.DATA" xfId="26"/>
    <cellStyle name="20% - Accent1 12" xfId="27"/>
    <cellStyle name="20% - Accent1 2" xfId="28"/>
    <cellStyle name="20% - Accent1 2 2" xfId="29"/>
    <cellStyle name="20% - Accent1 2 2 2" xfId="30"/>
    <cellStyle name="20% - Accent1 2 2 2 2" xfId="31"/>
    <cellStyle name="20% - Accent1 2 2 2 2 2" xfId="32"/>
    <cellStyle name="20% - Accent1 2 2 2 2 3" xfId="33"/>
    <cellStyle name="20% - Accent1 2 2 2 2_2.DATA" xfId="34"/>
    <cellStyle name="20% - Accent1 2 2 2 3" xfId="35"/>
    <cellStyle name="20% - Accent1 2 2 2 4" xfId="36"/>
    <cellStyle name="20% - Accent1 2 2 2_2.DATA" xfId="37"/>
    <cellStyle name="20% - Accent1 2 2 3" xfId="38"/>
    <cellStyle name="20% - Accent1 2 2 3 2" xfId="39"/>
    <cellStyle name="20% - Accent1 2 2 3 2 2" xfId="40"/>
    <cellStyle name="20% - Accent1 2 2 3 2_2.DATA" xfId="41"/>
    <cellStyle name="20% - Accent1 2 2 3 3" xfId="42"/>
    <cellStyle name="20% - Accent1 2 2 3_2.DATA" xfId="43"/>
    <cellStyle name="20% - Accent1 2 2 4" xfId="44"/>
    <cellStyle name="20% - Accent1 2 2 4 2" xfId="45"/>
    <cellStyle name="20% - Accent1 2 2 4_2.DATA" xfId="46"/>
    <cellStyle name="20% - Accent1 2 2 5" xfId="47"/>
    <cellStyle name="20% - Accent1 2 2 5 2" xfId="48"/>
    <cellStyle name="20% - Accent1 2 2 5 3" xfId="49"/>
    <cellStyle name="20% - Accent1 2 2_2.DATA" xfId="50"/>
    <cellStyle name="20% - Accent1 2 3" xfId="51"/>
    <cellStyle name="20% - Accent1 2 3 2" xfId="52"/>
    <cellStyle name="20% - Accent1 2 3 2 2" xfId="53"/>
    <cellStyle name="20% - Accent1 2 3 2 2 2" xfId="54"/>
    <cellStyle name="20% - Accent1 2 3 2 3" xfId="55"/>
    <cellStyle name="20% - Accent1 2 3 2 4" xfId="56"/>
    <cellStyle name="20% - Accent1 2 3 2_2.DATA" xfId="57"/>
    <cellStyle name="20% - Accent1 2 3 3" xfId="58"/>
    <cellStyle name="20% - Accent1 2 3 3 2" xfId="59"/>
    <cellStyle name="20% - Accent1 2 3 4" xfId="60"/>
    <cellStyle name="20% - Accent1 2 3 5" xfId="61"/>
    <cellStyle name="20% - Accent1 2 3 6" xfId="62"/>
    <cellStyle name="20% - Accent1 2 3_2.DATA" xfId="63"/>
    <cellStyle name="20% - Accent1 2 4" xfId="64"/>
    <cellStyle name="20% - Accent1 2 4 2" xfId="65"/>
    <cellStyle name="20% - Accent1 2 4 2 2" xfId="66"/>
    <cellStyle name="20% - Accent1 2 4 2 3" xfId="67"/>
    <cellStyle name="20% - Accent1 2 4 2_2.DATA" xfId="68"/>
    <cellStyle name="20% - Accent1 2 4 3" xfId="69"/>
    <cellStyle name="20% - Accent1 2 4 4" xfId="70"/>
    <cellStyle name="20% - Accent1 2 4_2.DATA" xfId="71"/>
    <cellStyle name="20% - Accent1 2 5" xfId="72"/>
    <cellStyle name="20% - Accent1 2 5 2" xfId="73"/>
    <cellStyle name="20% - Accent1 2 5 3" xfId="74"/>
    <cellStyle name="20% - Accent1 2 5_2.DATA" xfId="75"/>
    <cellStyle name="20% - Accent1 2 6" xfId="76"/>
    <cellStyle name="20% - Accent1 2 6 2" xfId="77"/>
    <cellStyle name="20% - Accent1 2 6 3" xfId="78"/>
    <cellStyle name="20% - Accent1 2 7" xfId="79"/>
    <cellStyle name="20% - Accent1 2_2.DATA" xfId="80"/>
    <cellStyle name="20% - Accent1 3" xfId="81"/>
    <cellStyle name="20% - Accent1 3 2" xfId="82"/>
    <cellStyle name="20% - Accent1 3 2 2" xfId="83"/>
    <cellStyle name="20% - Accent1 3 2 2 2" xfId="84"/>
    <cellStyle name="20% - Accent1 3 2 2 2 2" xfId="85"/>
    <cellStyle name="20% - Accent1 3 2 2 3" xfId="86"/>
    <cellStyle name="20% - Accent1 3 2 2 4" xfId="87"/>
    <cellStyle name="20% - Accent1 3 2 2_2.DATA" xfId="88"/>
    <cellStyle name="20% - Accent1 3 2 3" xfId="89"/>
    <cellStyle name="20% - Accent1 3 2 3 2" xfId="90"/>
    <cellStyle name="20% - Accent1 3 2 4" xfId="91"/>
    <cellStyle name="20% - Accent1 3 2 5" xfId="92"/>
    <cellStyle name="20% - Accent1 3 2_2.DATA" xfId="93"/>
    <cellStyle name="20% - Accent1 3 3" xfId="94"/>
    <cellStyle name="20% - Accent1 3 3 2" xfId="95"/>
    <cellStyle name="20% - Accent1 3 3 2 2" xfId="96"/>
    <cellStyle name="20% - Accent1 3 3 2 3" xfId="97"/>
    <cellStyle name="20% - Accent1 3 3 2_2.DATA" xfId="98"/>
    <cellStyle name="20% - Accent1 3 3 3" xfId="99"/>
    <cellStyle name="20% - Accent1 3 3 4" xfId="100"/>
    <cellStyle name="20% - Accent1 3 3_2.DATA" xfId="101"/>
    <cellStyle name="20% - Accent1 3 4" xfId="102"/>
    <cellStyle name="20% - Accent1 3 4 2" xfId="103"/>
    <cellStyle name="20% - Accent1 3 4 3" xfId="104"/>
    <cellStyle name="20% - Accent1 3 4_2.DATA" xfId="105"/>
    <cellStyle name="20% - Accent1 3 5" xfId="106"/>
    <cellStyle name="20% - Accent1 3 6" xfId="107"/>
    <cellStyle name="20% - Accent1 3_2.DATA" xfId="108"/>
    <cellStyle name="20% - Accent1 4" xfId="109"/>
    <cellStyle name="20% - Accent1 4 2" xfId="110"/>
    <cellStyle name="20% - Accent1 4 2 2" xfId="111"/>
    <cellStyle name="20% - Accent1 4 2 2 2" xfId="112"/>
    <cellStyle name="20% - Accent1 4 2 2_2.DATA" xfId="113"/>
    <cellStyle name="20% - Accent1 4 2 3" xfId="114"/>
    <cellStyle name="20% - Accent1 4 2_2.DATA" xfId="115"/>
    <cellStyle name="20% - Accent1 4 3" xfId="116"/>
    <cellStyle name="20% - Accent1 4 3 2" xfId="117"/>
    <cellStyle name="20% - Accent1 4 3_2.DATA" xfId="118"/>
    <cellStyle name="20% - Accent1 4 4" xfId="119"/>
    <cellStyle name="20% - Accent1 4_2.DATA" xfId="120"/>
    <cellStyle name="20% - Accent1 5" xfId="121"/>
    <cellStyle name="20% - Accent1 5 2" xfId="122"/>
    <cellStyle name="20% - Accent1 5 2 2" xfId="123"/>
    <cellStyle name="20% - Accent1 5 2 3" xfId="124"/>
    <cellStyle name="20% - Accent1 5 2_2.DATA" xfId="125"/>
    <cellStyle name="20% - Accent1 5 3" xfId="126"/>
    <cellStyle name="20% - Accent1 5 3 2" xfId="127"/>
    <cellStyle name="20% - Accent1 5 3 3" xfId="128"/>
    <cellStyle name="20% - Accent1 5_2.DATA" xfId="129"/>
    <cellStyle name="20% - Accent1 6" xfId="130"/>
    <cellStyle name="20% - Accent1 6 2" xfId="131"/>
    <cellStyle name="20% - Accent1 6 2 2" xfId="132"/>
    <cellStyle name="20% - Accent1 6 2_2.DATA" xfId="133"/>
    <cellStyle name="20% - Accent1 6 3" xfId="134"/>
    <cellStyle name="20% - Accent1 6_2.DATA" xfId="135"/>
    <cellStyle name="20% - Accent1 7" xfId="136"/>
    <cellStyle name="20% - Accent1 7 2" xfId="137"/>
    <cellStyle name="20% - Accent1 7 2 2" xfId="138"/>
    <cellStyle name="20% - Accent1 7 2_2.DATA" xfId="139"/>
    <cellStyle name="20% - Accent1 7 3" xfId="140"/>
    <cellStyle name="20% - Accent1 7_2.DATA" xfId="141"/>
    <cellStyle name="20% - Accent1 8" xfId="142"/>
    <cellStyle name="20% - Accent1 8 2" xfId="143"/>
    <cellStyle name="20% - Accent1 8 2 2" xfId="144"/>
    <cellStyle name="20% - Accent1 8 2_2.DATA" xfId="145"/>
    <cellStyle name="20% - Accent1 8 3" xfId="146"/>
    <cellStyle name="20% - Accent1 8_2.DATA" xfId="147"/>
    <cellStyle name="20% - Accent1 9" xfId="148"/>
    <cellStyle name="20% - Accent1 9 2" xfId="149"/>
    <cellStyle name="20% - Accent1 9 2 2" xfId="150"/>
    <cellStyle name="20% - Accent1 9 2 3" xfId="151"/>
    <cellStyle name="20% - Accent1 9 2 4" xfId="152"/>
    <cellStyle name="20% - Accent1 9 2_2.DATA" xfId="153"/>
    <cellStyle name="20% - Accent1 9 3" xfId="154"/>
    <cellStyle name="20% - Accent1 9 4" xfId="155"/>
    <cellStyle name="20% - Accent1 9_2.DATA" xfId="156"/>
    <cellStyle name="20% - Accent2 10" xfId="157"/>
    <cellStyle name="20% - Accent2 10 2" xfId="158"/>
    <cellStyle name="20% - Accent2 10_2.DATA" xfId="159"/>
    <cellStyle name="20% - Accent2 11" xfId="160"/>
    <cellStyle name="20% - Accent2 11 2" xfId="161"/>
    <cellStyle name="20% - Accent2 11_2.DATA" xfId="162"/>
    <cellStyle name="20% - Accent2 12" xfId="163"/>
    <cellStyle name="20% - Accent2 2" xfId="164"/>
    <cellStyle name="20% - Accent2 2 2" xfId="165"/>
    <cellStyle name="20% - Accent2 2 2 2" xfId="166"/>
    <cellStyle name="20% - Accent2 2 2 2 2" xfId="167"/>
    <cellStyle name="20% - Accent2 2 2 2 2 2" xfId="168"/>
    <cellStyle name="20% - Accent2 2 2 2 2 3" xfId="169"/>
    <cellStyle name="20% - Accent2 2 2 2 2_2.DATA" xfId="170"/>
    <cellStyle name="20% - Accent2 2 2 2 3" xfId="171"/>
    <cellStyle name="20% - Accent2 2 2 2 4" xfId="172"/>
    <cellStyle name="20% - Accent2 2 2 2_2.DATA" xfId="173"/>
    <cellStyle name="20% - Accent2 2 2 3" xfId="174"/>
    <cellStyle name="20% - Accent2 2 2 3 2" xfId="175"/>
    <cellStyle name="20% - Accent2 2 2 3 2 2" xfId="176"/>
    <cellStyle name="20% - Accent2 2 2 3 2_2.DATA" xfId="177"/>
    <cellStyle name="20% - Accent2 2 2 3 3" xfId="178"/>
    <cellStyle name="20% - Accent2 2 2 3_2.DATA" xfId="179"/>
    <cellStyle name="20% - Accent2 2 2 4" xfId="180"/>
    <cellStyle name="20% - Accent2 2 2 4 2" xfId="181"/>
    <cellStyle name="20% - Accent2 2 2 4_2.DATA" xfId="182"/>
    <cellStyle name="20% - Accent2 2 2 5" xfId="183"/>
    <cellStyle name="20% - Accent2 2 2 5 2" xfId="184"/>
    <cellStyle name="20% - Accent2 2 2 5 3" xfId="185"/>
    <cellStyle name="20% - Accent2 2 2_2.DATA" xfId="186"/>
    <cellStyle name="20% - Accent2 2 3" xfId="187"/>
    <cellStyle name="20% - Accent2 2 3 2" xfId="188"/>
    <cellStyle name="20% - Accent2 2 3 2 2" xfId="189"/>
    <cellStyle name="20% - Accent2 2 3 2 2 2" xfId="190"/>
    <cellStyle name="20% - Accent2 2 3 2 3" xfId="191"/>
    <cellStyle name="20% - Accent2 2 3 2 4" xfId="192"/>
    <cellStyle name="20% - Accent2 2 3 2_2.DATA" xfId="193"/>
    <cellStyle name="20% - Accent2 2 3 3" xfId="194"/>
    <cellStyle name="20% - Accent2 2 3 3 2" xfId="195"/>
    <cellStyle name="20% - Accent2 2 3 4" xfId="196"/>
    <cellStyle name="20% - Accent2 2 3 5" xfId="197"/>
    <cellStyle name="20% - Accent2 2 3 6" xfId="198"/>
    <cellStyle name="20% - Accent2 2 3_2.DATA" xfId="199"/>
    <cellStyle name="20% - Accent2 2 4" xfId="200"/>
    <cellStyle name="20% - Accent2 2 4 2" xfId="201"/>
    <cellStyle name="20% - Accent2 2 4 2 2" xfId="202"/>
    <cellStyle name="20% - Accent2 2 4 2 3" xfId="203"/>
    <cellStyle name="20% - Accent2 2 4 2_2.DATA" xfId="204"/>
    <cellStyle name="20% - Accent2 2 4 3" xfId="205"/>
    <cellStyle name="20% - Accent2 2 4 4" xfId="206"/>
    <cellStyle name="20% - Accent2 2 4_2.DATA" xfId="207"/>
    <cellStyle name="20% - Accent2 2 5" xfId="208"/>
    <cellStyle name="20% - Accent2 2 5 2" xfId="209"/>
    <cellStyle name="20% - Accent2 2 5 3" xfId="210"/>
    <cellStyle name="20% - Accent2 2 5_2.DATA" xfId="211"/>
    <cellStyle name="20% - Accent2 2 6" xfId="212"/>
    <cellStyle name="20% - Accent2 2 6 2" xfId="213"/>
    <cellStyle name="20% - Accent2 2 6 3" xfId="214"/>
    <cellStyle name="20% - Accent2 2 7" xfId="215"/>
    <cellStyle name="20% - Accent2 2_2.DATA" xfId="216"/>
    <cellStyle name="20% - Accent2 3" xfId="217"/>
    <cellStyle name="20% - Accent2 3 2" xfId="218"/>
    <cellStyle name="20% - Accent2 3 2 2" xfId="219"/>
    <cellStyle name="20% - Accent2 3 2 2 2" xfId="220"/>
    <cellStyle name="20% - Accent2 3 2 2 2 2" xfId="221"/>
    <cellStyle name="20% - Accent2 3 2 2 3" xfId="222"/>
    <cellStyle name="20% - Accent2 3 2 2 4" xfId="223"/>
    <cellStyle name="20% - Accent2 3 2 2_2.DATA" xfId="224"/>
    <cellStyle name="20% - Accent2 3 2 3" xfId="225"/>
    <cellStyle name="20% - Accent2 3 2 3 2" xfId="226"/>
    <cellStyle name="20% - Accent2 3 2 4" xfId="227"/>
    <cellStyle name="20% - Accent2 3 2 5" xfId="228"/>
    <cellStyle name="20% - Accent2 3 2_2.DATA" xfId="229"/>
    <cellStyle name="20% - Accent2 3 3" xfId="230"/>
    <cellStyle name="20% - Accent2 3 3 2" xfId="231"/>
    <cellStyle name="20% - Accent2 3 3 2 2" xfId="232"/>
    <cellStyle name="20% - Accent2 3 3 2 3" xfId="233"/>
    <cellStyle name="20% - Accent2 3 3 2_2.DATA" xfId="234"/>
    <cellStyle name="20% - Accent2 3 3 3" xfId="235"/>
    <cellStyle name="20% - Accent2 3 3 4" xfId="236"/>
    <cellStyle name="20% - Accent2 3 3_2.DATA" xfId="237"/>
    <cellStyle name="20% - Accent2 3 4" xfId="238"/>
    <cellStyle name="20% - Accent2 3 4 2" xfId="239"/>
    <cellStyle name="20% - Accent2 3 4 3" xfId="240"/>
    <cellStyle name="20% - Accent2 3 4_2.DATA" xfId="241"/>
    <cellStyle name="20% - Accent2 3 5" xfId="242"/>
    <cellStyle name="20% - Accent2 3 6" xfId="243"/>
    <cellStyle name="20% - Accent2 3_2.DATA" xfId="244"/>
    <cellStyle name="20% - Accent2 4" xfId="245"/>
    <cellStyle name="20% - Accent2 4 2" xfId="246"/>
    <cellStyle name="20% - Accent2 4 2 2" xfId="247"/>
    <cellStyle name="20% - Accent2 4 2 2 2" xfId="248"/>
    <cellStyle name="20% - Accent2 4 2 2_2.DATA" xfId="249"/>
    <cellStyle name="20% - Accent2 4 2 3" xfId="250"/>
    <cellStyle name="20% - Accent2 4 2_2.DATA" xfId="251"/>
    <cellStyle name="20% - Accent2 4 3" xfId="252"/>
    <cellStyle name="20% - Accent2 4 3 2" xfId="253"/>
    <cellStyle name="20% - Accent2 4 3_2.DATA" xfId="254"/>
    <cellStyle name="20% - Accent2 4 4" xfId="255"/>
    <cellStyle name="20% - Accent2 4_2.DATA" xfId="256"/>
    <cellStyle name="20% - Accent2 5" xfId="257"/>
    <cellStyle name="20% - Accent2 5 2" xfId="258"/>
    <cellStyle name="20% - Accent2 5 2 2" xfId="259"/>
    <cellStyle name="20% - Accent2 5 2 3" xfId="260"/>
    <cellStyle name="20% - Accent2 5 2_2.DATA" xfId="261"/>
    <cellStyle name="20% - Accent2 5 3" xfId="262"/>
    <cellStyle name="20% - Accent2 5 3 2" xfId="263"/>
    <cellStyle name="20% - Accent2 5 3 3" xfId="264"/>
    <cellStyle name="20% - Accent2 5_2.DATA" xfId="265"/>
    <cellStyle name="20% - Accent2 6" xfId="266"/>
    <cellStyle name="20% - Accent2 6 2" xfId="267"/>
    <cellStyle name="20% - Accent2 6 2 2" xfId="268"/>
    <cellStyle name="20% - Accent2 6 2_2.DATA" xfId="269"/>
    <cellStyle name="20% - Accent2 6 3" xfId="270"/>
    <cellStyle name="20% - Accent2 6_2.DATA" xfId="271"/>
    <cellStyle name="20% - Accent2 7" xfId="272"/>
    <cellStyle name="20% - Accent2 7 2" xfId="273"/>
    <cellStyle name="20% - Accent2 7 2 2" xfId="274"/>
    <cellStyle name="20% - Accent2 7 2_2.DATA" xfId="275"/>
    <cellStyle name="20% - Accent2 7 3" xfId="276"/>
    <cellStyle name="20% - Accent2 7_2.DATA" xfId="277"/>
    <cellStyle name="20% - Accent2 8" xfId="278"/>
    <cellStyle name="20% - Accent2 8 2" xfId="279"/>
    <cellStyle name="20% - Accent2 8 2 2" xfId="280"/>
    <cellStyle name="20% - Accent2 8 2_2.DATA" xfId="281"/>
    <cellStyle name="20% - Accent2 8 3" xfId="282"/>
    <cellStyle name="20% - Accent2 8_2.DATA" xfId="283"/>
    <cellStyle name="20% - Accent2 9" xfId="284"/>
    <cellStyle name="20% - Accent2 9 2" xfId="285"/>
    <cellStyle name="20% - Accent2 9 2 2" xfId="286"/>
    <cellStyle name="20% - Accent2 9 2 3" xfId="287"/>
    <cellStyle name="20% - Accent2 9 2 4" xfId="288"/>
    <cellStyle name="20% - Accent2 9 2_2.DATA" xfId="289"/>
    <cellStyle name="20% - Accent2 9 3" xfId="290"/>
    <cellStyle name="20% - Accent2 9 4" xfId="291"/>
    <cellStyle name="20% - Accent2 9_2.DATA" xfId="292"/>
    <cellStyle name="20% - Accent3 10" xfId="293"/>
    <cellStyle name="20% - Accent3 10 2" xfId="294"/>
    <cellStyle name="20% - Accent3 10_2.DATA" xfId="295"/>
    <cellStyle name="20% - Accent3 11" xfId="296"/>
    <cellStyle name="20% - Accent3 11 2" xfId="297"/>
    <cellStyle name="20% - Accent3 11_2.DATA" xfId="298"/>
    <cellStyle name="20% - Accent3 12" xfId="299"/>
    <cellStyle name="20% - Accent3 2" xfId="300"/>
    <cellStyle name="20% - Accent3 2 2" xfId="301"/>
    <cellStyle name="20% - Accent3 2 2 2" xfId="302"/>
    <cellStyle name="20% - Accent3 2 2 2 2" xfId="303"/>
    <cellStyle name="20% - Accent3 2 2 2 2 2" xfId="304"/>
    <cellStyle name="20% - Accent3 2 2 2 2 3" xfId="305"/>
    <cellStyle name="20% - Accent3 2 2 2 2_2.DATA" xfId="306"/>
    <cellStyle name="20% - Accent3 2 2 2 3" xfId="307"/>
    <cellStyle name="20% - Accent3 2 2 2 4" xfId="308"/>
    <cellStyle name="20% - Accent3 2 2 2_2.DATA" xfId="309"/>
    <cellStyle name="20% - Accent3 2 2 3" xfId="310"/>
    <cellStyle name="20% - Accent3 2 2 3 2" xfId="311"/>
    <cellStyle name="20% - Accent3 2 2 3 2 2" xfId="312"/>
    <cellStyle name="20% - Accent3 2 2 3 2_2.DATA" xfId="313"/>
    <cellStyle name="20% - Accent3 2 2 3 3" xfId="314"/>
    <cellStyle name="20% - Accent3 2 2 3_2.DATA" xfId="315"/>
    <cellStyle name="20% - Accent3 2 2 4" xfId="316"/>
    <cellStyle name="20% - Accent3 2 2 4 2" xfId="317"/>
    <cellStyle name="20% - Accent3 2 2 4_2.DATA" xfId="318"/>
    <cellStyle name="20% - Accent3 2 2 5" xfId="319"/>
    <cellStyle name="20% - Accent3 2 2 5 2" xfId="320"/>
    <cellStyle name="20% - Accent3 2 2 5 3" xfId="321"/>
    <cellStyle name="20% - Accent3 2 2_2.DATA" xfId="322"/>
    <cellStyle name="20% - Accent3 2 3" xfId="323"/>
    <cellStyle name="20% - Accent3 2 3 2" xfId="324"/>
    <cellStyle name="20% - Accent3 2 3 2 2" xfId="325"/>
    <cellStyle name="20% - Accent3 2 3 2 2 2" xfId="326"/>
    <cellStyle name="20% - Accent3 2 3 2 3" xfId="327"/>
    <cellStyle name="20% - Accent3 2 3 2 4" xfId="328"/>
    <cellStyle name="20% - Accent3 2 3 2_2.DATA" xfId="329"/>
    <cellStyle name="20% - Accent3 2 3 3" xfId="330"/>
    <cellStyle name="20% - Accent3 2 3 3 2" xfId="331"/>
    <cellStyle name="20% - Accent3 2 3 4" xfId="332"/>
    <cellStyle name="20% - Accent3 2 3 5" xfId="333"/>
    <cellStyle name="20% - Accent3 2 3 6" xfId="334"/>
    <cellStyle name="20% - Accent3 2 3_2.DATA" xfId="335"/>
    <cellStyle name="20% - Accent3 2 4" xfId="336"/>
    <cellStyle name="20% - Accent3 2 4 2" xfId="337"/>
    <cellStyle name="20% - Accent3 2 4 2 2" xfId="338"/>
    <cellStyle name="20% - Accent3 2 4 2 3" xfId="339"/>
    <cellStyle name="20% - Accent3 2 4 2_2.DATA" xfId="340"/>
    <cellStyle name="20% - Accent3 2 4 3" xfId="341"/>
    <cellStyle name="20% - Accent3 2 4 4" xfId="342"/>
    <cellStyle name="20% - Accent3 2 4_2.DATA" xfId="343"/>
    <cellStyle name="20% - Accent3 2 5" xfId="344"/>
    <cellStyle name="20% - Accent3 2 5 2" xfId="345"/>
    <cellStyle name="20% - Accent3 2 5 3" xfId="346"/>
    <cellStyle name="20% - Accent3 2 5_2.DATA" xfId="347"/>
    <cellStyle name="20% - Accent3 2 6" xfId="348"/>
    <cellStyle name="20% - Accent3 2 6 2" xfId="349"/>
    <cellStyle name="20% - Accent3 2 6 3" xfId="350"/>
    <cellStyle name="20% - Accent3 2 7" xfId="351"/>
    <cellStyle name="20% - Accent3 2_2.DATA" xfId="352"/>
    <cellStyle name="20% - Accent3 3" xfId="353"/>
    <cellStyle name="20% - Accent3 3 2" xfId="354"/>
    <cellStyle name="20% - Accent3 3 2 2" xfId="355"/>
    <cellStyle name="20% - Accent3 3 2 2 2" xfId="356"/>
    <cellStyle name="20% - Accent3 3 2 2 2 2" xfId="357"/>
    <cellStyle name="20% - Accent3 3 2 2 3" xfId="358"/>
    <cellStyle name="20% - Accent3 3 2 2 4" xfId="359"/>
    <cellStyle name="20% - Accent3 3 2 2_2.DATA" xfId="360"/>
    <cellStyle name="20% - Accent3 3 2 3" xfId="361"/>
    <cellStyle name="20% - Accent3 3 2 3 2" xfId="362"/>
    <cellStyle name="20% - Accent3 3 2 4" xfId="363"/>
    <cellStyle name="20% - Accent3 3 2 5" xfId="364"/>
    <cellStyle name="20% - Accent3 3 2_2.DATA" xfId="365"/>
    <cellStyle name="20% - Accent3 3 3" xfId="366"/>
    <cellStyle name="20% - Accent3 3 3 2" xfId="367"/>
    <cellStyle name="20% - Accent3 3 3 2 2" xfId="368"/>
    <cellStyle name="20% - Accent3 3 3 2 3" xfId="369"/>
    <cellStyle name="20% - Accent3 3 3 2_2.DATA" xfId="370"/>
    <cellStyle name="20% - Accent3 3 3 3" xfId="371"/>
    <cellStyle name="20% - Accent3 3 3 4" xfId="372"/>
    <cellStyle name="20% - Accent3 3 3_2.DATA" xfId="373"/>
    <cellStyle name="20% - Accent3 3 4" xfId="374"/>
    <cellStyle name="20% - Accent3 3 4 2" xfId="375"/>
    <cellStyle name="20% - Accent3 3 4 3" xfId="376"/>
    <cellStyle name="20% - Accent3 3 4_2.DATA" xfId="377"/>
    <cellStyle name="20% - Accent3 3 5" xfId="378"/>
    <cellStyle name="20% - Accent3 3 6" xfId="379"/>
    <cellStyle name="20% - Accent3 3_2.DATA" xfId="380"/>
    <cellStyle name="20% - Accent3 4" xfId="381"/>
    <cellStyle name="20% - Accent3 4 2" xfId="382"/>
    <cellStyle name="20% - Accent3 4 2 2" xfId="383"/>
    <cellStyle name="20% - Accent3 4 2 2 2" xfId="384"/>
    <cellStyle name="20% - Accent3 4 2 2_2.DATA" xfId="385"/>
    <cellStyle name="20% - Accent3 4 2 3" xfId="386"/>
    <cellStyle name="20% - Accent3 4 2_2.DATA" xfId="387"/>
    <cellStyle name="20% - Accent3 4 3" xfId="388"/>
    <cellStyle name="20% - Accent3 4 3 2" xfId="389"/>
    <cellStyle name="20% - Accent3 4 3_2.DATA" xfId="390"/>
    <cellStyle name="20% - Accent3 4 4" xfId="391"/>
    <cellStyle name="20% - Accent3 4_2.DATA" xfId="392"/>
    <cellStyle name="20% - Accent3 5" xfId="393"/>
    <cellStyle name="20% - Accent3 5 2" xfId="394"/>
    <cellStyle name="20% - Accent3 5 2 2" xfId="395"/>
    <cellStyle name="20% - Accent3 5 2 3" xfId="396"/>
    <cellStyle name="20% - Accent3 5 2_2.DATA" xfId="397"/>
    <cellStyle name="20% - Accent3 5 3" xfId="398"/>
    <cellStyle name="20% - Accent3 5 3 2" xfId="399"/>
    <cellStyle name="20% - Accent3 5 3 3" xfId="400"/>
    <cellStyle name="20% - Accent3 5_2.DATA" xfId="401"/>
    <cellStyle name="20% - Accent3 6" xfId="402"/>
    <cellStyle name="20% - Accent3 6 2" xfId="403"/>
    <cellStyle name="20% - Accent3 6 2 2" xfId="404"/>
    <cellStyle name="20% - Accent3 6 2_2.DATA" xfId="405"/>
    <cellStyle name="20% - Accent3 6 3" xfId="406"/>
    <cellStyle name="20% - Accent3 6_2.DATA" xfId="407"/>
    <cellStyle name="20% - Accent3 7" xfId="408"/>
    <cellStyle name="20% - Accent3 7 2" xfId="409"/>
    <cellStyle name="20% - Accent3 7 2 2" xfId="410"/>
    <cellStyle name="20% - Accent3 7 2_2.DATA" xfId="411"/>
    <cellStyle name="20% - Accent3 7 3" xfId="412"/>
    <cellStyle name="20% - Accent3 7_2.DATA" xfId="413"/>
    <cellStyle name="20% - Accent3 8" xfId="414"/>
    <cellStyle name="20% - Accent3 8 2" xfId="415"/>
    <cellStyle name="20% - Accent3 8 2 2" xfId="416"/>
    <cellStyle name="20% - Accent3 8 2_2.DATA" xfId="417"/>
    <cellStyle name="20% - Accent3 8 3" xfId="418"/>
    <cellStyle name="20% - Accent3 8_2.DATA" xfId="419"/>
    <cellStyle name="20% - Accent3 9" xfId="420"/>
    <cellStyle name="20% - Accent3 9 2" xfId="421"/>
    <cellStyle name="20% - Accent3 9 2 2" xfId="422"/>
    <cellStyle name="20% - Accent3 9 2 3" xfId="423"/>
    <cellStyle name="20% - Accent3 9 2 4" xfId="424"/>
    <cellStyle name="20% - Accent3 9 2_2.DATA" xfId="425"/>
    <cellStyle name="20% - Accent3 9 3" xfId="426"/>
    <cellStyle name="20% - Accent3 9 4" xfId="427"/>
    <cellStyle name="20% - Accent3 9_2.DATA" xfId="428"/>
    <cellStyle name="20% - Accent4 10" xfId="429"/>
    <cellStyle name="20% - Accent4 10 2" xfId="430"/>
    <cellStyle name="20% - Accent4 10_2.DATA" xfId="431"/>
    <cellStyle name="20% - Accent4 11" xfId="432"/>
    <cellStyle name="20% - Accent4 11 2" xfId="433"/>
    <cellStyle name="20% - Accent4 11_2.DATA" xfId="434"/>
    <cellStyle name="20% - Accent4 12" xfId="435"/>
    <cellStyle name="20% - Accent4 2" xfId="436"/>
    <cellStyle name="20% - Accent4 2 2" xfId="437"/>
    <cellStyle name="20% - Accent4 2 2 2" xfId="438"/>
    <cellStyle name="20% - Accent4 2 2 2 2" xfId="439"/>
    <cellStyle name="20% - Accent4 2 2 2 2 2" xfId="440"/>
    <cellStyle name="20% - Accent4 2 2 2 2 3" xfId="441"/>
    <cellStyle name="20% - Accent4 2 2 2 2_2.DATA" xfId="442"/>
    <cellStyle name="20% - Accent4 2 2 2 3" xfId="443"/>
    <cellStyle name="20% - Accent4 2 2 2 4" xfId="444"/>
    <cellStyle name="20% - Accent4 2 2 2_2.DATA" xfId="445"/>
    <cellStyle name="20% - Accent4 2 2 3" xfId="446"/>
    <cellStyle name="20% - Accent4 2 2 3 2" xfId="447"/>
    <cellStyle name="20% - Accent4 2 2 3 2 2" xfId="448"/>
    <cellStyle name="20% - Accent4 2 2 3 2_2.DATA" xfId="449"/>
    <cellStyle name="20% - Accent4 2 2 3 3" xfId="450"/>
    <cellStyle name="20% - Accent4 2 2 3_2.DATA" xfId="451"/>
    <cellStyle name="20% - Accent4 2 2 4" xfId="452"/>
    <cellStyle name="20% - Accent4 2 2 4 2" xfId="453"/>
    <cellStyle name="20% - Accent4 2 2 4_2.DATA" xfId="454"/>
    <cellStyle name="20% - Accent4 2 2 5" xfId="455"/>
    <cellStyle name="20% - Accent4 2 2 5 2" xfId="456"/>
    <cellStyle name="20% - Accent4 2 2 5 3" xfId="457"/>
    <cellStyle name="20% - Accent4 2 2_2.DATA" xfId="458"/>
    <cellStyle name="20% - Accent4 2 3" xfId="459"/>
    <cellStyle name="20% - Accent4 2 3 2" xfId="460"/>
    <cellStyle name="20% - Accent4 2 3 2 2" xfId="461"/>
    <cellStyle name="20% - Accent4 2 3 2 2 2" xfId="462"/>
    <cellStyle name="20% - Accent4 2 3 2 3" xfId="463"/>
    <cellStyle name="20% - Accent4 2 3 2 4" xfId="464"/>
    <cellStyle name="20% - Accent4 2 3 2_2.DATA" xfId="465"/>
    <cellStyle name="20% - Accent4 2 3 3" xfId="466"/>
    <cellStyle name="20% - Accent4 2 3 3 2" xfId="467"/>
    <cellStyle name="20% - Accent4 2 3 4" xfId="468"/>
    <cellStyle name="20% - Accent4 2 3 5" xfId="469"/>
    <cellStyle name="20% - Accent4 2 3 6" xfId="470"/>
    <cellStyle name="20% - Accent4 2 3_2.DATA" xfId="471"/>
    <cellStyle name="20% - Accent4 2 4" xfId="472"/>
    <cellStyle name="20% - Accent4 2 4 2" xfId="473"/>
    <cellStyle name="20% - Accent4 2 4 2 2" xfId="474"/>
    <cellStyle name="20% - Accent4 2 4 2 3" xfId="475"/>
    <cellStyle name="20% - Accent4 2 4 2_2.DATA" xfId="476"/>
    <cellStyle name="20% - Accent4 2 4 3" xfId="477"/>
    <cellStyle name="20% - Accent4 2 4 4" xfId="478"/>
    <cellStyle name="20% - Accent4 2 4_2.DATA" xfId="479"/>
    <cellStyle name="20% - Accent4 2 5" xfId="480"/>
    <cellStyle name="20% - Accent4 2 5 2" xfId="481"/>
    <cellStyle name="20% - Accent4 2 5 3" xfId="482"/>
    <cellStyle name="20% - Accent4 2 5_2.DATA" xfId="483"/>
    <cellStyle name="20% - Accent4 2 6" xfId="484"/>
    <cellStyle name="20% - Accent4 2 6 2" xfId="485"/>
    <cellStyle name="20% - Accent4 2 6 3" xfId="486"/>
    <cellStyle name="20% - Accent4 2 7" xfId="487"/>
    <cellStyle name="20% - Accent4 2_2.DATA" xfId="488"/>
    <cellStyle name="20% - Accent4 3" xfId="489"/>
    <cellStyle name="20% - Accent4 3 2" xfId="490"/>
    <cellStyle name="20% - Accent4 3 2 2" xfId="491"/>
    <cellStyle name="20% - Accent4 3 2 2 2" xfId="492"/>
    <cellStyle name="20% - Accent4 3 2 2 2 2" xfId="493"/>
    <cellStyle name="20% - Accent4 3 2 2 3" xfId="494"/>
    <cellStyle name="20% - Accent4 3 2 2 4" xfId="495"/>
    <cellStyle name="20% - Accent4 3 2 2_2.DATA" xfId="496"/>
    <cellStyle name="20% - Accent4 3 2 3" xfId="497"/>
    <cellStyle name="20% - Accent4 3 2 3 2" xfId="498"/>
    <cellStyle name="20% - Accent4 3 2 4" xfId="499"/>
    <cellStyle name="20% - Accent4 3 2 5" xfId="500"/>
    <cellStyle name="20% - Accent4 3 2_2.DATA" xfId="501"/>
    <cellStyle name="20% - Accent4 3 3" xfId="502"/>
    <cellStyle name="20% - Accent4 3 3 2" xfId="503"/>
    <cellStyle name="20% - Accent4 3 3 2 2" xfId="504"/>
    <cellStyle name="20% - Accent4 3 3 2 3" xfId="505"/>
    <cellStyle name="20% - Accent4 3 3 2_2.DATA" xfId="506"/>
    <cellStyle name="20% - Accent4 3 3 3" xfId="507"/>
    <cellStyle name="20% - Accent4 3 3 4" xfId="508"/>
    <cellStyle name="20% - Accent4 3 3_2.DATA" xfId="509"/>
    <cellStyle name="20% - Accent4 3 4" xfId="510"/>
    <cellStyle name="20% - Accent4 3 4 2" xfId="511"/>
    <cellStyle name="20% - Accent4 3 4 3" xfId="512"/>
    <cellStyle name="20% - Accent4 3 4_2.DATA" xfId="513"/>
    <cellStyle name="20% - Accent4 3 5" xfId="514"/>
    <cellStyle name="20% - Accent4 3 6" xfId="515"/>
    <cellStyle name="20% - Accent4 3_2.DATA" xfId="516"/>
    <cellStyle name="20% - Accent4 4" xfId="517"/>
    <cellStyle name="20% - Accent4 4 2" xfId="518"/>
    <cellStyle name="20% - Accent4 4 2 2" xfId="519"/>
    <cellStyle name="20% - Accent4 4 2 2 2" xfId="520"/>
    <cellStyle name="20% - Accent4 4 2 2_2.DATA" xfId="521"/>
    <cellStyle name="20% - Accent4 4 2 3" xfId="522"/>
    <cellStyle name="20% - Accent4 4 2_2.DATA" xfId="523"/>
    <cellStyle name="20% - Accent4 4 3" xfId="524"/>
    <cellStyle name="20% - Accent4 4 3 2" xfId="525"/>
    <cellStyle name="20% - Accent4 4 3_2.DATA" xfId="526"/>
    <cellStyle name="20% - Accent4 4 4" xfId="527"/>
    <cellStyle name="20% - Accent4 4_2.DATA" xfId="528"/>
    <cellStyle name="20% - Accent4 5" xfId="529"/>
    <cellStyle name="20% - Accent4 5 2" xfId="530"/>
    <cellStyle name="20% - Accent4 5 2 2" xfId="531"/>
    <cellStyle name="20% - Accent4 5 2 3" xfId="532"/>
    <cellStyle name="20% - Accent4 5 2_2.DATA" xfId="533"/>
    <cellStyle name="20% - Accent4 5 3" xfId="534"/>
    <cellStyle name="20% - Accent4 5 3 2" xfId="535"/>
    <cellStyle name="20% - Accent4 5 3 3" xfId="536"/>
    <cellStyle name="20% - Accent4 5_2.DATA" xfId="537"/>
    <cellStyle name="20% - Accent4 6" xfId="538"/>
    <cellStyle name="20% - Accent4 6 2" xfId="539"/>
    <cellStyle name="20% - Accent4 6 2 2" xfId="540"/>
    <cellStyle name="20% - Accent4 6 2_2.DATA" xfId="541"/>
    <cellStyle name="20% - Accent4 6 3" xfId="542"/>
    <cellStyle name="20% - Accent4 6_2.DATA" xfId="543"/>
    <cellStyle name="20% - Accent4 7" xfId="544"/>
    <cellStyle name="20% - Accent4 7 2" xfId="545"/>
    <cellStyle name="20% - Accent4 7 2 2" xfId="546"/>
    <cellStyle name="20% - Accent4 7 2_2.DATA" xfId="547"/>
    <cellStyle name="20% - Accent4 7 3" xfId="548"/>
    <cellStyle name="20% - Accent4 7_2.DATA" xfId="549"/>
    <cellStyle name="20% - Accent4 8" xfId="550"/>
    <cellStyle name="20% - Accent4 8 2" xfId="551"/>
    <cellStyle name="20% - Accent4 8 2 2" xfId="552"/>
    <cellStyle name="20% - Accent4 8 2_2.DATA" xfId="553"/>
    <cellStyle name="20% - Accent4 8 3" xfId="554"/>
    <cellStyle name="20% - Accent4 8_2.DATA" xfId="555"/>
    <cellStyle name="20% - Accent4 9" xfId="556"/>
    <cellStyle name="20% - Accent4 9 2" xfId="557"/>
    <cellStyle name="20% - Accent4 9 2 2" xfId="558"/>
    <cellStyle name="20% - Accent4 9 2 3" xfId="559"/>
    <cellStyle name="20% - Accent4 9 2 4" xfId="560"/>
    <cellStyle name="20% - Accent4 9 2_2.DATA" xfId="561"/>
    <cellStyle name="20% - Accent4 9 3" xfId="562"/>
    <cellStyle name="20% - Accent4 9 4" xfId="563"/>
    <cellStyle name="20% - Accent4 9_2.DATA" xfId="564"/>
    <cellStyle name="20% - Accent5 10" xfId="565"/>
    <cellStyle name="20% - Accent5 10 2" xfId="566"/>
    <cellStyle name="20% - Accent5 10_2.DATA" xfId="567"/>
    <cellStyle name="20% - Accent5 11" xfId="568"/>
    <cellStyle name="20% - Accent5 11 2" xfId="569"/>
    <cellStyle name="20% - Accent5 11_2.DATA" xfId="570"/>
    <cellStyle name="20% - Accent5 12" xfId="571"/>
    <cellStyle name="20% - Accent5 2" xfId="572"/>
    <cellStyle name="20% - Accent5 2 2" xfId="573"/>
    <cellStyle name="20% - Accent5 2 2 2" xfId="574"/>
    <cellStyle name="20% - Accent5 2 2 2 2" xfId="575"/>
    <cellStyle name="20% - Accent5 2 2 2 2 2" xfId="576"/>
    <cellStyle name="20% - Accent5 2 2 2 2 3" xfId="577"/>
    <cellStyle name="20% - Accent5 2 2 2 2_2.DATA" xfId="578"/>
    <cellStyle name="20% - Accent5 2 2 2 3" xfId="579"/>
    <cellStyle name="20% - Accent5 2 2 2 4" xfId="580"/>
    <cellStyle name="20% - Accent5 2 2 2_2.DATA" xfId="581"/>
    <cellStyle name="20% - Accent5 2 2 3" xfId="582"/>
    <cellStyle name="20% - Accent5 2 2 3 2" xfId="583"/>
    <cellStyle name="20% - Accent5 2 2 3 2 2" xfId="584"/>
    <cellStyle name="20% - Accent5 2 2 3 2_2.DATA" xfId="585"/>
    <cellStyle name="20% - Accent5 2 2 3 3" xfId="586"/>
    <cellStyle name="20% - Accent5 2 2 3_2.DATA" xfId="587"/>
    <cellStyle name="20% - Accent5 2 2 4" xfId="588"/>
    <cellStyle name="20% - Accent5 2 2 4 2" xfId="589"/>
    <cellStyle name="20% - Accent5 2 2 4_2.DATA" xfId="590"/>
    <cellStyle name="20% - Accent5 2 2 5" xfId="591"/>
    <cellStyle name="20% - Accent5 2 2 5 2" xfId="592"/>
    <cellStyle name="20% - Accent5 2 2 5 3" xfId="593"/>
    <cellStyle name="20% - Accent5 2 2_2.DATA" xfId="594"/>
    <cellStyle name="20% - Accent5 2 3" xfId="595"/>
    <cellStyle name="20% - Accent5 2 3 2" xfId="596"/>
    <cellStyle name="20% - Accent5 2 3 2 2" xfId="597"/>
    <cellStyle name="20% - Accent5 2 3 2 2 2" xfId="598"/>
    <cellStyle name="20% - Accent5 2 3 2 3" xfId="599"/>
    <cellStyle name="20% - Accent5 2 3 2 4" xfId="600"/>
    <cellStyle name="20% - Accent5 2 3 2_2.DATA" xfId="601"/>
    <cellStyle name="20% - Accent5 2 3 3" xfId="602"/>
    <cellStyle name="20% - Accent5 2 3 3 2" xfId="603"/>
    <cellStyle name="20% - Accent5 2 3 4" xfId="604"/>
    <cellStyle name="20% - Accent5 2 3 5" xfId="605"/>
    <cellStyle name="20% - Accent5 2 3 6" xfId="606"/>
    <cellStyle name="20% - Accent5 2 3_2.DATA" xfId="607"/>
    <cellStyle name="20% - Accent5 2 4" xfId="608"/>
    <cellStyle name="20% - Accent5 2 4 2" xfId="609"/>
    <cellStyle name="20% - Accent5 2 4 2 2" xfId="610"/>
    <cellStyle name="20% - Accent5 2 4 2 3" xfId="611"/>
    <cellStyle name="20% - Accent5 2 4 2_2.DATA" xfId="612"/>
    <cellStyle name="20% - Accent5 2 4 3" xfId="613"/>
    <cellStyle name="20% - Accent5 2 4 4" xfId="614"/>
    <cellStyle name="20% - Accent5 2 4_2.DATA" xfId="615"/>
    <cellStyle name="20% - Accent5 2 5" xfId="616"/>
    <cellStyle name="20% - Accent5 2 5 2" xfId="617"/>
    <cellStyle name="20% - Accent5 2 5 3" xfId="618"/>
    <cellStyle name="20% - Accent5 2 5_2.DATA" xfId="619"/>
    <cellStyle name="20% - Accent5 2 6" xfId="620"/>
    <cellStyle name="20% - Accent5 2 6 2" xfId="621"/>
    <cellStyle name="20% - Accent5 2 6 3" xfId="622"/>
    <cellStyle name="20% - Accent5 2 7" xfId="623"/>
    <cellStyle name="20% - Accent5 2_2.DATA" xfId="624"/>
    <cellStyle name="20% - Accent5 3" xfId="625"/>
    <cellStyle name="20% - Accent5 3 2" xfId="626"/>
    <cellStyle name="20% - Accent5 3 2 2" xfId="627"/>
    <cellStyle name="20% - Accent5 3 2 2 2" xfId="628"/>
    <cellStyle name="20% - Accent5 3 2 2 2 2" xfId="629"/>
    <cellStyle name="20% - Accent5 3 2 2 3" xfId="630"/>
    <cellStyle name="20% - Accent5 3 2 2 4" xfId="631"/>
    <cellStyle name="20% - Accent5 3 2 2_2.DATA" xfId="632"/>
    <cellStyle name="20% - Accent5 3 2 3" xfId="633"/>
    <cellStyle name="20% - Accent5 3 2 3 2" xfId="634"/>
    <cellStyle name="20% - Accent5 3 2 4" xfId="635"/>
    <cellStyle name="20% - Accent5 3 2 5" xfId="636"/>
    <cellStyle name="20% - Accent5 3 2_2.DATA" xfId="637"/>
    <cellStyle name="20% - Accent5 3 3" xfId="638"/>
    <cellStyle name="20% - Accent5 3 3 2" xfId="639"/>
    <cellStyle name="20% - Accent5 3 3 2 2" xfId="640"/>
    <cellStyle name="20% - Accent5 3 3 2 3" xfId="641"/>
    <cellStyle name="20% - Accent5 3 3 2_2.DATA" xfId="642"/>
    <cellStyle name="20% - Accent5 3 3 3" xfId="643"/>
    <cellStyle name="20% - Accent5 3 3 4" xfId="644"/>
    <cellStyle name="20% - Accent5 3 3_2.DATA" xfId="645"/>
    <cellStyle name="20% - Accent5 3 4" xfId="646"/>
    <cellStyle name="20% - Accent5 3 4 2" xfId="647"/>
    <cellStyle name="20% - Accent5 3 4 3" xfId="648"/>
    <cellStyle name="20% - Accent5 3 4_2.DATA" xfId="649"/>
    <cellStyle name="20% - Accent5 3 5" xfId="650"/>
    <cellStyle name="20% - Accent5 3 6" xfId="651"/>
    <cellStyle name="20% - Accent5 3_2.DATA" xfId="652"/>
    <cellStyle name="20% - Accent5 4" xfId="653"/>
    <cellStyle name="20% - Accent5 4 2" xfId="654"/>
    <cellStyle name="20% - Accent5 4 2 2" xfId="655"/>
    <cellStyle name="20% - Accent5 4 2 2 2" xfId="656"/>
    <cellStyle name="20% - Accent5 4 2 2_2.DATA" xfId="657"/>
    <cellStyle name="20% - Accent5 4 2 3" xfId="658"/>
    <cellStyle name="20% - Accent5 4 2_2.DATA" xfId="659"/>
    <cellStyle name="20% - Accent5 4 3" xfId="660"/>
    <cellStyle name="20% - Accent5 4 3 2" xfId="661"/>
    <cellStyle name="20% - Accent5 4 3_2.DATA" xfId="662"/>
    <cellStyle name="20% - Accent5 4 4" xfId="663"/>
    <cellStyle name="20% - Accent5 4_2.DATA" xfId="664"/>
    <cellStyle name="20% - Accent5 5" xfId="665"/>
    <cellStyle name="20% - Accent5 5 2" xfId="666"/>
    <cellStyle name="20% - Accent5 5 2 2" xfId="667"/>
    <cellStyle name="20% - Accent5 5 2 3" xfId="668"/>
    <cellStyle name="20% - Accent5 5 2_2.DATA" xfId="669"/>
    <cellStyle name="20% - Accent5 5 3" xfId="670"/>
    <cellStyle name="20% - Accent5 5 3 2" xfId="671"/>
    <cellStyle name="20% - Accent5 5 3 3" xfId="672"/>
    <cellStyle name="20% - Accent5 5_2.DATA" xfId="673"/>
    <cellStyle name="20% - Accent5 6" xfId="674"/>
    <cellStyle name="20% - Accent5 6 2" xfId="675"/>
    <cellStyle name="20% - Accent5 6 2 2" xfId="676"/>
    <cellStyle name="20% - Accent5 6 2_2.DATA" xfId="677"/>
    <cellStyle name="20% - Accent5 6 3" xfId="678"/>
    <cellStyle name="20% - Accent5 6_2.DATA" xfId="679"/>
    <cellStyle name="20% - Accent5 7" xfId="680"/>
    <cellStyle name="20% - Accent5 7 2" xfId="681"/>
    <cellStyle name="20% - Accent5 7 2 2" xfId="682"/>
    <cellStyle name="20% - Accent5 7 2_2.DATA" xfId="683"/>
    <cellStyle name="20% - Accent5 7 3" xfId="684"/>
    <cellStyle name="20% - Accent5 7_2.DATA" xfId="685"/>
    <cellStyle name="20% - Accent5 8" xfId="686"/>
    <cellStyle name="20% - Accent5 8 2" xfId="687"/>
    <cellStyle name="20% - Accent5 8 2 2" xfId="688"/>
    <cellStyle name="20% - Accent5 8 2_2.DATA" xfId="689"/>
    <cellStyle name="20% - Accent5 8 3" xfId="690"/>
    <cellStyle name="20% - Accent5 8_2.DATA" xfId="691"/>
    <cellStyle name="20% - Accent5 9" xfId="692"/>
    <cellStyle name="20% - Accent5 9 2" xfId="693"/>
    <cellStyle name="20% - Accent5 9 2 2" xfId="694"/>
    <cellStyle name="20% - Accent5 9 2 3" xfId="695"/>
    <cellStyle name="20% - Accent5 9 2 4" xfId="696"/>
    <cellStyle name="20% - Accent5 9 2_2.DATA" xfId="697"/>
    <cellStyle name="20% - Accent5 9 3" xfId="698"/>
    <cellStyle name="20% - Accent5 9 4" xfId="699"/>
    <cellStyle name="20% - Accent5 9_2.DATA" xfId="700"/>
    <cellStyle name="20% - Accent6 10" xfId="701"/>
    <cellStyle name="20% - Accent6 10 2" xfId="702"/>
    <cellStyle name="20% - Accent6 10_2.DATA" xfId="703"/>
    <cellStyle name="20% - Accent6 11" xfId="704"/>
    <cellStyle name="20% - Accent6 11 2" xfId="705"/>
    <cellStyle name="20% - Accent6 11_2.DATA" xfId="706"/>
    <cellStyle name="20% - Accent6 12" xfId="707"/>
    <cellStyle name="20% - Accent6 2" xfId="708"/>
    <cellStyle name="20% - Accent6 2 2" xfId="709"/>
    <cellStyle name="20% - Accent6 2 2 2" xfId="710"/>
    <cellStyle name="20% - Accent6 2 2 2 2" xfId="711"/>
    <cellStyle name="20% - Accent6 2 2 2 2 2" xfId="712"/>
    <cellStyle name="20% - Accent6 2 2 2 2 3" xfId="713"/>
    <cellStyle name="20% - Accent6 2 2 2 2_2.DATA" xfId="714"/>
    <cellStyle name="20% - Accent6 2 2 2 3" xfId="715"/>
    <cellStyle name="20% - Accent6 2 2 2 4" xfId="716"/>
    <cellStyle name="20% - Accent6 2 2 2_2.DATA" xfId="717"/>
    <cellStyle name="20% - Accent6 2 2 3" xfId="718"/>
    <cellStyle name="20% - Accent6 2 2 3 2" xfId="719"/>
    <cellStyle name="20% - Accent6 2 2 3 2 2" xfId="720"/>
    <cellStyle name="20% - Accent6 2 2 3 2_2.DATA" xfId="721"/>
    <cellStyle name="20% - Accent6 2 2 3 3" xfId="722"/>
    <cellStyle name="20% - Accent6 2 2 3_2.DATA" xfId="723"/>
    <cellStyle name="20% - Accent6 2 2 4" xfId="724"/>
    <cellStyle name="20% - Accent6 2 2 4 2" xfId="725"/>
    <cellStyle name="20% - Accent6 2 2 4_2.DATA" xfId="726"/>
    <cellStyle name="20% - Accent6 2 2 5" xfId="727"/>
    <cellStyle name="20% - Accent6 2 2 5 2" xfId="728"/>
    <cellStyle name="20% - Accent6 2 2 5 3" xfId="729"/>
    <cellStyle name="20% - Accent6 2 2_2.DATA" xfId="730"/>
    <cellStyle name="20% - Accent6 2 3" xfId="731"/>
    <cellStyle name="20% - Accent6 2 3 2" xfId="732"/>
    <cellStyle name="20% - Accent6 2 3 2 2" xfId="733"/>
    <cellStyle name="20% - Accent6 2 3 2 2 2" xfId="734"/>
    <cellStyle name="20% - Accent6 2 3 2 3" xfId="735"/>
    <cellStyle name="20% - Accent6 2 3 2 4" xfId="736"/>
    <cellStyle name="20% - Accent6 2 3 2_2.DATA" xfId="737"/>
    <cellStyle name="20% - Accent6 2 3 3" xfId="738"/>
    <cellStyle name="20% - Accent6 2 3 3 2" xfId="739"/>
    <cellStyle name="20% - Accent6 2 3 4" xfId="740"/>
    <cellStyle name="20% - Accent6 2 3 5" xfId="741"/>
    <cellStyle name="20% - Accent6 2 3 6" xfId="742"/>
    <cellStyle name="20% - Accent6 2 3_2.DATA" xfId="743"/>
    <cellStyle name="20% - Accent6 2 4" xfId="744"/>
    <cellStyle name="20% - Accent6 2 4 2" xfId="745"/>
    <cellStyle name="20% - Accent6 2 4 2 2" xfId="746"/>
    <cellStyle name="20% - Accent6 2 4 2 3" xfId="747"/>
    <cellStyle name="20% - Accent6 2 4 2_2.DATA" xfId="748"/>
    <cellStyle name="20% - Accent6 2 4 3" xfId="749"/>
    <cellStyle name="20% - Accent6 2 4 4" xfId="750"/>
    <cellStyle name="20% - Accent6 2 4_2.DATA" xfId="751"/>
    <cellStyle name="20% - Accent6 2 5" xfId="752"/>
    <cellStyle name="20% - Accent6 2 5 2" xfId="753"/>
    <cellStyle name="20% - Accent6 2 5 3" xfId="754"/>
    <cellStyle name="20% - Accent6 2 5_2.DATA" xfId="755"/>
    <cellStyle name="20% - Accent6 2 6" xfId="756"/>
    <cellStyle name="20% - Accent6 2 6 2" xfId="757"/>
    <cellStyle name="20% - Accent6 2 6 3" xfId="758"/>
    <cellStyle name="20% - Accent6 2 7" xfId="759"/>
    <cellStyle name="20% - Accent6 2_2.DATA" xfId="760"/>
    <cellStyle name="20% - Accent6 3" xfId="761"/>
    <cellStyle name="20% - Accent6 3 2" xfId="762"/>
    <cellStyle name="20% - Accent6 3 2 2" xfId="763"/>
    <cellStyle name="20% - Accent6 3 2 2 2" xfId="764"/>
    <cellStyle name="20% - Accent6 3 2 2 2 2" xfId="765"/>
    <cellStyle name="20% - Accent6 3 2 2 3" xfId="766"/>
    <cellStyle name="20% - Accent6 3 2 2 4" xfId="767"/>
    <cellStyle name="20% - Accent6 3 2 2_2.DATA" xfId="768"/>
    <cellStyle name="20% - Accent6 3 2 3" xfId="769"/>
    <cellStyle name="20% - Accent6 3 2 3 2" xfId="770"/>
    <cellStyle name="20% - Accent6 3 2 4" xfId="771"/>
    <cellStyle name="20% - Accent6 3 2 5" xfId="772"/>
    <cellStyle name="20% - Accent6 3 2_2.DATA" xfId="773"/>
    <cellStyle name="20% - Accent6 3 3" xfId="774"/>
    <cellStyle name="20% - Accent6 3 3 2" xfId="775"/>
    <cellStyle name="20% - Accent6 3 3 2 2" xfId="776"/>
    <cellStyle name="20% - Accent6 3 3 2 3" xfId="777"/>
    <cellStyle name="20% - Accent6 3 3 2_2.DATA" xfId="778"/>
    <cellStyle name="20% - Accent6 3 3 3" xfId="779"/>
    <cellStyle name="20% - Accent6 3 3 4" xfId="780"/>
    <cellStyle name="20% - Accent6 3 3_2.DATA" xfId="781"/>
    <cellStyle name="20% - Accent6 3 4" xfId="782"/>
    <cellStyle name="20% - Accent6 3 4 2" xfId="783"/>
    <cellStyle name="20% - Accent6 3 4 3" xfId="784"/>
    <cellStyle name="20% - Accent6 3 4_2.DATA" xfId="785"/>
    <cellStyle name="20% - Accent6 3 5" xfId="786"/>
    <cellStyle name="20% - Accent6 3 6" xfId="787"/>
    <cellStyle name="20% - Accent6 3_2.DATA" xfId="788"/>
    <cellStyle name="20% - Accent6 4" xfId="789"/>
    <cellStyle name="20% - Accent6 4 2" xfId="790"/>
    <cellStyle name="20% - Accent6 4 2 2" xfId="791"/>
    <cellStyle name="20% - Accent6 4 2 2 2" xfId="792"/>
    <cellStyle name="20% - Accent6 4 2 2_2.DATA" xfId="793"/>
    <cellStyle name="20% - Accent6 4 2 3" xfId="794"/>
    <cellStyle name="20% - Accent6 4 2_2.DATA" xfId="795"/>
    <cellStyle name="20% - Accent6 4 3" xfId="796"/>
    <cellStyle name="20% - Accent6 4 3 2" xfId="797"/>
    <cellStyle name="20% - Accent6 4 3_2.DATA" xfId="798"/>
    <cellStyle name="20% - Accent6 4 4" xfId="799"/>
    <cellStyle name="20% - Accent6 4_2.DATA" xfId="800"/>
    <cellStyle name="20% - Accent6 5" xfId="801"/>
    <cellStyle name="20% - Accent6 5 2" xfId="802"/>
    <cellStyle name="20% - Accent6 5 2 2" xfId="803"/>
    <cellStyle name="20% - Accent6 5 2 3" xfId="804"/>
    <cellStyle name="20% - Accent6 5 2_2.DATA" xfId="805"/>
    <cellStyle name="20% - Accent6 5 3" xfId="806"/>
    <cellStyle name="20% - Accent6 5 3 2" xfId="807"/>
    <cellStyle name="20% - Accent6 5 3 3" xfId="808"/>
    <cellStyle name="20% - Accent6 5_2.DATA" xfId="809"/>
    <cellStyle name="20% - Accent6 6" xfId="810"/>
    <cellStyle name="20% - Accent6 6 2" xfId="811"/>
    <cellStyle name="20% - Accent6 6 2 2" xfId="812"/>
    <cellStyle name="20% - Accent6 6 2_2.DATA" xfId="813"/>
    <cellStyle name="20% - Accent6 6 3" xfId="814"/>
    <cellStyle name="20% - Accent6 6_2.DATA" xfId="815"/>
    <cellStyle name="20% - Accent6 7" xfId="816"/>
    <cellStyle name="20% - Accent6 7 2" xfId="817"/>
    <cellStyle name="20% - Accent6 7 2 2" xfId="818"/>
    <cellStyle name="20% - Accent6 7 2_2.DATA" xfId="819"/>
    <cellStyle name="20% - Accent6 7 3" xfId="820"/>
    <cellStyle name="20% - Accent6 7_2.DATA" xfId="821"/>
    <cellStyle name="20% - Accent6 8" xfId="822"/>
    <cellStyle name="20% - Accent6 8 2" xfId="823"/>
    <cellStyle name="20% - Accent6 8 2 2" xfId="824"/>
    <cellStyle name="20% - Accent6 8 2_2.DATA" xfId="825"/>
    <cellStyle name="20% - Accent6 8 3" xfId="826"/>
    <cellStyle name="20% - Accent6 8_2.DATA" xfId="827"/>
    <cellStyle name="20% - Accent6 9" xfId="828"/>
    <cellStyle name="20% - Accent6 9 2" xfId="829"/>
    <cellStyle name="20% - Accent6 9 2 2" xfId="830"/>
    <cellStyle name="20% - Accent6 9 2 3" xfId="831"/>
    <cellStyle name="20% - Accent6 9 2 4" xfId="832"/>
    <cellStyle name="20% - Accent6 9 2_2.DATA" xfId="833"/>
    <cellStyle name="20% - Accent6 9 3" xfId="834"/>
    <cellStyle name="20% - Accent6 9 4" xfId="835"/>
    <cellStyle name="20% - Accent6 9_2.DATA" xfId="836"/>
    <cellStyle name="3 V1.00 CORE IMAGE (5200MM3.100 08/01/97)&#13;&#10;&#13;&#10;[windows]&#13;&#10;;spooler=yes&#13;&#10;load=nw" xfId="837"/>
    <cellStyle name="3 V1.00 CORE IMAGE (5200MM3.100 08/01/97)&#13;&#10;&#13;&#10;[windows]&#13;&#10;;spooler=yes&#13;&#10;load=nw 2" xfId="838"/>
    <cellStyle name="40% - Accent1 10" xfId="839"/>
    <cellStyle name="40% - Accent1 10 2" xfId="840"/>
    <cellStyle name="40% - Accent1 10_2.DATA" xfId="841"/>
    <cellStyle name="40% - Accent1 11" xfId="842"/>
    <cellStyle name="40% - Accent1 11 2" xfId="843"/>
    <cellStyle name="40% - Accent1 11_2.DATA" xfId="844"/>
    <cellStyle name="40% - Accent1 12" xfId="845"/>
    <cellStyle name="40% - Accent1 2" xfId="846"/>
    <cellStyle name="40% - Accent1 2 2" xfId="847"/>
    <cellStyle name="40% - Accent1 2 2 2" xfId="848"/>
    <cellStyle name="40% - Accent1 2 2 2 2" xfId="849"/>
    <cellStyle name="40% - Accent1 2 2 2 2 2" xfId="850"/>
    <cellStyle name="40% - Accent1 2 2 2 2 3" xfId="851"/>
    <cellStyle name="40% - Accent1 2 2 2 2_2.DATA" xfId="852"/>
    <cellStyle name="40% - Accent1 2 2 2 3" xfId="853"/>
    <cellStyle name="40% - Accent1 2 2 2 4" xfId="854"/>
    <cellStyle name="40% - Accent1 2 2 2_2.DATA" xfId="855"/>
    <cellStyle name="40% - Accent1 2 2 3" xfId="856"/>
    <cellStyle name="40% - Accent1 2 2 3 2" xfId="857"/>
    <cellStyle name="40% - Accent1 2 2 3 2 2" xfId="858"/>
    <cellStyle name="40% - Accent1 2 2 3 2_2.DATA" xfId="859"/>
    <cellStyle name="40% - Accent1 2 2 3 3" xfId="860"/>
    <cellStyle name="40% - Accent1 2 2 3_2.DATA" xfId="861"/>
    <cellStyle name="40% - Accent1 2 2 4" xfId="862"/>
    <cellStyle name="40% - Accent1 2 2 4 2" xfId="863"/>
    <cellStyle name="40% - Accent1 2 2 4_2.DATA" xfId="864"/>
    <cellStyle name="40% - Accent1 2 2 5" xfId="865"/>
    <cellStyle name="40% - Accent1 2 2 5 2" xfId="866"/>
    <cellStyle name="40% - Accent1 2 2 5 3" xfId="867"/>
    <cellStyle name="40% - Accent1 2 2_2.DATA" xfId="868"/>
    <cellStyle name="40% - Accent1 2 3" xfId="869"/>
    <cellStyle name="40% - Accent1 2 3 2" xfId="870"/>
    <cellStyle name="40% - Accent1 2 3 2 2" xfId="871"/>
    <cellStyle name="40% - Accent1 2 3 2 2 2" xfId="872"/>
    <cellStyle name="40% - Accent1 2 3 2 3" xfId="873"/>
    <cellStyle name="40% - Accent1 2 3 2 4" xfId="874"/>
    <cellStyle name="40% - Accent1 2 3 2_2.DATA" xfId="875"/>
    <cellStyle name="40% - Accent1 2 3 3" xfId="876"/>
    <cellStyle name="40% - Accent1 2 3 3 2" xfId="877"/>
    <cellStyle name="40% - Accent1 2 3 4" xfId="878"/>
    <cellStyle name="40% - Accent1 2 3 5" xfId="879"/>
    <cellStyle name="40% - Accent1 2 3 6" xfId="880"/>
    <cellStyle name="40% - Accent1 2 3_2.DATA" xfId="881"/>
    <cellStyle name="40% - Accent1 2 4" xfId="882"/>
    <cellStyle name="40% - Accent1 2 4 2" xfId="883"/>
    <cellStyle name="40% - Accent1 2 4 2 2" xfId="884"/>
    <cellStyle name="40% - Accent1 2 4 2 3" xfId="885"/>
    <cellStyle name="40% - Accent1 2 4 2_2.DATA" xfId="886"/>
    <cellStyle name="40% - Accent1 2 4 3" xfId="887"/>
    <cellStyle name="40% - Accent1 2 4 4" xfId="888"/>
    <cellStyle name="40% - Accent1 2 4_2.DATA" xfId="889"/>
    <cellStyle name="40% - Accent1 2 5" xfId="890"/>
    <cellStyle name="40% - Accent1 2 5 2" xfId="891"/>
    <cellStyle name="40% - Accent1 2 5 3" xfId="892"/>
    <cellStyle name="40% - Accent1 2 5_2.DATA" xfId="893"/>
    <cellStyle name="40% - Accent1 2 6" xfId="894"/>
    <cellStyle name="40% - Accent1 2 6 2" xfId="895"/>
    <cellStyle name="40% - Accent1 2 6 3" xfId="896"/>
    <cellStyle name="40% - Accent1 2 7" xfId="897"/>
    <cellStyle name="40% - Accent1 2_2.DATA" xfId="898"/>
    <cellStyle name="40% - Accent1 3" xfId="899"/>
    <cellStyle name="40% - Accent1 3 2" xfId="900"/>
    <cellStyle name="40% - Accent1 3 2 2" xfId="901"/>
    <cellStyle name="40% - Accent1 3 2 2 2" xfId="902"/>
    <cellStyle name="40% - Accent1 3 2 2 2 2" xfId="903"/>
    <cellStyle name="40% - Accent1 3 2 2 3" xfId="904"/>
    <cellStyle name="40% - Accent1 3 2 2 4" xfId="905"/>
    <cellStyle name="40% - Accent1 3 2 2_2.DATA" xfId="906"/>
    <cellStyle name="40% - Accent1 3 2 3" xfId="907"/>
    <cellStyle name="40% - Accent1 3 2 3 2" xfId="908"/>
    <cellStyle name="40% - Accent1 3 2 4" xfId="909"/>
    <cellStyle name="40% - Accent1 3 2 5" xfId="910"/>
    <cellStyle name="40% - Accent1 3 2_2.DATA" xfId="911"/>
    <cellStyle name="40% - Accent1 3 3" xfId="912"/>
    <cellStyle name="40% - Accent1 3 3 2" xfId="913"/>
    <cellStyle name="40% - Accent1 3 3 2 2" xfId="914"/>
    <cellStyle name="40% - Accent1 3 3 2 3" xfId="915"/>
    <cellStyle name="40% - Accent1 3 3 2_2.DATA" xfId="916"/>
    <cellStyle name="40% - Accent1 3 3 3" xfId="917"/>
    <cellStyle name="40% - Accent1 3 3 4" xfId="918"/>
    <cellStyle name="40% - Accent1 3 3_2.DATA" xfId="919"/>
    <cellStyle name="40% - Accent1 3 4" xfId="920"/>
    <cellStyle name="40% - Accent1 3 4 2" xfId="921"/>
    <cellStyle name="40% - Accent1 3 4 3" xfId="922"/>
    <cellStyle name="40% - Accent1 3 4_2.DATA" xfId="923"/>
    <cellStyle name="40% - Accent1 3 5" xfId="924"/>
    <cellStyle name="40% - Accent1 3 6" xfId="925"/>
    <cellStyle name="40% - Accent1 3_2.DATA" xfId="926"/>
    <cellStyle name="40% - Accent1 4" xfId="927"/>
    <cellStyle name="40% - Accent1 4 2" xfId="928"/>
    <cellStyle name="40% - Accent1 4 2 2" xfId="929"/>
    <cellStyle name="40% - Accent1 4 2 2 2" xfId="930"/>
    <cellStyle name="40% - Accent1 4 2 2_2.DATA" xfId="931"/>
    <cellStyle name="40% - Accent1 4 2 3" xfId="932"/>
    <cellStyle name="40% - Accent1 4 2_2.DATA" xfId="933"/>
    <cellStyle name="40% - Accent1 4 3" xfId="934"/>
    <cellStyle name="40% - Accent1 4 3 2" xfId="935"/>
    <cellStyle name="40% - Accent1 4 3_2.DATA" xfId="936"/>
    <cellStyle name="40% - Accent1 4 4" xfId="937"/>
    <cellStyle name="40% - Accent1 4_2.DATA" xfId="938"/>
    <cellStyle name="40% - Accent1 5" xfId="939"/>
    <cellStyle name="40% - Accent1 5 2" xfId="940"/>
    <cellStyle name="40% - Accent1 5 2 2" xfId="941"/>
    <cellStyle name="40% - Accent1 5 2 3" xfId="942"/>
    <cellStyle name="40% - Accent1 5 2_2.DATA" xfId="943"/>
    <cellStyle name="40% - Accent1 5 3" xfId="944"/>
    <cellStyle name="40% - Accent1 5 3 2" xfId="945"/>
    <cellStyle name="40% - Accent1 5 3 3" xfId="946"/>
    <cellStyle name="40% - Accent1 5_2.DATA" xfId="947"/>
    <cellStyle name="40% - Accent1 6" xfId="948"/>
    <cellStyle name="40% - Accent1 6 2" xfId="949"/>
    <cellStyle name="40% - Accent1 6 2 2" xfId="950"/>
    <cellStyle name="40% - Accent1 6 2_2.DATA" xfId="951"/>
    <cellStyle name="40% - Accent1 6 3" xfId="952"/>
    <cellStyle name="40% - Accent1 6_2.DATA" xfId="953"/>
    <cellStyle name="40% - Accent1 7" xfId="954"/>
    <cellStyle name="40% - Accent1 7 2" xfId="955"/>
    <cellStyle name="40% - Accent1 7 2 2" xfId="956"/>
    <cellStyle name="40% - Accent1 7 2_2.DATA" xfId="957"/>
    <cellStyle name="40% - Accent1 7 3" xfId="958"/>
    <cellStyle name="40% - Accent1 7_2.DATA" xfId="959"/>
    <cellStyle name="40% - Accent1 8" xfId="960"/>
    <cellStyle name="40% - Accent1 8 2" xfId="961"/>
    <cellStyle name="40% - Accent1 8 2 2" xfId="962"/>
    <cellStyle name="40% - Accent1 8 2_2.DATA" xfId="963"/>
    <cellStyle name="40% - Accent1 8 3" xfId="964"/>
    <cellStyle name="40% - Accent1 8_2.DATA" xfId="965"/>
    <cellStyle name="40% - Accent1 9" xfId="966"/>
    <cellStyle name="40% - Accent1 9 2" xfId="967"/>
    <cellStyle name="40% - Accent1 9 2 2" xfId="968"/>
    <cellStyle name="40% - Accent1 9 2 3" xfId="969"/>
    <cellStyle name="40% - Accent1 9 2 4" xfId="970"/>
    <cellStyle name="40% - Accent1 9 2_2.DATA" xfId="971"/>
    <cellStyle name="40% - Accent1 9 3" xfId="972"/>
    <cellStyle name="40% - Accent1 9 4" xfId="973"/>
    <cellStyle name="40% - Accent1 9_2.DATA" xfId="974"/>
    <cellStyle name="40% - Accent2 10" xfId="975"/>
    <cellStyle name="40% - Accent2 10 2" xfId="976"/>
    <cellStyle name="40% - Accent2 10_2.DATA" xfId="977"/>
    <cellStyle name="40% - Accent2 11" xfId="978"/>
    <cellStyle name="40% - Accent2 11 2" xfId="979"/>
    <cellStyle name="40% - Accent2 11_2.DATA" xfId="980"/>
    <cellStyle name="40% - Accent2 12" xfId="981"/>
    <cellStyle name="40% - Accent2 2" xfId="982"/>
    <cellStyle name="40% - Accent2 2 2" xfId="983"/>
    <cellStyle name="40% - Accent2 2 2 2" xfId="984"/>
    <cellStyle name="40% - Accent2 2 2 2 2" xfId="985"/>
    <cellStyle name="40% - Accent2 2 2 2 2 2" xfId="986"/>
    <cellStyle name="40% - Accent2 2 2 2 2 3" xfId="987"/>
    <cellStyle name="40% - Accent2 2 2 2 2_2.DATA" xfId="988"/>
    <cellStyle name="40% - Accent2 2 2 2 3" xfId="989"/>
    <cellStyle name="40% - Accent2 2 2 2 4" xfId="990"/>
    <cellStyle name="40% - Accent2 2 2 2_2.DATA" xfId="991"/>
    <cellStyle name="40% - Accent2 2 2 3" xfId="992"/>
    <cellStyle name="40% - Accent2 2 2 3 2" xfId="993"/>
    <cellStyle name="40% - Accent2 2 2 3 2 2" xfId="994"/>
    <cellStyle name="40% - Accent2 2 2 3 2_2.DATA" xfId="995"/>
    <cellStyle name="40% - Accent2 2 2 3 3" xfId="996"/>
    <cellStyle name="40% - Accent2 2 2 3_2.DATA" xfId="997"/>
    <cellStyle name="40% - Accent2 2 2 4" xfId="998"/>
    <cellStyle name="40% - Accent2 2 2 4 2" xfId="999"/>
    <cellStyle name="40% - Accent2 2 2 4_2.DATA" xfId="1000"/>
    <cellStyle name="40% - Accent2 2 2 5" xfId="1001"/>
    <cellStyle name="40% - Accent2 2 2 5 2" xfId="1002"/>
    <cellStyle name="40% - Accent2 2 2 5 3" xfId="1003"/>
    <cellStyle name="40% - Accent2 2 2_2.DATA" xfId="1004"/>
    <cellStyle name="40% - Accent2 2 3" xfId="1005"/>
    <cellStyle name="40% - Accent2 2 3 2" xfId="1006"/>
    <cellStyle name="40% - Accent2 2 3 2 2" xfId="1007"/>
    <cellStyle name="40% - Accent2 2 3 2 2 2" xfId="1008"/>
    <cellStyle name="40% - Accent2 2 3 2 3" xfId="1009"/>
    <cellStyle name="40% - Accent2 2 3 2 4" xfId="1010"/>
    <cellStyle name="40% - Accent2 2 3 2_2.DATA" xfId="1011"/>
    <cellStyle name="40% - Accent2 2 3 3" xfId="1012"/>
    <cellStyle name="40% - Accent2 2 3 3 2" xfId="1013"/>
    <cellStyle name="40% - Accent2 2 3 4" xfId="1014"/>
    <cellStyle name="40% - Accent2 2 3 5" xfId="1015"/>
    <cellStyle name="40% - Accent2 2 3 6" xfId="1016"/>
    <cellStyle name="40% - Accent2 2 3_2.DATA" xfId="1017"/>
    <cellStyle name="40% - Accent2 2 4" xfId="1018"/>
    <cellStyle name="40% - Accent2 2 4 2" xfId="1019"/>
    <cellStyle name="40% - Accent2 2 4 2 2" xfId="1020"/>
    <cellStyle name="40% - Accent2 2 4 2 3" xfId="1021"/>
    <cellStyle name="40% - Accent2 2 4 2_2.DATA" xfId="1022"/>
    <cellStyle name="40% - Accent2 2 4 3" xfId="1023"/>
    <cellStyle name="40% - Accent2 2 4 4" xfId="1024"/>
    <cellStyle name="40% - Accent2 2 4_2.DATA" xfId="1025"/>
    <cellStyle name="40% - Accent2 2 5" xfId="1026"/>
    <cellStyle name="40% - Accent2 2 5 2" xfId="1027"/>
    <cellStyle name="40% - Accent2 2 5 3" xfId="1028"/>
    <cellStyle name="40% - Accent2 2 5_2.DATA" xfId="1029"/>
    <cellStyle name="40% - Accent2 2 6" xfId="1030"/>
    <cellStyle name="40% - Accent2 2 6 2" xfId="1031"/>
    <cellStyle name="40% - Accent2 2 6 3" xfId="1032"/>
    <cellStyle name="40% - Accent2 2 7" xfId="1033"/>
    <cellStyle name="40% - Accent2 2_2.DATA" xfId="1034"/>
    <cellStyle name="40% - Accent2 3" xfId="1035"/>
    <cellStyle name="40% - Accent2 3 2" xfId="1036"/>
    <cellStyle name="40% - Accent2 3 2 2" xfId="1037"/>
    <cellStyle name="40% - Accent2 3 2 2 2" xfId="1038"/>
    <cellStyle name="40% - Accent2 3 2 2 2 2" xfId="1039"/>
    <cellStyle name="40% - Accent2 3 2 2 3" xfId="1040"/>
    <cellStyle name="40% - Accent2 3 2 2 4" xfId="1041"/>
    <cellStyle name="40% - Accent2 3 2 2_2.DATA" xfId="1042"/>
    <cellStyle name="40% - Accent2 3 2 3" xfId="1043"/>
    <cellStyle name="40% - Accent2 3 2 3 2" xfId="1044"/>
    <cellStyle name="40% - Accent2 3 2 4" xfId="1045"/>
    <cellStyle name="40% - Accent2 3 2 5" xfId="1046"/>
    <cellStyle name="40% - Accent2 3 2_2.DATA" xfId="1047"/>
    <cellStyle name="40% - Accent2 3 3" xfId="1048"/>
    <cellStyle name="40% - Accent2 3 3 2" xfId="1049"/>
    <cellStyle name="40% - Accent2 3 3 2 2" xfId="1050"/>
    <cellStyle name="40% - Accent2 3 3 2 3" xfId="1051"/>
    <cellStyle name="40% - Accent2 3 3 2_2.DATA" xfId="1052"/>
    <cellStyle name="40% - Accent2 3 3 3" xfId="1053"/>
    <cellStyle name="40% - Accent2 3 3 4" xfId="1054"/>
    <cellStyle name="40% - Accent2 3 3_2.DATA" xfId="1055"/>
    <cellStyle name="40% - Accent2 3 4" xfId="1056"/>
    <cellStyle name="40% - Accent2 3 4 2" xfId="1057"/>
    <cellStyle name="40% - Accent2 3 4 3" xfId="1058"/>
    <cellStyle name="40% - Accent2 3 4_2.DATA" xfId="1059"/>
    <cellStyle name="40% - Accent2 3 5" xfId="1060"/>
    <cellStyle name="40% - Accent2 3 6" xfId="1061"/>
    <cellStyle name="40% - Accent2 3_2.DATA" xfId="1062"/>
    <cellStyle name="40% - Accent2 4" xfId="1063"/>
    <cellStyle name="40% - Accent2 4 2" xfId="1064"/>
    <cellStyle name="40% - Accent2 4 2 2" xfId="1065"/>
    <cellStyle name="40% - Accent2 4 2 2 2" xfId="1066"/>
    <cellStyle name="40% - Accent2 4 2 2_2.DATA" xfId="1067"/>
    <cellStyle name="40% - Accent2 4 2 3" xfId="1068"/>
    <cellStyle name="40% - Accent2 4 2_2.DATA" xfId="1069"/>
    <cellStyle name="40% - Accent2 4 3" xfId="1070"/>
    <cellStyle name="40% - Accent2 4 3 2" xfId="1071"/>
    <cellStyle name="40% - Accent2 4 3_2.DATA" xfId="1072"/>
    <cellStyle name="40% - Accent2 4 4" xfId="1073"/>
    <cellStyle name="40% - Accent2 4_2.DATA" xfId="1074"/>
    <cellStyle name="40% - Accent2 5" xfId="1075"/>
    <cellStyle name="40% - Accent2 5 2" xfId="1076"/>
    <cellStyle name="40% - Accent2 5 2 2" xfId="1077"/>
    <cellStyle name="40% - Accent2 5 2 3" xfId="1078"/>
    <cellStyle name="40% - Accent2 5 2_2.DATA" xfId="1079"/>
    <cellStyle name="40% - Accent2 5 3" xfId="1080"/>
    <cellStyle name="40% - Accent2 5 3 2" xfId="1081"/>
    <cellStyle name="40% - Accent2 5 3 3" xfId="1082"/>
    <cellStyle name="40% - Accent2 5_2.DATA" xfId="1083"/>
    <cellStyle name="40% - Accent2 6" xfId="1084"/>
    <cellStyle name="40% - Accent2 6 2" xfId="1085"/>
    <cellStyle name="40% - Accent2 6 2 2" xfId="1086"/>
    <cellStyle name="40% - Accent2 6 2_2.DATA" xfId="1087"/>
    <cellStyle name="40% - Accent2 6 3" xfId="1088"/>
    <cellStyle name="40% - Accent2 6_2.DATA" xfId="1089"/>
    <cellStyle name="40% - Accent2 7" xfId="1090"/>
    <cellStyle name="40% - Accent2 7 2" xfId="1091"/>
    <cellStyle name="40% - Accent2 7 2 2" xfId="1092"/>
    <cellStyle name="40% - Accent2 7 2_2.DATA" xfId="1093"/>
    <cellStyle name="40% - Accent2 7 3" xfId="1094"/>
    <cellStyle name="40% - Accent2 7_2.DATA" xfId="1095"/>
    <cellStyle name="40% - Accent2 8" xfId="1096"/>
    <cellStyle name="40% - Accent2 8 2" xfId="1097"/>
    <cellStyle name="40% - Accent2 8 2 2" xfId="1098"/>
    <cellStyle name="40% - Accent2 8 2_2.DATA" xfId="1099"/>
    <cellStyle name="40% - Accent2 8 3" xfId="1100"/>
    <cellStyle name="40% - Accent2 8_2.DATA" xfId="1101"/>
    <cellStyle name="40% - Accent2 9" xfId="1102"/>
    <cellStyle name="40% - Accent2 9 2" xfId="1103"/>
    <cellStyle name="40% - Accent2 9 2 2" xfId="1104"/>
    <cellStyle name="40% - Accent2 9 2 3" xfId="1105"/>
    <cellStyle name="40% - Accent2 9 2 4" xfId="1106"/>
    <cellStyle name="40% - Accent2 9 2_2.DATA" xfId="1107"/>
    <cellStyle name="40% - Accent2 9 3" xfId="1108"/>
    <cellStyle name="40% - Accent2 9 4" xfId="1109"/>
    <cellStyle name="40% - Accent2 9_2.DATA" xfId="1110"/>
    <cellStyle name="40% - Accent3 10" xfId="1111"/>
    <cellStyle name="40% - Accent3 10 2" xfId="1112"/>
    <cellStyle name="40% - Accent3 10_2.DATA" xfId="1113"/>
    <cellStyle name="40% - Accent3 11" xfId="1114"/>
    <cellStyle name="40% - Accent3 11 2" xfId="1115"/>
    <cellStyle name="40% - Accent3 11_2.DATA" xfId="1116"/>
    <cellStyle name="40% - Accent3 12" xfId="1117"/>
    <cellStyle name="40% - Accent3 2" xfId="1118"/>
    <cellStyle name="40% - Accent3 2 2" xfId="1119"/>
    <cellStyle name="40% - Accent3 2 2 2" xfId="1120"/>
    <cellStyle name="40% - Accent3 2 2 2 2" xfId="1121"/>
    <cellStyle name="40% - Accent3 2 2 2 2 2" xfId="1122"/>
    <cellStyle name="40% - Accent3 2 2 2 2 3" xfId="1123"/>
    <cellStyle name="40% - Accent3 2 2 2 2_2.DATA" xfId="1124"/>
    <cellStyle name="40% - Accent3 2 2 2 3" xfId="1125"/>
    <cellStyle name="40% - Accent3 2 2 2 4" xfId="1126"/>
    <cellStyle name="40% - Accent3 2 2 2_2.DATA" xfId="1127"/>
    <cellStyle name="40% - Accent3 2 2 3" xfId="1128"/>
    <cellStyle name="40% - Accent3 2 2 3 2" xfId="1129"/>
    <cellStyle name="40% - Accent3 2 2 3 2 2" xfId="1130"/>
    <cellStyle name="40% - Accent3 2 2 3 2_2.DATA" xfId="1131"/>
    <cellStyle name="40% - Accent3 2 2 3 3" xfId="1132"/>
    <cellStyle name="40% - Accent3 2 2 3_2.DATA" xfId="1133"/>
    <cellStyle name="40% - Accent3 2 2 4" xfId="1134"/>
    <cellStyle name="40% - Accent3 2 2 4 2" xfId="1135"/>
    <cellStyle name="40% - Accent3 2 2 4_2.DATA" xfId="1136"/>
    <cellStyle name="40% - Accent3 2 2 5" xfId="1137"/>
    <cellStyle name="40% - Accent3 2 2 5 2" xfId="1138"/>
    <cellStyle name="40% - Accent3 2 2 5 3" xfId="1139"/>
    <cellStyle name="40% - Accent3 2 2_2.DATA" xfId="1140"/>
    <cellStyle name="40% - Accent3 2 3" xfId="1141"/>
    <cellStyle name="40% - Accent3 2 3 2" xfId="1142"/>
    <cellStyle name="40% - Accent3 2 3 2 2" xfId="1143"/>
    <cellStyle name="40% - Accent3 2 3 2 2 2" xfId="1144"/>
    <cellStyle name="40% - Accent3 2 3 2 3" xfId="1145"/>
    <cellStyle name="40% - Accent3 2 3 2 4" xfId="1146"/>
    <cellStyle name="40% - Accent3 2 3 2_2.DATA" xfId="1147"/>
    <cellStyle name="40% - Accent3 2 3 3" xfId="1148"/>
    <cellStyle name="40% - Accent3 2 3 3 2" xfId="1149"/>
    <cellStyle name="40% - Accent3 2 3 4" xfId="1150"/>
    <cellStyle name="40% - Accent3 2 3 5" xfId="1151"/>
    <cellStyle name="40% - Accent3 2 3 6" xfId="1152"/>
    <cellStyle name="40% - Accent3 2 3_2.DATA" xfId="1153"/>
    <cellStyle name="40% - Accent3 2 4" xfId="1154"/>
    <cellStyle name="40% - Accent3 2 4 2" xfId="1155"/>
    <cellStyle name="40% - Accent3 2 4 2 2" xfId="1156"/>
    <cellStyle name="40% - Accent3 2 4 2 3" xfId="1157"/>
    <cellStyle name="40% - Accent3 2 4 2_2.DATA" xfId="1158"/>
    <cellStyle name="40% - Accent3 2 4 3" xfId="1159"/>
    <cellStyle name="40% - Accent3 2 4 4" xfId="1160"/>
    <cellStyle name="40% - Accent3 2 4_2.DATA" xfId="1161"/>
    <cellStyle name="40% - Accent3 2 5" xfId="1162"/>
    <cellStyle name="40% - Accent3 2 5 2" xfId="1163"/>
    <cellStyle name="40% - Accent3 2 5 3" xfId="1164"/>
    <cellStyle name="40% - Accent3 2 5_2.DATA" xfId="1165"/>
    <cellStyle name="40% - Accent3 2 6" xfId="1166"/>
    <cellStyle name="40% - Accent3 2 6 2" xfId="1167"/>
    <cellStyle name="40% - Accent3 2 6 3" xfId="1168"/>
    <cellStyle name="40% - Accent3 2 7" xfId="1169"/>
    <cellStyle name="40% - Accent3 2_2.DATA" xfId="1170"/>
    <cellStyle name="40% - Accent3 3" xfId="1171"/>
    <cellStyle name="40% - Accent3 3 2" xfId="1172"/>
    <cellStyle name="40% - Accent3 3 2 2" xfId="1173"/>
    <cellStyle name="40% - Accent3 3 2 2 2" xfId="1174"/>
    <cellStyle name="40% - Accent3 3 2 2 2 2" xfId="1175"/>
    <cellStyle name="40% - Accent3 3 2 2 3" xfId="1176"/>
    <cellStyle name="40% - Accent3 3 2 2 4" xfId="1177"/>
    <cellStyle name="40% - Accent3 3 2 2_2.DATA" xfId="1178"/>
    <cellStyle name="40% - Accent3 3 2 3" xfId="1179"/>
    <cellStyle name="40% - Accent3 3 2 3 2" xfId="1180"/>
    <cellStyle name="40% - Accent3 3 2 4" xfId="1181"/>
    <cellStyle name="40% - Accent3 3 2 5" xfId="1182"/>
    <cellStyle name="40% - Accent3 3 2_2.DATA" xfId="1183"/>
    <cellStyle name="40% - Accent3 3 3" xfId="1184"/>
    <cellStyle name="40% - Accent3 3 3 2" xfId="1185"/>
    <cellStyle name="40% - Accent3 3 3 2 2" xfId="1186"/>
    <cellStyle name="40% - Accent3 3 3 2 3" xfId="1187"/>
    <cellStyle name="40% - Accent3 3 3 2_2.DATA" xfId="1188"/>
    <cellStyle name="40% - Accent3 3 3 3" xfId="1189"/>
    <cellStyle name="40% - Accent3 3 3 4" xfId="1190"/>
    <cellStyle name="40% - Accent3 3 3_2.DATA" xfId="1191"/>
    <cellStyle name="40% - Accent3 3 4" xfId="1192"/>
    <cellStyle name="40% - Accent3 3 4 2" xfId="1193"/>
    <cellStyle name="40% - Accent3 3 4 3" xfId="1194"/>
    <cellStyle name="40% - Accent3 3 4_2.DATA" xfId="1195"/>
    <cellStyle name="40% - Accent3 3 5" xfId="1196"/>
    <cellStyle name="40% - Accent3 3 6" xfId="1197"/>
    <cellStyle name="40% - Accent3 3_2.DATA" xfId="1198"/>
    <cellStyle name="40% - Accent3 4" xfId="1199"/>
    <cellStyle name="40% - Accent3 4 2" xfId="1200"/>
    <cellStyle name="40% - Accent3 4 2 2" xfId="1201"/>
    <cellStyle name="40% - Accent3 4 2 2 2" xfId="1202"/>
    <cellStyle name="40% - Accent3 4 2 2_2.DATA" xfId="1203"/>
    <cellStyle name="40% - Accent3 4 2 3" xfId="1204"/>
    <cellStyle name="40% - Accent3 4 2_2.DATA" xfId="1205"/>
    <cellStyle name="40% - Accent3 4 3" xfId="1206"/>
    <cellStyle name="40% - Accent3 4 3 2" xfId="1207"/>
    <cellStyle name="40% - Accent3 4 3_2.DATA" xfId="1208"/>
    <cellStyle name="40% - Accent3 4 4" xfId="1209"/>
    <cellStyle name="40% - Accent3 4_2.DATA" xfId="1210"/>
    <cellStyle name="40% - Accent3 5" xfId="1211"/>
    <cellStyle name="40% - Accent3 5 2" xfId="1212"/>
    <cellStyle name="40% - Accent3 5 2 2" xfId="1213"/>
    <cellStyle name="40% - Accent3 5 2 3" xfId="1214"/>
    <cellStyle name="40% - Accent3 5 2_2.DATA" xfId="1215"/>
    <cellStyle name="40% - Accent3 5 3" xfId="1216"/>
    <cellStyle name="40% - Accent3 5 3 2" xfId="1217"/>
    <cellStyle name="40% - Accent3 5 3 3" xfId="1218"/>
    <cellStyle name="40% - Accent3 5_2.DATA" xfId="1219"/>
    <cellStyle name="40% - Accent3 6" xfId="1220"/>
    <cellStyle name="40% - Accent3 6 2" xfId="1221"/>
    <cellStyle name="40% - Accent3 6 2 2" xfId="1222"/>
    <cellStyle name="40% - Accent3 6 2_2.DATA" xfId="1223"/>
    <cellStyle name="40% - Accent3 6 3" xfId="1224"/>
    <cellStyle name="40% - Accent3 6_2.DATA" xfId="1225"/>
    <cellStyle name="40% - Accent3 7" xfId="1226"/>
    <cellStyle name="40% - Accent3 7 2" xfId="1227"/>
    <cellStyle name="40% - Accent3 7 2 2" xfId="1228"/>
    <cellStyle name="40% - Accent3 7 2_2.DATA" xfId="1229"/>
    <cellStyle name="40% - Accent3 7 3" xfId="1230"/>
    <cellStyle name="40% - Accent3 7_2.DATA" xfId="1231"/>
    <cellStyle name="40% - Accent3 8" xfId="1232"/>
    <cellStyle name="40% - Accent3 8 2" xfId="1233"/>
    <cellStyle name="40% - Accent3 8 2 2" xfId="1234"/>
    <cellStyle name="40% - Accent3 8 2_2.DATA" xfId="1235"/>
    <cellStyle name="40% - Accent3 8 3" xfId="1236"/>
    <cellStyle name="40% - Accent3 8_2.DATA" xfId="1237"/>
    <cellStyle name="40% - Accent3 9" xfId="1238"/>
    <cellStyle name="40% - Accent3 9 2" xfId="1239"/>
    <cellStyle name="40% - Accent3 9 2 2" xfId="1240"/>
    <cellStyle name="40% - Accent3 9 2 3" xfId="1241"/>
    <cellStyle name="40% - Accent3 9 2 4" xfId="1242"/>
    <cellStyle name="40% - Accent3 9 2_2.DATA" xfId="1243"/>
    <cellStyle name="40% - Accent3 9 3" xfId="1244"/>
    <cellStyle name="40% - Accent3 9 4" xfId="1245"/>
    <cellStyle name="40% - Accent3 9_2.DATA" xfId="1246"/>
    <cellStyle name="40% - Accent4 10" xfId="1247"/>
    <cellStyle name="40% - Accent4 10 2" xfId="1248"/>
    <cellStyle name="40% - Accent4 10_2.DATA" xfId="1249"/>
    <cellStyle name="40% - Accent4 11" xfId="1250"/>
    <cellStyle name="40% - Accent4 11 2" xfId="1251"/>
    <cellStyle name="40% - Accent4 11_2.DATA" xfId="1252"/>
    <cellStyle name="40% - Accent4 12" xfId="1253"/>
    <cellStyle name="40% - Accent4 2" xfId="1254"/>
    <cellStyle name="40% - Accent4 2 2" xfId="1255"/>
    <cellStyle name="40% - Accent4 2 2 2" xfId="1256"/>
    <cellStyle name="40% - Accent4 2 2 2 2" xfId="1257"/>
    <cellStyle name="40% - Accent4 2 2 2 2 2" xfId="1258"/>
    <cellStyle name="40% - Accent4 2 2 2 2 3" xfId="1259"/>
    <cellStyle name="40% - Accent4 2 2 2 2_2.DATA" xfId="1260"/>
    <cellStyle name="40% - Accent4 2 2 2 3" xfId="1261"/>
    <cellStyle name="40% - Accent4 2 2 2 4" xfId="1262"/>
    <cellStyle name="40% - Accent4 2 2 2_2.DATA" xfId="1263"/>
    <cellStyle name="40% - Accent4 2 2 3" xfId="1264"/>
    <cellStyle name="40% - Accent4 2 2 3 2" xfId="1265"/>
    <cellStyle name="40% - Accent4 2 2 3 2 2" xfId="1266"/>
    <cellStyle name="40% - Accent4 2 2 3 2_2.DATA" xfId="1267"/>
    <cellStyle name="40% - Accent4 2 2 3 3" xfId="1268"/>
    <cellStyle name="40% - Accent4 2 2 3_2.DATA" xfId="1269"/>
    <cellStyle name="40% - Accent4 2 2 4" xfId="1270"/>
    <cellStyle name="40% - Accent4 2 2 4 2" xfId="1271"/>
    <cellStyle name="40% - Accent4 2 2 4_2.DATA" xfId="1272"/>
    <cellStyle name="40% - Accent4 2 2 5" xfId="1273"/>
    <cellStyle name="40% - Accent4 2 2 5 2" xfId="1274"/>
    <cellStyle name="40% - Accent4 2 2 5 3" xfId="1275"/>
    <cellStyle name="40% - Accent4 2 2_2.DATA" xfId="1276"/>
    <cellStyle name="40% - Accent4 2 3" xfId="1277"/>
    <cellStyle name="40% - Accent4 2 3 2" xfId="1278"/>
    <cellStyle name="40% - Accent4 2 3 2 2" xfId="1279"/>
    <cellStyle name="40% - Accent4 2 3 2 2 2" xfId="1280"/>
    <cellStyle name="40% - Accent4 2 3 2 3" xfId="1281"/>
    <cellStyle name="40% - Accent4 2 3 2 4" xfId="1282"/>
    <cellStyle name="40% - Accent4 2 3 2_2.DATA" xfId="1283"/>
    <cellStyle name="40% - Accent4 2 3 3" xfId="1284"/>
    <cellStyle name="40% - Accent4 2 3 3 2" xfId="1285"/>
    <cellStyle name="40% - Accent4 2 3 4" xfId="1286"/>
    <cellStyle name="40% - Accent4 2 3 5" xfId="1287"/>
    <cellStyle name="40% - Accent4 2 3 6" xfId="1288"/>
    <cellStyle name="40% - Accent4 2 3_2.DATA" xfId="1289"/>
    <cellStyle name="40% - Accent4 2 4" xfId="1290"/>
    <cellStyle name="40% - Accent4 2 4 2" xfId="1291"/>
    <cellStyle name="40% - Accent4 2 4 2 2" xfId="1292"/>
    <cellStyle name="40% - Accent4 2 4 2 3" xfId="1293"/>
    <cellStyle name="40% - Accent4 2 4 2_2.DATA" xfId="1294"/>
    <cellStyle name="40% - Accent4 2 4 3" xfId="1295"/>
    <cellStyle name="40% - Accent4 2 4 4" xfId="1296"/>
    <cellStyle name="40% - Accent4 2 4_2.DATA" xfId="1297"/>
    <cellStyle name="40% - Accent4 2 5" xfId="1298"/>
    <cellStyle name="40% - Accent4 2 5 2" xfId="1299"/>
    <cellStyle name="40% - Accent4 2 5 3" xfId="1300"/>
    <cellStyle name="40% - Accent4 2 5_2.DATA" xfId="1301"/>
    <cellStyle name="40% - Accent4 2 6" xfId="1302"/>
    <cellStyle name="40% - Accent4 2 6 2" xfId="1303"/>
    <cellStyle name="40% - Accent4 2 6 3" xfId="1304"/>
    <cellStyle name="40% - Accent4 2 7" xfId="1305"/>
    <cellStyle name="40% - Accent4 2_2.DATA" xfId="1306"/>
    <cellStyle name="40% - Accent4 3" xfId="1307"/>
    <cellStyle name="40% - Accent4 3 2" xfId="1308"/>
    <cellStyle name="40% - Accent4 3 2 2" xfId="1309"/>
    <cellStyle name="40% - Accent4 3 2 2 2" xfId="1310"/>
    <cellStyle name="40% - Accent4 3 2 2 2 2" xfId="1311"/>
    <cellStyle name="40% - Accent4 3 2 2 3" xfId="1312"/>
    <cellStyle name="40% - Accent4 3 2 2 4" xfId="1313"/>
    <cellStyle name="40% - Accent4 3 2 2_2.DATA" xfId="1314"/>
    <cellStyle name="40% - Accent4 3 2 3" xfId="1315"/>
    <cellStyle name="40% - Accent4 3 2 3 2" xfId="1316"/>
    <cellStyle name="40% - Accent4 3 2 4" xfId="1317"/>
    <cellStyle name="40% - Accent4 3 2 5" xfId="1318"/>
    <cellStyle name="40% - Accent4 3 2_2.DATA" xfId="1319"/>
    <cellStyle name="40% - Accent4 3 3" xfId="1320"/>
    <cellStyle name="40% - Accent4 3 3 2" xfId="1321"/>
    <cellStyle name="40% - Accent4 3 3 2 2" xfId="1322"/>
    <cellStyle name="40% - Accent4 3 3 2 3" xfId="1323"/>
    <cellStyle name="40% - Accent4 3 3 2_2.DATA" xfId="1324"/>
    <cellStyle name="40% - Accent4 3 3 3" xfId="1325"/>
    <cellStyle name="40% - Accent4 3 3 4" xfId="1326"/>
    <cellStyle name="40% - Accent4 3 3_2.DATA" xfId="1327"/>
    <cellStyle name="40% - Accent4 3 4" xfId="1328"/>
    <cellStyle name="40% - Accent4 3 4 2" xfId="1329"/>
    <cellStyle name="40% - Accent4 3 4 3" xfId="1330"/>
    <cellStyle name="40% - Accent4 3 4_2.DATA" xfId="1331"/>
    <cellStyle name="40% - Accent4 3 5" xfId="1332"/>
    <cellStyle name="40% - Accent4 3 6" xfId="1333"/>
    <cellStyle name="40% - Accent4 3_2.DATA" xfId="1334"/>
    <cellStyle name="40% - Accent4 4" xfId="1335"/>
    <cellStyle name="40% - Accent4 4 2" xfId="1336"/>
    <cellStyle name="40% - Accent4 4 2 2" xfId="1337"/>
    <cellStyle name="40% - Accent4 4 2 2 2" xfId="1338"/>
    <cellStyle name="40% - Accent4 4 2 2_2.DATA" xfId="1339"/>
    <cellStyle name="40% - Accent4 4 2 3" xfId="1340"/>
    <cellStyle name="40% - Accent4 4 2_2.DATA" xfId="1341"/>
    <cellStyle name="40% - Accent4 4 3" xfId="1342"/>
    <cellStyle name="40% - Accent4 4 3 2" xfId="1343"/>
    <cellStyle name="40% - Accent4 4 3_2.DATA" xfId="1344"/>
    <cellStyle name="40% - Accent4 4 4" xfId="1345"/>
    <cellStyle name="40% - Accent4 4_2.DATA" xfId="1346"/>
    <cellStyle name="40% - Accent4 5" xfId="1347"/>
    <cellStyle name="40% - Accent4 5 2" xfId="1348"/>
    <cellStyle name="40% - Accent4 5 2 2" xfId="1349"/>
    <cellStyle name="40% - Accent4 5 2 3" xfId="1350"/>
    <cellStyle name="40% - Accent4 5 2_2.DATA" xfId="1351"/>
    <cellStyle name="40% - Accent4 5 3" xfId="1352"/>
    <cellStyle name="40% - Accent4 5 3 2" xfId="1353"/>
    <cellStyle name="40% - Accent4 5 3 3" xfId="1354"/>
    <cellStyle name="40% - Accent4 5_2.DATA" xfId="1355"/>
    <cellStyle name="40% - Accent4 6" xfId="1356"/>
    <cellStyle name="40% - Accent4 6 2" xfId="1357"/>
    <cellStyle name="40% - Accent4 6 2 2" xfId="1358"/>
    <cellStyle name="40% - Accent4 6 2_2.DATA" xfId="1359"/>
    <cellStyle name="40% - Accent4 6 3" xfId="1360"/>
    <cellStyle name="40% - Accent4 6_2.DATA" xfId="1361"/>
    <cellStyle name="40% - Accent4 7" xfId="1362"/>
    <cellStyle name="40% - Accent4 7 2" xfId="1363"/>
    <cellStyle name="40% - Accent4 7 2 2" xfId="1364"/>
    <cellStyle name="40% - Accent4 7 2_2.DATA" xfId="1365"/>
    <cellStyle name="40% - Accent4 7 3" xfId="1366"/>
    <cellStyle name="40% - Accent4 7_2.DATA" xfId="1367"/>
    <cellStyle name="40% - Accent4 8" xfId="1368"/>
    <cellStyle name="40% - Accent4 8 2" xfId="1369"/>
    <cellStyle name="40% - Accent4 8 2 2" xfId="1370"/>
    <cellStyle name="40% - Accent4 8 2_2.DATA" xfId="1371"/>
    <cellStyle name="40% - Accent4 8 3" xfId="1372"/>
    <cellStyle name="40% - Accent4 8_2.DATA" xfId="1373"/>
    <cellStyle name="40% - Accent4 9" xfId="1374"/>
    <cellStyle name="40% - Accent4 9 2" xfId="1375"/>
    <cellStyle name="40% - Accent4 9 2 2" xfId="1376"/>
    <cellStyle name="40% - Accent4 9 2 3" xfId="1377"/>
    <cellStyle name="40% - Accent4 9 2 4" xfId="1378"/>
    <cellStyle name="40% - Accent4 9 2_2.DATA" xfId="1379"/>
    <cellStyle name="40% - Accent4 9 3" xfId="1380"/>
    <cellStyle name="40% - Accent4 9 4" xfId="1381"/>
    <cellStyle name="40% - Accent4 9_2.DATA" xfId="1382"/>
    <cellStyle name="40% - Accent5 10" xfId="1383"/>
    <cellStyle name="40% - Accent5 10 2" xfId="1384"/>
    <cellStyle name="40% - Accent5 10_2.DATA" xfId="1385"/>
    <cellStyle name="40% - Accent5 11" xfId="1386"/>
    <cellStyle name="40% - Accent5 11 2" xfId="1387"/>
    <cellStyle name="40% - Accent5 11_2.DATA" xfId="1388"/>
    <cellStyle name="40% - Accent5 12" xfId="1389"/>
    <cellStyle name="40% - Accent5 2" xfId="1390"/>
    <cellStyle name="40% - Accent5 2 2" xfId="1391"/>
    <cellStyle name="40% - Accent5 2 2 2" xfId="1392"/>
    <cellStyle name="40% - Accent5 2 2 2 2" xfId="1393"/>
    <cellStyle name="40% - Accent5 2 2 2 2 2" xfId="1394"/>
    <cellStyle name="40% - Accent5 2 2 2 2 3" xfId="1395"/>
    <cellStyle name="40% - Accent5 2 2 2 2_2.DATA" xfId="1396"/>
    <cellStyle name="40% - Accent5 2 2 2 3" xfId="1397"/>
    <cellStyle name="40% - Accent5 2 2 2 4" xfId="1398"/>
    <cellStyle name="40% - Accent5 2 2 2_2.DATA" xfId="1399"/>
    <cellStyle name="40% - Accent5 2 2 3" xfId="1400"/>
    <cellStyle name="40% - Accent5 2 2 3 2" xfId="1401"/>
    <cellStyle name="40% - Accent5 2 2 3 2 2" xfId="1402"/>
    <cellStyle name="40% - Accent5 2 2 3 2_2.DATA" xfId="1403"/>
    <cellStyle name="40% - Accent5 2 2 3 3" xfId="1404"/>
    <cellStyle name="40% - Accent5 2 2 3_2.DATA" xfId="1405"/>
    <cellStyle name="40% - Accent5 2 2 4" xfId="1406"/>
    <cellStyle name="40% - Accent5 2 2 4 2" xfId="1407"/>
    <cellStyle name="40% - Accent5 2 2 4_2.DATA" xfId="1408"/>
    <cellStyle name="40% - Accent5 2 2 5" xfId="1409"/>
    <cellStyle name="40% - Accent5 2 2 5 2" xfId="1410"/>
    <cellStyle name="40% - Accent5 2 2 5 3" xfId="1411"/>
    <cellStyle name="40% - Accent5 2 2_2.DATA" xfId="1412"/>
    <cellStyle name="40% - Accent5 2 3" xfId="1413"/>
    <cellStyle name="40% - Accent5 2 3 2" xfId="1414"/>
    <cellStyle name="40% - Accent5 2 3 2 2" xfId="1415"/>
    <cellStyle name="40% - Accent5 2 3 2 2 2" xfId="1416"/>
    <cellStyle name="40% - Accent5 2 3 2 3" xfId="1417"/>
    <cellStyle name="40% - Accent5 2 3 2 4" xfId="1418"/>
    <cellStyle name="40% - Accent5 2 3 2_2.DATA" xfId="1419"/>
    <cellStyle name="40% - Accent5 2 3 3" xfId="1420"/>
    <cellStyle name="40% - Accent5 2 3 3 2" xfId="1421"/>
    <cellStyle name="40% - Accent5 2 3 4" xfId="1422"/>
    <cellStyle name="40% - Accent5 2 3 5" xfId="1423"/>
    <cellStyle name="40% - Accent5 2 3 6" xfId="1424"/>
    <cellStyle name="40% - Accent5 2 3_2.DATA" xfId="1425"/>
    <cellStyle name="40% - Accent5 2 4" xfId="1426"/>
    <cellStyle name="40% - Accent5 2 4 2" xfId="1427"/>
    <cellStyle name="40% - Accent5 2 4 2 2" xfId="1428"/>
    <cellStyle name="40% - Accent5 2 4 2 3" xfId="1429"/>
    <cellStyle name="40% - Accent5 2 4 2_2.DATA" xfId="1430"/>
    <cellStyle name="40% - Accent5 2 4 3" xfId="1431"/>
    <cellStyle name="40% - Accent5 2 4 4" xfId="1432"/>
    <cellStyle name="40% - Accent5 2 4_2.DATA" xfId="1433"/>
    <cellStyle name="40% - Accent5 2 5" xfId="1434"/>
    <cellStyle name="40% - Accent5 2 5 2" xfId="1435"/>
    <cellStyle name="40% - Accent5 2 5 3" xfId="1436"/>
    <cellStyle name="40% - Accent5 2 5_2.DATA" xfId="1437"/>
    <cellStyle name="40% - Accent5 2 6" xfId="1438"/>
    <cellStyle name="40% - Accent5 2 6 2" xfId="1439"/>
    <cellStyle name="40% - Accent5 2 6 3" xfId="1440"/>
    <cellStyle name="40% - Accent5 2 7" xfId="1441"/>
    <cellStyle name="40% - Accent5 2_2.DATA" xfId="1442"/>
    <cellStyle name="40% - Accent5 3" xfId="1443"/>
    <cellStyle name="40% - Accent5 3 2" xfId="1444"/>
    <cellStyle name="40% - Accent5 3 2 2" xfId="1445"/>
    <cellStyle name="40% - Accent5 3 2 2 2" xfId="1446"/>
    <cellStyle name="40% - Accent5 3 2 2 2 2" xfId="1447"/>
    <cellStyle name="40% - Accent5 3 2 2 3" xfId="1448"/>
    <cellStyle name="40% - Accent5 3 2 2 4" xfId="1449"/>
    <cellStyle name="40% - Accent5 3 2 2_2.DATA" xfId="1450"/>
    <cellStyle name="40% - Accent5 3 2 3" xfId="1451"/>
    <cellStyle name="40% - Accent5 3 2 3 2" xfId="1452"/>
    <cellStyle name="40% - Accent5 3 2 4" xfId="1453"/>
    <cellStyle name="40% - Accent5 3 2 5" xfId="1454"/>
    <cellStyle name="40% - Accent5 3 2_2.DATA" xfId="1455"/>
    <cellStyle name="40% - Accent5 3 3" xfId="1456"/>
    <cellStyle name="40% - Accent5 3 3 2" xfId="1457"/>
    <cellStyle name="40% - Accent5 3 3 2 2" xfId="1458"/>
    <cellStyle name="40% - Accent5 3 3 2 3" xfId="1459"/>
    <cellStyle name="40% - Accent5 3 3 2_2.DATA" xfId="1460"/>
    <cellStyle name="40% - Accent5 3 3 3" xfId="1461"/>
    <cellStyle name="40% - Accent5 3 3 4" xfId="1462"/>
    <cellStyle name="40% - Accent5 3 3_2.DATA" xfId="1463"/>
    <cellStyle name="40% - Accent5 3 4" xfId="1464"/>
    <cellStyle name="40% - Accent5 3 4 2" xfId="1465"/>
    <cellStyle name="40% - Accent5 3 4 3" xfId="1466"/>
    <cellStyle name="40% - Accent5 3 4_2.DATA" xfId="1467"/>
    <cellStyle name="40% - Accent5 3 5" xfId="1468"/>
    <cellStyle name="40% - Accent5 3 6" xfId="1469"/>
    <cellStyle name="40% - Accent5 3_2.DATA" xfId="1470"/>
    <cellStyle name="40% - Accent5 4" xfId="1471"/>
    <cellStyle name="40% - Accent5 4 2" xfId="1472"/>
    <cellStyle name="40% - Accent5 4 2 2" xfId="1473"/>
    <cellStyle name="40% - Accent5 4 2 2 2" xfId="1474"/>
    <cellStyle name="40% - Accent5 4 2 2_2.DATA" xfId="1475"/>
    <cellStyle name="40% - Accent5 4 2 3" xfId="1476"/>
    <cellStyle name="40% - Accent5 4 2_2.DATA" xfId="1477"/>
    <cellStyle name="40% - Accent5 4 3" xfId="1478"/>
    <cellStyle name="40% - Accent5 4 3 2" xfId="1479"/>
    <cellStyle name="40% - Accent5 4 3_2.DATA" xfId="1480"/>
    <cellStyle name="40% - Accent5 4 4" xfId="1481"/>
    <cellStyle name="40% - Accent5 4_2.DATA" xfId="1482"/>
    <cellStyle name="40% - Accent5 5" xfId="1483"/>
    <cellStyle name="40% - Accent5 5 2" xfId="1484"/>
    <cellStyle name="40% - Accent5 5 2 2" xfId="1485"/>
    <cellStyle name="40% - Accent5 5 2 3" xfId="1486"/>
    <cellStyle name="40% - Accent5 5 2_2.DATA" xfId="1487"/>
    <cellStyle name="40% - Accent5 5 3" xfId="1488"/>
    <cellStyle name="40% - Accent5 5 3 2" xfId="1489"/>
    <cellStyle name="40% - Accent5 5 3 3" xfId="1490"/>
    <cellStyle name="40% - Accent5 5_2.DATA" xfId="1491"/>
    <cellStyle name="40% - Accent5 6" xfId="1492"/>
    <cellStyle name="40% - Accent5 6 2" xfId="1493"/>
    <cellStyle name="40% - Accent5 6 2 2" xfId="1494"/>
    <cellStyle name="40% - Accent5 6 2_2.DATA" xfId="1495"/>
    <cellStyle name="40% - Accent5 6 3" xfId="1496"/>
    <cellStyle name="40% - Accent5 6_2.DATA" xfId="1497"/>
    <cellStyle name="40% - Accent5 7" xfId="1498"/>
    <cellStyle name="40% - Accent5 7 2" xfId="1499"/>
    <cellStyle name="40% - Accent5 7 2 2" xfId="1500"/>
    <cellStyle name="40% - Accent5 7 2_2.DATA" xfId="1501"/>
    <cellStyle name="40% - Accent5 7 3" xfId="1502"/>
    <cellStyle name="40% - Accent5 7_2.DATA" xfId="1503"/>
    <cellStyle name="40% - Accent5 8" xfId="1504"/>
    <cellStyle name="40% - Accent5 8 2" xfId="1505"/>
    <cellStyle name="40% - Accent5 8 2 2" xfId="1506"/>
    <cellStyle name="40% - Accent5 8 2_2.DATA" xfId="1507"/>
    <cellStyle name="40% - Accent5 8 3" xfId="1508"/>
    <cellStyle name="40% - Accent5 8_2.DATA" xfId="1509"/>
    <cellStyle name="40% - Accent5 9" xfId="1510"/>
    <cellStyle name="40% - Accent5 9 2" xfId="1511"/>
    <cellStyle name="40% - Accent5 9 2 2" xfId="1512"/>
    <cellStyle name="40% - Accent5 9 2 3" xfId="1513"/>
    <cellStyle name="40% - Accent5 9 2 4" xfId="1514"/>
    <cellStyle name="40% - Accent5 9 2_2.DATA" xfId="1515"/>
    <cellStyle name="40% - Accent5 9 3" xfId="1516"/>
    <cellStyle name="40% - Accent5 9 4" xfId="1517"/>
    <cellStyle name="40% - Accent5 9_2.DATA" xfId="1518"/>
    <cellStyle name="40% - Accent6 10" xfId="1519"/>
    <cellStyle name="40% - Accent6 10 2" xfId="1520"/>
    <cellStyle name="40% - Accent6 10_2.DATA" xfId="1521"/>
    <cellStyle name="40% - Accent6 11" xfId="1522"/>
    <cellStyle name="40% - Accent6 11 2" xfId="1523"/>
    <cellStyle name="40% - Accent6 11_2.DATA" xfId="1524"/>
    <cellStyle name="40% - Accent6 12" xfId="1525"/>
    <cellStyle name="40% - Accent6 2" xfId="1526"/>
    <cellStyle name="40% - Accent6 2 2" xfId="1527"/>
    <cellStyle name="40% - Accent6 2 2 2" xfId="1528"/>
    <cellStyle name="40% - Accent6 2 2 2 2" xfId="1529"/>
    <cellStyle name="40% - Accent6 2 2 2 2 2" xfId="1530"/>
    <cellStyle name="40% - Accent6 2 2 2 2 3" xfId="1531"/>
    <cellStyle name="40% - Accent6 2 2 2 2_2.DATA" xfId="1532"/>
    <cellStyle name="40% - Accent6 2 2 2 3" xfId="1533"/>
    <cellStyle name="40% - Accent6 2 2 2 4" xfId="1534"/>
    <cellStyle name="40% - Accent6 2 2 2_2.DATA" xfId="1535"/>
    <cellStyle name="40% - Accent6 2 2 3" xfId="1536"/>
    <cellStyle name="40% - Accent6 2 2 3 2" xfId="1537"/>
    <cellStyle name="40% - Accent6 2 2 3 2 2" xfId="1538"/>
    <cellStyle name="40% - Accent6 2 2 3 2_2.DATA" xfId="1539"/>
    <cellStyle name="40% - Accent6 2 2 3 3" xfId="1540"/>
    <cellStyle name="40% - Accent6 2 2 3_2.DATA" xfId="1541"/>
    <cellStyle name="40% - Accent6 2 2 4" xfId="1542"/>
    <cellStyle name="40% - Accent6 2 2 4 2" xfId="1543"/>
    <cellStyle name="40% - Accent6 2 2 4_2.DATA" xfId="1544"/>
    <cellStyle name="40% - Accent6 2 2 5" xfId="1545"/>
    <cellStyle name="40% - Accent6 2 2 5 2" xfId="1546"/>
    <cellStyle name="40% - Accent6 2 2 5 3" xfId="1547"/>
    <cellStyle name="40% - Accent6 2 2_2.DATA" xfId="1548"/>
    <cellStyle name="40% - Accent6 2 3" xfId="1549"/>
    <cellStyle name="40% - Accent6 2 3 2" xfId="1550"/>
    <cellStyle name="40% - Accent6 2 3 2 2" xfId="1551"/>
    <cellStyle name="40% - Accent6 2 3 2 2 2" xfId="1552"/>
    <cellStyle name="40% - Accent6 2 3 2 3" xfId="1553"/>
    <cellStyle name="40% - Accent6 2 3 2 4" xfId="1554"/>
    <cellStyle name="40% - Accent6 2 3 2_2.DATA" xfId="1555"/>
    <cellStyle name="40% - Accent6 2 3 3" xfId="1556"/>
    <cellStyle name="40% - Accent6 2 3 3 2" xfId="0"/>
    <cellStyle name="40% - Accent6 2 3 4" xfId="0"/>
    <cellStyle name="40% - Accent6 2 3 5" xfId="0"/>
    <cellStyle name="40% - Accent6 2 3 6" xfId="0"/>
    <cellStyle name="40% - Accent6 2 3_2.DATA" xfId="0"/>
    <cellStyle name="40% - Accent6 2 4" xfId="0"/>
    <cellStyle name="40% - Accent6 2 4 2" xfId="0"/>
    <cellStyle name="40% - Accent6 2 4 2 2" xfId="0"/>
    <cellStyle name="40% - Accent6 2 4 2 3" xfId="0"/>
    <cellStyle name="40% - Accent6 2 4 2_2.DATA" xfId="0"/>
    <cellStyle name="40% - Accent6 2 4 3" xfId="0"/>
    <cellStyle name="40% - Accent6 2 4 4" xfId="0"/>
    <cellStyle name="40% - Accent6 2 4_2.DATA" xfId="0"/>
    <cellStyle name="40% - Accent6 2 5" xfId="0"/>
    <cellStyle name="40% - Accent6 2 5 2" xfId="0"/>
    <cellStyle name="40% - Accent6 2 5 3" xfId="0"/>
    <cellStyle name="40% - Accent6 2 5_2.DATA" xfId="0"/>
    <cellStyle name="40% - Accent6 2 6" xfId="0"/>
    <cellStyle name="40% - Accent6 2 6 2" xfId="0"/>
    <cellStyle name="40% - Accent6 2 6 3" xfId="0"/>
    <cellStyle name="40% - Accent6 2 7" xfId="0"/>
    <cellStyle name="40% - Accent6 2_2.DATA" xfId="0"/>
    <cellStyle name="40% - Accent6 3" xfId="0"/>
    <cellStyle name="40% - Accent6 3 2" xfId="0"/>
    <cellStyle name="40% - Accent6 3 2 2" xfId="0"/>
    <cellStyle name="40% - Accent6 3 2 2 2" xfId="0"/>
    <cellStyle name="40% - Accent6 3 2 2 2 2" xfId="0"/>
    <cellStyle name="40% - Accent6 3 2 2 3" xfId="0"/>
    <cellStyle name="40% - Accent6 3 2 2 4" xfId="0"/>
    <cellStyle name="40% - Accent6 3 2 2_2.DATA" xfId="0"/>
    <cellStyle name="40% - Accent6 3 2 3" xfId="0"/>
    <cellStyle name="40% - Accent6 3 2 3 2" xfId="0"/>
    <cellStyle name="40% - Accent6 3 2 4" xfId="0"/>
    <cellStyle name="40% - Accent6 3 2 5" xfId="0"/>
    <cellStyle name="40% - Accent6 3 2_2.DATA" xfId="0"/>
    <cellStyle name="40% - Accent6 3 3" xfId="0"/>
    <cellStyle name="40% - Accent6 3 3 2" xfId="0"/>
    <cellStyle name="40% - Accent6 3 3 2 2" xfId="0"/>
    <cellStyle name="40% - Accent6 3 3 2 3" xfId="0"/>
    <cellStyle name="40% - Accent6 3 3 2_2.DATA" xfId="0"/>
    <cellStyle name="40% - Accent6 3 3 3" xfId="0"/>
    <cellStyle name="40% - Accent6 3 3 4" xfId="0"/>
    <cellStyle name="40% - Accent6 3 3_2.DATA" xfId="0"/>
    <cellStyle name="40% - Accent6 3 4" xfId="0"/>
    <cellStyle name="40% - Accent6 3 4 2" xfId="0"/>
    <cellStyle name="40% - Accent6 3 4 3" xfId="0"/>
    <cellStyle name="40% - Accent6 3 4_2.DATA" xfId="0"/>
    <cellStyle name="40% - Accent6 3 5" xfId="0"/>
    <cellStyle name="40% - Accent6 3 6" xfId="0"/>
    <cellStyle name="40% - Accent6 3_2.DATA" xfId="0"/>
    <cellStyle name="40% - Accent6 4" xfId="0"/>
    <cellStyle name="40% - Accent6 4 2" xfId="0"/>
    <cellStyle name="40% - Accent6 4 2 2" xfId="0"/>
    <cellStyle name="40% - Accent6 4 2 2 2" xfId="0"/>
    <cellStyle name="40% - Accent6 4 2 2_2.DATA" xfId="0"/>
    <cellStyle name="40% - Accent6 4 2 3" xfId="0"/>
    <cellStyle name="40% - Accent6 4 2_2.DATA" xfId="0"/>
    <cellStyle name="40% - Accent6 4 3" xfId="0"/>
    <cellStyle name="40% - Accent6 4 3 2" xfId="0"/>
    <cellStyle name="40% - Accent6 4 3_2.DATA" xfId="0"/>
    <cellStyle name="40% - Accent6 4 4" xfId="0"/>
    <cellStyle name="40% - Accent6 4_2.DATA" xfId="0"/>
    <cellStyle name="40% - Accent6 5" xfId="0"/>
    <cellStyle name="40% - Accent6 5 2" xfId="0"/>
    <cellStyle name="40% - Accent6 5 2 2" xfId="0"/>
    <cellStyle name="40% - Accent6 5 2 3" xfId="0"/>
    <cellStyle name="40% - Accent6 5 2_2.DATA" xfId="0"/>
    <cellStyle name="40% - Accent6 5 3" xfId="0"/>
    <cellStyle name="40% - Accent6 5 3 2" xfId="0"/>
    <cellStyle name="40% - Accent6 5 3 3" xfId="0"/>
    <cellStyle name="40% - Accent6 5_2.DATA" xfId="0"/>
    <cellStyle name="40% - Accent6 6" xfId="0"/>
    <cellStyle name="40% - Accent6 6 2" xfId="0"/>
    <cellStyle name="40% - Accent6 6 2 2" xfId="0"/>
    <cellStyle name="40% - Accent6 6 2_2.DATA" xfId="0"/>
    <cellStyle name="40% - Accent6 6 3" xfId="0"/>
    <cellStyle name="40% - Accent6 6_2.DATA" xfId="0"/>
    <cellStyle name="40% - Accent6 7" xfId="0"/>
    <cellStyle name="40% - Accent6 7 2" xfId="0"/>
    <cellStyle name="40% - Accent6 7 2 2" xfId="0"/>
    <cellStyle name="40% - Accent6 7 2_2.DATA" xfId="0"/>
    <cellStyle name="40% - Accent6 7 3" xfId="0"/>
    <cellStyle name="40% - Accent6 7_2.DATA" xfId="0"/>
    <cellStyle name="40% - Accent6 8" xfId="0"/>
    <cellStyle name="40% - Accent6 8 2" xfId="0"/>
    <cellStyle name="40% - Accent6 8 2 2" xfId="0"/>
    <cellStyle name="40% - Accent6 8 2_2.DATA" xfId="0"/>
    <cellStyle name="40% - Accent6 8 3" xfId="0"/>
    <cellStyle name="40% - Accent6 8_2.DATA" xfId="0"/>
    <cellStyle name="40% - Accent6 9" xfId="0"/>
    <cellStyle name="40% - Accent6 9 2" xfId="0"/>
    <cellStyle name="40% - Accent6 9 2 2" xfId="0"/>
    <cellStyle name="40% - Accent6 9 2 3" xfId="0"/>
    <cellStyle name="40% - Accent6 9 2 4" xfId="0"/>
    <cellStyle name="40% - Accent6 9 2_2.DATA" xfId="0"/>
    <cellStyle name="40% - Accent6 9 3" xfId="0"/>
    <cellStyle name="40% - Accent6 9 4" xfId="0"/>
    <cellStyle name="40% - Accent6 9_2.DATA" xfId="0"/>
    <cellStyle name="60% - Accent1 2" xfId="0"/>
    <cellStyle name="60% - Accent1 2 2" xfId="0"/>
    <cellStyle name="60% - Accent1 2 3" xfId="0"/>
    <cellStyle name="60% - Accent1 2 4" xfId="0"/>
    <cellStyle name="60% - Accent1 3" xfId="0"/>
    <cellStyle name="60% - Accent1 3 2" xfId="0"/>
    <cellStyle name="60% - Accent1 3 3" xfId="0"/>
    <cellStyle name="60% - Accent1 3_2.DATA" xfId="0"/>
    <cellStyle name="60% - Accent2 2" xfId="0"/>
    <cellStyle name="60% - Accent2 2 2" xfId="0"/>
    <cellStyle name="60% - Accent2 2 3" xfId="0"/>
    <cellStyle name="60% - Accent2 2 4" xfId="0"/>
    <cellStyle name="60% - Accent2 3" xfId="0"/>
    <cellStyle name="60% - Accent2 3 2" xfId="0"/>
    <cellStyle name="60% - Accent2 3 3" xfId="0"/>
    <cellStyle name="60% - Accent2 3_2.DATA" xfId="0"/>
    <cellStyle name="60% - Accent3 2" xfId="0"/>
    <cellStyle name="60% - Accent3 2 2" xfId="0"/>
    <cellStyle name="60% - Accent3 2 3" xfId="0"/>
    <cellStyle name="60% - Accent3 2 4" xfId="0"/>
    <cellStyle name="60% - Accent3 3" xfId="0"/>
    <cellStyle name="60% - Accent3 3 2" xfId="0"/>
    <cellStyle name="60% - Accent3 3 3" xfId="0"/>
    <cellStyle name="60% - Accent3 3_2.DATA" xfId="0"/>
    <cellStyle name="60% - Accent4 2" xfId="0"/>
    <cellStyle name="60% - Accent4 2 2" xfId="0"/>
    <cellStyle name="60% - Accent4 2 3" xfId="0"/>
    <cellStyle name="60% - Accent4 2 4" xfId="0"/>
    <cellStyle name="60% - Accent4 3" xfId="0"/>
    <cellStyle name="60% - Accent4 3 2" xfId="0"/>
    <cellStyle name="60% - Accent4 3 3" xfId="0"/>
    <cellStyle name="60% - Accent4 3_2.DATA" xfId="0"/>
    <cellStyle name="60% - Accent5 2" xfId="0"/>
    <cellStyle name="60% - Accent5 2 2" xfId="0"/>
    <cellStyle name="60% - Accent5 2 3" xfId="0"/>
    <cellStyle name="60% - Accent5 2 4" xfId="0"/>
    <cellStyle name="60% - Accent5 3" xfId="0"/>
    <cellStyle name="60% - Accent5 3 2" xfId="0"/>
    <cellStyle name="60% - Accent5 3 3" xfId="0"/>
    <cellStyle name="60% - Accent5 3_2.DATA" xfId="0"/>
    <cellStyle name="60% - Accent6 2" xfId="0"/>
    <cellStyle name="60% - Accent6 2 2" xfId="0"/>
    <cellStyle name="60% - Accent6 2 3" xfId="0"/>
    <cellStyle name="60% - Accent6 2 4" xfId="0"/>
    <cellStyle name="60% - Accent6 3" xfId="0"/>
    <cellStyle name="60% - Accent6 3 2" xfId="0"/>
    <cellStyle name="60% - Accent6 3 3" xfId="0"/>
    <cellStyle name="60% - Accent6 3_2.DATA" xfId="0"/>
    <cellStyle name="=C:\WINNT\SYSTEM32\COMMAND.COM" xfId="0"/>
    <cellStyle name="=C:\WINNT\SYSTEM32\COMMAND.COM 2" xfId="0"/>
    <cellStyle name="=C:\WINNT\SYSTEM32\COMMAND.COM 3" xfId="0"/>
    <cellStyle name="=C:\WINNT\SYSTEM32\COMMAND.COM 4" xfId="0"/>
    <cellStyle name="=C:\WINNT\SYSTEM32\COMMAND.COM 5" xfId="0"/>
    <cellStyle name="=C:\WINNT\SYSTEM32\COMMAND.COM 6" xfId="0"/>
    <cellStyle name="=C:\WINNT\SYSTEM32\COMMAND.COM 7" xfId="0"/>
    <cellStyle name="=C:\WINNT\SYSTEM32\COMMAND.COM 8" xfId="0"/>
    <cellStyle name="Accent1 2" xfId="0"/>
    <cellStyle name="Accent1 2 2" xfId="0"/>
    <cellStyle name="Accent1 2 3" xfId="0"/>
    <cellStyle name="Accent1 2 4" xfId="0"/>
    <cellStyle name="Accent1 3" xfId="0"/>
    <cellStyle name="Accent1 3 2" xfId="0"/>
    <cellStyle name="Accent1 3 3" xfId="0"/>
    <cellStyle name="Accent1 3_2.DATA" xfId="0"/>
    <cellStyle name="Accent2 2" xfId="0"/>
    <cellStyle name="Accent2 2 2" xfId="0"/>
    <cellStyle name="Accent2 2 3" xfId="0"/>
    <cellStyle name="Accent2 2 4" xfId="0"/>
    <cellStyle name="Accent2 3" xfId="0"/>
    <cellStyle name="Accent2 3 2" xfId="0"/>
    <cellStyle name="Accent2 3 3" xfId="0"/>
    <cellStyle name="Accent2 3_2.DATA" xfId="0"/>
    <cellStyle name="Accent3 2" xfId="0"/>
    <cellStyle name="Accent3 2 2" xfId="0"/>
    <cellStyle name="Accent3 2 3" xfId="0"/>
    <cellStyle name="Accent3 2 4" xfId="0"/>
    <cellStyle name="Accent3 3" xfId="0"/>
    <cellStyle name="Accent3 3 2" xfId="0"/>
    <cellStyle name="Accent3 3 3" xfId="0"/>
    <cellStyle name="Accent3 3_2.DATA" xfId="0"/>
    <cellStyle name="Accent4 2" xfId="0"/>
    <cellStyle name="Accent4 2 2" xfId="0"/>
    <cellStyle name="Accent4 2 3" xfId="0"/>
    <cellStyle name="Accent4 2 4" xfId="0"/>
    <cellStyle name="Accent4 3" xfId="0"/>
    <cellStyle name="Accent4 3 2" xfId="0"/>
    <cellStyle name="Accent4 3 3" xfId="0"/>
    <cellStyle name="Accent4 3_2.DATA" xfId="0"/>
    <cellStyle name="Accent5 2" xfId="0"/>
    <cellStyle name="Accent5 2 2" xfId="0"/>
    <cellStyle name="Accent5 2 3" xfId="0"/>
    <cellStyle name="Accent5 2 4" xfId="0"/>
    <cellStyle name="Accent5 3" xfId="0"/>
    <cellStyle name="Accent5 3 2" xfId="0"/>
    <cellStyle name="Accent5 3 3" xfId="0"/>
    <cellStyle name="Accent5 3_2.DATA" xfId="0"/>
    <cellStyle name="Accent6 2" xfId="0"/>
    <cellStyle name="Accent6 2 2" xfId="0"/>
    <cellStyle name="Accent6 2 3" xfId="0"/>
    <cellStyle name="Accent6 2 4" xfId="0"/>
    <cellStyle name="Accent6 3" xfId="0"/>
    <cellStyle name="Accent6 3 2" xfId="0"/>
    <cellStyle name="Accent6 3 3" xfId="0"/>
    <cellStyle name="Accent6 3_2.DATA" xfId="0"/>
    <cellStyle name="Activity" xfId="0"/>
    <cellStyle name="Assumptions Center Currency" xfId="0"/>
    <cellStyle name="Assumptions Center Currency 2" xfId="0"/>
    <cellStyle name="Assumptions Center Currency 3" xfId="0"/>
    <cellStyle name="Assumptions Center Date" xfId="0"/>
    <cellStyle name="Assumptions Center Date 2" xfId="0"/>
    <cellStyle name="Assumptions Center Date 3" xfId="0"/>
    <cellStyle name="Assumptions Center Multiple" xfId="0"/>
    <cellStyle name="Assumptions Center Multiple 2" xfId="0"/>
    <cellStyle name="Assumptions Center Multiple 3" xfId="0"/>
    <cellStyle name="Assumptions Center Number" xfId="0"/>
    <cellStyle name="Assumptions Center Number 2" xfId="0"/>
    <cellStyle name="Assumptions Center Number 3" xfId="0"/>
    <cellStyle name="Assumptions Center Percentage" xfId="0"/>
    <cellStyle name="Assumptions Center Percentage 2" xfId="0"/>
    <cellStyle name="Assumptions Center Percentage 3" xfId="0"/>
    <cellStyle name="Assumptions Center Year" xfId="0"/>
    <cellStyle name="Assumptions Center Year 2" xfId="0"/>
    <cellStyle name="Assumptions Center Year 3" xfId="0"/>
    <cellStyle name="Assumptions Heading" xfId="0"/>
    <cellStyle name="Assumptions Heading 2" xfId="0"/>
    <cellStyle name="Assumptions Heading 3" xfId="0"/>
    <cellStyle name="Assumptions Right Currency" xfId="0"/>
    <cellStyle name="Assumptions Right Currency 2" xfId="0"/>
    <cellStyle name="Assumptions Right Currency 3" xfId="0"/>
    <cellStyle name="Assumptions Right Date" xfId="0"/>
    <cellStyle name="Assumptions Right Date 2" xfId="0"/>
    <cellStyle name="Assumptions Right Date 3" xfId="0"/>
    <cellStyle name="Assumptions Right Multiple" xfId="0"/>
    <cellStyle name="Assumptions Right Multiple 2" xfId="0"/>
    <cellStyle name="Assumptions Right Multiple 3" xfId="0"/>
    <cellStyle name="Assumptions Right Number" xfId="0"/>
    <cellStyle name="Assumptions Right Number 2" xfId="0"/>
    <cellStyle name="Assumptions Right Number 3" xfId="0"/>
    <cellStyle name="Assumptions Right Percentage" xfId="0"/>
    <cellStyle name="Assumptions Right Percentage 2" xfId="0"/>
    <cellStyle name="Assumptions Right Percentage 3" xfId="0"/>
    <cellStyle name="Assumptions Right Year" xfId="0"/>
    <cellStyle name="Assumptions Right Year 2" xfId="0"/>
    <cellStyle name="Assumptions Right Year 3" xfId="0"/>
    <cellStyle name="AXAPTA_Bold" xfId="0"/>
    <cellStyle name="Bad 2" xfId="0"/>
    <cellStyle name="Bad 2 2" xfId="0"/>
    <cellStyle name="Bad 2 3" xfId="0"/>
    <cellStyle name="Bad 2 4" xfId="0"/>
    <cellStyle name="Bad 3" xfId="0"/>
    <cellStyle name="Bad 3 2" xfId="0"/>
    <cellStyle name="Bad 3 3" xfId="0"/>
    <cellStyle name="Bad 3_2.DATA" xfId="0"/>
    <cellStyle name="Bad 4" xfId="0"/>
    <cellStyle name="C:\Data\MS\Excel" xfId="0"/>
    <cellStyle name="Calculation 2" xfId="0"/>
    <cellStyle name="Calculation 2 2" xfId="0"/>
    <cellStyle name="Calculation 2 2 2" xfId="0"/>
    <cellStyle name="Calculation 2 2 3" xfId="0"/>
    <cellStyle name="Calculation 2 2 4" xfId="0"/>
    <cellStyle name="Calculation 2 2_BC Valid CC Listing" xfId="0"/>
    <cellStyle name="Calculation 2 3" xfId="0"/>
    <cellStyle name="Calculation 2 4" xfId="0"/>
    <cellStyle name="Calculation 2 5" xfId="0"/>
    <cellStyle name="Calculation 2 6" xfId="0"/>
    <cellStyle name="Calculation 2 7" xfId="0"/>
    <cellStyle name="Calculation 2_BC Valid CC Listing" xfId="0"/>
    <cellStyle name="Calculation 3" xfId="0"/>
    <cellStyle name="Calculation 3 2" xfId="0"/>
    <cellStyle name="Calculation 3 3" xfId="0"/>
    <cellStyle name="Calculation 3_2.DATA" xfId="0"/>
    <cellStyle name="Calculation 4" xfId="0"/>
    <cellStyle name="Calculation 5" xfId="0"/>
    <cellStyle name="Cell Link" xfId="0"/>
    <cellStyle name="Center Currency" xfId="0"/>
    <cellStyle name="Center Date" xfId="0"/>
    <cellStyle name="Center Multiple" xfId="0"/>
    <cellStyle name="Center Number" xfId="0"/>
    <cellStyle name="Center Percentage" xfId="0"/>
    <cellStyle name="Center Year" xfId="0"/>
    <cellStyle name="Check Cell 2" xfId="0"/>
    <cellStyle name="Check Cell 2 2" xfId="0"/>
    <cellStyle name="Check Cell 2 3" xfId="0"/>
    <cellStyle name="Check Cell 2 4" xfId="0"/>
    <cellStyle name="Check Cell 3" xfId="0"/>
    <cellStyle name="Check Cell 3 2" xfId="0"/>
    <cellStyle name="Check Cell 3 3" xfId="0"/>
    <cellStyle name="Check Cell 3_2.DATA" xfId="0"/>
    <cellStyle name="Comma 10" xfId="0"/>
    <cellStyle name="Comma 10 2" xfId="0"/>
    <cellStyle name="Comma 10 2 2" xfId="0"/>
    <cellStyle name="Comma 10 2 2 2" xfId="0"/>
    <cellStyle name="Comma 10 2 2 2 2" xfId="0"/>
    <cellStyle name="Comma 10 2 2 2 2 2" xfId="0"/>
    <cellStyle name="Comma 10 2 2 2 3" xfId="0"/>
    <cellStyle name="Comma 10 2 2 3" xfId="0"/>
    <cellStyle name="Comma 10 2 2 3 2" xfId="0"/>
    <cellStyle name="Comma 10 2 2 4" xfId="0"/>
    <cellStyle name="Comma 10 2 3" xfId="0"/>
    <cellStyle name="Comma 10 2 3 2" xfId="0"/>
    <cellStyle name="Comma 10 2 4" xfId="0"/>
    <cellStyle name="Comma 10 3" xfId="0"/>
    <cellStyle name="Comma 10 3 2" xfId="0"/>
    <cellStyle name="Comma 10 3 2 2" xfId="0"/>
    <cellStyle name="Comma 10 3 2 2 2" xfId="0"/>
    <cellStyle name="Comma 10 3 3" xfId="0"/>
    <cellStyle name="Comma 10 3 3 2" xfId="0"/>
    <cellStyle name="Comma 10 3 4" xfId="0"/>
    <cellStyle name="Comma 10 4" xfId="0"/>
    <cellStyle name="Comma 10 4 2" xfId="0"/>
    <cellStyle name="Comma 10 4 2 2" xfId="0"/>
    <cellStyle name="Comma 10 5" xfId="0"/>
    <cellStyle name="Comma 10 5 2" xfId="0"/>
    <cellStyle name="Comma 10 5 2 2" xfId="0"/>
    <cellStyle name="Comma 10 5 3" xfId="0"/>
    <cellStyle name="Comma 10_2.DATA" xfId="0"/>
    <cellStyle name="Comma 11" xfId="0"/>
    <cellStyle name="Comma 11 2" xfId="0"/>
    <cellStyle name="Comma 11 2 2" xfId="0"/>
    <cellStyle name="Comma 11 2 2 2" xfId="0"/>
    <cellStyle name="Comma 11 2 2 2 2" xfId="0"/>
    <cellStyle name="Comma 11 2 2 3" xfId="0"/>
    <cellStyle name="Comma 11 2 3" xfId="0"/>
    <cellStyle name="Comma 11 2 3 2" xfId="0"/>
    <cellStyle name="Comma 11 2 4" xfId="0"/>
    <cellStyle name="Comma 11 3" xfId="0"/>
    <cellStyle name="Comma 11 3 2" xfId="0"/>
    <cellStyle name="Comma 11 3 2 2" xfId="0"/>
    <cellStyle name="Comma 11 3 3" xfId="0"/>
    <cellStyle name="Comma 11 4" xfId="0"/>
    <cellStyle name="Comma 11 4 2" xfId="0"/>
    <cellStyle name="Comma 11 5" xfId="0"/>
    <cellStyle name="Comma 12" xfId="0"/>
    <cellStyle name="Comma 12 2" xfId="0"/>
    <cellStyle name="Comma 12 2 2" xfId="0"/>
    <cellStyle name="Comma 12 2 2 2" xfId="0"/>
    <cellStyle name="Comma 12 2 2 2 2" xfId="0"/>
    <cellStyle name="Comma 12 2 2 3" xfId="0"/>
    <cellStyle name="Comma 12 2 3" xfId="0"/>
    <cellStyle name="Comma 12 2 3 2" xfId="0"/>
    <cellStyle name="Comma 12 2 4" xfId="0"/>
    <cellStyle name="Comma 12 3" xfId="0"/>
    <cellStyle name="Comma 12 3 2" xfId="0"/>
    <cellStyle name="Comma 12 3 2 2" xfId="0"/>
    <cellStyle name="Comma 12 3 3" xfId="0"/>
    <cellStyle name="Comma 12 4" xfId="0"/>
    <cellStyle name="Comma 12 4 2" xfId="0"/>
    <cellStyle name="Comma 12 5" xfId="0"/>
    <cellStyle name="Comma 13" xfId="0"/>
    <cellStyle name="Comma 13 2" xfId="0"/>
    <cellStyle name="Comma 13 2 2" xfId="0"/>
    <cellStyle name="Comma 13 2 2 2" xfId="0"/>
    <cellStyle name="Comma 13 2 2 2 2" xfId="0"/>
    <cellStyle name="Comma 13 2 2 3" xfId="0"/>
    <cellStyle name="Comma 13 2 3" xfId="0"/>
    <cellStyle name="Comma 13 2 3 2" xfId="0"/>
    <cellStyle name="Comma 13 2 4" xfId="0"/>
    <cellStyle name="Comma 13 3" xfId="0"/>
    <cellStyle name="Comma 13 3 2" xfId="0"/>
    <cellStyle name="Comma 13 3 2 2" xfId="0"/>
    <cellStyle name="Comma 13 3 3" xfId="0"/>
    <cellStyle name="Comma 13 4" xfId="0"/>
    <cellStyle name="Comma 13 4 2" xfId="0"/>
    <cellStyle name="Comma 13 5" xfId="0"/>
    <cellStyle name="Comma 14" xfId="0"/>
    <cellStyle name="Comma 14 2" xfId="0"/>
    <cellStyle name="Comma 14 2 2" xfId="0"/>
    <cellStyle name="Comma 14 2 2 2" xfId="0"/>
    <cellStyle name="Comma 14 2 3" xfId="0"/>
    <cellStyle name="Comma 14 3" xfId="0"/>
    <cellStyle name="Comma 14 3 2" xfId="0"/>
    <cellStyle name="Comma 14 4" xfId="0"/>
    <cellStyle name="Comma 15" xfId="0"/>
    <cellStyle name="Comma 15 2" xfId="0"/>
    <cellStyle name="Comma 15 2 2" xfId="0"/>
    <cellStyle name="Comma 15 2 2 2" xfId="0"/>
    <cellStyle name="Comma 15 2 3" xfId="0"/>
    <cellStyle name="Comma 15 3" xfId="0"/>
    <cellStyle name="Comma 15 3 2" xfId="0"/>
    <cellStyle name="Comma 15 4" xfId="0"/>
    <cellStyle name="Comma 16" xfId="0"/>
    <cellStyle name="Comma 16 2" xfId="0"/>
    <cellStyle name="Comma 16 2 2" xfId="0"/>
    <cellStyle name="Comma 16 2 2 2" xfId="0"/>
    <cellStyle name="Comma 16 2 3" xfId="0"/>
    <cellStyle name="Comma 16 3" xfId="0"/>
    <cellStyle name="Comma 16 3 2" xfId="0"/>
    <cellStyle name="Comma 16 4" xfId="0"/>
    <cellStyle name="Comma 17" xfId="0"/>
    <cellStyle name="Comma 17 2" xfId="0"/>
    <cellStyle name="Comma 17 2 2" xfId="0"/>
    <cellStyle name="Comma 17 2 2 2" xfId="0"/>
    <cellStyle name="Comma 17 2 3" xfId="0"/>
    <cellStyle name="Comma 17 3" xfId="0"/>
    <cellStyle name="Comma 17 3 2" xfId="0"/>
    <cellStyle name="Comma 17 4" xfId="0"/>
    <cellStyle name="Comma 18" xfId="0"/>
    <cellStyle name="Comma 18 2" xfId="0"/>
    <cellStyle name="Comma 18 2 2" xfId="0"/>
    <cellStyle name="Comma 18 2 2 2" xfId="0"/>
    <cellStyle name="Comma 18 2 3" xfId="0"/>
    <cellStyle name="Comma 18 3" xfId="0"/>
    <cellStyle name="Comma 18 3 2" xfId="0"/>
    <cellStyle name="Comma 18 4" xfId="0"/>
    <cellStyle name="Comma 184" xfId="0"/>
    <cellStyle name="Comma 184 2" xfId="0"/>
    <cellStyle name="Comma 184 2 2" xfId="0"/>
    <cellStyle name="Comma 184 2 2 2" xfId="0"/>
    <cellStyle name="Comma 184 2 2 2 2" xfId="0"/>
    <cellStyle name="Comma 184 2 2 2 2 2" xfId="0"/>
    <cellStyle name="Comma 184 2 2 2 2 2 2" xfId="0"/>
    <cellStyle name="Comma 184 2 2 2 2 3" xfId="0"/>
    <cellStyle name="Comma 184 2 2 2 3" xfId="0"/>
    <cellStyle name="Comma 184 2 2 2 3 2" xfId="0"/>
    <cellStyle name="Comma 184 2 2 2 4" xfId="0"/>
    <cellStyle name="Comma 184 2 2 3" xfId="0"/>
    <cellStyle name="Comma 184 2 2 3 2" xfId="0"/>
    <cellStyle name="Comma 184 2 2 3 2 2" xfId="0"/>
    <cellStyle name="Comma 184 2 2 3 3" xfId="0"/>
    <cellStyle name="Comma 184 2 2 4" xfId="0"/>
    <cellStyle name="Comma 184 2 2 4 2" xfId="0"/>
    <cellStyle name="Comma 184 2 2 5" xfId="0"/>
    <cellStyle name="Comma 184 2 3" xfId="0"/>
    <cellStyle name="Comma 184 2 3 2" xfId="0"/>
    <cellStyle name="Comma 184 2 3 2 2" xfId="0"/>
    <cellStyle name="Comma 184 2 3 2 2 2" xfId="0"/>
    <cellStyle name="Comma 184 2 3 2 2 2 2" xfId="0"/>
    <cellStyle name="Comma 184 2 3 2 2 3" xfId="0"/>
    <cellStyle name="Comma 184 2 3 2 3" xfId="0"/>
    <cellStyle name="Comma 184 2 3 2 3 2" xfId="0"/>
    <cellStyle name="Comma 184 2 3 2 4" xfId="0"/>
    <cellStyle name="Comma 184 2 3 3" xfId="0"/>
    <cellStyle name="Comma 184 2 3 3 2" xfId="0"/>
    <cellStyle name="Comma 184 2 3 3 2 2" xfId="0"/>
    <cellStyle name="Comma 184 2 3 3 3" xfId="0"/>
    <cellStyle name="Comma 184 2 3 4" xfId="0"/>
    <cellStyle name="Comma 184 2 3 4 2" xfId="0"/>
    <cellStyle name="Comma 184 2 3 5" xfId="0"/>
    <cellStyle name="Comma 184 2 4" xfId="0"/>
    <cellStyle name="Comma 184 2 4 2" xfId="0"/>
    <cellStyle name="Comma 184 2 4 2 2" xfId="0"/>
    <cellStyle name="Comma 184 2 4 2 2 2" xfId="0"/>
    <cellStyle name="Comma 184 2 4 2 3" xfId="0"/>
    <cellStyle name="Comma 184 2 4 3" xfId="0"/>
    <cellStyle name="Comma 184 2 4 3 2" xfId="0"/>
    <cellStyle name="Comma 184 2 4 4" xfId="0"/>
    <cellStyle name="Comma 184 2 5" xfId="0"/>
    <cellStyle name="Comma 184 2 5 2" xfId="0"/>
    <cellStyle name="Comma 184 2 5 2 2" xfId="0"/>
    <cellStyle name="Comma 184 2 5 3" xfId="0"/>
    <cellStyle name="Comma 184 2 6" xfId="0"/>
    <cellStyle name="Comma 184 2 6 2" xfId="0"/>
    <cellStyle name="Comma 184 2 7" xfId="0"/>
    <cellStyle name="Comma 184 3" xfId="0"/>
    <cellStyle name="Comma 184 3 2" xfId="0"/>
    <cellStyle name="Comma 184 3 2 2" xfId="0"/>
    <cellStyle name="Comma 184 3 2 2 2" xfId="0"/>
    <cellStyle name="Comma 184 3 2 2 2 2" xfId="0"/>
    <cellStyle name="Comma 184 3 2 2 2 2 2" xfId="0"/>
    <cellStyle name="Comma 184 3 2 2 2 3" xfId="0"/>
    <cellStyle name="Comma 184 3 2 2 3" xfId="0"/>
    <cellStyle name="Comma 184 3 2 2 3 2" xfId="0"/>
    <cellStyle name="Comma 184 3 2 2 4" xfId="0"/>
    <cellStyle name="Comma 184 3 2 3" xfId="0"/>
    <cellStyle name="Comma 184 3 2 3 2" xfId="0"/>
    <cellStyle name="Comma 184 3 2 3 2 2" xfId="0"/>
    <cellStyle name="Comma 184 3 2 3 3" xfId="0"/>
    <cellStyle name="Comma 184 3 2 4" xfId="0"/>
    <cellStyle name="Comma 184 3 2 4 2" xfId="0"/>
    <cellStyle name="Comma 184 3 2 5" xfId="0"/>
    <cellStyle name="Comma 184 3 3" xfId="0"/>
    <cellStyle name="Comma 184 3 3 2" xfId="0"/>
    <cellStyle name="Comma 184 3 3 2 2" xfId="0"/>
    <cellStyle name="Comma 184 3 3 2 2 2" xfId="0"/>
    <cellStyle name="Comma 184 3 3 2 2 2 2" xfId="0"/>
    <cellStyle name="Comma 184 3 3 2 2 3" xfId="0"/>
    <cellStyle name="Comma 184 3 3 2 3" xfId="0"/>
    <cellStyle name="Comma 184 3 3 2 3 2" xfId="0"/>
    <cellStyle name="Comma 184 3 3 2 4" xfId="0"/>
    <cellStyle name="Comma 184 3 3 3" xfId="0"/>
    <cellStyle name="Comma 184 3 3 3 2" xfId="0"/>
    <cellStyle name="Comma 184 3 3 3 2 2" xfId="0"/>
    <cellStyle name="Comma 184 3 3 3 3" xfId="0"/>
    <cellStyle name="Comma 184 3 3 4" xfId="0"/>
    <cellStyle name="Comma 184 3 3 4 2" xfId="0"/>
    <cellStyle name="Comma 184 3 3 5" xfId="0"/>
    <cellStyle name="Comma 184 3 4" xfId="0"/>
    <cellStyle name="Comma 184 3 4 2" xfId="0"/>
    <cellStyle name="Comma 184 3 4 2 2" xfId="0"/>
    <cellStyle name="Comma 184 3 4 2 2 2" xfId="0"/>
    <cellStyle name="Comma 184 3 4 2 3" xfId="0"/>
    <cellStyle name="Comma 184 3 4 3" xfId="0"/>
    <cellStyle name="Comma 184 3 4 3 2" xfId="0"/>
    <cellStyle name="Comma 184 3 4 4" xfId="0"/>
    <cellStyle name="Comma 184 3 5" xfId="0"/>
    <cellStyle name="Comma 184 3 5 2" xfId="0"/>
    <cellStyle name="Comma 184 3 5 2 2" xfId="0"/>
    <cellStyle name="Comma 184 3 5 3" xfId="0"/>
    <cellStyle name="Comma 184 3 6" xfId="0"/>
    <cellStyle name="Comma 184 3 6 2" xfId="0"/>
    <cellStyle name="Comma 184 3 7" xfId="0"/>
    <cellStyle name="Comma 184 4" xfId="0"/>
    <cellStyle name="Comma 184 4 2" xfId="0"/>
    <cellStyle name="Comma 184 4 2 2" xfId="0"/>
    <cellStyle name="Comma 184 4 2 2 2" xfId="0"/>
    <cellStyle name="Comma 184 4 2 2 2 2" xfId="0"/>
    <cellStyle name="Comma 184 4 2 2 3" xfId="0"/>
    <cellStyle name="Comma 184 4 2 3" xfId="0"/>
    <cellStyle name="Comma 184 4 2 3 2" xfId="0"/>
    <cellStyle name="Comma 184 4 2 4" xfId="0"/>
    <cellStyle name="Comma 184 4 3" xfId="0"/>
    <cellStyle name="Comma 184 4 3 2" xfId="0"/>
    <cellStyle name="Comma 184 4 3 2 2" xfId="0"/>
    <cellStyle name="Comma 184 4 3 3" xfId="0"/>
    <cellStyle name="Comma 184 4 4" xfId="0"/>
    <cellStyle name="Comma 184 4 4 2" xfId="0"/>
    <cellStyle name="Comma 184 4 5" xfId="0"/>
    <cellStyle name="Comma 184 5" xfId="0"/>
    <cellStyle name="Comma 184 5 2" xfId="0"/>
    <cellStyle name="Comma 184 5 2 2" xfId="0"/>
    <cellStyle name="Comma 184 5 2 2 2" xfId="0"/>
    <cellStyle name="Comma 184 5 2 2 2 2" xfId="0"/>
    <cellStyle name="Comma 184 5 2 2 3" xfId="0"/>
    <cellStyle name="Comma 184 5 2 3" xfId="0"/>
    <cellStyle name="Comma 184 5 2 3 2" xfId="0"/>
    <cellStyle name="Comma 184 5 2 4" xfId="0"/>
    <cellStyle name="Comma 184 5 3" xfId="0"/>
    <cellStyle name="Comma 184 5 3 2" xfId="0"/>
    <cellStyle name="Comma 184 5 3 2 2" xfId="0"/>
    <cellStyle name="Comma 184 5 3 3" xfId="0"/>
    <cellStyle name="Comma 184 5 4" xfId="0"/>
    <cellStyle name="Comma 184 5 4 2" xfId="0"/>
    <cellStyle name="Comma 184 5 5" xfId="0"/>
    <cellStyle name="Comma 184 6" xfId="0"/>
    <cellStyle name="Comma 184 6 2" xfId="0"/>
    <cellStyle name="Comma 184 6 2 2" xfId="0"/>
    <cellStyle name="Comma 184 6 2 2 2" xfId="0"/>
    <cellStyle name="Comma 184 6 2 3" xfId="0"/>
    <cellStyle name="Comma 184 6 3" xfId="0"/>
    <cellStyle name="Comma 184 6 3 2" xfId="0"/>
    <cellStyle name="Comma 184 6 4" xfId="0"/>
    <cellStyle name="Comma 184 7" xfId="0"/>
    <cellStyle name="Comma 184 7 2" xfId="0"/>
    <cellStyle name="Comma 184 7 2 2" xfId="0"/>
    <cellStyle name="Comma 184 7 3" xfId="0"/>
    <cellStyle name="Comma 184 8" xfId="0"/>
    <cellStyle name="Comma 184 8 2" xfId="0"/>
    <cellStyle name="Comma 184 9" xfId="0"/>
    <cellStyle name="Comma 185" xfId="0"/>
    <cellStyle name="Comma 185 2" xfId="0"/>
    <cellStyle name="Comma 185 2 2" xfId="0"/>
    <cellStyle name="Comma 185 2 2 2" xfId="0"/>
    <cellStyle name="Comma 185 2 3" xfId="0"/>
    <cellStyle name="Comma 185 3" xfId="0"/>
    <cellStyle name="Comma 185 3 2" xfId="0"/>
    <cellStyle name="Comma 185 4" xfId="0"/>
    <cellStyle name="Comma 186" xfId="0"/>
    <cellStyle name="Comma 186 2" xfId="0"/>
    <cellStyle name="Comma 186 2 2" xfId="0"/>
    <cellStyle name="Comma 186 3" xfId="0"/>
    <cellStyle name="Comma 19" xfId="0"/>
    <cellStyle name="Comma 19 2" xfId="0"/>
    <cellStyle name="Comma 19 2 2" xfId="0"/>
    <cellStyle name="Comma 19 2 2 2" xfId="0"/>
    <cellStyle name="Comma 19 2 3" xfId="0"/>
    <cellStyle name="Comma 19 3" xfId="0"/>
    <cellStyle name="Comma 19 3 2" xfId="0"/>
    <cellStyle name="Comma 19 4" xfId="0"/>
    <cellStyle name="Comma 2" xfId="0"/>
    <cellStyle name="Comma 2 10" xfId="0"/>
    <cellStyle name="Comma 2 10 2" xfId="0"/>
    <cellStyle name="Comma 2 10 2 2" xfId="0"/>
    <cellStyle name="Comma 2 10 2 2 2" xfId="0"/>
    <cellStyle name="Comma 2 10 3" xfId="0"/>
    <cellStyle name="Comma 2 10 3 2" xfId="0"/>
    <cellStyle name="Comma 2 11" xfId="0"/>
    <cellStyle name="Comma 2 11 2" xfId="0"/>
    <cellStyle name="Comma 2 11 2 2" xfId="0"/>
    <cellStyle name="Comma 2 11 2 2 2" xfId="0"/>
    <cellStyle name="Comma 2 11 2 3" xfId="0"/>
    <cellStyle name="Comma 2 11 3" xfId="0"/>
    <cellStyle name="Comma 2 11 3 2" xfId="0"/>
    <cellStyle name="Comma 2 11 4" xfId="0"/>
    <cellStyle name="Comma 2 12" xfId="0"/>
    <cellStyle name="Comma 2 12 2" xfId="0"/>
    <cellStyle name="Comma 2 12 2 2" xfId="0"/>
    <cellStyle name="Comma 2 12 2 2 2" xfId="0"/>
    <cellStyle name="Comma 2 12 2 3" xfId="0"/>
    <cellStyle name="Comma 2 12 3" xfId="0"/>
    <cellStyle name="Comma 2 12 3 2" xfId="0"/>
    <cellStyle name="Comma 2 12 4" xfId="0"/>
    <cellStyle name="Comma 2 13" xfId="0"/>
    <cellStyle name="Comma 2 13 2" xfId="0"/>
    <cellStyle name="Comma 2 13 2 2" xfId="0"/>
    <cellStyle name="Comma 2 14" xfId="0"/>
    <cellStyle name="Comma 2 14 2" xfId="0"/>
    <cellStyle name="Comma 2 14 2 2" xfId="0"/>
    <cellStyle name="Comma 2 14 3" xfId="0"/>
    <cellStyle name="Comma 2 2" xfId="0"/>
    <cellStyle name="Comma 2 2 10" xfId="0"/>
    <cellStyle name="Comma 2 2 2" xfId="0"/>
    <cellStyle name="Comma 2 2 2 2" xfId="0"/>
    <cellStyle name="Comma 2 2 2 2 2" xfId="0"/>
    <cellStyle name="Comma 2 2 2 2 2 2" xfId="0"/>
    <cellStyle name="Comma 2 2 2 2 2 2 2" xfId="0"/>
    <cellStyle name="Comma 2 2 2 2 2 2 2 2" xfId="0"/>
    <cellStyle name="Comma 2 2 2 2 2 3" xfId="0"/>
    <cellStyle name="Comma 2 2 2 2 2 3 2" xfId="0"/>
    <cellStyle name="Comma 2 2 2 2 3" xfId="0"/>
    <cellStyle name="Comma 2 2 2 2 3 2" xfId="0"/>
    <cellStyle name="Comma 2 2 2 2 3 2 2" xfId="0"/>
    <cellStyle name="Comma 2 2 2 2 4" xfId="0"/>
    <cellStyle name="Comma 2 2 2 2 4 2" xfId="0"/>
    <cellStyle name="Comma 2 2 2 3" xfId="0"/>
    <cellStyle name="Comma 2 2 2 3 2" xfId="0"/>
    <cellStyle name="Comma 2 2 2 3 2 2" xfId="0"/>
    <cellStyle name="Comma 2 2 2 3 2 2 2" xfId="0"/>
    <cellStyle name="Comma 2 2 2 3 2 2 2 2" xfId="0"/>
    <cellStyle name="Comma 2 2 2 3 2 3" xfId="0"/>
    <cellStyle name="Comma 2 2 2 3 2 3 2" xfId="0"/>
    <cellStyle name="Comma 2 2 2 3 3" xfId="0"/>
    <cellStyle name="Comma 2 2 2 3 3 2" xfId="0"/>
    <cellStyle name="Comma 2 2 2 3 3 2 2" xfId="0"/>
    <cellStyle name="Comma 2 2 2 3 4" xfId="0"/>
    <cellStyle name="Comma 2 2 2 3 4 2" xfId="0"/>
    <cellStyle name="Comma 2 2 2 4" xfId="0"/>
    <cellStyle name="Comma 2 2 2 4 2" xfId="0"/>
    <cellStyle name="Comma 2 2 2 4 2 2" xfId="0"/>
    <cellStyle name="Comma 2 2 2 4 2 2 2" xfId="0"/>
    <cellStyle name="Comma 2 2 2 4 3" xfId="0"/>
    <cellStyle name="Comma 2 2 2 4 3 2" xfId="0"/>
    <cellStyle name="Comma 2 2 2 5" xfId="0"/>
    <cellStyle name="Comma 2 2 2 5 2" xfId="0"/>
    <cellStyle name="Comma 2 2 2 5 2 2" xfId="0"/>
    <cellStyle name="Comma 2 2 2 5 3" xfId="0"/>
    <cellStyle name="Comma 2 2 2 6" xfId="0"/>
    <cellStyle name="Comma 2 2 2 6 2" xfId="0"/>
    <cellStyle name="Comma 2 2 2_2.DATA" xfId="0"/>
    <cellStyle name="Comma 2 2 3" xfId="0"/>
    <cellStyle name="Comma 2 2 3 2" xfId="0"/>
    <cellStyle name="Comma 2 2 3 2 2" xfId="0"/>
    <cellStyle name="Comma 2 2 3 2 2 2" xfId="0"/>
    <cellStyle name="Comma 2 2 3 2 2 2 2" xfId="0"/>
    <cellStyle name="Comma 2 2 3 2 3" xfId="0"/>
    <cellStyle name="Comma 2 2 3 2 3 2" xfId="0"/>
    <cellStyle name="Comma 2 2 3 3" xfId="0"/>
    <cellStyle name="Comma 2 2 3 3 2" xfId="0"/>
    <cellStyle name="Comma 2 2 3 3 2 2" xfId="0"/>
    <cellStyle name="Comma 2 2 3 3 3" xfId="0"/>
    <cellStyle name="Comma 2 2 3 4" xfId="0"/>
    <cellStyle name="Comma 2 2 3 4 2" xfId="0"/>
    <cellStyle name="Comma 2 2 3_2.DATA" xfId="0"/>
    <cellStyle name="Comma 2 2 4" xfId="0"/>
    <cellStyle name="Comma 2 2 4 2" xfId="0"/>
    <cellStyle name="Comma 2 2 4 2 2" xfId="0"/>
    <cellStyle name="Comma 2 2 4 2 2 2" xfId="0"/>
    <cellStyle name="Comma 2 2 4 2 2 2 2" xfId="0"/>
    <cellStyle name="Comma 2 2 4 2 3" xfId="0"/>
    <cellStyle name="Comma 2 2 4 2 3 2" xfId="0"/>
    <cellStyle name="Comma 2 2 4 3" xfId="0"/>
    <cellStyle name="Comma 2 2 4 3 2" xfId="0"/>
    <cellStyle name="Comma 2 2 4 3 2 2" xfId="0"/>
    <cellStyle name="Comma 2 2 4 4" xfId="0"/>
    <cellStyle name="Comma 2 2 4 4 2" xfId="0"/>
    <cellStyle name="Comma 2 2 5" xfId="0"/>
    <cellStyle name="Comma 2 2 5 2" xfId="0"/>
    <cellStyle name="Comma 2 2 5 2 2" xfId="0"/>
    <cellStyle name="Comma 2 2 5 2 2 2" xfId="0"/>
    <cellStyle name="Comma 2 2 5 3" xfId="0"/>
    <cellStyle name="Comma 2 2 5 3 2" xfId="0"/>
    <cellStyle name="Comma 2 2 6" xfId="0"/>
    <cellStyle name="Comma 2 2 6 2" xfId="0"/>
    <cellStyle name="Comma 2 2 6 2 2" xfId="0"/>
    <cellStyle name="Comma 2 2 7" xfId="0"/>
    <cellStyle name="Comma 2 2 7 2" xfId="0"/>
    <cellStyle name="Comma 2 2 7 2 2" xfId="0"/>
    <cellStyle name="Comma 2 2 8" xfId="0"/>
    <cellStyle name="Comma 2 2 8 2" xfId="0"/>
    <cellStyle name="Comma 2 2 8 2 2" xfId="0"/>
    <cellStyle name="Comma 2 2 9" xfId="0"/>
    <cellStyle name="Comma 2 2 9 2" xfId="0"/>
    <cellStyle name="Comma 2 3" xfId="0"/>
    <cellStyle name="Comma 2 3 2" xfId="0"/>
    <cellStyle name="Comma 2 3 2 2" xfId="0"/>
    <cellStyle name="Comma 2 3 2 2 2" xfId="0"/>
    <cellStyle name="Comma 2 3 2 2 2 2" xfId="0"/>
    <cellStyle name="Comma 2 3 2 2 2 2 2" xfId="0"/>
    <cellStyle name="Comma 2 3 2 2 2 2 2 2" xfId="0"/>
    <cellStyle name="Comma 2 3 2 2 2 2 3" xfId="0"/>
    <cellStyle name="Comma 2 3 2 2 2 3" xfId="0"/>
    <cellStyle name="Comma 2 3 2 2 2 3 2" xfId="0"/>
    <cellStyle name="Comma 2 3 2 2 2 4" xfId="0"/>
    <cellStyle name="Comma 2 3 2 2 3" xfId="0"/>
    <cellStyle name="Comma 2 3 2 2 3 2" xfId="0"/>
    <cellStyle name="Comma 2 3 2 2 3 2 2" xfId="0"/>
    <cellStyle name="Comma 2 3 2 2 3 3" xfId="0"/>
    <cellStyle name="Comma 2 3 2 2 4" xfId="0"/>
    <cellStyle name="Comma 2 3 2 2 4 2" xfId="0"/>
    <cellStyle name="Comma 2 3 2 2 5" xfId="0"/>
    <cellStyle name="Comma 2 3 2 3" xfId="0"/>
    <cellStyle name="Comma 2 3 2 3 2" xfId="0"/>
    <cellStyle name="Comma 2 3 2 3 2 2" xfId="0"/>
    <cellStyle name="Comma 2 3 2 3 2 2 2" xfId="0"/>
    <cellStyle name="Comma 2 3 2 3 2 2 2 2" xfId="0"/>
    <cellStyle name="Comma 2 3 2 3 2 2 3" xfId="0"/>
    <cellStyle name="Comma 2 3 2 3 2 3" xfId="0"/>
    <cellStyle name="Comma 2 3 2 3 2 3 2" xfId="0"/>
    <cellStyle name="Comma 2 3 2 3 2 4" xfId="0"/>
    <cellStyle name="Comma 2 3 2 3 3" xfId="0"/>
    <cellStyle name="Comma 2 3 2 3 3 2" xfId="0"/>
    <cellStyle name="Comma 2 3 2 3 3 2 2" xfId="0"/>
    <cellStyle name="Comma 2 3 2 3 3 3" xfId="0"/>
    <cellStyle name="Comma 2 3 2 3 4" xfId="0"/>
    <cellStyle name="Comma 2 3 2 3 4 2" xfId="0"/>
    <cellStyle name="Comma 2 3 2 3 5" xfId="0"/>
    <cellStyle name="Comma 2 3 2 4" xfId="0"/>
    <cellStyle name="Comma 2 3 2 4 2" xfId="0"/>
    <cellStyle name="Comma 2 3 2 4 2 2" xfId="0"/>
    <cellStyle name="Comma 2 3 2 4 2 2 2" xfId="0"/>
    <cellStyle name="Comma 2 3 2 4 2 3" xfId="0"/>
    <cellStyle name="Comma 2 3 2 4 3" xfId="0"/>
    <cellStyle name="Comma 2 3 2 4 3 2" xfId="0"/>
    <cellStyle name="Comma 2 3 2 4 4" xfId="0"/>
    <cellStyle name="Comma 2 3 2 5" xfId="0"/>
    <cellStyle name="Comma 2 3 2 5 2" xfId="0"/>
    <cellStyle name="Comma 2 3 2 5 2 2" xfId="0"/>
    <cellStyle name="Comma 2 3 2 5 3" xfId="0"/>
    <cellStyle name="Comma 2 3 2 6" xfId="0"/>
    <cellStyle name="Comma 2 3 2 6 2" xfId="0"/>
    <cellStyle name="Comma 2 3 2 7" xfId="0"/>
    <cellStyle name="Comma 2 3 3" xfId="0"/>
    <cellStyle name="Comma 2 3 3 2" xfId="0"/>
    <cellStyle name="Comma 2 3 3 2 2" xfId="0"/>
    <cellStyle name="Comma 2 3 3 2 2 2" xfId="0"/>
    <cellStyle name="Comma 2 3 3 2 2 2 2" xfId="0"/>
    <cellStyle name="Comma 2 3 3 2 2 3" xfId="0"/>
    <cellStyle name="Comma 2 3 3 2 3" xfId="0"/>
    <cellStyle name="Comma 2 3 3 2 3 2" xfId="0"/>
    <cellStyle name="Comma 2 3 3 2 4" xfId="0"/>
    <cellStyle name="Comma 2 3 3 3" xfId="0"/>
    <cellStyle name="Comma 2 3 3 3 2" xfId="0"/>
    <cellStyle name="Comma 2 3 3 3 2 2" xfId="0"/>
    <cellStyle name="Comma 2 3 3 3 3" xfId="0"/>
    <cellStyle name="Comma 2 3 3 4" xfId="0"/>
    <cellStyle name="Comma 2 3 3 4 2" xfId="0"/>
    <cellStyle name="Comma 2 3 3 5" xfId="0"/>
    <cellStyle name="Comma 2 3 4" xfId="0"/>
    <cellStyle name="Comma 2 3 4 2" xfId="0"/>
    <cellStyle name="Comma 2 3 4 2 2" xfId="0"/>
    <cellStyle name="Comma 2 3 4 2 2 2" xfId="0"/>
    <cellStyle name="Comma 2 3 4 2 2 2 2" xfId="0"/>
    <cellStyle name="Comma 2 3 4 2 2 3" xfId="0"/>
    <cellStyle name="Comma 2 3 4 2 3" xfId="0"/>
    <cellStyle name="Comma 2 3 4 2 3 2" xfId="0"/>
    <cellStyle name="Comma 2 3 4 2 4" xfId="0"/>
    <cellStyle name="Comma 2 3 4 3" xfId="0"/>
    <cellStyle name="Comma 2 3 4 3 2" xfId="0"/>
    <cellStyle name="Comma 2 3 4 3 2 2" xfId="0"/>
    <cellStyle name="Comma 2 3 4 3 3" xfId="0"/>
    <cellStyle name="Comma 2 3 4 4" xfId="0"/>
    <cellStyle name="Comma 2 3 4 4 2" xfId="0"/>
    <cellStyle name="Comma 2 3 4 5" xfId="0"/>
    <cellStyle name="Comma 2 3 5" xfId="0"/>
    <cellStyle name="Comma 2 3 5 2" xfId="0"/>
    <cellStyle name="Comma 2 3 5 2 2" xfId="0"/>
    <cellStyle name="Comma 2 3 5 2 2 2" xfId="0"/>
    <cellStyle name="Comma 2 3 5 2 3" xfId="0"/>
    <cellStyle name="Comma 2 3 5 3" xfId="0"/>
    <cellStyle name="Comma 2 3 5 3 2" xfId="0"/>
    <cellStyle name="Comma 2 3 5 4" xfId="0"/>
    <cellStyle name="Comma 2 3 6" xfId="0"/>
    <cellStyle name="Comma 2 3 6 2" xfId="0"/>
    <cellStyle name="Comma 2 3 6 2 2" xfId="0"/>
    <cellStyle name="Comma 2 3 7" xfId="0"/>
    <cellStyle name="Comma 2 3 7 2" xfId="0"/>
    <cellStyle name="Comma 2 3 7 2 2" xfId="0"/>
    <cellStyle name="Comma 2 3 7 3" xfId="0"/>
    <cellStyle name="Comma 2 3 8" xfId="0"/>
    <cellStyle name="Comma 2 3 8 2" xfId="0"/>
    <cellStyle name="Comma 2 3 8 2 2" xfId="0"/>
    <cellStyle name="Comma 2 3 8 3" xfId="0"/>
    <cellStyle name="Comma 2 3 9" xfId="0"/>
    <cellStyle name="Comma 2 3 9 2" xfId="0"/>
    <cellStyle name="Comma 2 4" xfId="0"/>
    <cellStyle name="Comma 2 4 2" xfId="0"/>
    <cellStyle name="Comma 2 4 2 2" xfId="0"/>
    <cellStyle name="Comma 2 4 2 2 2" xfId="0"/>
    <cellStyle name="Comma 2 4 2 2 2 2" xfId="0"/>
    <cellStyle name="Comma 2 4 2 2 2 2 2" xfId="0"/>
    <cellStyle name="Comma 2 4 2 2 3" xfId="0"/>
    <cellStyle name="Comma 2 4 2 2 3 2" xfId="0"/>
    <cellStyle name="Comma 2 4 2 2 3 2 2" xfId="0"/>
    <cellStyle name="Comma 2 4 2 2 4" xfId="0"/>
    <cellStyle name="Comma 2 4 2 2 4 2" xfId="0"/>
    <cellStyle name="Comma 2 4 2 3" xfId="0"/>
    <cellStyle name="Comma 2 4 2 3 2" xfId="0"/>
    <cellStyle name="Comma 2 4 2 3 2 2" xfId="0"/>
    <cellStyle name="Comma 2 4 2 3 2 2 2" xfId="0"/>
    <cellStyle name="Comma 2 4 2 3 3" xfId="0"/>
    <cellStyle name="Comma 2 4 2 3 3 2" xfId="0"/>
    <cellStyle name="Comma 2 4 2 3 3 2 2" xfId="0"/>
    <cellStyle name="Comma 2 4 2 3 3 3" xfId="0"/>
    <cellStyle name="Comma 2 4 2 3 4" xfId="0"/>
    <cellStyle name="Comma 2 4 2 3 4 2" xfId="0"/>
    <cellStyle name="Comma 2 4 2 4" xfId="0"/>
    <cellStyle name="Comma 2 4 2 4 2" xfId="0"/>
    <cellStyle name="Comma 2 4 2_2.DATA" xfId="0"/>
    <cellStyle name="Comma 2 4 3" xfId="0"/>
    <cellStyle name="Comma 2 4 3 2" xfId="0"/>
    <cellStyle name="Comma 2 4 3 2 2" xfId="0"/>
    <cellStyle name="Comma 2 4 3 2 2 2" xfId="0"/>
    <cellStyle name="Comma 2 4 3 2 2 2 2" xfId="0"/>
    <cellStyle name="Comma 2 4 3 2 3" xfId="0"/>
    <cellStyle name="Comma 2 4 3 2 3 2" xfId="0"/>
    <cellStyle name="Comma 2 4 3 3" xfId="0"/>
    <cellStyle name="Comma 2 4 3 3 2" xfId="0"/>
    <cellStyle name="Comma 2 4 3 3 2 2" xfId="0"/>
    <cellStyle name="Comma 2 4 3 4" xfId="0"/>
    <cellStyle name="Comma 2 4 3 4 2" xfId="0"/>
    <cellStyle name="Comma 2 4 4" xfId="0"/>
    <cellStyle name="Comma 2 4 4 2" xfId="0"/>
    <cellStyle name="Comma 2 4 4 2 2" xfId="0"/>
    <cellStyle name="Comma 2 4 4 2 2 2" xfId="0"/>
    <cellStyle name="Comma 2 4 4 3" xfId="0"/>
    <cellStyle name="Comma 2 4 4 3 2" xfId="0"/>
    <cellStyle name="Comma 2 4 5" xfId="0"/>
    <cellStyle name="Comma 2 4 5 2" xfId="0"/>
    <cellStyle name="Comma 2 4 5 2 2" xfId="0"/>
    <cellStyle name="Comma 2 4 5 3" xfId="0"/>
    <cellStyle name="Comma 2 4 6" xfId="0"/>
    <cellStyle name="Comma 2 4 6 2" xfId="0"/>
    <cellStyle name="Comma 2 4_2.DATA" xfId="0"/>
    <cellStyle name="Comma 2 5" xfId="0"/>
    <cellStyle name="Comma 2 5 2" xfId="0"/>
    <cellStyle name="Comma 2 5 2 2" xfId="0"/>
    <cellStyle name="Comma 2 5 2 2 2" xfId="0"/>
    <cellStyle name="Comma 2 5 2 2 2 2" xfId="0"/>
    <cellStyle name="Comma 2 5 2 2 2 2 2" xfId="0"/>
    <cellStyle name="Comma 2 5 2 2 3" xfId="0"/>
    <cellStyle name="Comma 2 5 2 2 3 2" xfId="0"/>
    <cellStyle name="Comma 2 5 2 2 3 2 2" xfId="0"/>
    <cellStyle name="Comma 2 5 2 2 4" xfId="0"/>
    <cellStyle name="Comma 2 5 2 2 4 2" xfId="0"/>
    <cellStyle name="Comma 2 5 2 2 4 2 2" xfId="0"/>
    <cellStyle name="Comma 2 5 2 2 4 3" xfId="0"/>
    <cellStyle name="Comma 2 5 2 2 5" xfId="0"/>
    <cellStyle name="Comma 2 5 2 2 5 2" xfId="0"/>
    <cellStyle name="Comma 2 5 2 2 5 2 2" xfId="0"/>
    <cellStyle name="Comma 2 5 2 2 5 3" xfId="0"/>
    <cellStyle name="Comma 2 5 2 3" xfId="0"/>
    <cellStyle name="Comma 2 5 2 3 2" xfId="0"/>
    <cellStyle name="Comma 2 5 2 3 2 2" xfId="0"/>
    <cellStyle name="Comma 2 5 2 4" xfId="0"/>
    <cellStyle name="Comma 2 5 2 4 2" xfId="0"/>
    <cellStyle name="Comma 2 5 2 4 2 2" xfId="0"/>
    <cellStyle name="Comma 2 5 2 5" xfId="0"/>
    <cellStyle name="Comma 2 5 2 5 2" xfId="0"/>
    <cellStyle name="Comma 2 5 2 5 2 2" xfId="0"/>
    <cellStyle name="Comma 2 5 2 5 3" xfId="0"/>
    <cellStyle name="Comma 2 5 2 6" xfId="0"/>
    <cellStyle name="Comma 2 5 2 6 2" xfId="0"/>
    <cellStyle name="Comma 2 5 2 6 2 2" xfId="0"/>
    <cellStyle name="Comma 2 5 2 6 3" xfId="0"/>
    <cellStyle name="Comma 2 5 3" xfId="0"/>
    <cellStyle name="Comma 2 5 3 2" xfId="0"/>
    <cellStyle name="Comma 2 5 3 2 2" xfId="0"/>
    <cellStyle name="Comma 2 5 3 2 2 2" xfId="0"/>
    <cellStyle name="Comma 2 5 3 2 2 2 2" xfId="0"/>
    <cellStyle name="Comma 2 5 3 2 3" xfId="0"/>
    <cellStyle name="Comma 2 5 3 2 3 2" xfId="0"/>
    <cellStyle name="Comma 2 5 3 2 3 2 2" xfId="0"/>
    <cellStyle name="Comma 2 5 3 2 3 3" xfId="0"/>
    <cellStyle name="Comma 2 5 3 2 4" xfId="0"/>
    <cellStyle name="Comma 2 5 3 2 4 2" xfId="0"/>
    <cellStyle name="Comma 2 5 3 2 4 2 2" xfId="0"/>
    <cellStyle name="Comma 2 5 3 2 4 3" xfId="0"/>
    <cellStyle name="Comma 2 5 3 3" xfId="0"/>
    <cellStyle name="Comma 2 5 3 3 2" xfId="0"/>
    <cellStyle name="Comma 2 5 3 3 2 2" xfId="0"/>
    <cellStyle name="Comma 2 5 3 4" xfId="0"/>
    <cellStyle name="Comma 2 5 3 4 2" xfId="0"/>
    <cellStyle name="Comma 2 5 3 4 2 2" xfId="0"/>
    <cellStyle name="Comma 2 5 3 4 3" xfId="0"/>
    <cellStyle name="Comma 2 5 3 5" xfId="0"/>
    <cellStyle name="Comma 2 5 3 5 2" xfId="0"/>
    <cellStyle name="Comma 2 5 3 5 2 2" xfId="0"/>
    <cellStyle name="Comma 2 5 3 5 3" xfId="0"/>
    <cellStyle name="Comma 2 5 4" xfId="0"/>
    <cellStyle name="Comma 2 5 4 2" xfId="0"/>
    <cellStyle name="Comma 2 5 4 2 2" xfId="0"/>
    <cellStyle name="Comma 2 5 4 2 2 2" xfId="0"/>
    <cellStyle name="Comma 2 5 4 3" xfId="0"/>
    <cellStyle name="Comma 2 5 4 3 2" xfId="0"/>
    <cellStyle name="Comma 2 5 4 3 2 2" xfId="0"/>
    <cellStyle name="Comma 2 5 4 3 3" xfId="0"/>
    <cellStyle name="Comma 2 5 4 4" xfId="0"/>
    <cellStyle name="Comma 2 5 4 4 2" xfId="0"/>
    <cellStyle name="Comma 2 5 4 4 2 2" xfId="0"/>
    <cellStyle name="Comma 2 5 4 4 3" xfId="0"/>
    <cellStyle name="Comma 2 5 5" xfId="0"/>
    <cellStyle name="Comma 2 5 5 2" xfId="0"/>
    <cellStyle name="Comma 2 5 5 2 2" xfId="0"/>
    <cellStyle name="Comma 2 5 5 2 2 2" xfId="0"/>
    <cellStyle name="Comma 2 5 5 3" xfId="0"/>
    <cellStyle name="Comma 2 5 5 3 2" xfId="0"/>
    <cellStyle name="Comma 2 5 5 4" xfId="0"/>
    <cellStyle name="Comma 2 5 6" xfId="0"/>
    <cellStyle name="Comma 2 5 6 2" xfId="0"/>
    <cellStyle name="Comma 2 5 6 2 2" xfId="0"/>
    <cellStyle name="Comma 2 5 6 3" xfId="0"/>
    <cellStyle name="Comma 2 6" xfId="0"/>
    <cellStyle name="Comma 2 6 2" xfId="0"/>
    <cellStyle name="Comma 2 6 2 2" xfId="0"/>
    <cellStyle name="Comma 2 6 2 2 2" xfId="0"/>
    <cellStyle name="Comma 2 6 2 2 2 2" xfId="0"/>
    <cellStyle name="Comma 2 6 2 2 2 2 2" xfId="0"/>
    <cellStyle name="Comma 2 6 2 2 3" xfId="0"/>
    <cellStyle name="Comma 2 6 2 2 3 2" xfId="0"/>
    <cellStyle name="Comma 2 6 2 2 3 2 2" xfId="0"/>
    <cellStyle name="Comma 2 6 2 2 4" xfId="0"/>
    <cellStyle name="Comma 2 6 2 2 4 2" xfId="0"/>
    <cellStyle name="Comma 2 6 2 2 4 2 2" xfId="0"/>
    <cellStyle name="Comma 2 6 2 2 4 3" xfId="0"/>
    <cellStyle name="Comma 2 6 2 2 5" xfId="0"/>
    <cellStyle name="Comma 2 6 2 2 5 2" xfId="0"/>
    <cellStyle name="Comma 2 6 2 2 5 2 2" xfId="0"/>
    <cellStyle name="Comma 2 6 2 2 5 3" xfId="0"/>
    <cellStyle name="Comma 2 6 2 3" xfId="0"/>
    <cellStyle name="Comma 2 6 2 3 2" xfId="0"/>
    <cellStyle name="Comma 2 6 2 3 2 2" xfId="0"/>
    <cellStyle name="Comma 2 6 2 4" xfId="0"/>
    <cellStyle name="Comma 2 6 2 4 2" xfId="0"/>
    <cellStyle name="Comma 2 6 2 4 2 2" xfId="0"/>
    <cellStyle name="Comma 2 6 2 5" xfId="0"/>
    <cellStyle name="Comma 2 6 2 5 2" xfId="0"/>
    <cellStyle name="Comma 2 6 2 5 2 2" xfId="0"/>
    <cellStyle name="Comma 2 6 2 5 3" xfId="0"/>
    <cellStyle name="Comma 2 6 2 6" xfId="0"/>
    <cellStyle name="Comma 2 6 2 6 2" xfId="0"/>
    <cellStyle name="Comma 2 6 2 6 2 2" xfId="0"/>
    <cellStyle name="Comma 2 6 2 6 3" xfId="0"/>
    <cellStyle name="Comma 2 6 3" xfId="0"/>
    <cellStyle name="Comma 2 6 3 2" xfId="0"/>
    <cellStyle name="Comma 2 6 3 2 2" xfId="0"/>
    <cellStyle name="Comma 2 6 3 2 2 2" xfId="0"/>
    <cellStyle name="Comma 2 6 3 2 2 2 2" xfId="0"/>
    <cellStyle name="Comma 2 6 3 2 3" xfId="0"/>
    <cellStyle name="Comma 2 6 3 2 3 2" xfId="0"/>
    <cellStyle name="Comma 2 6 3 2 3 2 2" xfId="0"/>
    <cellStyle name="Comma 2 6 3 2 3 3" xfId="0"/>
    <cellStyle name="Comma 2 6 3 2 4" xfId="0"/>
    <cellStyle name="Comma 2 6 3 2 4 2" xfId="0"/>
    <cellStyle name="Comma 2 6 3 2 4 2 2" xfId="0"/>
    <cellStyle name="Comma 2 6 3 2 4 3" xfId="0"/>
    <cellStyle name="Comma 2 6 3 3" xfId="0"/>
    <cellStyle name="Comma 2 6 3 3 2" xfId="0"/>
    <cellStyle name="Comma 2 6 3 3 2 2" xfId="0"/>
    <cellStyle name="Comma 2 6 3 4" xfId="0"/>
    <cellStyle name="Comma 2 6 3 4 2" xfId="0"/>
    <cellStyle name="Comma 2 6 3 4 2 2" xfId="0"/>
    <cellStyle name="Comma 2 6 3 4 3" xfId="0"/>
    <cellStyle name="Comma 2 6 3 5" xfId="0"/>
    <cellStyle name="Comma 2 6 3 5 2" xfId="0"/>
    <cellStyle name="Comma 2 6 3 5 2 2" xfId="0"/>
    <cellStyle name="Comma 2 6 3 5 3" xfId="0"/>
    <cellStyle name="Comma 2 6 4" xfId="0"/>
    <cellStyle name="Comma 2 6 4 2" xfId="0"/>
    <cellStyle name="Comma 2 6 4 2 2" xfId="0"/>
    <cellStyle name="Comma 2 6 4 2 2 2" xfId="0"/>
    <cellStyle name="Comma 2 6 4 3" xfId="0"/>
    <cellStyle name="Comma 2 6 4 3 2" xfId="0"/>
    <cellStyle name="Comma 2 6 4 3 2 2" xfId="0"/>
    <cellStyle name="Comma 2 6 4 3 3" xfId="0"/>
    <cellStyle name="Comma 2 6 4 4" xfId="0"/>
    <cellStyle name="Comma 2 6 4 4 2" xfId="0"/>
    <cellStyle name="Comma 2 6 4 4 2 2" xfId="0"/>
    <cellStyle name="Comma 2 6 4 4 3" xfId="0"/>
    <cellStyle name="Comma 2 6 5" xfId="0"/>
    <cellStyle name="Comma 2 6 5 2" xfId="0"/>
    <cellStyle name="Comma 2 6 5 2 2" xfId="0"/>
    <cellStyle name="Comma 2 6 6" xfId="0"/>
    <cellStyle name="Comma 2 6 6 2" xfId="0"/>
    <cellStyle name="Comma 2 6 6 2 2" xfId="0"/>
    <cellStyle name="Comma 2 6 6 3" xfId="0"/>
    <cellStyle name="Comma 2 6 7" xfId="0"/>
    <cellStyle name="Comma 2 6 7 2" xfId="0"/>
    <cellStyle name="Comma 2 6 7 2 2" xfId="0"/>
    <cellStyle name="Comma 2 6 7 3" xfId="0"/>
    <cellStyle name="Comma 2 7" xfId="0"/>
    <cellStyle name="Comma 2 7 2" xfId="0"/>
    <cellStyle name="Comma 2 7 2 2" xfId="0"/>
    <cellStyle name="Comma 2 7 2 2 2" xfId="0"/>
    <cellStyle name="Comma 2 7 2 2 2 2" xfId="0"/>
    <cellStyle name="Comma 2 7 2 2 3" xfId="0"/>
    <cellStyle name="Comma 2 7 2 3" xfId="0"/>
    <cellStyle name="Comma 2 7 2 3 2" xfId="0"/>
    <cellStyle name="Comma 2 7 2 4" xfId="0"/>
    <cellStyle name="Comma 2 7 3" xfId="0"/>
    <cellStyle name="Comma 2 7 3 2" xfId="0"/>
    <cellStyle name="Comma 2 7 3 2 2" xfId="0"/>
    <cellStyle name="Comma 2 7 4" xfId="0"/>
    <cellStyle name="Comma 2 7 4 2" xfId="0"/>
    <cellStyle name="Comma 2 7 4 2 2" xfId="0"/>
    <cellStyle name="Comma 2 7 4 3" xfId="0"/>
    <cellStyle name="Comma 2 7 5" xfId="0"/>
    <cellStyle name="Comma 2 7 5 2" xfId="0"/>
    <cellStyle name="Comma 2 7 5 2 2" xfId="0"/>
    <cellStyle name="Comma 2 7 5 3" xfId="0"/>
    <cellStyle name="Comma 2 7 6" xfId="0"/>
    <cellStyle name="Comma 2 7 6 2" xfId="0"/>
    <cellStyle name="Comma 2 8" xfId="0"/>
    <cellStyle name="Comma 2 8 2" xfId="0"/>
    <cellStyle name="Comma 2 8 2 2" xfId="0"/>
    <cellStyle name="Comma 2 8 2 2 2" xfId="0"/>
    <cellStyle name="Comma 2 8 2 2 2 2" xfId="0"/>
    <cellStyle name="Comma 2 8 2 2 3" xfId="0"/>
    <cellStyle name="Comma 2 8 2 3" xfId="0"/>
    <cellStyle name="Comma 2 8 2 3 2" xfId="0"/>
    <cellStyle name="Comma 2 8 2 4" xfId="0"/>
    <cellStyle name="Comma 2 8 3" xfId="0"/>
    <cellStyle name="Comma 2 8 3 2" xfId="0"/>
    <cellStyle name="Comma 2 8 3 2 2" xfId="0"/>
    <cellStyle name="Comma 2 8 3 3" xfId="0"/>
    <cellStyle name="Comma 2 8 4" xfId="0"/>
    <cellStyle name="Comma 2 8 4 2" xfId="0"/>
    <cellStyle name="Comma 2 8 5" xfId="0"/>
    <cellStyle name="Comma 2 9" xfId="0"/>
    <cellStyle name="Comma 2 9 2" xfId="0"/>
    <cellStyle name="Comma 2 9 2 2" xfId="0"/>
    <cellStyle name="Comma 2 9 2 2 2" xfId="0"/>
    <cellStyle name="Comma 2 9 2 2 2 2" xfId="0"/>
    <cellStyle name="Comma 2 9 2 2 3" xfId="0"/>
    <cellStyle name="Comma 2 9 2 3" xfId="0"/>
    <cellStyle name="Comma 2 9 2 3 2" xfId="0"/>
    <cellStyle name="Comma 2 9 2 4" xfId="0"/>
    <cellStyle name="Comma 2 9 3" xfId="0"/>
    <cellStyle name="Comma 2 9 3 2" xfId="0"/>
    <cellStyle name="Comma 2 9 3 2 2" xfId="0"/>
    <cellStyle name="Comma 2 9 3 3" xfId="0"/>
    <cellStyle name="Comma 2 9 4" xfId="0"/>
    <cellStyle name="Comma 2 9 4 2" xfId="0"/>
    <cellStyle name="Comma 2 9 5" xfId="0"/>
    <cellStyle name="Comma 20" xfId="0"/>
    <cellStyle name="Comma 20 2" xfId="0"/>
    <cellStyle name="Comma 20 2 2" xfId="0"/>
    <cellStyle name="Comma 20 2 2 2" xfId="0"/>
    <cellStyle name="Comma 20 2 3" xfId="0"/>
    <cellStyle name="Comma 20 3" xfId="0"/>
    <cellStyle name="Comma 20 3 2" xfId="0"/>
    <cellStyle name="Comma 20 4" xfId="0"/>
    <cellStyle name="Comma 21" xfId="0"/>
    <cellStyle name="Comma 21 2" xfId="0"/>
    <cellStyle name="Comma 22" xfId="0"/>
    <cellStyle name="Comma 2_2.DATA" xfId="0"/>
    <cellStyle name="Comma 3" xfId="0"/>
    <cellStyle name="Comma 3 10" xfId="0"/>
    <cellStyle name="Comma 3 10 2" xfId="0"/>
    <cellStyle name="Comma 3 2" xfId="0"/>
    <cellStyle name="Comma 3 2 2" xfId="0"/>
    <cellStyle name="Comma 3 2 2 2" xfId="0"/>
    <cellStyle name="Comma 3 2 2 2 2" xfId="0"/>
    <cellStyle name="Comma 3 2 2 2 2 2" xfId="0"/>
    <cellStyle name="Comma 3 2 2 2 2 2 2" xfId="0"/>
    <cellStyle name="Comma 3 2 2 2 2 2 2 2" xfId="0"/>
    <cellStyle name="Comma 3 2 2 2 2 3" xfId="0"/>
    <cellStyle name="Comma 3 2 2 2 2 3 2" xfId="0"/>
    <cellStyle name="Comma 3 2 2 2 3" xfId="0"/>
    <cellStyle name="Comma 3 2 2 2 3 2" xfId="0"/>
    <cellStyle name="Comma 3 2 2 2 3 2 2" xfId="0"/>
    <cellStyle name="Comma 3 2 2 2 4" xfId="0"/>
    <cellStyle name="Comma 3 2 2 2 4 2" xfId="0"/>
    <cellStyle name="Comma 3 2 2 3" xfId="0"/>
    <cellStyle name="Comma 3 2 2 3 2" xfId="0"/>
    <cellStyle name="Comma 3 2 2 3 2 2" xfId="0"/>
    <cellStyle name="Comma 3 2 2 3 2 2 2" xfId="0"/>
    <cellStyle name="Comma 3 2 2 3 2 2 2 2" xfId="0"/>
    <cellStyle name="Comma 3 2 2 3 2 3" xfId="0"/>
    <cellStyle name="Comma 3 2 2 3 2 3 2" xfId="0"/>
    <cellStyle name="Comma 3 2 2 3 3" xfId="0"/>
    <cellStyle name="Comma 3 2 2 3 3 2" xfId="0"/>
    <cellStyle name="Comma 3 2 2 3 3 2 2" xfId="0"/>
    <cellStyle name="Comma 3 2 2 3 4" xfId="0"/>
    <cellStyle name="Comma 3 2 2 3 4 2" xfId="0"/>
    <cellStyle name="Comma 3 2 2 4" xfId="0"/>
    <cellStyle name="Comma 3 2 2 4 2" xfId="0"/>
    <cellStyle name="Comma 3 2 2 4 2 2" xfId="0"/>
    <cellStyle name="Comma 3 2 2 4 2 2 2" xfId="0"/>
    <cellStyle name="Comma 3 2 2 4 3" xfId="0"/>
    <cellStyle name="Comma 3 2 2 4 3 2" xfId="0"/>
    <cellStyle name="Comma 3 2 2 5" xfId="0"/>
    <cellStyle name="Comma 3 2 2 5 2" xfId="0"/>
    <cellStyle name="Comma 3 2 2 5 2 2" xfId="0"/>
    <cellStyle name="Comma 3 2 2 5 3" xfId="0"/>
    <cellStyle name="Comma 3 2 2 6" xfId="0"/>
    <cellStyle name="Comma 3 2 2 6 2" xfId="0"/>
    <cellStyle name="Comma 3 2 2_2.DATA" xfId="0"/>
    <cellStyle name="Comma 3 2 3" xfId="0"/>
    <cellStyle name="Comma 3 2 3 2" xfId="0"/>
    <cellStyle name="Comma 3 2 3 2 2" xfId="0"/>
    <cellStyle name="Comma 3 2 3 2 2 2" xfId="0"/>
    <cellStyle name="Comma 3 2 3 2 2 2 2" xfId="0"/>
    <cellStyle name="Comma 3 2 3 2 3" xfId="0"/>
    <cellStyle name="Comma 3 2 3 2 3 2" xfId="0"/>
    <cellStyle name="Comma 3 2 3 3" xfId="0"/>
    <cellStyle name="Comma 3 2 3 3 2" xfId="0"/>
    <cellStyle name="Comma 3 2 3 3 2 2" xfId="0"/>
    <cellStyle name="Comma 3 2 3 4" xfId="0"/>
    <cellStyle name="Comma 3 2 3 4 2" xfId="0"/>
    <cellStyle name="Comma 3 2 4" xfId="0"/>
    <cellStyle name="Comma 3 2 4 2" xfId="0"/>
    <cellStyle name="Comma 3 2 4 2 2" xfId="0"/>
    <cellStyle name="Comma 3 2 4 2 2 2" xfId="0"/>
    <cellStyle name="Comma 3 2 4 2 2 2 2" xfId="0"/>
    <cellStyle name="Comma 3 2 4 2 3" xfId="0"/>
    <cellStyle name="Comma 3 2 4 2 3 2" xfId="0"/>
    <cellStyle name="Comma 3 2 4 3" xfId="0"/>
    <cellStyle name="Comma 3 2 4 3 2" xfId="0"/>
    <cellStyle name="Comma 3 2 4 3 2 2" xfId="0"/>
    <cellStyle name="Comma 3 2 4 4" xfId="0"/>
    <cellStyle name="Comma 3 2 4 4 2" xfId="0"/>
    <cellStyle name="Comma 3 2 5" xfId="0"/>
    <cellStyle name="Comma 3 2 5 2" xfId="0"/>
    <cellStyle name="Comma 3 2 5 2 2" xfId="0"/>
    <cellStyle name="Comma 3 2 5 2 2 2" xfId="0"/>
    <cellStyle name="Comma 3 2 5 3" xfId="0"/>
    <cellStyle name="Comma 3 2 5 3 2" xfId="0"/>
    <cellStyle name="Comma 3 2 6" xfId="0"/>
    <cellStyle name="Comma 3 2 6 2" xfId="0"/>
    <cellStyle name="Comma 3 2 6 2 2" xfId="0"/>
    <cellStyle name="Comma 3 2 7" xfId="0"/>
    <cellStyle name="Comma 3 2 7 2" xfId="0"/>
    <cellStyle name="Comma 3 3" xfId="0"/>
    <cellStyle name="Comma 3 3 2" xfId="0"/>
    <cellStyle name="Comma 3 3 2 2" xfId="0"/>
    <cellStyle name="Comma 3 3 2 2 2" xfId="0"/>
    <cellStyle name="Comma 3 3 2 2 2 2" xfId="0"/>
    <cellStyle name="Comma 3 3 2 2 2 2 2" xfId="0"/>
    <cellStyle name="Comma 3 3 2 2 2 3" xfId="0"/>
    <cellStyle name="Comma 3 3 2 2 3" xfId="0"/>
    <cellStyle name="Comma 3 3 2 2 3 2" xfId="0"/>
    <cellStyle name="Comma 3 3 2 2 3 2 2" xfId="0"/>
    <cellStyle name="Comma 3 3 2 2 3 3" xfId="0"/>
    <cellStyle name="Comma 3 3 2 2 4" xfId="0"/>
    <cellStyle name="Comma 3 3 2 2 4 2" xfId="0"/>
    <cellStyle name="Comma 3 3 2 2 4 2 2" xfId="0"/>
    <cellStyle name="Comma 3 3 2 2 5" xfId="0"/>
    <cellStyle name="Comma 3 3 2 2 5 2" xfId="0"/>
    <cellStyle name="Comma 3 3 2 2 5 2 2" xfId="0"/>
    <cellStyle name="Comma 3 3 2 2 6" xfId="0"/>
    <cellStyle name="Comma 3 3 2 2 6 2" xfId="0"/>
    <cellStyle name="Comma 3 3 2 2 7" xfId="0"/>
    <cellStyle name="Comma 3 3 2 3" xfId="0"/>
    <cellStyle name="Comma 3 3 2 3 2" xfId="0"/>
    <cellStyle name="Comma 3 3 2 3 2 2" xfId="0"/>
    <cellStyle name="Comma 3 3 2 3 2 2 2" xfId="0"/>
    <cellStyle name="Comma 3 3 2 3 2 3" xfId="0"/>
    <cellStyle name="Comma 3 3 2 3 3" xfId="0"/>
    <cellStyle name="Comma 3 3 2 3 3 2" xfId="0"/>
    <cellStyle name="Comma 3 3 2 3 3 2 2" xfId="0"/>
    <cellStyle name="Comma 3 3 2 3 3 3" xfId="0"/>
    <cellStyle name="Comma 3 3 2 3 4" xfId="0"/>
    <cellStyle name="Comma 3 3 2 3 4 2" xfId="0"/>
    <cellStyle name="Comma 3 3 2 3 5" xfId="0"/>
    <cellStyle name="Comma 3 3 2 4" xfId="0"/>
    <cellStyle name="Comma 3 3 2 4 2" xfId="0"/>
    <cellStyle name="Comma 3 3 2 4 2 2" xfId="0"/>
    <cellStyle name="Comma 3 3 2 4 3" xfId="0"/>
    <cellStyle name="Comma 3 3 2 5" xfId="0"/>
    <cellStyle name="Comma 3 3 2 5 2" xfId="0"/>
    <cellStyle name="Comma 3 3 2 5 2 2" xfId="0"/>
    <cellStyle name="Comma 3 3 2 6" xfId="0"/>
    <cellStyle name="Comma 3 3 2 6 2" xfId="0"/>
    <cellStyle name="Comma 3 3 2 7" xfId="0"/>
    <cellStyle name="Comma 3 3 2_2.DATA" xfId="0"/>
    <cellStyle name="Comma 3 3 3" xfId="0"/>
    <cellStyle name="Comma 3 3 3 2" xfId="0"/>
    <cellStyle name="Comma 3 3 3 2 2" xfId="0"/>
    <cellStyle name="Comma 3 3 3 2 2 2" xfId="0"/>
    <cellStyle name="Comma 3 3 3 2 2 2 2" xfId="0"/>
    <cellStyle name="Comma 3 3 3 2 2 3" xfId="0"/>
    <cellStyle name="Comma 3 3 3 2 3" xfId="0"/>
    <cellStyle name="Comma 3 3 3 2 3 2" xfId="0"/>
    <cellStyle name="Comma 3 3 3 2 3 2 2" xfId="0"/>
    <cellStyle name="Comma 3 3 3 2 4" xfId="0"/>
    <cellStyle name="Comma 3 3 3 2 4 2" xfId="0"/>
    <cellStyle name="Comma 3 3 3 2 4 2 2" xfId="0"/>
    <cellStyle name="Comma 3 3 3 2 5" xfId="0"/>
    <cellStyle name="Comma 3 3 3 2 5 2" xfId="0"/>
    <cellStyle name="Comma 3 3 3 2 6" xfId="0"/>
    <cellStyle name="Comma 3 3 3 3" xfId="0"/>
    <cellStyle name="Comma 3 3 3 3 2" xfId="0"/>
    <cellStyle name="Comma 3 3 3 3 2 2" xfId="0"/>
    <cellStyle name="Comma 3 3 3 3 3" xfId="0"/>
    <cellStyle name="Comma 3 3 3 4" xfId="0"/>
    <cellStyle name="Comma 3 3 3 4 2" xfId="0"/>
    <cellStyle name="Comma 3 3 3 4 2 2" xfId="0"/>
    <cellStyle name="Comma 3 3 3 5" xfId="0"/>
    <cellStyle name="Comma 3 3 3 5 2" xfId="0"/>
    <cellStyle name="Comma 3 3 3 5 2 2" xfId="0"/>
    <cellStyle name="Comma 3 3 3 6" xfId="0"/>
    <cellStyle name="Comma 3 3 3 6 2" xfId="0"/>
    <cellStyle name="Comma 3 3 3 7" xfId="0"/>
    <cellStyle name="Comma 3 3 4" xfId="0"/>
    <cellStyle name="Comma 3 3 4 2" xfId="0"/>
    <cellStyle name="Comma 3 3 4 2 2" xfId="0"/>
    <cellStyle name="Comma 3 3 4 2 2 2" xfId="0"/>
    <cellStyle name="Comma 3 3 4 2 3" xfId="0"/>
    <cellStyle name="Comma 3 3 4 3" xfId="0"/>
    <cellStyle name="Comma 3 3 4 3 2" xfId="0"/>
    <cellStyle name="Comma 3 3 4 3 2 2" xfId="0"/>
    <cellStyle name="Comma 3 3 4 4" xfId="0"/>
    <cellStyle name="Comma 3 3 4 4 2" xfId="0"/>
    <cellStyle name="Comma 3 3 4 4 2 2" xfId="0"/>
    <cellStyle name="Comma 3 3 4 5" xfId="0"/>
    <cellStyle name="Comma 3 3 4 5 2" xfId="0"/>
    <cellStyle name="Comma 3 3 4 6" xfId="0"/>
    <cellStyle name="Comma 3 3 5" xfId="0"/>
    <cellStyle name="Comma 3 3 5 2" xfId="0"/>
    <cellStyle name="Comma 3 3 5 2 2" xfId="0"/>
    <cellStyle name="Comma 3 3 5 3" xfId="0"/>
    <cellStyle name="Comma 3 3_2.DATA" xfId="0"/>
    <cellStyle name="Comma 3 4" xfId="0"/>
    <cellStyle name="Comma 3 4 2" xfId="0"/>
    <cellStyle name="Comma 3 4 2 2" xfId="0"/>
    <cellStyle name="Comma 3 4 2 2 2" xfId="0"/>
    <cellStyle name="Comma 3 4 2 2 2 2" xfId="0"/>
    <cellStyle name="Comma 3 4 2 2 2 2 2" xfId="0"/>
    <cellStyle name="Comma 3 4 2 2 2 3" xfId="0"/>
    <cellStyle name="Comma 3 4 2 2 3" xfId="0"/>
    <cellStyle name="Comma 3 4 2 2 3 2" xfId="0"/>
    <cellStyle name="Comma 3 4 2 2 4" xfId="0"/>
    <cellStyle name="Comma 3 4 2 3" xfId="0"/>
    <cellStyle name="Comma 3 4 2 3 2" xfId="0"/>
    <cellStyle name="Comma 3 4 2 3 2 2" xfId="0"/>
    <cellStyle name="Comma 3 4 2 3 3" xfId="0"/>
    <cellStyle name="Comma 3 4 2 4" xfId="0"/>
    <cellStyle name="Comma 3 4 2 4 2" xfId="0"/>
    <cellStyle name="Comma 3 4 2 5" xfId="0"/>
    <cellStyle name="Comma 3 4 3" xfId="0"/>
    <cellStyle name="Comma 3 4 3 2" xfId="0"/>
    <cellStyle name="Comma 3 4 3 2 2" xfId="0"/>
    <cellStyle name="Comma 3 4 3 2 2 2" xfId="0"/>
    <cellStyle name="Comma 3 4 3 2 2 2 2" xfId="0"/>
    <cellStyle name="Comma 3 4 3 2 2 3" xfId="0"/>
    <cellStyle name="Comma 3 4 3 2 3" xfId="0"/>
    <cellStyle name="Comma 3 4 3 2 3 2" xfId="0"/>
    <cellStyle name="Comma 3 4 3 2 4" xfId="0"/>
    <cellStyle name="Comma 3 4 3 3" xfId="0"/>
    <cellStyle name="Comma 3 4 3 3 2" xfId="0"/>
    <cellStyle name="Comma 3 4 3 3 2 2" xfId="0"/>
    <cellStyle name="Comma 3 4 3 3 3" xfId="0"/>
    <cellStyle name="Comma 3 4 3 4" xfId="0"/>
    <cellStyle name="Comma 3 4 3 4 2" xfId="0"/>
    <cellStyle name="Comma 3 4 3 5" xfId="0"/>
    <cellStyle name="Comma 3 4 4" xfId="0"/>
    <cellStyle name="Comma 3 4 4 2" xfId="0"/>
    <cellStyle name="Comma 3 4 4 2 2" xfId="0"/>
    <cellStyle name="Comma 3 4 4 2 2 2" xfId="0"/>
    <cellStyle name="Comma 3 4 4 2 3" xfId="0"/>
    <cellStyle name="Comma 3 4 4 3" xfId="0"/>
    <cellStyle name="Comma 3 4 4 3 2" xfId="0"/>
    <cellStyle name="Comma 3 4 4 4" xfId="0"/>
    <cellStyle name="Comma 3 4 5" xfId="0"/>
    <cellStyle name="Comma 3 4 5 2" xfId="0"/>
    <cellStyle name="Comma 3 4 5 2 2" xfId="0"/>
    <cellStyle name="Comma 3 4 6" xfId="0"/>
    <cellStyle name="Comma 3 4 6 2" xfId="0"/>
    <cellStyle name="Comma 3 4 7" xfId="0"/>
    <cellStyle name="Comma 3 4_2.DATA" xfId="0"/>
    <cellStyle name="Comma 3 5" xfId="0"/>
    <cellStyle name="Comma 3 5 2" xfId="0"/>
    <cellStyle name="Comma 3 5 2 2" xfId="0"/>
    <cellStyle name="Comma 3 5 2 2 2" xfId="0"/>
    <cellStyle name="Comma 3 5 2 2 2 2" xfId="0"/>
    <cellStyle name="Comma 3 5 2 2 2 2 2" xfId="0"/>
    <cellStyle name="Comma 3 5 2 2 3" xfId="0"/>
    <cellStyle name="Comma 3 5 2 2 3 2" xfId="0"/>
    <cellStyle name="Comma 3 5 2 3" xfId="0"/>
    <cellStyle name="Comma 3 5 2 3 2" xfId="0"/>
    <cellStyle name="Comma 3 5 2 3 2 2" xfId="0"/>
    <cellStyle name="Comma 3 5 2 4" xfId="0"/>
    <cellStyle name="Comma 3 5 2 4 2" xfId="0"/>
    <cellStyle name="Comma 3 5 3" xfId="0"/>
    <cellStyle name="Comma 3 5 3 2" xfId="0"/>
    <cellStyle name="Comma 3 5 3 2 2" xfId="0"/>
    <cellStyle name="Comma 3 5 3 2 2 2" xfId="0"/>
    <cellStyle name="Comma 3 5 3 2 2 2 2" xfId="0"/>
    <cellStyle name="Comma 3 5 3 2 3" xfId="0"/>
    <cellStyle name="Comma 3 5 3 2 3 2" xfId="0"/>
    <cellStyle name="Comma 3 5 3 3" xfId="0"/>
    <cellStyle name="Comma 3 5 3 3 2" xfId="0"/>
    <cellStyle name="Comma 3 5 3 3 2 2" xfId="0"/>
    <cellStyle name="Comma 3 5 3 4" xfId="0"/>
    <cellStyle name="Comma 3 5 3 4 2" xfId="0"/>
    <cellStyle name="Comma 3 5 4" xfId="0"/>
    <cellStyle name="Comma 3 5 4 2" xfId="0"/>
    <cellStyle name="Comma 3 5 4 2 2" xfId="0"/>
    <cellStyle name="Comma 3 5 4 2 2 2" xfId="0"/>
    <cellStyle name="Comma 3 5 4 3" xfId="0"/>
    <cellStyle name="Comma 3 5 4 3 2" xfId="0"/>
    <cellStyle name="Comma 3 5 5" xfId="0"/>
    <cellStyle name="Comma 3 5 5 2" xfId="0"/>
    <cellStyle name="Comma 3 5 5 2 2" xfId="0"/>
    <cellStyle name="Comma 3 5 5 3" xfId="0"/>
    <cellStyle name="Comma 3 5_2.DATA" xfId="0"/>
    <cellStyle name="Comma 3 6" xfId="0"/>
    <cellStyle name="Comma 3 6 2" xfId="0"/>
    <cellStyle name="Comma 3 6 2 2" xfId="0"/>
    <cellStyle name="Comma 3 6 2 2 2" xfId="0"/>
    <cellStyle name="Comma 3 6 2 2 2 2" xfId="0"/>
    <cellStyle name="Comma 3 6 2 3" xfId="0"/>
    <cellStyle name="Comma 3 6 2 3 2" xfId="0"/>
    <cellStyle name="Comma 3 6 3" xfId="0"/>
    <cellStyle name="Comma 3 6 3 2" xfId="0"/>
    <cellStyle name="Comma 3 6 3 2 2" xfId="0"/>
    <cellStyle name="Comma 3 6 4" xfId="0"/>
    <cellStyle name="Comma 3 6 4 2" xfId="0"/>
    <cellStyle name="Comma 3 7" xfId="0"/>
    <cellStyle name="Comma 3 7 2" xfId="0"/>
    <cellStyle name="Comma 3 7 2 2" xfId="0"/>
    <cellStyle name="Comma 3 7 2 2 2" xfId="0"/>
    <cellStyle name="Comma 3 7 2 2 2 2" xfId="0"/>
    <cellStyle name="Comma 3 7 2 3" xfId="0"/>
    <cellStyle name="Comma 3 7 2 3 2" xfId="0"/>
    <cellStyle name="Comma 3 7 3" xfId="0"/>
    <cellStyle name="Comma 3 7 3 2" xfId="0"/>
    <cellStyle name="Comma 3 7 3 2 2" xfId="0"/>
    <cellStyle name="Comma 3 7 4" xfId="0"/>
    <cellStyle name="Comma 3 7 4 2" xfId="0"/>
    <cellStyle name="Comma 3 8" xfId="0"/>
    <cellStyle name="Comma 3 8 2" xfId="0"/>
    <cellStyle name="Comma 3 8 2 2" xfId="0"/>
    <cellStyle name="Comma 3 8 2 2 2" xfId="0"/>
    <cellStyle name="Comma 3 8 3" xfId="0"/>
    <cellStyle name="Comma 3 8 3 2" xfId="0"/>
    <cellStyle name="Comma 3 9" xfId="0"/>
    <cellStyle name="Comma 3 9 2" xfId="0"/>
    <cellStyle name="Comma 3 9 2 2" xfId="0"/>
    <cellStyle name="Comma 3_2.DATA" xfId="0"/>
    <cellStyle name="Comma 4" xfId="0"/>
    <cellStyle name="Comma 4 10" xfId="0"/>
    <cellStyle name="Comma 4 2" xfId="0"/>
    <cellStyle name="Comma 4 2 2" xfId="0"/>
    <cellStyle name="Comma 4 2 2 2" xfId="0"/>
    <cellStyle name="Comma 4 2 2 2 2" xfId="0"/>
    <cellStyle name="Comma 4 2 2 2 2 2" xfId="0"/>
    <cellStyle name="Comma 4 2 2 2 2 2 2" xfId="0"/>
    <cellStyle name="Comma 4 2 2 2 3" xfId="0"/>
    <cellStyle name="Comma 4 2 2 2 3 2" xfId="0"/>
    <cellStyle name="Comma 4 2 2 3" xfId="0"/>
    <cellStyle name="Comma 4 2 2 3 2" xfId="0"/>
    <cellStyle name="Comma 4 2 2 3 2 2" xfId="0"/>
    <cellStyle name="Comma 4 2 2 3 3" xfId="0"/>
    <cellStyle name="Comma 4 2 2 4" xfId="0"/>
    <cellStyle name="Comma 4 2 2 4 2" xfId="0"/>
    <cellStyle name="Comma 4 2 2_2.DATA" xfId="0"/>
    <cellStyle name="Comma 4 2 3" xfId="0"/>
    <cellStyle name="Comma 4 2 3 2" xfId="0"/>
    <cellStyle name="Comma 4 2 3 2 2" xfId="0"/>
    <cellStyle name="Comma 4 2 3 2 2 2" xfId="0"/>
    <cellStyle name="Comma 4 2 3 2 2 2 2" xfId="0"/>
    <cellStyle name="Comma 4 2 3 2 3" xfId="0"/>
    <cellStyle name="Comma 4 2 3 2 3 2" xfId="0"/>
    <cellStyle name="Comma 4 2 3 3" xfId="0"/>
    <cellStyle name="Comma 4 2 3 3 2" xfId="0"/>
    <cellStyle name="Comma 4 2 3 3 2 2" xfId="0"/>
    <cellStyle name="Comma 4 2 3 4" xfId="0"/>
    <cellStyle name="Comma 4 2 3 4 2" xfId="0"/>
    <cellStyle name="Comma 4 2 4" xfId="0"/>
    <cellStyle name="Comma 4 2 4 2" xfId="0"/>
    <cellStyle name="Comma 4 2 4 2 2" xfId="0"/>
    <cellStyle name="Comma 4 2 4 2 2 2" xfId="0"/>
    <cellStyle name="Comma 4 2 4 3" xfId="0"/>
    <cellStyle name="Comma 4 2 4 3 2" xfId="0"/>
    <cellStyle name="Comma 4 2 5" xfId="0"/>
    <cellStyle name="Comma 4 2 5 2" xfId="0"/>
    <cellStyle name="Comma 4 2 5 2 2" xfId="0"/>
    <cellStyle name="Comma 4 2 5 2 2 2" xfId="0"/>
    <cellStyle name="Comma 4 2 5 3" xfId="0"/>
    <cellStyle name="Comma 4 2 5 3 2" xfId="0"/>
    <cellStyle name="Comma 4 2 5 4" xfId="0"/>
    <cellStyle name="Comma 4 2 6" xfId="0"/>
    <cellStyle name="Comma 4 2 6 2" xfId="0"/>
    <cellStyle name="Comma 4 2 6 2 2" xfId="0"/>
    <cellStyle name="Comma 4 2_2.DATA" xfId="0"/>
    <cellStyle name="Comma 4 3" xfId="0"/>
    <cellStyle name="Comma 4 3 2" xfId="0"/>
    <cellStyle name="Comma 4 3 2 2" xfId="0"/>
    <cellStyle name="Comma 4 3 2 2 2" xfId="0"/>
    <cellStyle name="Comma 4 3 2 2 2 2" xfId="0"/>
    <cellStyle name="Comma 4 3 2 2 2 2 2" xfId="0"/>
    <cellStyle name="Comma 4 3 2 2 2 3" xfId="0"/>
    <cellStyle name="Comma 4 3 2 2 3" xfId="0"/>
    <cellStyle name="Comma 4 3 2 2 3 2" xfId="0"/>
    <cellStyle name="Comma 4 3 2 2 4" xfId="0"/>
    <cellStyle name="Comma 4 3 2 3" xfId="0"/>
    <cellStyle name="Comma 4 3 2 3 2" xfId="0"/>
    <cellStyle name="Comma 4 3 2 3 2 2" xfId="0"/>
    <cellStyle name="Comma 4 3 2 3 3" xfId="0"/>
    <cellStyle name="Comma 4 3 2 4" xfId="0"/>
    <cellStyle name="Comma 4 3 2 4 2" xfId="0"/>
    <cellStyle name="Comma 4 3 2 5" xfId="0"/>
    <cellStyle name="Comma 4 3 3" xfId="0"/>
    <cellStyle name="Comma 4 3 3 2" xfId="0"/>
    <cellStyle name="Comma 4 3 3 2 2" xfId="0"/>
    <cellStyle name="Comma 4 3 3 2 2 2" xfId="0"/>
    <cellStyle name="Comma 4 3 3 2 2 2 2" xfId="0"/>
    <cellStyle name="Comma 4 3 3 2 2 3" xfId="0"/>
    <cellStyle name="Comma 4 3 3 2 3" xfId="0"/>
    <cellStyle name="Comma 4 3 3 2 3 2" xfId="0"/>
    <cellStyle name="Comma 4 3 3 2 4" xfId="0"/>
    <cellStyle name="Comma 4 3 3 3" xfId="0"/>
    <cellStyle name="Comma 4 3 3 3 2" xfId="0"/>
    <cellStyle name="Comma 4 3 3 3 2 2" xfId="0"/>
    <cellStyle name="Comma 4 3 3 3 3" xfId="0"/>
    <cellStyle name="Comma 4 3 3 4" xfId="0"/>
    <cellStyle name="Comma 4 3 3 4 2" xfId="0"/>
    <cellStyle name="Comma 4 3 3 5" xfId="0"/>
    <cellStyle name="Comma 4 3 4" xfId="0"/>
    <cellStyle name="Comma 4 3 4 2" xfId="0"/>
    <cellStyle name="Comma 4 3 4 2 2" xfId="0"/>
    <cellStyle name="Comma 4 3 4 2 2 2" xfId="0"/>
    <cellStyle name="Comma 4 3 4 2 3" xfId="0"/>
    <cellStyle name="Comma 4 3 4 3" xfId="0"/>
    <cellStyle name="Comma 4 3 4 3 2" xfId="0"/>
    <cellStyle name="Comma 4 3 4 4" xfId="0"/>
    <cellStyle name="Comma 4 3 5" xfId="0"/>
    <cellStyle name="Comma 4 3 5 2" xfId="0"/>
    <cellStyle name="Comma 4 3 6" xfId="0"/>
    <cellStyle name="Comma 4 4" xfId="0"/>
    <cellStyle name="Comma 4 4 2" xfId="0"/>
    <cellStyle name="Comma 4 4 2 2" xfId="0"/>
    <cellStyle name="Comma 4 4 2 2 2" xfId="0"/>
    <cellStyle name="Comma 4 4 2 2 2 2" xfId="0"/>
    <cellStyle name="Comma 4 4 2 2 2 2 2" xfId="0"/>
    <cellStyle name="Comma 4 4 2 2 3" xfId="0"/>
    <cellStyle name="Comma 4 4 2 2 3 2" xfId="0"/>
    <cellStyle name="Comma 4 4 2 3" xfId="0"/>
    <cellStyle name="Comma 4 4 2 3 2" xfId="0"/>
    <cellStyle name="Comma 4 4 2 3 2 2" xfId="0"/>
    <cellStyle name="Comma 4 4 2 4" xfId="0"/>
    <cellStyle name="Comma 4 4 2 4 2" xfId="0"/>
    <cellStyle name="Comma 4 4 3" xfId="0"/>
    <cellStyle name="Comma 4 4 3 2" xfId="0"/>
    <cellStyle name="Comma 4 4 3 2 2" xfId="0"/>
    <cellStyle name="Comma 4 4 3 2 2 2" xfId="0"/>
    <cellStyle name="Comma 4 4 3 2 2 2 2" xfId="0"/>
    <cellStyle name="Comma 4 4 3 2 3" xfId="0"/>
    <cellStyle name="Comma 4 4 3 2 3 2" xfId="0"/>
    <cellStyle name="Comma 4 4 3 3" xfId="0"/>
    <cellStyle name="Comma 4 4 3 3 2" xfId="0"/>
    <cellStyle name="Comma 4 4 3 3 2 2" xfId="0"/>
    <cellStyle name="Comma 4 4 3 4" xfId="0"/>
    <cellStyle name="Comma 4 4 3 4 2" xfId="0"/>
    <cellStyle name="Comma 4 4 4" xfId="0"/>
    <cellStyle name="Comma 4 4 4 2" xfId="0"/>
    <cellStyle name="Comma 4 4 4 2 2" xfId="0"/>
    <cellStyle name="Comma 4 4 4 2 2 2" xfId="0"/>
    <cellStyle name="Comma 4 4 4 3" xfId="0"/>
    <cellStyle name="Comma 4 4 4 3 2" xfId="0"/>
    <cellStyle name="Comma 4 4 5" xfId="0"/>
    <cellStyle name="Comma 4 4 5 2" xfId="0"/>
    <cellStyle name="Comma 4 4 5 2 2" xfId="0"/>
    <cellStyle name="Comma 4 4 6" xfId="0"/>
    <cellStyle name="Comma 4 4 6 2" xfId="0"/>
    <cellStyle name="Comma 4 5" xfId="0"/>
    <cellStyle name="Comma 4 5 2" xfId="0"/>
    <cellStyle name="Comma 4 5 2 2" xfId="0"/>
    <cellStyle name="Comma 4 5 2 2 2" xfId="0"/>
    <cellStyle name="Comma 4 5 2 2 2 2" xfId="0"/>
    <cellStyle name="Comma 4 5 2 3" xfId="0"/>
    <cellStyle name="Comma 4 5 2 3 2" xfId="0"/>
    <cellStyle name="Comma 4 5 3" xfId="0"/>
    <cellStyle name="Comma 4 5 3 2" xfId="0"/>
    <cellStyle name="Comma 4 5 3 2 2" xfId="0"/>
    <cellStyle name="Comma 4 5 4" xfId="0"/>
    <cellStyle name="Comma 4 5 4 2" xfId="0"/>
    <cellStyle name="Comma 4 6" xfId="0"/>
    <cellStyle name="Comma 4 6 2" xfId="0"/>
    <cellStyle name="Comma 4 6 2 2" xfId="0"/>
    <cellStyle name="Comma 4 6 2 2 2" xfId="0"/>
    <cellStyle name="Comma 4 6 2 2 2 2" xfId="0"/>
    <cellStyle name="Comma 4 6 2 3" xfId="0"/>
    <cellStyle name="Comma 4 6 2 3 2" xfId="0"/>
    <cellStyle name="Comma 4 6 3" xfId="0"/>
    <cellStyle name="Comma 4 6 3 2" xfId="0"/>
    <cellStyle name="Comma 4 6 3 2 2" xfId="0"/>
    <cellStyle name="Comma 4 6 4" xfId="0"/>
    <cellStyle name="Comma 4 6 4 2" xfId="0"/>
    <cellStyle name="Comma 4 7" xfId="0"/>
    <cellStyle name="Comma 4 7 2" xfId="0"/>
    <cellStyle name="Comma 4 7 2 2" xfId="0"/>
    <cellStyle name="Comma 4 7 2 2 2" xfId="0"/>
    <cellStyle name="Comma 4 7 3" xfId="0"/>
    <cellStyle name="Comma 4 7 3 2" xfId="0"/>
    <cellStyle name="Comma 4 8" xfId="0"/>
    <cellStyle name="Comma 4 8 2" xfId="0"/>
    <cellStyle name="Comma 4 8 2 2" xfId="0"/>
    <cellStyle name="Comma 4 9" xfId="0"/>
    <cellStyle name="Comma 4 9 2" xfId="0"/>
    <cellStyle name="Comma 4_2.DATA" xfId="0"/>
    <cellStyle name="Comma 5" xfId="0"/>
    <cellStyle name="Comma 5 2" xfId="0"/>
    <cellStyle name="Comma 5 2 2" xfId="0"/>
    <cellStyle name="Comma 5 2 2 2" xfId="0"/>
    <cellStyle name="Comma 5 2 2 2 2" xfId="0"/>
    <cellStyle name="Comma 5 2 2 2 2 2" xfId="0"/>
    <cellStyle name="Comma 5 2 2 2 2 2 2" xfId="0"/>
    <cellStyle name="Comma 5 2 2 2 3" xfId="0"/>
    <cellStyle name="Comma 5 2 2 2 3 2" xfId="0"/>
    <cellStyle name="Comma 5 2 2 2 3 2 2" xfId="0"/>
    <cellStyle name="Comma 5 2 2 2 3 3" xfId="0"/>
    <cellStyle name="Comma 5 2 2 2_2.DATA" xfId="0"/>
    <cellStyle name="Comma 5 2 2 3" xfId="0"/>
    <cellStyle name="Comma 5 2 2 3 2" xfId="0"/>
    <cellStyle name="Comma 5 2 2 3 2 2" xfId="0"/>
    <cellStyle name="Comma 5 2 2 4" xfId="0"/>
    <cellStyle name="Comma 5 2 2 4 2" xfId="0"/>
    <cellStyle name="Comma 5 2 2 4 2 2" xfId="0"/>
    <cellStyle name="Comma 5 2 2 4 3" xfId="0"/>
    <cellStyle name="Comma 5 2 2_2.DATA" xfId="0"/>
    <cellStyle name="Comma 5 2 3" xfId="0"/>
    <cellStyle name="Comma 5 2 3 2" xfId="0"/>
    <cellStyle name="Comma 5 2 3 2 2" xfId="0"/>
    <cellStyle name="Comma 5 2 3 2 2 2" xfId="0"/>
    <cellStyle name="Comma 5 2 3 2 2 2 2" xfId="0"/>
    <cellStyle name="Comma 5 2 3 2 3" xfId="0"/>
    <cellStyle name="Comma 5 2 3 2 3 2" xfId="0"/>
    <cellStyle name="Comma 5 2 3 3" xfId="0"/>
    <cellStyle name="Comma 5 2 3 3 2" xfId="0"/>
    <cellStyle name="Comma 5 2 3 3 2 2" xfId="0"/>
    <cellStyle name="Comma 5 2 3 3 3" xfId="0"/>
    <cellStyle name="Comma 5 2 3_2.DATA" xfId="0"/>
    <cellStyle name="Comma 5 2 4" xfId="0"/>
    <cellStyle name="Comma 5 2 4 2" xfId="0"/>
    <cellStyle name="Comma 5 2 4 2 2" xfId="0"/>
    <cellStyle name="Comma 5 2 4 2 2 2" xfId="0"/>
    <cellStyle name="Comma 5 2 4 3" xfId="0"/>
    <cellStyle name="Comma 5 2 4 3 2" xfId="0"/>
    <cellStyle name="Comma 5 2 5" xfId="0"/>
    <cellStyle name="Comma 5 2 5 2" xfId="0"/>
    <cellStyle name="Comma 5 2 5 2 2" xfId="0"/>
    <cellStyle name="Comma 5 2 5 2 2 2" xfId="0"/>
    <cellStyle name="Comma 5 2 5 2 3" xfId="0"/>
    <cellStyle name="Comma 5 2 5 3" xfId="0"/>
    <cellStyle name="Comma 5 2 5 3 2" xfId="0"/>
    <cellStyle name="Comma 5 2 5 4" xfId="0"/>
    <cellStyle name="Comma 5 2 6" xfId="0"/>
    <cellStyle name="Comma 5 2 6 2" xfId="0"/>
    <cellStyle name="Comma 5 2 6 2 2" xfId="0"/>
    <cellStyle name="Comma 5 2 7" xfId="0"/>
    <cellStyle name="Comma 5 2 7 2" xfId="0"/>
    <cellStyle name="Comma 5 2 8" xfId="0"/>
    <cellStyle name="Comma 5 2_2.DATA" xfId="0"/>
    <cellStyle name="Comma 5 3" xfId="0"/>
    <cellStyle name="Comma 5 3 2" xfId="0"/>
    <cellStyle name="Comma 5 3 2 2" xfId="0"/>
    <cellStyle name="Comma 5 3 2 2 2" xfId="0"/>
    <cellStyle name="Comma 5 3 2 2 2 2" xfId="0"/>
    <cellStyle name="Comma 5 3 2 3" xfId="0"/>
    <cellStyle name="Comma 5 3 2 3 2" xfId="0"/>
    <cellStyle name="Comma 5 3 2 3 2 2" xfId="0"/>
    <cellStyle name="Comma 5 3 2 4" xfId="0"/>
    <cellStyle name="Comma 5 3 2 4 2" xfId="0"/>
    <cellStyle name="Comma 5 3 3" xfId="0"/>
    <cellStyle name="Comma 5 3 3 2" xfId="0"/>
    <cellStyle name="Comma 5 3 3 2 2" xfId="0"/>
    <cellStyle name="Comma 5 3 3 2 2 2" xfId="0"/>
    <cellStyle name="Comma 5 3 3 3" xfId="0"/>
    <cellStyle name="Comma 5 3 3 3 2" xfId="0"/>
    <cellStyle name="Comma 5 3 3 3 2 2" xfId="0"/>
    <cellStyle name="Comma 5 3 3 4" xfId="0"/>
    <cellStyle name="Comma 5 3 3 4 2" xfId="0"/>
    <cellStyle name="Comma 5 3 4" xfId="0"/>
    <cellStyle name="Comma 5 3 4 2" xfId="0"/>
    <cellStyle name="Comma 5 4" xfId="0"/>
    <cellStyle name="Comma 5 4 2" xfId="0"/>
    <cellStyle name="Comma 5 4 2 2" xfId="0"/>
    <cellStyle name="Comma 5 4 2 2 2" xfId="0"/>
    <cellStyle name="Comma 5 4 2 2 2 2" xfId="0"/>
    <cellStyle name="Comma 5 4 2 3" xfId="0"/>
    <cellStyle name="Comma 5 4 2 3 2" xfId="0"/>
    <cellStyle name="Comma 5 4 3" xfId="0"/>
    <cellStyle name="Comma 5 4 3 2" xfId="0"/>
    <cellStyle name="Comma 5 4 3 2 2" xfId="0"/>
    <cellStyle name="Comma 5 4 4" xfId="0"/>
    <cellStyle name="Comma 5 4 4 2" xfId="0"/>
    <cellStyle name="Comma 5 5" xfId="0"/>
    <cellStyle name="Comma 5 5 2" xfId="0"/>
    <cellStyle name="Comma 5 5 2 2" xfId="0"/>
    <cellStyle name="Comma 5 5 2 2 2" xfId="0"/>
    <cellStyle name="Comma 5 5 3" xfId="0"/>
    <cellStyle name="Comma 5 5 3 2" xfId="0"/>
    <cellStyle name="Comma 5 6" xfId="0"/>
    <cellStyle name="Comma 5 6 2" xfId="0"/>
    <cellStyle name="Comma 5 7" xfId="0"/>
    <cellStyle name="Comma 6" xfId="0"/>
    <cellStyle name="Comma 6 2" xfId="0"/>
    <cellStyle name="Comma 6 2 2" xfId="0"/>
    <cellStyle name="Comma 6 2 2 2" xfId="0"/>
    <cellStyle name="Comma 6 2 2 2 2" xfId="0"/>
    <cellStyle name="Comma 6 2 2 2 2 2" xfId="0"/>
    <cellStyle name="Comma 6 2 2 2 2 2 2" xfId="0"/>
    <cellStyle name="Comma 6 2 2 2 2 3" xfId="0"/>
    <cellStyle name="Comma 6 2 2 2 3" xfId="0"/>
    <cellStyle name="Comma 6 2 2 2 3 2" xfId="0"/>
    <cellStyle name="Comma 6 2 2 2 4" xfId="0"/>
    <cellStyle name="Comma 6 2 2 3" xfId="0"/>
    <cellStyle name="Comma 6 2 2 3 2" xfId="0"/>
    <cellStyle name="Comma 6 2 2 3 2 2" xfId="0"/>
    <cellStyle name="Comma 6 2 2 3 3" xfId="0"/>
    <cellStyle name="Comma 6 2 2 4" xfId="0"/>
    <cellStyle name="Comma 6 2 2 4 2" xfId="0"/>
    <cellStyle name="Comma 6 2 2 5" xfId="0"/>
    <cellStyle name="Comma 6 2 3" xfId="0"/>
    <cellStyle name="Comma 6 2 3 2" xfId="0"/>
    <cellStyle name="Comma 6 2 3 2 2" xfId="0"/>
    <cellStyle name="Comma 6 2 3 2 2 2" xfId="0"/>
    <cellStyle name="Comma 6 2 3 2 2 2 2" xfId="0"/>
    <cellStyle name="Comma 6 2 3 2 2 3" xfId="0"/>
    <cellStyle name="Comma 6 2 3 2 3" xfId="0"/>
    <cellStyle name="Comma 6 2 3 2 3 2" xfId="0"/>
    <cellStyle name="Comma 6 2 3 2 4" xfId="0"/>
    <cellStyle name="Comma 6 2 3 3" xfId="0"/>
    <cellStyle name="Comma 6 2 3 3 2" xfId="0"/>
    <cellStyle name="Comma 6 2 3 3 2 2" xfId="0"/>
    <cellStyle name="Comma 6 2 3 3 3" xfId="0"/>
    <cellStyle name="Comma 6 2 3 4" xfId="0"/>
    <cellStyle name="Comma 6 2 3 4 2" xfId="0"/>
    <cellStyle name="Comma 6 2 3 5" xfId="0"/>
    <cellStyle name="Comma 6 2 4" xfId="0"/>
    <cellStyle name="Comma 6 2 4 2" xfId="0"/>
    <cellStyle name="Comma 6 2 4 2 2" xfId="0"/>
    <cellStyle name="Comma 6 2 4 2 2 2" xfId="0"/>
    <cellStyle name="Comma 6 2 4 2 3" xfId="0"/>
    <cellStyle name="Comma 6 2 4 3" xfId="0"/>
    <cellStyle name="Comma 6 2 4 3 2" xfId="0"/>
    <cellStyle name="Comma 6 2 4 4" xfId="0"/>
    <cellStyle name="Comma 6 2 5" xfId="0"/>
    <cellStyle name="Comma 6 2 5 2" xfId="0"/>
    <cellStyle name="Comma 6 2 5 2 2" xfId="0"/>
    <cellStyle name="Comma 6 2 5 3" xfId="0"/>
    <cellStyle name="Comma 6 2 6" xfId="0"/>
    <cellStyle name="Comma 6 2 6 2" xfId="0"/>
    <cellStyle name="Comma 6 2 7" xfId="0"/>
    <cellStyle name="Comma 6 3" xfId="0"/>
    <cellStyle name="Comma 6 3 2" xfId="0"/>
    <cellStyle name="Comma 6 3 2 2" xfId="0"/>
    <cellStyle name="Comma 6 3 2 2 2" xfId="0"/>
    <cellStyle name="Comma 6 3 2 2 2 2" xfId="0"/>
    <cellStyle name="Comma 6 3 2 2 3" xfId="0"/>
    <cellStyle name="Comma 6 3 2 3" xfId="0"/>
    <cellStyle name="Comma 6 3 2 3 2" xfId="0"/>
    <cellStyle name="Comma 6 3 2 4" xfId="0"/>
    <cellStyle name="Comma 6 3 3" xfId="0"/>
    <cellStyle name="Comma 6 3 3 2" xfId="0"/>
    <cellStyle name="Comma 6 3 3 2 2" xfId="0"/>
    <cellStyle name="Comma 6 3 3 3" xfId="0"/>
    <cellStyle name="Comma 6 3 4" xfId="0"/>
    <cellStyle name="Comma 6 3 4 2" xfId="0"/>
    <cellStyle name="Comma 6 3 5" xfId="0"/>
    <cellStyle name="Comma 6 4" xfId="0"/>
    <cellStyle name="Comma 6 4 2" xfId="0"/>
    <cellStyle name="Comma 6 4 2 2" xfId="0"/>
    <cellStyle name="Comma 6 4 2 2 2" xfId="0"/>
    <cellStyle name="Comma 6 4 2 2 2 2" xfId="0"/>
    <cellStyle name="Comma 6 4 2 2 3" xfId="0"/>
    <cellStyle name="Comma 6 4 2 3" xfId="0"/>
    <cellStyle name="Comma 6 4 2 3 2" xfId="0"/>
    <cellStyle name="Comma 6 4 2 4" xfId="0"/>
    <cellStyle name="Comma 6 4 3" xfId="0"/>
    <cellStyle name="Comma 6 4 3 2" xfId="0"/>
    <cellStyle name="Comma 6 4 3 2 2" xfId="0"/>
    <cellStyle name="Comma 6 4 3 3" xfId="0"/>
    <cellStyle name="Comma 6 4 4" xfId="0"/>
    <cellStyle name="Comma 6 4 4 2" xfId="0"/>
    <cellStyle name="Comma 6 4 5" xfId="0"/>
    <cellStyle name="Comma 6 5" xfId="0"/>
    <cellStyle name="Comma 6 5 2" xfId="0"/>
    <cellStyle name="Comma 6 5 2 2" xfId="0"/>
    <cellStyle name="Comma 6 5 2 2 2" xfId="0"/>
    <cellStyle name="Comma 6 5 2 3" xfId="0"/>
    <cellStyle name="Comma 6 5 3" xfId="0"/>
    <cellStyle name="Comma 6 5 3 2" xfId="0"/>
    <cellStyle name="Comma 6 5 4" xfId="0"/>
    <cellStyle name="Comma 6 6" xfId="0"/>
    <cellStyle name="Comma 6 6 2" xfId="0"/>
    <cellStyle name="Comma 6 6 2 2" xfId="0"/>
    <cellStyle name="Comma 6 7" xfId="0"/>
    <cellStyle name="Comma 6 7 2" xfId="0"/>
    <cellStyle name="Comma 6 7 2 2" xfId="0"/>
    <cellStyle name="Comma 6 7 3" xfId="0"/>
    <cellStyle name="Comma 6 8" xfId="0"/>
    <cellStyle name="Comma 6 8 2" xfId="0"/>
    <cellStyle name="Comma 6_2.DATA" xfId="0"/>
    <cellStyle name="Comma 7" xfId="0"/>
    <cellStyle name="Comma 7 2" xfId="0"/>
    <cellStyle name="Comma 7 2 2" xfId="0"/>
    <cellStyle name="Comma 7 2 2 2" xfId="0"/>
    <cellStyle name="Comma 7 2 2 2 2" xfId="0"/>
    <cellStyle name="Comma 7 2 2 2 2 2" xfId="0"/>
    <cellStyle name="Comma 7 2 2 2 3" xfId="0"/>
    <cellStyle name="Comma 7 2 2 3" xfId="0"/>
    <cellStyle name="Comma 7 2 2 3 2" xfId="0"/>
    <cellStyle name="Comma 7 2 2 4" xfId="0"/>
    <cellStyle name="Comma 7 2 3" xfId="0"/>
    <cellStyle name="Comma 7 2 3 2" xfId="0"/>
    <cellStyle name="Comma 7 2 3 2 2" xfId="0"/>
    <cellStyle name="Comma 7 2 3 3" xfId="0"/>
    <cellStyle name="Comma 7 2 4" xfId="0"/>
    <cellStyle name="Comma 7 2 4 2" xfId="0"/>
    <cellStyle name="Comma 7 2 4 2 2" xfId="0"/>
    <cellStyle name="Comma 7 2 4 3" xfId="0"/>
    <cellStyle name="Comma 7 2 5" xfId="0"/>
    <cellStyle name="Comma 7 2 5 2" xfId="0"/>
    <cellStyle name="Comma 7 2 6" xfId="0"/>
    <cellStyle name="Comma 7 3" xfId="0"/>
    <cellStyle name="Comma 7 3 2" xfId="0"/>
    <cellStyle name="Comma 7 3 2 2" xfId="0"/>
    <cellStyle name="Comma 7 3 2 2 2" xfId="0"/>
    <cellStyle name="Comma 7 3 2 2 2 2" xfId="0"/>
    <cellStyle name="Comma 7 3 2 2 3" xfId="0"/>
    <cellStyle name="Comma 7 3 2 3" xfId="0"/>
    <cellStyle name="Comma 7 3 2 3 2" xfId="0"/>
    <cellStyle name="Comma 7 3 2 4" xfId="0"/>
    <cellStyle name="Comma 7 3 3" xfId="0"/>
    <cellStyle name="Comma 7 3 3 2" xfId="0"/>
    <cellStyle name="Comma 7 3 3 2 2" xfId="0"/>
    <cellStyle name="Comma 7 3 3 3" xfId="0"/>
    <cellStyle name="Comma 7 3 4" xfId="0"/>
    <cellStyle name="Comma 7 3 4 2" xfId="0"/>
    <cellStyle name="Comma 7 3 5" xfId="0"/>
    <cellStyle name="Comma 7 4" xfId="0"/>
    <cellStyle name="Comma 7 4 2" xfId="0"/>
    <cellStyle name="Comma 7 4 2 2" xfId="0"/>
    <cellStyle name="Comma 7 4 2 2 2" xfId="0"/>
    <cellStyle name="Comma 7 4 2 3" xfId="0"/>
    <cellStyle name="Comma 7 4 3" xfId="0"/>
    <cellStyle name="Comma 7 4 3 2" xfId="0"/>
    <cellStyle name="Comma 7 4 4" xfId="0"/>
    <cellStyle name="Comma 7 5" xfId="0"/>
    <cellStyle name="Comma 7 5 2" xfId="0"/>
    <cellStyle name="Comma 7 5 2 2" xfId="0"/>
    <cellStyle name="Comma 7 6" xfId="0"/>
    <cellStyle name="Comma 7 6 2" xfId="0"/>
    <cellStyle name="Comma 7 6 2 2" xfId="0"/>
    <cellStyle name="Comma 7 6 3" xfId="0"/>
    <cellStyle name="Comma 7 7" xfId="0"/>
    <cellStyle name="Comma 7 7 2" xfId="0"/>
    <cellStyle name="Comma 7 8" xfId="0"/>
    <cellStyle name="Comma 7_2.DATA" xfId="0"/>
    <cellStyle name="Comma 8" xfId="0"/>
    <cellStyle name="Comma 8 2" xfId="0"/>
    <cellStyle name="Comma 8 2 2" xfId="0"/>
    <cellStyle name="Comma 8 2 2 2" xfId="0"/>
    <cellStyle name="Comma 8 2 2 2 2" xfId="0"/>
    <cellStyle name="Comma 8 2 2 3" xfId="0"/>
    <cellStyle name="Comma 8 2 3" xfId="0"/>
    <cellStyle name="Comma 8 2 3 2" xfId="0"/>
    <cellStyle name="Comma 8 2 3 2 2" xfId="0"/>
    <cellStyle name="Comma 8 2 4" xfId="0"/>
    <cellStyle name="Comma 8 2 4 2" xfId="0"/>
    <cellStyle name="Comma 8 2 5" xfId="0"/>
    <cellStyle name="Comma 8 2_2.DATA" xfId="0"/>
    <cellStyle name="Comma 8 3" xfId="0"/>
    <cellStyle name="Comma 8 3 2" xfId="0"/>
    <cellStyle name="Comma 8 3 2 2" xfId="0"/>
    <cellStyle name="Comma 8 3 3" xfId="0"/>
    <cellStyle name="Comma 8 4" xfId="0"/>
    <cellStyle name="Comma 8 4 2" xfId="0"/>
    <cellStyle name="Comma 8 4 2 2" xfId="0"/>
    <cellStyle name="Comma 8 4 2 2 2" xfId="0"/>
    <cellStyle name="Comma 8 4 3" xfId="0"/>
    <cellStyle name="Comma 8 4 3 2" xfId="0"/>
    <cellStyle name="Comma 8 5" xfId="0"/>
    <cellStyle name="Comma 8 5 2" xfId="0"/>
    <cellStyle name="Comma 8 5 2 2" xfId="0"/>
    <cellStyle name="Comma 8 5 3" xfId="0"/>
    <cellStyle name="Comma 8 6" xfId="0"/>
    <cellStyle name="Comma 8 6 2" xfId="0"/>
    <cellStyle name="Comma 8 7" xfId="0"/>
    <cellStyle name="Comma 8_2.DATA" xfId="0"/>
    <cellStyle name="Comma 9" xfId="0"/>
    <cellStyle name="Comma 9 2" xfId="0"/>
    <cellStyle name="Comma 9 2 2" xfId="0"/>
    <cellStyle name="Comma 9 2 2 2" xfId="0"/>
    <cellStyle name="Comma 9 2 2 2 2" xfId="0"/>
    <cellStyle name="Comma 9 2 3" xfId="0"/>
    <cellStyle name="Comma 9 2 3 2" xfId="0"/>
    <cellStyle name="Comma 9 2 3 2 2" xfId="0"/>
    <cellStyle name="Comma 9 2 3 3" xfId="0"/>
    <cellStyle name="Comma 9 2 4" xfId="0"/>
    <cellStyle name="Comma 9 2 4 2" xfId="0"/>
    <cellStyle name="Comma 9 2 4 2 2" xfId="0"/>
    <cellStyle name="Comma 9 2 5" xfId="0"/>
    <cellStyle name="Comma 9 2 5 2" xfId="0"/>
    <cellStyle name="Comma 9 2 6" xfId="0"/>
    <cellStyle name="Comma 9 2_2.DATA" xfId="0"/>
    <cellStyle name="Comma 9 3" xfId="0"/>
    <cellStyle name="Comma 9 3 2" xfId="0"/>
    <cellStyle name="Comma 9 3 2 2" xfId="0"/>
    <cellStyle name="Comma 9 4" xfId="0"/>
    <cellStyle name="Comma 9 4 2" xfId="0"/>
    <cellStyle name="Comma 9 4 2 2" xfId="0"/>
    <cellStyle name="Comma 9 4 3" xfId="0"/>
    <cellStyle name="Comma 9 5" xfId="0"/>
    <cellStyle name="Comma 9 5 2" xfId="0"/>
    <cellStyle name="Comma 9 5 2 2" xfId="0"/>
    <cellStyle name="Comma 9 5 2 2 2" xfId="0"/>
    <cellStyle name="Comma 9 5 3" xfId="0"/>
    <cellStyle name="Comma 9 5 3 2" xfId="0"/>
    <cellStyle name="Comma 9 6" xfId="0"/>
    <cellStyle name="Comma 9 6 2" xfId="0"/>
    <cellStyle name="Comma 9 6 2 2" xfId="0"/>
    <cellStyle name="Comma 9 6 3" xfId="0"/>
    <cellStyle name="Comma 9 7" xfId="0"/>
    <cellStyle name="Comma 9 7 2" xfId="0"/>
    <cellStyle name="Comma 9 8" xfId="0"/>
    <cellStyle name="Comma 9_2.DATA" xfId="0"/>
    <cellStyle name="Currency 10" xfId="0"/>
    <cellStyle name="Currency 10 2" xfId="0"/>
    <cellStyle name="Currency 10 2 2" xfId="0"/>
    <cellStyle name="Currency 10 2 2 2" xfId="0"/>
    <cellStyle name="Currency 10 2 2 2 2" xfId="0"/>
    <cellStyle name="Currency 10 2 2 3" xfId="0"/>
    <cellStyle name="Currency 10 3" xfId="0"/>
    <cellStyle name="Currency 10 3 2" xfId="0"/>
    <cellStyle name="Currency 10 3 2 2" xfId="0"/>
    <cellStyle name="Currency 10 4" xfId="0"/>
    <cellStyle name="Currency 10 4 2" xfId="0"/>
    <cellStyle name="Currency 10 4 2 2" xfId="0"/>
    <cellStyle name="Currency 10 5" xfId="0"/>
    <cellStyle name="Currency 10 5 2" xfId="0"/>
    <cellStyle name="Currency 11" xfId="0"/>
    <cellStyle name="Currency 11 2" xfId="0"/>
    <cellStyle name="Currency 11 2 2" xfId="0"/>
    <cellStyle name="Currency 11 2 2 2" xfId="0"/>
    <cellStyle name="Currency 11 2 2 2 2" xfId="0"/>
    <cellStyle name="Currency 11 2 2 3" xfId="0"/>
    <cellStyle name="Currency 12" xfId="0"/>
    <cellStyle name="Currency 12 2" xfId="0"/>
    <cellStyle name="Currency 12 2 2" xfId="0"/>
    <cellStyle name="Currency 12 2 2 2" xfId="0"/>
    <cellStyle name="Currency 12 2 2 2 2" xfId="0"/>
    <cellStyle name="Currency 12 2 2 3" xfId="0"/>
    <cellStyle name="Currency 13" xfId="0"/>
    <cellStyle name="Currency 13 2" xfId="0"/>
    <cellStyle name="Currency 13 2 2" xfId="0"/>
    <cellStyle name="Currency 13 2 2 2" xfId="0"/>
    <cellStyle name="Currency 13 2 2 2 2" xfId="0"/>
    <cellStyle name="Currency 13 2 2 3" xfId="0"/>
    <cellStyle name="Currency 14" xfId="0"/>
    <cellStyle name="Currency 14 2" xfId="0"/>
    <cellStyle name="Currency 14 2 2" xfId="0"/>
    <cellStyle name="Currency 14 2 2 2" xfId="0"/>
    <cellStyle name="Currency 14 2 2 2 2" xfId="0"/>
    <cellStyle name="Currency 14 2 2 3" xfId="0"/>
    <cellStyle name="Currency 15" xfId="0"/>
    <cellStyle name="Currency 15 2" xfId="0"/>
    <cellStyle name="Currency 15 2 2" xfId="0"/>
    <cellStyle name="Currency 15 2 2 2" xfId="0"/>
    <cellStyle name="Currency 15 2 2 2 2" xfId="0"/>
    <cellStyle name="Currency 15 2 2 3" xfId="0"/>
    <cellStyle name="Currency 16" xfId="0"/>
    <cellStyle name="Currency 16 2" xfId="0"/>
    <cellStyle name="Currency 16 2 2" xfId="0"/>
    <cellStyle name="Currency 16 2 2 2" xfId="0"/>
    <cellStyle name="Currency 16 2 2 2 2" xfId="0"/>
    <cellStyle name="Currency 16 2 2 3" xfId="0"/>
    <cellStyle name="Currency 17" xfId="0"/>
    <cellStyle name="Currency 17 2" xfId="0"/>
    <cellStyle name="Currency 17 2 2" xfId="0"/>
    <cellStyle name="Currency 17 2 2 2" xfId="0"/>
    <cellStyle name="Currency 17 2 2 2 2" xfId="0"/>
    <cellStyle name="Currency 17 2 2 3" xfId="0"/>
    <cellStyle name="Currency 175" xfId="0"/>
    <cellStyle name="Currency 175 2" xfId="0"/>
    <cellStyle name="Currency 175 2 2" xfId="0"/>
    <cellStyle name="Currency 175 2 2 2" xfId="0"/>
    <cellStyle name="Currency 175 2 2 2 2" xfId="0"/>
    <cellStyle name="Currency 175 2 2 2 2 2" xfId="0"/>
    <cellStyle name="Currency 175 2 2 2 2 2 2" xfId="0"/>
    <cellStyle name="Currency 175 2 2 2 2 3" xfId="0"/>
    <cellStyle name="Currency 175 2 2 2 3" xfId="0"/>
    <cellStyle name="Currency 175 2 2 2 3 2" xfId="0"/>
    <cellStyle name="Currency 175 2 2 2 4" xfId="0"/>
    <cellStyle name="Currency 175 2 2 3" xfId="0"/>
    <cellStyle name="Currency 175 2 2 3 2" xfId="0"/>
    <cellStyle name="Currency 175 2 2 3 2 2" xfId="0"/>
    <cellStyle name="Currency 175 2 2 3 3" xfId="0"/>
    <cellStyle name="Currency 175 2 2 4" xfId="0"/>
    <cellStyle name="Currency 175 2 2 4 2" xfId="0"/>
    <cellStyle name="Currency 175 2 2 5" xfId="0"/>
    <cellStyle name="Currency 175 2 3" xfId="0"/>
    <cellStyle name="Currency 175 2 3 2" xfId="0"/>
    <cellStyle name="Currency 175 2 3 2 2" xfId="0"/>
    <cellStyle name="Currency 175 2 3 2 2 2" xfId="0"/>
    <cellStyle name="Currency 175 2 3 2 2 2 2" xfId="0"/>
    <cellStyle name="Currency 175 2 3 2 2 3" xfId="0"/>
    <cellStyle name="Currency 175 2 3 2 3" xfId="0"/>
    <cellStyle name="Currency 175 2 3 2 3 2" xfId="0"/>
    <cellStyle name="Currency 175 2 3 2 4" xfId="0"/>
    <cellStyle name="Currency 175 2 3 3" xfId="0"/>
    <cellStyle name="Currency 175 2 3 3 2" xfId="0"/>
    <cellStyle name="Currency 175 2 3 3 2 2" xfId="0"/>
    <cellStyle name="Currency 175 2 3 3 3" xfId="0"/>
    <cellStyle name="Currency 175 2 3 4" xfId="0"/>
    <cellStyle name="Currency 175 2 3 4 2" xfId="0"/>
    <cellStyle name="Currency 175 2 3 5" xfId="0"/>
    <cellStyle name="Currency 175 2 4" xfId="0"/>
    <cellStyle name="Currency 175 2 4 2" xfId="0"/>
    <cellStyle name="Currency 175 2 4 2 2" xfId="0"/>
    <cellStyle name="Currency 175 2 4 2 2 2" xfId="0"/>
    <cellStyle name="Currency 175 2 4 2 3" xfId="0"/>
    <cellStyle name="Currency 175 2 4 3" xfId="0"/>
    <cellStyle name="Currency 175 2 4 3 2" xfId="0"/>
    <cellStyle name="Currency 175 2 4 4" xfId="0"/>
    <cellStyle name="Currency 175 2 5" xfId="0"/>
    <cellStyle name="Currency 175 2 5 2" xfId="0"/>
    <cellStyle name="Currency 175 2 5 2 2" xfId="0"/>
    <cellStyle name="Currency 175 2 5 3" xfId="0"/>
    <cellStyle name="Currency 175 2 6" xfId="0"/>
    <cellStyle name="Currency 175 2 6 2" xfId="0"/>
    <cellStyle name="Currency 175 2 7" xfId="0"/>
    <cellStyle name="Currency 175 3" xfId="0"/>
    <cellStyle name="Currency 175 3 2" xfId="0"/>
    <cellStyle name="Currency 175 3 2 2" xfId="0"/>
    <cellStyle name="Currency 175 3 2 2 2" xfId="0"/>
    <cellStyle name="Currency 175 3 2 2 2 2" xfId="0"/>
    <cellStyle name="Currency 175 3 2 2 2 2 2" xfId="0"/>
    <cellStyle name="Currency 175 3 2 2 2 3" xfId="0"/>
    <cellStyle name="Currency 175 3 2 2 3" xfId="0"/>
    <cellStyle name="Currency 175 3 2 2 3 2" xfId="0"/>
    <cellStyle name="Currency 175 3 2 2 4" xfId="0"/>
    <cellStyle name="Currency 175 3 2 3" xfId="0"/>
    <cellStyle name="Currency 175 3 2 3 2" xfId="0"/>
    <cellStyle name="Currency 175 3 2 3 2 2" xfId="0"/>
    <cellStyle name="Currency 175 3 2 3 3" xfId="0"/>
    <cellStyle name="Currency 175 3 2 4" xfId="0"/>
    <cellStyle name="Currency 175 3 2 4 2" xfId="0"/>
    <cellStyle name="Currency 175 3 2 5" xfId="0"/>
    <cellStyle name="Currency 175 3 3" xfId="0"/>
    <cellStyle name="Currency 175 3 3 2" xfId="0"/>
    <cellStyle name="Currency 175 3 3 2 2" xfId="0"/>
    <cellStyle name="Currency 175 3 3 2 2 2" xfId="0"/>
    <cellStyle name="Currency 175 3 3 2 2 2 2" xfId="0"/>
    <cellStyle name="Currency 175 3 3 2 2 3" xfId="0"/>
    <cellStyle name="Currency 175 3 3 2 3" xfId="0"/>
    <cellStyle name="Currency 175 3 3 2 3 2" xfId="0"/>
    <cellStyle name="Currency 175 3 3 2 4" xfId="0"/>
    <cellStyle name="Currency 175 3 3 3" xfId="0"/>
    <cellStyle name="Currency 175 3 3 3 2" xfId="0"/>
    <cellStyle name="Currency 175 3 3 3 2 2" xfId="0"/>
    <cellStyle name="Currency 175 3 3 3 3" xfId="0"/>
    <cellStyle name="Currency 175 3 3 4" xfId="0"/>
    <cellStyle name="Currency 175 3 3 4 2" xfId="0"/>
    <cellStyle name="Currency 175 3 3 5" xfId="0"/>
    <cellStyle name="Currency 175 3 4" xfId="0"/>
    <cellStyle name="Currency 175 3 4 2" xfId="0"/>
    <cellStyle name="Currency 175 3 4 2 2" xfId="0"/>
    <cellStyle name="Currency 175 3 4 2 2 2" xfId="0"/>
    <cellStyle name="Currency 175 3 4 2 3" xfId="0"/>
    <cellStyle name="Currency 175 3 4 3" xfId="0"/>
    <cellStyle name="Currency 175 3 4 3 2" xfId="0"/>
    <cellStyle name="Currency 175 3 4 4" xfId="0"/>
    <cellStyle name="Currency 175 3 5" xfId="0"/>
    <cellStyle name="Currency 175 3 5 2" xfId="0"/>
    <cellStyle name="Currency 175 3 5 2 2" xfId="0"/>
    <cellStyle name="Currency 175 3 5 3" xfId="0"/>
    <cellStyle name="Currency 175 3 6" xfId="0"/>
    <cellStyle name="Currency 175 3 6 2" xfId="0"/>
    <cellStyle name="Currency 175 3 7" xfId="0"/>
    <cellStyle name="Currency 175 4" xfId="0"/>
    <cellStyle name="Currency 175 4 2" xfId="0"/>
    <cellStyle name="Currency 175 4 2 2" xfId="0"/>
    <cellStyle name="Currency 175 4 2 2 2" xfId="0"/>
    <cellStyle name="Currency 175 4 2 2 2 2" xfId="0"/>
    <cellStyle name="Currency 175 4 2 2 3" xfId="0"/>
    <cellStyle name="Currency 175 4 2 3" xfId="0"/>
    <cellStyle name="Currency 175 4 2 3 2" xfId="0"/>
    <cellStyle name="Currency 175 4 2 4" xfId="0"/>
    <cellStyle name="Currency 175 4 3" xfId="0"/>
    <cellStyle name="Currency 175 4 3 2" xfId="0"/>
    <cellStyle name="Currency 175 4 3 2 2" xfId="0"/>
    <cellStyle name="Currency 175 4 3 3" xfId="0"/>
    <cellStyle name="Currency 175 4 4" xfId="0"/>
    <cellStyle name="Currency 175 4 4 2" xfId="0"/>
    <cellStyle name="Currency 175 4 5" xfId="0"/>
    <cellStyle name="Currency 175 5" xfId="0"/>
    <cellStyle name="Currency 175 5 2" xfId="0"/>
    <cellStyle name="Currency 175 5 2 2" xfId="0"/>
    <cellStyle name="Currency 175 5 2 2 2" xfId="0"/>
    <cellStyle name="Currency 175 5 2 2 2 2" xfId="0"/>
    <cellStyle name="Currency 175 5 2 2 3" xfId="0"/>
    <cellStyle name="Currency 175 5 2 3" xfId="0"/>
    <cellStyle name="Currency 175 5 2 3 2" xfId="0"/>
    <cellStyle name="Currency 175 5 2 4" xfId="0"/>
    <cellStyle name="Currency 175 5 3" xfId="0"/>
    <cellStyle name="Currency 175 5 3 2" xfId="0"/>
    <cellStyle name="Currency 175 5 3 2 2" xfId="0"/>
    <cellStyle name="Currency 175 5 3 3" xfId="0"/>
    <cellStyle name="Currency 175 5 4" xfId="0"/>
    <cellStyle name="Currency 175 5 4 2" xfId="0"/>
    <cellStyle name="Currency 175 5 5" xfId="0"/>
    <cellStyle name="Currency 175 6" xfId="0"/>
    <cellStyle name="Currency 175 6 2" xfId="0"/>
    <cellStyle name="Currency 175 6 2 2" xfId="0"/>
    <cellStyle name="Currency 175 6 2 2 2" xfId="0"/>
    <cellStyle name="Currency 175 6 2 3" xfId="0"/>
    <cellStyle name="Currency 175 6 3" xfId="0"/>
    <cellStyle name="Currency 175 6 3 2" xfId="0"/>
    <cellStyle name="Currency 175 6 4" xfId="0"/>
    <cellStyle name="Currency 175 7" xfId="0"/>
    <cellStyle name="Currency 175 7 2" xfId="0"/>
    <cellStyle name="Currency 175 7 2 2" xfId="0"/>
    <cellStyle name="Currency 175 7 3" xfId="0"/>
    <cellStyle name="Currency 175 8" xfId="0"/>
    <cellStyle name="Currency 175 8 2" xfId="0"/>
    <cellStyle name="Currency 175 9" xfId="0"/>
    <cellStyle name="Currency 18" xfId="0"/>
    <cellStyle name="Currency 18 2" xfId="0"/>
    <cellStyle name="Currency 18 2 2" xfId="0"/>
    <cellStyle name="Currency 18 2 2 2" xfId="0"/>
    <cellStyle name="Currency 18 2 2 2 2" xfId="0"/>
    <cellStyle name="Currency 18 2 2 3" xfId="0"/>
    <cellStyle name="Currency 19" xfId="0"/>
    <cellStyle name="Currency 19 2" xfId="0"/>
    <cellStyle name="Currency 19 2 2" xfId="0"/>
    <cellStyle name="Currency 19 2 2 2" xfId="0"/>
    <cellStyle name="Currency 19 2 2 2 2" xfId="0"/>
    <cellStyle name="Currency 19 2 2 3" xfId="0"/>
    <cellStyle name="Currency 2" xfId="0"/>
    <cellStyle name="Currency 2 2" xfId="0"/>
    <cellStyle name="Currency 2 2 2" xfId="0"/>
    <cellStyle name="Currency 2 2 2 2" xfId="0"/>
    <cellStyle name="Currency 2 2 2 2 2" xfId="0"/>
    <cellStyle name="Currency 2 2 2 2 2 2" xfId="0"/>
    <cellStyle name="Currency 2 2 2 2 3" xfId="0"/>
    <cellStyle name="Currency 2 2 2 3" xfId="0"/>
    <cellStyle name="Currency 2 2 2 3 2" xfId="0"/>
    <cellStyle name="Currency 2 2 2 3 2 2" xfId="0"/>
    <cellStyle name="Currency 2 2 2 3 3" xfId="0"/>
    <cellStyle name="Currency 2 2 2 4" xfId="0"/>
    <cellStyle name="Currency 2 2 2 4 2" xfId="0"/>
    <cellStyle name="Currency 2 2 2 5" xfId="0"/>
    <cellStyle name="Currency 2 2 3" xfId="0"/>
    <cellStyle name="Currency 2 2 3 2" xfId="0"/>
    <cellStyle name="Currency 2 2 3 2 2" xfId="0"/>
    <cellStyle name="Currency 2 2 3 3" xfId="0"/>
    <cellStyle name="Currency 2 2 4" xfId="0"/>
    <cellStyle name="Currency 2 2 4 2" xfId="0"/>
    <cellStyle name="Currency 2 2 4 2 2" xfId="0"/>
    <cellStyle name="Currency 2 2 5" xfId="0"/>
    <cellStyle name="Currency 2 2 5 2" xfId="0"/>
    <cellStyle name="Currency 2 2 6" xfId="0"/>
    <cellStyle name="Currency 2 2_2.DATA" xfId="0"/>
    <cellStyle name="Currency 2 3" xfId="0"/>
    <cellStyle name="Currency 2 3 2" xfId="0"/>
    <cellStyle name="Currency 2 3 2 2" xfId="0"/>
    <cellStyle name="Currency 2 3 2 2 2" xfId="0"/>
    <cellStyle name="Currency 2 3 2 2 2 2" xfId="0"/>
    <cellStyle name="Currency 2 3 2 2 3" xfId="0"/>
    <cellStyle name="Currency 2 3 2 3" xfId="0"/>
    <cellStyle name="Currency 2 3 2 3 2" xfId="0"/>
    <cellStyle name="Currency 2 3 2 4" xfId="0"/>
    <cellStyle name="Currency 2 3 3" xfId="0"/>
    <cellStyle name="Currency 2 3 3 2" xfId="0"/>
    <cellStyle name="Currency 2 3 3 2 2" xfId="0"/>
    <cellStyle name="Currency 2 3 3 2 2 2" xfId="0"/>
    <cellStyle name="Currency 2 3 3 2 3" xfId="0"/>
    <cellStyle name="Currency 2 3 4" xfId="0"/>
    <cellStyle name="Currency 2 3 4 2" xfId="0"/>
    <cellStyle name="Currency 2 3 4 2 2" xfId="0"/>
    <cellStyle name="Currency 2 3 4 3" xfId="0"/>
    <cellStyle name="Currency 2 3 5" xfId="0"/>
    <cellStyle name="Currency 2 3 5 2" xfId="0"/>
    <cellStyle name="Currency 2 3 6" xfId="0"/>
    <cellStyle name="Currency 2 3_2.DATA" xfId="0"/>
    <cellStyle name="Currency 2 4" xfId="0"/>
    <cellStyle name="Currency 2 4 2" xfId="0"/>
    <cellStyle name="Currency 2 4 2 2" xfId="0"/>
    <cellStyle name="Currency 2 4 2 2 2" xfId="0"/>
    <cellStyle name="Currency 2 4 2 2 2 2" xfId="0"/>
    <cellStyle name="Currency 2 4 2 2 2 2 2" xfId="0"/>
    <cellStyle name="Currency 2 4 2 2 2 3" xfId="0"/>
    <cellStyle name="Currency 2 4 2 2 3" xfId="0"/>
    <cellStyle name="Currency 2 4 2 2 3 2" xfId="0"/>
    <cellStyle name="Currency 2 4 2 2 4" xfId="0"/>
    <cellStyle name="Currency 2 4 2 3" xfId="0"/>
    <cellStyle name="Currency 2 4 2 3 2" xfId="0"/>
    <cellStyle name="Currency 2 4 2 3 2 2" xfId="0"/>
    <cellStyle name="Currency 2 4 2 3 3" xfId="0"/>
    <cellStyle name="Currency 2 4 2 4" xfId="0"/>
    <cellStyle name="Currency 2 4 2 4 2" xfId="0"/>
    <cellStyle name="Currency 2 4 2 5" xfId="0"/>
    <cellStyle name="Currency 2 4 3" xfId="0"/>
    <cellStyle name="Currency 2 4 3 2" xfId="0"/>
    <cellStyle name="Currency 2 4 3 2 2" xfId="0"/>
    <cellStyle name="Currency 2 4 3 2 2 2" xfId="0"/>
    <cellStyle name="Currency 2 4 3 2 3" xfId="0"/>
    <cellStyle name="Currency 2 4 3 3" xfId="0"/>
    <cellStyle name="Currency 2 4 3 3 2" xfId="0"/>
    <cellStyle name="Currency 2 4 3 3 2 2" xfId="0"/>
    <cellStyle name="Currency 2 4 3 3 3" xfId="0"/>
    <cellStyle name="Currency 2 4 3 4" xfId="0"/>
    <cellStyle name="Currency 2 4 3 4 2" xfId="0"/>
    <cellStyle name="Currency 2 4 3 4 2 2" xfId="0"/>
    <cellStyle name="Currency 2 4 3 5" xfId="0"/>
    <cellStyle name="Currency 2 4 3 5 2" xfId="0"/>
    <cellStyle name="Currency 2 4 3 6" xfId="0"/>
    <cellStyle name="Currency 2 4 4" xfId="0"/>
    <cellStyle name="Currency 2 4 4 2" xfId="0"/>
    <cellStyle name="Currency 2 4 4 2 2" xfId="0"/>
    <cellStyle name="Currency 2 4 4 3" xfId="0"/>
    <cellStyle name="Currency 2 4 5" xfId="0"/>
    <cellStyle name="Currency 2 4 5 2" xfId="0"/>
    <cellStyle name="Currency 2 4 6" xfId="0"/>
    <cellStyle name="Currency 2 4_2.DATA" xfId="0"/>
    <cellStyle name="Currency 2 5" xfId="0"/>
    <cellStyle name="Currency 2 5 2" xfId="0"/>
    <cellStyle name="Currency 2 5 2 2" xfId="0"/>
    <cellStyle name="Currency 2 5 2 2 2" xfId="0"/>
    <cellStyle name="Currency 2 5 3" xfId="0"/>
    <cellStyle name="Currency 2 5 3 2" xfId="0"/>
    <cellStyle name="Currency 2 5 3 2 2" xfId="0"/>
    <cellStyle name="Currency 2 5 3 3" xfId="0"/>
    <cellStyle name="Currency 2 5 4" xfId="0"/>
    <cellStyle name="Currency 2 5 4 2" xfId="0"/>
    <cellStyle name="Currency 2 6" xfId="0"/>
    <cellStyle name="Currency 2 6 2" xfId="0"/>
    <cellStyle name="Currency 2 6 2 2" xfId="0"/>
    <cellStyle name="Currency 2 6 2 2 2" xfId="0"/>
    <cellStyle name="Currency 2 6 3" xfId="0"/>
    <cellStyle name="Currency 2 6 3 2" xfId="0"/>
    <cellStyle name="Currency 2 6 3 2 2" xfId="0"/>
    <cellStyle name="Currency 2 6 3 3" xfId="0"/>
    <cellStyle name="Currency 2 6 4" xfId="0"/>
    <cellStyle name="Currency 2 6 4 2" xfId="0"/>
    <cellStyle name="Currency 2 7" xfId="0"/>
    <cellStyle name="Currency 2 7 2" xfId="0"/>
    <cellStyle name="Currency 2 8" xfId="0"/>
    <cellStyle name="Currency 20" xfId="0"/>
    <cellStyle name="Currency 20 2" xfId="0"/>
    <cellStyle name="Currency 20 2 2" xfId="0"/>
    <cellStyle name="Currency 20 2 2 2" xfId="0"/>
    <cellStyle name="Currency 20 2 2 2 2" xfId="0"/>
    <cellStyle name="Currency 20 2 2 3" xfId="0"/>
    <cellStyle name="Currency 21" xfId="0"/>
    <cellStyle name="Currency 21 2" xfId="0"/>
    <cellStyle name="Currency 21 2 2" xfId="0"/>
    <cellStyle name="Currency 21 2 2 2" xfId="0"/>
    <cellStyle name="Currency 21 2 2 2 2" xfId="0"/>
    <cellStyle name="Currency 21 2 2 3" xfId="0"/>
    <cellStyle name="Currency 22" xfId="0"/>
    <cellStyle name="Currency 22 2" xfId="0"/>
    <cellStyle name="Currency 22 2 2" xfId="0"/>
    <cellStyle name="Currency 23" xfId="0"/>
    <cellStyle name="Currency 23 2" xfId="0"/>
    <cellStyle name="Currency 24" xfId="0"/>
    <cellStyle name="Currency 24 2" xfId="0"/>
    <cellStyle name="Currency 25" xfId="0"/>
    <cellStyle name="Currency 25 2" xfId="0"/>
    <cellStyle name="Currency 26" xfId="0"/>
    <cellStyle name="Currency 3" xfId="0"/>
    <cellStyle name="Currency 3 2" xfId="0"/>
    <cellStyle name="Currency 3 2 2" xfId="0"/>
    <cellStyle name="Currency 3 2 2 2" xfId="0"/>
    <cellStyle name="Currency 3 2 2 2 2" xfId="0"/>
    <cellStyle name="Currency 3 2 2 3" xfId="0"/>
    <cellStyle name="Currency 3 3" xfId="0"/>
    <cellStyle name="Currency 3 3 2" xfId="0"/>
    <cellStyle name="Currency 3 3 2 2" xfId="0"/>
    <cellStyle name="Currency 3 3 3" xfId="0"/>
    <cellStyle name="Currency 3 4" xfId="0"/>
    <cellStyle name="Currency 3 4 2" xfId="0"/>
    <cellStyle name="Currency 3 4 2 2" xfId="0"/>
    <cellStyle name="Currency 3 5" xfId="0"/>
    <cellStyle name="Currency 3 5 2" xfId="0"/>
    <cellStyle name="Currency 3 6" xfId="0"/>
    <cellStyle name="Currency 3_2.DATA" xfId="0"/>
    <cellStyle name="Currency 4" xfId="0"/>
    <cellStyle name="Currency 4 2" xfId="0"/>
    <cellStyle name="Currency 4 2 2" xfId="0"/>
    <cellStyle name="Currency 4 2 2 2" xfId="0"/>
    <cellStyle name="Currency 4 2 2 2 2" xfId="0"/>
    <cellStyle name="Currency 4 2 2 2 2 2" xfId="0"/>
    <cellStyle name="Currency 4 2 2 3" xfId="0"/>
    <cellStyle name="Currency 4 2 2 3 2" xfId="0"/>
    <cellStyle name="Currency 4 2 2 3 2 2" xfId="0"/>
    <cellStyle name="Currency 4 2 2 4" xfId="0"/>
    <cellStyle name="Currency 4 2 2 4 2" xfId="0"/>
    <cellStyle name="Currency 4 2 2 4 2 2" xfId="0"/>
    <cellStyle name="Currency 4 2 2 4 3" xfId="0"/>
    <cellStyle name="Currency 4 2 2 5" xfId="0"/>
    <cellStyle name="Currency 4 2 2 5 2" xfId="0"/>
    <cellStyle name="Currency 4 2 3" xfId="0"/>
    <cellStyle name="Currency 4 2 3 2" xfId="0"/>
    <cellStyle name="Currency 4 2 3 2 2" xfId="0"/>
    <cellStyle name="Currency 4 2 4" xfId="0"/>
    <cellStyle name="Currency 4 2 4 2" xfId="0"/>
    <cellStyle name="Currency 4 2 4 2 2" xfId="0"/>
    <cellStyle name="Currency 4 2 5" xfId="0"/>
    <cellStyle name="Currency 4 2 5 2" xfId="0"/>
    <cellStyle name="Currency 4 2 5 2 2" xfId="0"/>
    <cellStyle name="Currency 4 2 6" xfId="0"/>
    <cellStyle name="Currency 4 2 6 2" xfId="0"/>
    <cellStyle name="Currency 4 3" xfId="0"/>
    <cellStyle name="Currency 4 3 2" xfId="0"/>
    <cellStyle name="Currency 4 3 2 2" xfId="0"/>
    <cellStyle name="Currency 4 3 2 2 2" xfId="0"/>
    <cellStyle name="Currency 4 3 3" xfId="0"/>
    <cellStyle name="Currency 4 3 3 2" xfId="0"/>
    <cellStyle name="Currency 4 3 3 2 2" xfId="0"/>
    <cellStyle name="Currency 4 3 4" xfId="0"/>
    <cellStyle name="Currency 4 3 4 2" xfId="0"/>
    <cellStyle name="Currency 4 3 4 2 2" xfId="0"/>
    <cellStyle name="Currency 4 3 4 3" xfId="0"/>
    <cellStyle name="Currency 4 4" xfId="0"/>
    <cellStyle name="Currency 4 4 2" xfId="0"/>
    <cellStyle name="Currency 4 4 2 2" xfId="0"/>
    <cellStyle name="Currency 4 4 2 2 2" xfId="0"/>
    <cellStyle name="Currency 4 4 3" xfId="0"/>
    <cellStyle name="Currency 4 4 3 2" xfId="0"/>
    <cellStyle name="Currency 4 4 3 2 2" xfId="0"/>
    <cellStyle name="Currency 4 4 4" xfId="0"/>
    <cellStyle name="Currency 4 4 4 2" xfId="0"/>
    <cellStyle name="Currency 4 5" xfId="0"/>
    <cellStyle name="Currency 4 5 2" xfId="0"/>
    <cellStyle name="Currency 4 5 2 2" xfId="0"/>
    <cellStyle name="Currency 4 5 3" xfId="0"/>
    <cellStyle name="Currency 4 6" xfId="0"/>
    <cellStyle name="Currency 4 6 2" xfId="0"/>
    <cellStyle name="Currency 4 6 2 2" xfId="0"/>
    <cellStyle name="Currency 4 6 3" xfId="0"/>
    <cellStyle name="Currency 4 7" xfId="0"/>
    <cellStyle name="Currency 4 7 2" xfId="0"/>
    <cellStyle name="Currency 4 8" xfId="0"/>
    <cellStyle name="Currency 4_2.DATA" xfId="0"/>
    <cellStyle name="Currency 5" xfId="0"/>
    <cellStyle name="Currency 5 2" xfId="0"/>
    <cellStyle name="Currency 5 2 2" xfId="0"/>
    <cellStyle name="Currency 5 2 2 2" xfId="0"/>
    <cellStyle name="Currency 5 2 2 2 2" xfId="0"/>
    <cellStyle name="Currency 5 2 2 3" xfId="0"/>
    <cellStyle name="Currency 5 2 3" xfId="0"/>
    <cellStyle name="Currency 5 2 3 2" xfId="0"/>
    <cellStyle name="Currency 5 2 3 2 2" xfId="0"/>
    <cellStyle name="Currency 5 2 3 3" xfId="0"/>
    <cellStyle name="Currency 5 2 4" xfId="0"/>
    <cellStyle name="Currency 5 2 4 2" xfId="0"/>
    <cellStyle name="Currency 5 2 4 2 2" xfId="0"/>
    <cellStyle name="Currency 5 2 5" xfId="0"/>
    <cellStyle name="Currency 5 2 5 2" xfId="0"/>
    <cellStyle name="Currency 5 2 6" xfId="0"/>
    <cellStyle name="Currency 5 3" xfId="0"/>
    <cellStyle name="Currency 5 3 2" xfId="0"/>
    <cellStyle name="Currency 5 3 2 2" xfId="0"/>
    <cellStyle name="Currency 5 3 3" xfId="0"/>
    <cellStyle name="Currency 5 4" xfId="0"/>
    <cellStyle name="Currency 5 4 2" xfId="0"/>
    <cellStyle name="Currency 5 4 2 2" xfId="0"/>
    <cellStyle name="Currency 5 4 2 2 2" xfId="0"/>
    <cellStyle name="Currency 5 4 2 3" xfId="0"/>
    <cellStyle name="Currency 5 4 3" xfId="0"/>
    <cellStyle name="Currency 5 4 3 2" xfId="0"/>
    <cellStyle name="Currency 5 5" xfId="0"/>
    <cellStyle name="Currency 5 5 2" xfId="0"/>
    <cellStyle name="Currency 5 5 2 2" xfId="0"/>
    <cellStyle name="Currency 5 5 3" xfId="0"/>
    <cellStyle name="Currency 5 6" xfId="0"/>
    <cellStyle name="Currency 5 6 2" xfId="0"/>
    <cellStyle name="Currency 5 7" xfId="0"/>
    <cellStyle name="Currency 5_2.DATA" xfId="0"/>
    <cellStyle name="Currency 6" xfId="0"/>
    <cellStyle name="Currency 6 2" xfId="0"/>
    <cellStyle name="Currency 6 2 2" xfId="0"/>
    <cellStyle name="Currency 6 2 2 2" xfId="0"/>
    <cellStyle name="Currency 6 2 2 2 2" xfId="0"/>
    <cellStyle name="Currency 6 2 2 3" xfId="0"/>
    <cellStyle name="Currency 6 3" xfId="0"/>
    <cellStyle name="Currency 6 3 2" xfId="0"/>
    <cellStyle name="Currency 6 3 2 2" xfId="0"/>
    <cellStyle name="Currency 6 3 3" xfId="0"/>
    <cellStyle name="Currency 6 4" xfId="0"/>
    <cellStyle name="Currency 6 4 2" xfId="0"/>
    <cellStyle name="Currency 6 4 2 2" xfId="0"/>
    <cellStyle name="Currency 6 4 2 2 2" xfId="0"/>
    <cellStyle name="Currency 6 4 3" xfId="0"/>
    <cellStyle name="Currency 6 4 3 2" xfId="0"/>
    <cellStyle name="Currency 6 5" xfId="0"/>
    <cellStyle name="Currency 6 5 2" xfId="0"/>
    <cellStyle name="Currency 6 5 2 2" xfId="0"/>
    <cellStyle name="Currency 6 5 3" xfId="0"/>
    <cellStyle name="Currency 6 6" xfId="0"/>
    <cellStyle name="Currency 6 6 2" xfId="0"/>
    <cellStyle name="Currency 6_2.DATA" xfId="0"/>
    <cellStyle name="Currency 7" xfId="0"/>
    <cellStyle name="Currency 7 2" xfId="0"/>
    <cellStyle name="Currency 7 2 2" xfId="0"/>
    <cellStyle name="Currency 7 2 2 2" xfId="0"/>
    <cellStyle name="Currency 7 2 2 2 2" xfId="0"/>
    <cellStyle name="Currency 7 2 2 3" xfId="0"/>
    <cellStyle name="Currency 7 2 3" xfId="0"/>
    <cellStyle name="Currency 7 2 3 2" xfId="0"/>
    <cellStyle name="Currency 7 2 3 2 2" xfId="0"/>
    <cellStyle name="Currency 7 2 3 3" xfId="0"/>
    <cellStyle name="Currency 7 2 4" xfId="0"/>
    <cellStyle name="Currency 7 2 4 2" xfId="0"/>
    <cellStyle name="Currency 7 2 4 2 2" xfId="0"/>
    <cellStyle name="Currency 7 2 5" xfId="0"/>
    <cellStyle name="Currency 7 2 5 2" xfId="0"/>
    <cellStyle name="Currency 7 2 6" xfId="0"/>
    <cellStyle name="Currency 7 3" xfId="0"/>
    <cellStyle name="Currency 7 3 2" xfId="0"/>
    <cellStyle name="Currency 7 3 2 2" xfId="0"/>
    <cellStyle name="Currency 7 3 3" xfId="0"/>
    <cellStyle name="Currency 7 4" xfId="0"/>
    <cellStyle name="Currency 7 4 2" xfId="0"/>
    <cellStyle name="Currency 7 4 2 2" xfId="0"/>
    <cellStyle name="Currency 7 5" xfId="0"/>
    <cellStyle name="Currency 7 5 2" xfId="0"/>
    <cellStyle name="Currency 7 6" xfId="0"/>
    <cellStyle name="Currency 7_2.DATA" xfId="0"/>
    <cellStyle name="Currency 8" xfId="0"/>
    <cellStyle name="Currency 8 2" xfId="0"/>
    <cellStyle name="Currency 8 2 2" xfId="0"/>
    <cellStyle name="Currency 8 2 2 2" xfId="0"/>
    <cellStyle name="Currency 8 2 2 2 2" xfId="0"/>
    <cellStyle name="Currency 8 2 2 3" xfId="0"/>
    <cellStyle name="Currency 8 3" xfId="0"/>
    <cellStyle name="Currency 8 3 2" xfId="0"/>
    <cellStyle name="Currency 8 3 2 2" xfId="0"/>
    <cellStyle name="Currency 8 3 3" xfId="0"/>
    <cellStyle name="Currency 8 4" xfId="0"/>
    <cellStyle name="Currency 8 4 2" xfId="0"/>
    <cellStyle name="Currency 8 4 2 2" xfId="0"/>
    <cellStyle name="Currency 8 4 2 2 2" xfId="0"/>
    <cellStyle name="Currency 8 4 3" xfId="0"/>
    <cellStyle name="Currency 8 4 3 2" xfId="0"/>
    <cellStyle name="Currency 8 5" xfId="0"/>
    <cellStyle name="Currency 8 5 2" xfId="0"/>
    <cellStyle name="Currency 8 5 2 2" xfId="0"/>
    <cellStyle name="Currency 8 5 3" xfId="0"/>
    <cellStyle name="Currency 8 6" xfId="0"/>
    <cellStyle name="Currency 8 6 2" xfId="0"/>
    <cellStyle name="Currency 8_2.DATA" xfId="0"/>
    <cellStyle name="Currency 9" xfId="0"/>
    <cellStyle name="Currency 9 2" xfId="0"/>
    <cellStyle name="Currency 9 2 2" xfId="0"/>
    <cellStyle name="Currency 9 2 2 2" xfId="0"/>
    <cellStyle name="Currency 9 2 2 2 2" xfId="0"/>
    <cellStyle name="Currency 9 2 2 3" xfId="0"/>
    <cellStyle name="Currency 9 3" xfId="0"/>
    <cellStyle name="Currency 9 3 2" xfId="0"/>
    <cellStyle name="Currency 9 3 2 2" xfId="0"/>
    <cellStyle name="Currency 9 4" xfId="0"/>
    <cellStyle name="Currency 9 4 2" xfId="0"/>
    <cellStyle name="Currency 9 4 2 2" xfId="0"/>
    <cellStyle name="Currency 9 5" xfId="0"/>
    <cellStyle name="Currency 9 5 2" xfId="0"/>
    <cellStyle name="Explanatory Text 2" xfId="0"/>
    <cellStyle name="Explanatory Text 2 2" xfId="0"/>
    <cellStyle name="Explanatory Text 2 3" xfId="0"/>
    <cellStyle name="Explanatory Text 2 4" xfId="0"/>
    <cellStyle name="Explanatory Text 3" xfId="0"/>
    <cellStyle name="Explanatory Text 3 2" xfId="0"/>
    <cellStyle name="Explanatory Text 3 3" xfId="0"/>
    <cellStyle name="Explanatory Text 3_2.DATA" xfId="0"/>
    <cellStyle name="FRxAmtStyle" xfId="0"/>
    <cellStyle name="FRxAmtStyle 2" xfId="0"/>
    <cellStyle name="FRxAmtStyle 3" xfId="0"/>
    <cellStyle name="FRxAmtStyle 4" xfId="0"/>
    <cellStyle name="FRxAmtStyle_(Formatted) LCCQ BUDGET 2011-2012 Detailed Short Ver (New Struc) with SUM 7-5-11" xfId="0"/>
    <cellStyle name="FRxCurrStyle" xfId="0"/>
    <cellStyle name="FRxCurrStyle 2" xfId="0"/>
    <cellStyle name="FRxPcntStyle" xfId="0"/>
    <cellStyle name="Good 2" xfId="0"/>
    <cellStyle name="Good 2 2" xfId="0"/>
    <cellStyle name="Good 2 3" xfId="0"/>
    <cellStyle name="Good 2 4" xfId="0"/>
    <cellStyle name="Good 3" xfId="0"/>
    <cellStyle name="Good 3 2" xfId="0"/>
    <cellStyle name="Good 3 3" xfId="0"/>
    <cellStyle name="Good 3_2.DATA" xfId="0"/>
    <cellStyle name="Heading 1 2" xfId="0"/>
    <cellStyle name="Heading 1 2 2" xfId="0"/>
    <cellStyle name="Heading 1 2 3" xfId="0"/>
    <cellStyle name="Heading 1 3" xfId="0"/>
    <cellStyle name="Heading 1 3 2" xfId="0"/>
    <cellStyle name="Heading 1 3 3" xfId="0"/>
    <cellStyle name="Heading 1 3_2.DATA" xfId="0"/>
    <cellStyle name="Heading 2 2" xfId="0"/>
    <cellStyle name="Heading 2 2 2" xfId="0"/>
    <cellStyle name="Heading 2 2 3" xfId="0"/>
    <cellStyle name="Heading 2 3" xfId="0"/>
    <cellStyle name="Heading 2 3 2" xfId="0"/>
    <cellStyle name="Heading 2 3 3" xfId="0"/>
    <cellStyle name="Heading 2 3_2.DATA" xfId="0"/>
    <cellStyle name="Heading 2 4" xfId="0"/>
    <cellStyle name="Heading 3 2" xfId="0"/>
    <cellStyle name="Heading 3 2 2" xfId="0"/>
    <cellStyle name="Heading 3 2 3" xfId="0"/>
    <cellStyle name="Heading 3 3" xfId="0"/>
    <cellStyle name="Heading 3 3 2" xfId="0"/>
    <cellStyle name="Heading 3 3 3" xfId="0"/>
    <cellStyle name="Heading 3 3_2.DATA" xfId="0"/>
    <cellStyle name="Heading 3 4" xfId="0"/>
    <cellStyle name="Heading 4 2" xfId="0"/>
    <cellStyle name="Heading 4 2 2" xfId="0"/>
    <cellStyle name="Heading 4 2 3" xfId="0"/>
    <cellStyle name="Heading 4 3" xfId="0"/>
    <cellStyle name="Heading 4 3 2" xfId="0"/>
    <cellStyle name="Heading 4 3 3" xfId="0"/>
    <cellStyle name="Heading 4 3_2.DATA" xfId="0"/>
    <cellStyle name="Hyperlink 2" xfId="0"/>
    <cellStyle name="Hyperlink 3" xfId="0"/>
    <cellStyle name="Hyperlink 3 2" xfId="0"/>
    <cellStyle name="Hyperlink 3 3" xfId="0"/>
    <cellStyle name="Hyperlink 4" xfId="0"/>
    <cellStyle name="Hyperlink 4 2" xfId="0"/>
    <cellStyle name="Hyperlink 4 3" xfId="0"/>
    <cellStyle name="Hyperlink 4_2.DATA" xfId="0"/>
    <cellStyle name="Hyperlink 5" xfId="0"/>
    <cellStyle name="Hyperlink 5 2" xfId="0"/>
    <cellStyle name="Hyperlink 5 3" xfId="0"/>
    <cellStyle name="Hyperlink 5_2.DATA" xfId="0"/>
    <cellStyle name="Hyperlink 6" xfId="0"/>
    <cellStyle name="Hyperlink 6 2" xfId="0"/>
    <cellStyle name="Hyperlink 6 3" xfId="0"/>
    <cellStyle name="Hyperlink 6_2.DATA" xfId="0"/>
    <cellStyle name="Hyperlink 7" xfId="0"/>
    <cellStyle name="Hyperlink 8" xfId="0"/>
    <cellStyle name="Hyperlink Arrow" xfId="0"/>
    <cellStyle name="Hyperlink Check" xfId="0"/>
    <cellStyle name="Hyperlink Text" xfId="0"/>
    <cellStyle name="Input 2" xfId="0"/>
    <cellStyle name="Input 2 2" xfId="0"/>
    <cellStyle name="Input 2 2 2" xfId="0"/>
    <cellStyle name="Input 2 2 2 2" xfId="0"/>
    <cellStyle name="Input 2 2 2 3" xfId="0"/>
    <cellStyle name="Input 2 2 2 4" xfId="0"/>
    <cellStyle name="Input 2 2 2_BC Valid CC Listing" xfId="0"/>
    <cellStyle name="Input 2 2 3" xfId="0"/>
    <cellStyle name="Input 2 2 4" xfId="0"/>
    <cellStyle name="Input 2 2 5" xfId="0"/>
    <cellStyle name="Input 2 2_BC Valid CC Listing" xfId="0"/>
    <cellStyle name="Input 2 3" xfId="0"/>
    <cellStyle name="Input 2 3 2" xfId="0"/>
    <cellStyle name="Input 2 3 3" xfId="0"/>
    <cellStyle name="Input 2 3 4" xfId="0"/>
    <cellStyle name="Input 2 3_BC Valid CC Listing" xfId="0"/>
    <cellStyle name="Input 2 4" xfId="0"/>
    <cellStyle name="Input 2 5" xfId="0"/>
    <cellStyle name="Input 2 6" xfId="0"/>
    <cellStyle name="Input 2 7" xfId="0"/>
    <cellStyle name="Input 2 8" xfId="0"/>
    <cellStyle name="Input 2_BC Valid CC Listing" xfId="0"/>
    <cellStyle name="Input 3" xfId="0"/>
    <cellStyle name="Input 3 2" xfId="0"/>
    <cellStyle name="Input 3 3" xfId="0"/>
    <cellStyle name="Input 3_2.DATA" xfId="0"/>
    <cellStyle name="Input 4" xfId="0"/>
    <cellStyle name="Input 5" xfId="0"/>
    <cellStyle name="Linked Cell 2" xfId="0"/>
    <cellStyle name="Linked Cell 2 2" xfId="0"/>
    <cellStyle name="Linked Cell 2 3" xfId="0"/>
    <cellStyle name="Linked Cell 2 4" xfId="0"/>
    <cellStyle name="Linked Cell 3" xfId="0"/>
    <cellStyle name="Linked Cell 3 2" xfId="0"/>
    <cellStyle name="Linked Cell 3 3" xfId="0"/>
    <cellStyle name="Linked Cell 3_2.DATA" xfId="0"/>
    <cellStyle name="Lookup Table Heading" xfId="0"/>
    <cellStyle name="Lookup Table Label" xfId="0"/>
    <cellStyle name="Lookup Table Number" xfId="0"/>
    <cellStyle name="Model Name" xfId="0"/>
    <cellStyle name="Neutral 2" xfId="0"/>
    <cellStyle name="Neutral 2 2" xfId="0"/>
    <cellStyle name="Neutral 2 3" xfId="0"/>
    <cellStyle name="Neutral 3" xfId="0"/>
    <cellStyle name="Neutral 3 2" xfId="0"/>
    <cellStyle name="Neutral 3 3" xfId="0"/>
    <cellStyle name="Neutral 3_2.DATA" xfId="0"/>
    <cellStyle name="Neutral 4" xfId="0"/>
    <cellStyle name="Normal 10" xfId="0"/>
    <cellStyle name="Normal 10 10" xfId="0"/>
    <cellStyle name="Normal 10 11" xfId="0"/>
    <cellStyle name="Normal 10 12" xfId="0"/>
    <cellStyle name="Normal 10 2" xfId="0"/>
    <cellStyle name="Normal 10 2 2" xfId="0"/>
    <cellStyle name="Normal 10 2 2 2" xfId="0"/>
    <cellStyle name="Normal 10 2 2 2 2" xfId="0"/>
    <cellStyle name="Normal 10 2 2 2 2 2" xfId="0"/>
    <cellStyle name="Normal 10 2 2 2 2_2.DATA" xfId="0"/>
    <cellStyle name="Normal 10 2 2 2 3" xfId="0"/>
    <cellStyle name="Normal 10 2 2 2_2.DATA" xfId="0"/>
    <cellStyle name="Normal 10 2 2 3" xfId="0"/>
    <cellStyle name="Normal 10 2 2 3 2" xfId="0"/>
    <cellStyle name="Normal 10 2 2 3 2 2" xfId="0"/>
    <cellStyle name="Normal 10 2 2 3 2_2.DATA" xfId="0"/>
    <cellStyle name="Normal 10 2 2 3 3" xfId="0"/>
    <cellStyle name="Normal 10 2 2 3_2.DATA" xfId="0"/>
    <cellStyle name="Normal 10 2 2 4" xfId="0"/>
    <cellStyle name="Normal 10 2 2 4 2" xfId="0"/>
    <cellStyle name="Normal 10 2 2 4_2.DATA" xfId="0"/>
    <cellStyle name="Normal 10 2 2 5" xfId="0"/>
    <cellStyle name="Normal 10 2 2_2.DATA" xfId="0"/>
    <cellStyle name="Normal 10 2 3" xfId="0"/>
    <cellStyle name="Normal 10 2 3 2" xfId="0"/>
    <cellStyle name="Normal 10 2 3 2 2" xfId="0"/>
    <cellStyle name="Normal 10 2 3 2 2 2" xfId="0"/>
    <cellStyle name="Normal 10 2 3 2 2_2.DATA" xfId="0"/>
    <cellStyle name="Normal 10 2 3 2 3" xfId="0"/>
    <cellStyle name="Normal 10 2 3 2_2.DATA" xfId="0"/>
    <cellStyle name="Normal 10 2 3 3" xfId="0"/>
    <cellStyle name="Normal 10 2 3 3 2" xfId="0"/>
    <cellStyle name="Normal 10 2 3 3 2 2" xfId="0"/>
    <cellStyle name="Normal 10 2 3 3 2_2.DATA" xfId="0"/>
    <cellStyle name="Normal 10 2 3 3 3" xfId="0"/>
    <cellStyle name="Normal 10 2 3 3_2.DATA" xfId="0"/>
    <cellStyle name="Normal 10 2 3 4" xfId="0"/>
    <cellStyle name="Normal 10 2 3 4 2" xfId="0"/>
    <cellStyle name="Normal 10 2 3 4_2.DATA" xfId="0"/>
    <cellStyle name="Normal 10 2 3 5" xfId="0"/>
    <cellStyle name="Normal 10 2 3_2.DATA" xfId="0"/>
    <cellStyle name="Normal 10 2 4" xfId="0"/>
    <cellStyle name="Normal 10 2 4 2" xfId="0"/>
    <cellStyle name="Normal 10 2 4 2 2" xfId="0"/>
    <cellStyle name="Normal 10 2 4 2 2 2" xfId="0"/>
    <cellStyle name="Normal 10 2 4 2 2_2.DATA" xfId="0"/>
    <cellStyle name="Normal 10 2 4 2 3" xfId="0"/>
    <cellStyle name="Normal 10 2 4 2_2.DATA" xfId="0"/>
    <cellStyle name="Normal 10 2 4 3" xfId="0"/>
    <cellStyle name="Normal 10 2 4 3 2" xfId="0"/>
    <cellStyle name="Normal 10 2 4 3_2.DATA" xfId="0"/>
    <cellStyle name="Normal 10 2 4 4" xfId="0"/>
    <cellStyle name="Normal 10 2 4_2.DATA" xfId="0"/>
    <cellStyle name="Normal 10 2 5" xfId="0"/>
    <cellStyle name="Normal 10 2 5 2" xfId="0"/>
    <cellStyle name="Normal 10 2 5 2 2" xfId="0"/>
    <cellStyle name="Normal 10 2 5 2_2.DATA" xfId="0"/>
    <cellStyle name="Normal 10 2 5 3" xfId="0"/>
    <cellStyle name="Normal 10 2 5_2.DATA" xfId="0"/>
    <cellStyle name="Normal 10 2 6" xfId="0"/>
    <cellStyle name="Normal 10 2 6 2" xfId="0"/>
    <cellStyle name="Normal 10 2 6 2 2" xfId="0"/>
    <cellStyle name="Normal 10 2 6 2_2.DATA" xfId="0"/>
    <cellStyle name="Normal 10 2 6 3" xfId="0"/>
    <cellStyle name="Normal 10 2 6_2.DATA" xfId="0"/>
    <cellStyle name="Normal 10 2 7" xfId="0"/>
    <cellStyle name="Normal 10 2 7 2" xfId="0"/>
    <cellStyle name="Normal 10 2 7_2.DATA" xfId="0"/>
    <cellStyle name="Normal 10 2 8" xfId="0"/>
    <cellStyle name="Normal 10 2_2.DATA" xfId="0"/>
    <cellStyle name="Normal 10 3" xfId="0"/>
    <cellStyle name="Normal 10 3 2" xfId="0"/>
    <cellStyle name="Normal 10 3 2 2" xfId="0"/>
    <cellStyle name="Normal 10 3 2 2 2" xfId="0"/>
    <cellStyle name="Normal 10 3 2 2_2.DATA" xfId="0"/>
    <cellStyle name="Normal 10 3 2 3" xfId="0"/>
    <cellStyle name="Normal 10 3 2_2.DATA" xfId="0"/>
    <cellStyle name="Normal 10 3 3" xfId="0"/>
    <cellStyle name="Normal 10 3 3 2" xfId="0"/>
    <cellStyle name="Normal 10 3 3_2.DATA" xfId="0"/>
    <cellStyle name="Normal 10 3 4" xfId="0"/>
    <cellStyle name="Normal 10 3_2.DATA" xfId="0"/>
    <cellStyle name="Normal 10 4" xfId="0"/>
    <cellStyle name="Normal 10 4 2" xfId="0"/>
    <cellStyle name="Normal 10 4 2 2" xfId="0"/>
    <cellStyle name="Normal 10 4 2_2.DATA" xfId="0"/>
    <cellStyle name="Normal 10 4 3" xfId="0"/>
    <cellStyle name="Normal 10 4_2.DATA" xfId="0"/>
    <cellStyle name="Normal 10 5" xfId="0"/>
    <cellStyle name="Normal 10 5 2" xfId="0"/>
    <cellStyle name="Normal 10 5_2.DATA" xfId="0"/>
    <cellStyle name="Normal 10 6" xfId="0"/>
    <cellStyle name="Normal 10 7" xfId="0"/>
    <cellStyle name="Normal 10 8" xfId="0"/>
    <cellStyle name="Normal 10 9" xfId="0"/>
    <cellStyle name="Normal 10_2.DATA" xfId="0"/>
    <cellStyle name="Normal 11" xfId="0"/>
    <cellStyle name="Normal 11 2" xfId="0"/>
    <cellStyle name="Normal 11 2 10" xfId="0"/>
    <cellStyle name="Normal 11 2 2" xfId="0"/>
    <cellStyle name="Normal 11 2 2 2" xfId="0"/>
    <cellStyle name="Normal 11 2 2 2 2" xfId="0"/>
    <cellStyle name="Normal 11 2 2 2 2 2" xfId="0"/>
    <cellStyle name="Normal 11 2 2 2 2_2.DATA" xfId="0"/>
    <cellStyle name="Normal 11 2 2 2 3" xfId="0"/>
    <cellStyle name="Normal 11 2 2 2_2.DATA" xfId="0"/>
    <cellStyle name="Normal 11 2 2 3" xfId="0"/>
    <cellStyle name="Normal 11 2 2 3 2" xfId="0"/>
    <cellStyle name="Normal 11 2 2 3 2 2" xfId="0"/>
    <cellStyle name="Normal 11 2 2 3 2_2.DATA" xfId="0"/>
    <cellStyle name="Normal 11 2 2 3 3" xfId="0"/>
    <cellStyle name="Normal 11 2 2 3_2.DATA" xfId="0"/>
    <cellStyle name="Normal 11 2 2 4" xfId="0"/>
    <cellStyle name="Normal 11 2 2 4 2" xfId="0"/>
    <cellStyle name="Normal 11 2 2 4_2.DATA" xfId="0"/>
    <cellStyle name="Normal 11 2 2 5" xfId="0"/>
    <cellStyle name="Normal 11 2 2_2.DATA" xfId="0"/>
    <cellStyle name="Normal 11 2 3" xfId="0"/>
    <cellStyle name="Normal 11 2 3 2" xfId="0"/>
    <cellStyle name="Normal 11 2 3 2 2" xfId="0"/>
    <cellStyle name="Normal 11 2 3 2 2 2" xfId="0"/>
    <cellStyle name="Normal 11 2 3 2 2_2.DATA" xfId="0"/>
    <cellStyle name="Normal 11 2 3 2 3" xfId="0"/>
    <cellStyle name="Normal 11 2 3 2_2.DATA" xfId="0"/>
    <cellStyle name="Normal 11 2 3 3" xfId="0"/>
    <cellStyle name="Normal 11 2 3 3 2" xfId="0"/>
    <cellStyle name="Normal 11 2 3 3 2 2" xfId="0"/>
    <cellStyle name="Normal 11 2 3 3 2_2.DATA" xfId="0"/>
    <cellStyle name="Normal 11 2 3 3 3" xfId="0"/>
    <cellStyle name="Normal 11 2 3 3_2.DATA" xfId="0"/>
    <cellStyle name="Normal 11 2 3 4" xfId="0"/>
    <cellStyle name="Normal 11 2 3 4 2" xfId="0"/>
    <cellStyle name="Normal 11 2 3 4_2.DATA" xfId="0"/>
    <cellStyle name="Normal 11 2 3 5" xfId="0"/>
    <cellStyle name="Normal 11 2 3_2.DATA" xfId="0"/>
    <cellStyle name="Normal 11 2 4" xfId="0"/>
    <cellStyle name="Normal 11 2 4 2" xfId="0"/>
    <cellStyle name="Normal 11 2 4 2 2" xfId="0"/>
    <cellStyle name="Normal 11 2 4 2 2 2" xfId="0"/>
    <cellStyle name="Normal 11 2 4 2 2_2.DATA" xfId="0"/>
    <cellStyle name="Normal 11 2 4 2 3" xfId="0"/>
    <cellStyle name="Normal 11 2 4 2_2.DATA" xfId="0"/>
    <cellStyle name="Normal 11 2 4 3" xfId="0"/>
    <cellStyle name="Normal 11 2 4 3 2" xfId="0"/>
    <cellStyle name="Normal 11 2 4 3_2.DATA" xfId="0"/>
    <cellStyle name="Normal 11 2 4 4" xfId="0"/>
    <cellStyle name="Normal 11 2 4_2.DATA" xfId="0"/>
    <cellStyle name="Normal 11 2 5" xfId="0"/>
    <cellStyle name="Normal 11 2 5 2" xfId="0"/>
    <cellStyle name="Normal 11 2 5 2 2" xfId="0"/>
    <cellStyle name="Normal 11 2 5 2_2.DATA" xfId="0"/>
    <cellStyle name="Normal 11 2 5 3" xfId="0"/>
    <cellStyle name="Normal 11 2 5_2.DATA" xfId="0"/>
    <cellStyle name="Normal 11 2 6" xfId="0"/>
    <cellStyle name="Normal 11 2 6 2" xfId="0"/>
    <cellStyle name="Normal 11 2 6 2 2" xfId="0"/>
    <cellStyle name="Normal 11 2 6 2_2.DATA" xfId="0"/>
    <cellStyle name="Normal 11 2 6 3" xfId="0"/>
    <cellStyle name="Normal 11 2 6_2.DATA" xfId="0"/>
    <cellStyle name="Normal 11 2 7" xfId="0"/>
    <cellStyle name="Normal 11 2 7 2" xfId="0"/>
    <cellStyle name="Normal 11 2 7_2.DATA" xfId="0"/>
    <cellStyle name="Normal 11 2 8" xfId="0"/>
    <cellStyle name="Normal 11 2 9" xfId="0"/>
    <cellStyle name="Normal 11 2_2.DATA" xfId="0"/>
    <cellStyle name="Normal 11 3" xfId="0"/>
    <cellStyle name="Normal 11 3 2" xfId="0"/>
    <cellStyle name="Normal 11 3 2 2" xfId="0"/>
    <cellStyle name="Normal 11 3 2 2 2" xfId="0"/>
    <cellStyle name="Normal 11 3 2 2_2.DATA" xfId="0"/>
    <cellStyle name="Normal 11 3 2 3" xfId="0"/>
    <cellStyle name="Normal 11 3 2_2.DATA" xfId="0"/>
    <cellStyle name="Normal 11 3 3" xfId="0"/>
    <cellStyle name="Normal 11 3 3 2" xfId="0"/>
    <cellStyle name="Normal 11 3 3_2.DATA" xfId="0"/>
    <cellStyle name="Normal 11 3 4" xfId="0"/>
    <cellStyle name="Normal 11 3_2.DATA" xfId="0"/>
    <cellStyle name="Normal 11 4" xfId="0"/>
    <cellStyle name="Normal 11 4 2" xfId="0"/>
    <cellStyle name="Normal 11 4 2 2" xfId="0"/>
    <cellStyle name="Normal 11 4 2_2.DATA" xfId="0"/>
    <cellStyle name="Normal 11 4 3" xfId="0"/>
    <cellStyle name="Normal 11 4_2.DATA" xfId="0"/>
    <cellStyle name="Normal 11 5" xfId="0"/>
    <cellStyle name="Normal 11 5 2" xfId="0"/>
    <cellStyle name="Normal 11 5_2.DATA" xfId="0"/>
    <cellStyle name="Normal 11 6" xfId="0"/>
    <cellStyle name="Normal 11 7" xfId="0"/>
    <cellStyle name="Normal 11 8" xfId="0"/>
    <cellStyle name="Normal 11_2.DATA" xfId="0"/>
    <cellStyle name="Normal 12" xfId="0"/>
    <cellStyle name="Normal 12 2" xfId="0"/>
    <cellStyle name="Normal 12 2 2" xfId="0"/>
    <cellStyle name="Normal 12 2 2 2" xfId="0"/>
    <cellStyle name="Normal 12 2 2 2 2" xfId="0"/>
    <cellStyle name="Normal 12 2 2 2 2 2" xfId="0"/>
    <cellStyle name="Normal 12 2 2 2 2_2.DATA" xfId="0"/>
    <cellStyle name="Normal 12 2 2 2 3" xfId="0"/>
    <cellStyle name="Normal 12 2 2 2_2.DATA" xfId="0"/>
    <cellStyle name="Normal 12 2 2 3" xfId="0"/>
    <cellStyle name="Normal 12 2 2 3 2" xfId="0"/>
    <cellStyle name="Normal 12 2 2 3 2 2" xfId="0"/>
    <cellStyle name="Normal 12 2 2 3 2_2.DATA" xfId="0"/>
    <cellStyle name="Normal 12 2 2 3 3" xfId="0"/>
    <cellStyle name="Normal 12 2 2 3_2.DATA" xfId="0"/>
    <cellStyle name="Normal 12 2 2 4" xfId="0"/>
    <cellStyle name="Normal 12 2 2 4 2" xfId="0"/>
    <cellStyle name="Normal 12 2 2 4_2.DATA" xfId="0"/>
    <cellStyle name="Normal 12 2 2 5" xfId="0"/>
    <cellStyle name="Normal 12 2 2_2.DATA" xfId="0"/>
    <cellStyle name="Normal 12 2 3" xfId="0"/>
    <cellStyle name="Normal 12 2 3 2" xfId="0"/>
    <cellStyle name="Normal 12 2 3 2 2" xfId="0"/>
    <cellStyle name="Normal 12 2 3 2 2 2" xfId="0"/>
    <cellStyle name="Normal 12 2 3 2 2_2.DATA" xfId="0"/>
    <cellStyle name="Normal 12 2 3 2 3" xfId="0"/>
    <cellStyle name="Normal 12 2 3 2_2.DATA" xfId="0"/>
    <cellStyle name="Normal 12 2 3 3" xfId="0"/>
    <cellStyle name="Normal 12 2 3 3 2" xfId="0"/>
    <cellStyle name="Normal 12 2 3 3 2 2" xfId="0"/>
    <cellStyle name="Normal 12 2 3 3 2_2.DATA" xfId="0"/>
    <cellStyle name="Normal 12 2 3 3 3" xfId="0"/>
    <cellStyle name="Normal 12 2 3 3_2.DATA" xfId="0"/>
    <cellStyle name="Normal 12 2 3 4" xfId="0"/>
    <cellStyle name="Normal 12 2 3 4 2" xfId="0"/>
    <cellStyle name="Normal 12 2 3 4_2.DATA" xfId="0"/>
    <cellStyle name="Normal 12 2 3 5" xfId="0"/>
    <cellStyle name="Normal 12 2 3_2.DATA" xfId="0"/>
    <cellStyle name="Normal 12 2 4" xfId="0"/>
    <cellStyle name="Normal 12 2 4 2" xfId="0"/>
    <cellStyle name="Normal 12 2 4 2 2" xfId="0"/>
    <cellStyle name="Normal 12 2 4 2 2 2" xfId="0"/>
    <cellStyle name="Normal 12 2 4 2 2_2.DATA" xfId="0"/>
    <cellStyle name="Normal 12 2 4 2 3" xfId="0"/>
    <cellStyle name="Normal 12 2 4 2_2.DATA" xfId="0"/>
    <cellStyle name="Normal 12 2 4 3" xfId="0"/>
    <cellStyle name="Normal 12 2 4 3 2" xfId="0"/>
    <cellStyle name="Normal 12 2 4 3_2.DATA" xfId="0"/>
    <cellStyle name="Normal 12 2 4 4" xfId="0"/>
    <cellStyle name="Normal 12 2 4_2.DATA" xfId="0"/>
    <cellStyle name="Normal 12 2 5" xfId="0"/>
    <cellStyle name="Normal 12 2 5 2" xfId="0"/>
    <cellStyle name="Normal 12 2 5 2 2" xfId="0"/>
    <cellStyle name="Normal 12 2 5 2_2.DATA" xfId="0"/>
    <cellStyle name="Normal 12 2 5 3" xfId="0"/>
    <cellStyle name="Normal 12 2 5_2.DATA" xfId="0"/>
    <cellStyle name="Normal 12 2 6" xfId="0"/>
    <cellStyle name="Normal 12 2 6 2" xfId="0"/>
    <cellStyle name="Normal 12 2 6 2 2" xfId="0"/>
    <cellStyle name="Normal 12 2 6 2_2.DATA" xfId="0"/>
    <cellStyle name="Normal 12 2 6 3" xfId="0"/>
    <cellStyle name="Normal 12 2 6_2.DATA" xfId="0"/>
    <cellStyle name="Normal 12 2 7" xfId="0"/>
    <cellStyle name="Normal 12 2 7 2" xfId="0"/>
    <cellStyle name="Normal 12 2 7_2.DATA" xfId="0"/>
    <cellStyle name="Normal 12 2 8" xfId="0"/>
    <cellStyle name="Normal 12 2_2.DATA" xfId="0"/>
    <cellStyle name="Normal 12 3" xfId="0"/>
    <cellStyle name="Normal 12 3 10" xfId="0"/>
    <cellStyle name="Normal 12 3 2" xfId="0"/>
    <cellStyle name="Normal 12 3 2 2" xfId="0"/>
    <cellStyle name="Normal 12 3 2 2 2" xfId="0"/>
    <cellStyle name="Normal 12 3 2 2_2.DATA" xfId="0"/>
    <cellStyle name="Normal 12 3 2 3" xfId="0"/>
    <cellStyle name="Normal 12 3 2_2.DATA" xfId="0"/>
    <cellStyle name="Normal 12 3 3" xfId="0"/>
    <cellStyle name="Normal 12 3 3 2" xfId="0"/>
    <cellStyle name="Normal 12 3 3_2.DATA" xfId="0"/>
    <cellStyle name="Normal 12 3 4" xfId="0"/>
    <cellStyle name="Normal 12 3 5" xfId="0"/>
    <cellStyle name="Normal 12 3 6" xfId="0"/>
    <cellStyle name="Normal 12 3 7" xfId="0"/>
    <cellStyle name="Normal 12 3 8" xfId="0"/>
    <cellStyle name="Normal 12 3 9" xfId="0"/>
    <cellStyle name="Normal 12 3_2.DATA" xfId="0"/>
    <cellStyle name="Normal 12 4" xfId="0"/>
    <cellStyle name="Normal 12 4 2" xfId="0"/>
    <cellStyle name="Normal 12 4 2 2" xfId="0"/>
    <cellStyle name="Normal 12 4 2_2.DATA" xfId="0"/>
    <cellStyle name="Normal 12 4 3" xfId="0"/>
    <cellStyle name="Normal 12 4_2.DATA" xfId="0"/>
    <cellStyle name="Normal 12 5" xfId="0"/>
    <cellStyle name="Normal 12 5 2" xfId="0"/>
    <cellStyle name="Normal 12 5_2.DATA" xfId="0"/>
    <cellStyle name="Normal 12 6" xfId="0"/>
    <cellStyle name="Normal 12 7" xfId="0"/>
    <cellStyle name="Normal 12 8" xfId="0"/>
    <cellStyle name="Normal 12 9" xfId="0"/>
    <cellStyle name="Normal 12_2.DATA" xfId="0"/>
    <cellStyle name="Normal 13" xfId="0"/>
    <cellStyle name="Normal 13 2" xfId="0"/>
    <cellStyle name="Normal 13 2 2" xfId="0"/>
    <cellStyle name="Normal 13 2 2 2" xfId="0"/>
    <cellStyle name="Normal 13 2 2 2 2" xfId="0"/>
    <cellStyle name="Normal 13 2 2 2 2 2" xfId="0"/>
    <cellStyle name="Normal 13 2 2 2 2_2.DATA" xfId="0"/>
    <cellStyle name="Normal 13 2 2 2 3" xfId="0"/>
    <cellStyle name="Normal 13 2 2 2_2.DATA" xfId="0"/>
    <cellStyle name="Normal 13 2 2 3" xfId="0"/>
    <cellStyle name="Normal 13 2 2 3 2" xfId="0"/>
    <cellStyle name="Normal 13 2 2 3 2 2" xfId="0"/>
    <cellStyle name="Normal 13 2 2 3 2_2.DATA" xfId="0"/>
    <cellStyle name="Normal 13 2 2 3 3" xfId="0"/>
    <cellStyle name="Normal 13 2 2 3_2.DATA" xfId="0"/>
    <cellStyle name="Normal 13 2 2 4" xfId="0"/>
    <cellStyle name="Normal 13 2 2 4 2" xfId="0"/>
    <cellStyle name="Normal 13 2 2 4_2.DATA" xfId="0"/>
    <cellStyle name="Normal 13 2 2 5" xfId="0"/>
    <cellStyle name="Normal 13 2 2_2.DATA" xfId="0"/>
    <cellStyle name="Normal 13 2 3" xfId="0"/>
    <cellStyle name="Normal 13 2 3 2" xfId="0"/>
    <cellStyle name="Normal 13 2 3 2 2" xfId="0"/>
    <cellStyle name="Normal 13 2 3 2 2 2" xfId="0"/>
    <cellStyle name="Normal 13 2 3 2 2_2.DATA" xfId="0"/>
    <cellStyle name="Normal 13 2 3 2 3" xfId="0"/>
    <cellStyle name="Normal 13 2 3 2_2.DATA" xfId="0"/>
    <cellStyle name="Normal 13 2 3 3" xfId="0"/>
    <cellStyle name="Normal 13 2 3 3 2" xfId="0"/>
    <cellStyle name="Normal 13 2 3 3 2 2" xfId="0"/>
    <cellStyle name="Normal 13 2 3 3 2_2.DATA" xfId="0"/>
    <cellStyle name="Normal 13 2 3 3 3" xfId="0"/>
    <cellStyle name="Normal 13 2 3 3_2.DATA" xfId="0"/>
    <cellStyle name="Normal 13 2 3 4" xfId="0"/>
    <cellStyle name="Normal 13 2 3 4 2" xfId="0"/>
    <cellStyle name="Normal 13 2 3 4_2.DATA" xfId="0"/>
    <cellStyle name="Normal 13 2 3 5" xfId="0"/>
    <cellStyle name="Normal 13 2 3_2.DATA" xfId="0"/>
    <cellStyle name="Normal 13 2 4" xfId="0"/>
    <cellStyle name="Normal 13 2 4 2" xfId="0"/>
    <cellStyle name="Normal 13 2 4 2 2" xfId="0"/>
    <cellStyle name="Normal 13 2 4 2 2 2" xfId="0"/>
    <cellStyle name="Normal 13 2 4 2 2_2.DATA" xfId="0"/>
    <cellStyle name="Normal 13 2 4 2 3" xfId="0"/>
    <cellStyle name="Normal 13 2 4 2_2.DATA" xfId="0"/>
    <cellStyle name="Normal 13 2 4 3" xfId="0"/>
    <cellStyle name="Normal 13 2 4 3 2" xfId="0"/>
    <cellStyle name="Normal 13 2 4 3_2.DATA" xfId="0"/>
    <cellStyle name="Normal 13 2 4 4" xfId="0"/>
    <cellStyle name="Normal 13 2 4_2.DATA" xfId="0"/>
    <cellStyle name="Normal 13 2 5" xfId="0"/>
    <cellStyle name="Normal 13 2 5 2" xfId="0"/>
    <cellStyle name="Normal 13 2 5 2 2" xfId="0"/>
    <cellStyle name="Normal 13 2 5 2_2.DATA" xfId="0"/>
    <cellStyle name="Normal 13 2 5 3" xfId="0"/>
    <cellStyle name="Normal 13 2 5_2.DATA" xfId="0"/>
    <cellStyle name="Normal 13 2 6" xfId="0"/>
    <cellStyle name="Normal 13 2 7" xfId="0"/>
    <cellStyle name="Normal 13 2_2.DATA" xfId="0"/>
    <cellStyle name="Normal 13 3" xfId="0"/>
    <cellStyle name="Normal 13 3 2" xfId="0"/>
    <cellStyle name="Normal 13 3 2 2" xfId="0"/>
    <cellStyle name="Normal 13 3 2 2 2" xfId="0"/>
    <cellStyle name="Normal 13 3 2 2 2 2" xfId="0"/>
    <cellStyle name="Normal 13 3 2 2 2_2.DATA" xfId="0"/>
    <cellStyle name="Normal 13 3 2 2 3" xfId="0"/>
    <cellStyle name="Normal 13 3 2 2_2.DATA" xfId="0"/>
    <cellStyle name="Normal 13 3 2 3" xfId="0"/>
    <cellStyle name="Normal 13 3 2 3 2" xfId="0"/>
    <cellStyle name="Normal 13 3 2 3_2.DATA" xfId="0"/>
    <cellStyle name="Normal 13 3 2 4" xfId="0"/>
    <cellStyle name="Normal 13 3 2_2.DATA" xfId="0"/>
    <cellStyle name="Normal 13 3 3" xfId="0"/>
    <cellStyle name="Normal 13 3 3 2" xfId="0"/>
    <cellStyle name="Normal 13 3 3 2 2" xfId="0"/>
    <cellStyle name="Normal 13 3 3 2_2.DATA" xfId="0"/>
    <cellStyle name="Normal 13 3 3 3" xfId="0"/>
    <cellStyle name="Normal 13 3 3_2.DATA" xfId="0"/>
    <cellStyle name="Normal 13 3 4" xfId="0"/>
    <cellStyle name="Normal 13 3 4 2" xfId="0"/>
    <cellStyle name="Normal 13 3 4 2 2" xfId="0"/>
    <cellStyle name="Normal 13 3 4 2_2.DATA" xfId="0"/>
    <cellStyle name="Normal 13 3 4 3" xfId="0"/>
    <cellStyle name="Normal 13 3 4_2.DATA" xfId="0"/>
    <cellStyle name="Normal 13 3 5" xfId="0"/>
    <cellStyle name="Normal 13 3 5 2" xfId="0"/>
    <cellStyle name="Normal 13 3 5 2 2" xfId="0"/>
    <cellStyle name="Normal 13 3 5 2_2.DATA" xfId="0"/>
    <cellStyle name="Normal 13 3 5 3" xfId="0"/>
    <cellStyle name="Normal 13 3 5_2.DATA" xfId="0"/>
    <cellStyle name="Normal 13 3 6" xfId="0"/>
    <cellStyle name="Normal 13 3 6 2" xfId="0"/>
    <cellStyle name="Normal 13 3 6_2.DATA" xfId="0"/>
    <cellStyle name="Normal 13 3 7" xfId="0"/>
    <cellStyle name="Normal 13 3_2.DATA" xfId="0"/>
    <cellStyle name="Normal 13 4" xfId="0"/>
    <cellStyle name="Normal 13 4 2" xfId="0"/>
    <cellStyle name="Normal 13 4 3" xfId="0"/>
    <cellStyle name="Normal 13 5" xfId="0"/>
    <cellStyle name="Normal 137" xfId="0"/>
    <cellStyle name="Normal 137 2" xfId="0"/>
    <cellStyle name="Normal 13_2.DATA" xfId="0"/>
    <cellStyle name="Normal 14" xfId="0"/>
    <cellStyle name="Normal 14 2" xfId="0"/>
    <cellStyle name="Normal 14 2 2" xfId="0"/>
    <cellStyle name="Normal 14 2 2 2" xfId="0"/>
    <cellStyle name="Normal 14 2 2 2 2" xfId="0"/>
    <cellStyle name="Normal 14 2 2 2 2 2" xfId="0"/>
    <cellStyle name="Normal 14 2 2 2 2_2.DATA" xfId="0"/>
    <cellStyle name="Normal 14 2 2 2 3" xfId="0"/>
    <cellStyle name="Normal 14 2 2 2_2.DATA" xfId="0"/>
    <cellStyle name="Normal 14 2 2 3" xfId="0"/>
    <cellStyle name="Normal 14 2 2 3 2" xfId="0"/>
    <cellStyle name="Normal 14 2 2 3 2 2" xfId="0"/>
    <cellStyle name="Normal 14 2 2 3 2_2.DATA" xfId="0"/>
    <cellStyle name="Normal 14 2 2 3 3" xfId="0"/>
    <cellStyle name="Normal 14 2 2 3_2.DATA" xfId="0"/>
    <cellStyle name="Normal 14 2 2 4" xfId="0"/>
    <cellStyle name="Normal 14 2 2 4 2" xfId="0"/>
    <cellStyle name="Normal 14 2 2 4_2.DATA" xfId="0"/>
    <cellStyle name="Normal 14 2 2 5" xfId="0"/>
    <cellStyle name="Normal 14 2 2_2.DATA" xfId="0"/>
    <cellStyle name="Normal 14 2 3" xfId="0"/>
    <cellStyle name="Normal 14 2 3 2" xfId="0"/>
    <cellStyle name="Normal 14 2 3 2 2" xfId="0"/>
    <cellStyle name="Normal 14 2 3 2 2 2" xfId="0"/>
    <cellStyle name="Normal 14 2 3 2 2_2.DATA" xfId="0"/>
    <cellStyle name="Normal 14 2 3 2 3" xfId="0"/>
    <cellStyle name="Normal 14 2 3 2_2.DATA" xfId="0"/>
    <cellStyle name="Normal 14 2 3 3" xfId="0"/>
    <cellStyle name="Normal 14 2 3 3 2" xfId="0"/>
    <cellStyle name="Normal 14 2 3 3 2 2" xfId="0"/>
    <cellStyle name="Normal 14 2 3 3 2_2.DATA" xfId="0"/>
    <cellStyle name="Normal 14 2 3 3 3" xfId="0"/>
    <cellStyle name="Normal 14 2 3 3_2.DATA" xfId="0"/>
    <cellStyle name="Normal 14 2 3 4" xfId="0"/>
    <cellStyle name="Normal 14 2 3 4 2" xfId="0"/>
    <cellStyle name="Normal 14 2 3 4_2.DATA" xfId="0"/>
    <cellStyle name="Normal 14 2 3 5" xfId="0"/>
    <cellStyle name="Normal 14 2 3_2.DATA" xfId="0"/>
    <cellStyle name="Normal 14 2 4" xfId="0"/>
    <cellStyle name="Normal 14 2 4 2" xfId="0"/>
    <cellStyle name="Normal 14 2 4 2 2" xfId="0"/>
    <cellStyle name="Normal 14 2 4 2 2 2" xfId="0"/>
    <cellStyle name="Normal 14 2 4 2 2_2.DATA" xfId="0"/>
    <cellStyle name="Normal 14 2 4 2 3" xfId="0"/>
    <cellStyle name="Normal 14 2 4 2_2.DATA" xfId="0"/>
    <cellStyle name="Normal 14 2 4 3" xfId="0"/>
    <cellStyle name="Normal 14 2 4 3 2" xfId="0"/>
    <cellStyle name="Normal 14 2 4 3_2.DATA" xfId="0"/>
    <cellStyle name="Normal 14 2 4 4" xfId="0"/>
    <cellStyle name="Normal 14 2 4_2.DATA" xfId="0"/>
    <cellStyle name="Normal 14 2 5" xfId="0"/>
    <cellStyle name="Normal 14 2 5 2" xfId="0"/>
    <cellStyle name="Normal 14 2 5 2 2" xfId="0"/>
    <cellStyle name="Normal 14 2 5 2_2.DATA" xfId="0"/>
    <cellStyle name="Normal 14 2 5 3" xfId="0"/>
    <cellStyle name="Normal 14 2 5_2.DATA" xfId="0"/>
    <cellStyle name="Normal 14 2 6" xfId="0"/>
    <cellStyle name="Normal 14 2 7" xfId="0"/>
    <cellStyle name="Normal 14 2 8" xfId="0"/>
    <cellStyle name="Normal 14 2_2.DATA" xfId="0"/>
    <cellStyle name="Normal 14 3" xfId="0"/>
    <cellStyle name="Normal 14 3 2" xfId="0"/>
    <cellStyle name="Normal 14 3 2 2" xfId="0"/>
    <cellStyle name="Normal 14 3 2 2 2" xfId="0"/>
    <cellStyle name="Normal 14 3 2 2 2 2" xfId="0"/>
    <cellStyle name="Normal 14 3 2 2 2_2.DATA" xfId="0"/>
    <cellStyle name="Normal 14 3 2 2 3" xfId="0"/>
    <cellStyle name="Normal 14 3 2 2_2.DATA" xfId="0"/>
    <cellStyle name="Normal 14 3 2 3" xfId="0"/>
    <cellStyle name="Normal 14 3 2 3 2" xfId="0"/>
    <cellStyle name="Normal 14 3 2 3_2.DATA" xfId="0"/>
    <cellStyle name="Normal 14 3 2 4" xfId="0"/>
    <cellStyle name="Normal 14 3 2_2.DATA" xfId="0"/>
    <cellStyle name="Normal 14 3 3" xfId="0"/>
    <cellStyle name="Normal 14 3 3 2" xfId="0"/>
    <cellStyle name="Normal 14 3 3 2 2" xfId="0"/>
    <cellStyle name="Normal 14 3 3 2_2.DATA" xfId="0"/>
    <cellStyle name="Normal 14 3 3 3" xfId="0"/>
    <cellStyle name="Normal 14 3 3_2.DATA" xfId="0"/>
    <cellStyle name="Normal 14 3 4" xfId="0"/>
    <cellStyle name="Normal 14 3 4 2" xfId="0"/>
    <cellStyle name="Normal 14 3 4 2 2" xfId="0"/>
    <cellStyle name="Normal 14 3 4 2_2.DATA" xfId="0"/>
    <cellStyle name="Normal 14 3 4 3" xfId="0"/>
    <cellStyle name="Normal 14 3 4_2.DATA" xfId="0"/>
    <cellStyle name="Normal 14 3 5" xfId="0"/>
    <cellStyle name="Normal 14 3 5 2" xfId="0"/>
    <cellStyle name="Normal 14 3 5 2 2" xfId="0"/>
    <cellStyle name="Normal 14 3 5 2_2.DATA" xfId="0"/>
    <cellStyle name="Normal 14 3 5 3" xfId="0"/>
    <cellStyle name="Normal 14 3 5_2.DATA" xfId="0"/>
    <cellStyle name="Normal 14 3 6" xfId="0"/>
    <cellStyle name="Normal 14 3 6 2" xfId="0"/>
    <cellStyle name="Normal 14 3 6_2.DATA" xfId="0"/>
    <cellStyle name="Normal 14 3 7" xfId="0"/>
    <cellStyle name="Normal 14 3_2.DATA" xfId="0"/>
    <cellStyle name="Normal 14 4" xfId="0"/>
    <cellStyle name="Normal 14 5" xfId="0"/>
    <cellStyle name="Normal 14 6" xfId="0"/>
    <cellStyle name="Normal 14_2.DATA" xfId="0"/>
    <cellStyle name="Normal 15" xfId="0"/>
    <cellStyle name="Normal 15 2" xfId="0"/>
    <cellStyle name="Normal 15 2 2" xfId="0"/>
    <cellStyle name="Normal 15 2 2 2" xfId="0"/>
    <cellStyle name="Normal 15 2 2 2 2" xfId="0"/>
    <cellStyle name="Normal 15 2 2 2 2 2" xfId="0"/>
    <cellStyle name="Normal 15 2 2 2 2_2.DATA" xfId="0"/>
    <cellStyle name="Normal 15 2 2 2 3" xfId="0"/>
    <cellStyle name="Normal 15 2 2 2_2.DATA" xfId="0"/>
    <cellStyle name="Normal 15 2 2 3" xfId="0"/>
    <cellStyle name="Normal 15 2 2 3 2" xfId="0"/>
    <cellStyle name="Normal 15 2 2 3 2 2" xfId="0"/>
    <cellStyle name="Normal 15 2 2 3 2_2.DATA" xfId="0"/>
    <cellStyle name="Normal 15 2 2 3 3" xfId="0"/>
    <cellStyle name="Normal 15 2 2 3_2.DATA" xfId="0"/>
    <cellStyle name="Normal 15 2 2 4" xfId="0"/>
    <cellStyle name="Normal 15 2 2 4 2" xfId="0"/>
    <cellStyle name="Normal 15 2 2 4_2.DATA" xfId="0"/>
    <cellStyle name="Normal 15 2 2 5" xfId="0"/>
    <cellStyle name="Normal 15 2 2_2.DATA" xfId="0"/>
    <cellStyle name="Normal 15 2 3" xfId="0"/>
    <cellStyle name="Normal 15 2 3 2" xfId="0"/>
    <cellStyle name="Normal 15 2 3 2 2" xfId="0"/>
    <cellStyle name="Normal 15 2 3 2 2 2" xfId="0"/>
    <cellStyle name="Normal 15 2 3 2 2_2.DATA" xfId="0"/>
    <cellStyle name="Normal 15 2 3 2 3" xfId="0"/>
    <cellStyle name="Normal 15 2 3 2_2.DATA" xfId="0"/>
    <cellStyle name="Normal 15 2 3 3" xfId="0"/>
    <cellStyle name="Normal 15 2 3 3 2" xfId="0"/>
    <cellStyle name="Normal 15 2 3 3 2 2" xfId="0"/>
    <cellStyle name="Normal 15 2 3 3 2_2.DATA" xfId="0"/>
    <cellStyle name="Normal 15 2 3 3 3" xfId="0"/>
    <cellStyle name="Normal 15 2 3 3_2.DATA" xfId="0"/>
    <cellStyle name="Normal 15 2 3 4" xfId="0"/>
    <cellStyle name="Normal 15 2 3 4 2" xfId="0"/>
    <cellStyle name="Normal 15 2 3 4_2.DATA" xfId="0"/>
    <cellStyle name="Normal 15 2 3 5" xfId="0"/>
    <cellStyle name="Normal 15 2 3_2.DATA" xfId="0"/>
    <cellStyle name="Normal 15 2 4" xfId="0"/>
    <cellStyle name="Normal 15 2 4 2" xfId="0"/>
    <cellStyle name="Normal 15 2 4 2 2" xfId="0"/>
    <cellStyle name="Normal 15 2 4 2 2 2" xfId="0"/>
    <cellStyle name="Normal 15 2 4 2 2_2.DATA" xfId="0"/>
    <cellStyle name="Normal 15 2 4 2 3" xfId="0"/>
    <cellStyle name="Normal 15 2 4 2_2.DATA" xfId="0"/>
    <cellStyle name="Normal 15 2 4 3" xfId="0"/>
    <cellStyle name="Normal 15 2 4 3 2" xfId="0"/>
    <cellStyle name="Normal 15 2 4 3_2.DATA" xfId="0"/>
    <cellStyle name="Normal 15 2 4 4" xfId="0"/>
    <cellStyle name="Normal 15 2 4_2.DATA" xfId="0"/>
    <cellStyle name="Normal 15 2 5" xfId="0"/>
    <cellStyle name="Normal 15 2 5 2" xfId="0"/>
    <cellStyle name="Normal 15 2 5 2 2" xfId="0"/>
    <cellStyle name="Normal 15 2 5 2_2.DATA" xfId="0"/>
    <cellStyle name="Normal 15 2 5 3" xfId="0"/>
    <cellStyle name="Normal 15 2 5_2.DATA" xfId="0"/>
    <cellStyle name="Normal 15 2 6" xfId="0"/>
    <cellStyle name="Normal 15 2 6 2" xfId="0"/>
    <cellStyle name="Normal 15 2 6 2 2" xfId="0"/>
    <cellStyle name="Normal 15 2 6 2_2.DATA" xfId="0"/>
    <cellStyle name="Normal 15 2 6 3" xfId="0"/>
    <cellStyle name="Normal 15 2 6_2.DATA" xfId="0"/>
    <cellStyle name="Normal 15 2 7" xfId="0"/>
    <cellStyle name="Normal 15 2 7 2" xfId="0"/>
    <cellStyle name="Normal 15 2 7_2.DATA" xfId="0"/>
    <cellStyle name="Normal 15 2 8" xfId="0"/>
    <cellStyle name="Normal 15 2_2.DATA" xfId="0"/>
    <cellStyle name="Normal 15 3" xfId="0"/>
    <cellStyle name="Normal 15 3 2" xfId="0"/>
    <cellStyle name="Normal 15 3 2 2" xfId="0"/>
    <cellStyle name="Normal 15 3 2 2 2" xfId="0"/>
    <cellStyle name="Normal 15 3 2 2_2.DATA" xfId="0"/>
    <cellStyle name="Normal 15 3 2 3" xfId="0"/>
    <cellStyle name="Normal 15 3 2_2.DATA" xfId="0"/>
    <cellStyle name="Normal 15 3 3" xfId="0"/>
    <cellStyle name="Normal 15 3 3 2" xfId="0"/>
    <cellStyle name="Normal 15 3 3_2.DATA" xfId="0"/>
    <cellStyle name="Normal 15 3 4" xfId="0"/>
    <cellStyle name="Normal 15 3_2.DATA" xfId="0"/>
    <cellStyle name="Normal 15 4" xfId="0"/>
    <cellStyle name="Normal 15 4 2" xfId="0"/>
    <cellStyle name="Normal 15 4 2 2" xfId="0"/>
    <cellStyle name="Normal 15 4 2_2.DATA" xfId="0"/>
    <cellStyle name="Normal 15 4 3" xfId="0"/>
    <cellStyle name="Normal 15 4_2.DATA" xfId="0"/>
    <cellStyle name="Normal 15 5" xfId="0"/>
    <cellStyle name="Normal 15 5 2" xfId="0"/>
    <cellStyle name="Normal 15 5_2.DATA" xfId="0"/>
    <cellStyle name="Normal 15 6" xfId="0"/>
    <cellStyle name="Normal 15 7" xfId="0"/>
    <cellStyle name="Normal 15_2.DATA" xfId="0"/>
    <cellStyle name="Normal 16" xfId="0"/>
    <cellStyle name="Normal 16 2" xfId="0"/>
    <cellStyle name="Normal 16 2 2" xfId="0"/>
    <cellStyle name="Normal 16 2 2 2" xfId="0"/>
    <cellStyle name="Normal 16 2 2 2 2" xfId="0"/>
    <cellStyle name="Normal 16 2 2 2 2 2" xfId="0"/>
    <cellStyle name="Normal 16 2 2 2 2_2.DATA" xfId="0"/>
    <cellStyle name="Normal 16 2 2 2 3" xfId="0"/>
    <cellStyle name="Normal 16 2 2 2_2.DATA" xfId="0"/>
    <cellStyle name="Normal 16 2 2 3" xfId="0"/>
    <cellStyle name="Normal 16 2 2 3 2" xfId="0"/>
    <cellStyle name="Normal 16 2 2 3 2 2" xfId="0"/>
    <cellStyle name="Normal 16 2 2 3 2_2.DATA" xfId="0"/>
    <cellStyle name="Normal 16 2 2 3 3" xfId="0"/>
    <cellStyle name="Normal 16 2 2 3_2.DATA" xfId="0"/>
    <cellStyle name="Normal 16 2 2 4" xfId="0"/>
    <cellStyle name="Normal 16 2 2 4 2" xfId="0"/>
    <cellStyle name="Normal 16 2 2 4_2.DATA" xfId="0"/>
    <cellStyle name="Normal 16 2 2 5" xfId="0"/>
    <cellStyle name="Normal 16 2 2_2.DATA" xfId="0"/>
    <cellStyle name="Normal 16 2 3" xfId="0"/>
    <cellStyle name="Normal 16 2 3 2" xfId="0"/>
    <cellStyle name="Normal 16 2 3 2 2" xfId="0"/>
    <cellStyle name="Normal 16 2 3 2 2 2" xfId="0"/>
    <cellStyle name="Normal 16 2 3 2 2_2.DATA" xfId="0"/>
    <cellStyle name="Normal 16 2 3 2 3" xfId="0"/>
    <cellStyle name="Normal 16 2 3 2_2.DATA" xfId="0"/>
    <cellStyle name="Normal 16 2 3 3" xfId="0"/>
    <cellStyle name="Normal 16 2 3 3 2" xfId="0"/>
    <cellStyle name="Normal 16 2 3 3 2 2" xfId="0"/>
    <cellStyle name="Normal 16 2 3 3 2_2.DATA" xfId="0"/>
    <cellStyle name="Normal 16 2 3 3 3" xfId="0"/>
    <cellStyle name="Normal 16 2 3 3_2.DATA" xfId="0"/>
    <cellStyle name="Normal 16 2 3 4" xfId="0"/>
    <cellStyle name="Normal 16 2 3 4 2" xfId="0"/>
    <cellStyle name="Normal 16 2 3 4_2.DATA" xfId="0"/>
    <cellStyle name="Normal 16 2 3 5" xfId="0"/>
    <cellStyle name="Normal 16 2 3_2.DATA" xfId="0"/>
    <cellStyle name="Normal 16 2 4" xfId="0"/>
    <cellStyle name="Normal 16 2 4 2" xfId="0"/>
    <cellStyle name="Normal 16 2 4 2 2" xfId="0"/>
    <cellStyle name="Normal 16 2 4 2 2 2" xfId="0"/>
    <cellStyle name="Normal 16 2 4 2 2_2.DATA" xfId="0"/>
    <cellStyle name="Normal 16 2 4 2 3" xfId="0"/>
    <cellStyle name="Normal 16 2 4 2_2.DATA" xfId="0"/>
    <cellStyle name="Normal 16 2 4 3" xfId="0"/>
    <cellStyle name="Normal 16 2 4 3 2" xfId="0"/>
    <cellStyle name="Normal 16 2 4 3_2.DATA" xfId="0"/>
    <cellStyle name="Normal 16 2 4 4" xfId="0"/>
    <cellStyle name="Normal 16 2 4_2.DATA" xfId="0"/>
    <cellStyle name="Normal 16 2 5" xfId="0"/>
    <cellStyle name="Normal 16 2 5 2" xfId="0"/>
    <cellStyle name="Normal 16 2 5 2 2" xfId="0"/>
    <cellStyle name="Normal 16 2 5 2_2.DATA" xfId="0"/>
    <cellStyle name="Normal 16 2 5 3" xfId="0"/>
    <cellStyle name="Normal 16 2 5_2.DATA" xfId="0"/>
    <cellStyle name="Normal 16 2 6" xfId="0"/>
    <cellStyle name="Normal 16 2 6 2" xfId="0"/>
    <cellStyle name="Normal 16 2 6 2 2" xfId="0"/>
    <cellStyle name="Normal 16 2 6 2_2.DATA" xfId="0"/>
    <cellStyle name="Normal 16 2 6 3" xfId="0"/>
    <cellStyle name="Normal 16 2 6_2.DATA" xfId="0"/>
    <cellStyle name="Normal 16 2 7" xfId="0"/>
    <cellStyle name="Normal 16 2 7 2" xfId="0"/>
    <cellStyle name="Normal 16 2 7_2.DATA" xfId="0"/>
    <cellStyle name="Normal 16 2 8" xfId="0"/>
    <cellStyle name="Normal 16 2_2.DATA" xfId="0"/>
    <cellStyle name="Normal 16 3" xfId="0"/>
    <cellStyle name="Normal 16 3 2" xfId="0"/>
    <cellStyle name="Normal 16 3 2 2" xfId="0"/>
    <cellStyle name="Normal 16 3 2 2 2" xfId="0"/>
    <cellStyle name="Normal 16 3 2 2_2.DATA" xfId="0"/>
    <cellStyle name="Normal 16 3 2 3" xfId="0"/>
    <cellStyle name="Normal 16 3 2_2.DATA" xfId="0"/>
    <cellStyle name="Normal 16 3 3" xfId="0"/>
    <cellStyle name="Normal 16 3 3 2" xfId="0"/>
    <cellStyle name="Normal 16 3 3_2.DATA" xfId="0"/>
    <cellStyle name="Normal 16 3 4" xfId="0"/>
    <cellStyle name="Normal 16 3_2.DATA" xfId="0"/>
    <cellStyle name="Normal 16 4" xfId="0"/>
    <cellStyle name="Normal 16 4 2" xfId="0"/>
    <cellStyle name="Normal 16 4 2 2" xfId="0"/>
    <cellStyle name="Normal 16 4 2_2.DATA" xfId="0"/>
    <cellStyle name="Normal 16 4 3" xfId="0"/>
    <cellStyle name="Normal 16 4_2.DATA" xfId="0"/>
    <cellStyle name="Normal 16 5" xfId="0"/>
    <cellStyle name="Normal 16 5 2" xfId="0"/>
    <cellStyle name="Normal 16 5_2.DATA" xfId="0"/>
    <cellStyle name="Normal 16 6" xfId="0"/>
    <cellStyle name="Normal 16 7" xfId="0"/>
    <cellStyle name="Normal 16 8" xfId="0"/>
    <cellStyle name="Normal 16_2.DATA" xfId="0"/>
    <cellStyle name="Normal 17" xfId="0"/>
    <cellStyle name="Normal 17 2" xfId="0"/>
    <cellStyle name="Normal 17 2 2" xfId="0"/>
    <cellStyle name="Normal 17 2 2 2" xfId="0"/>
    <cellStyle name="Normal 17 2 2 2 2" xfId="0"/>
    <cellStyle name="Normal 17 2 2 2 2 2" xfId="0"/>
    <cellStyle name="Normal 17 2 2 2 2_2.DATA" xfId="0"/>
    <cellStyle name="Normal 17 2 2 2 3" xfId="0"/>
    <cellStyle name="Normal 17 2 2 2_2.DATA" xfId="0"/>
    <cellStyle name="Normal 17 2 2 3" xfId="0"/>
    <cellStyle name="Normal 17 2 2 3 2" xfId="0"/>
    <cellStyle name="Normal 17 2 2 3 2 2" xfId="0"/>
    <cellStyle name="Normal 17 2 2 3 2_2.DATA" xfId="0"/>
    <cellStyle name="Normal 17 2 2 3 3" xfId="0"/>
    <cellStyle name="Normal 17 2 2 3_2.DATA" xfId="0"/>
    <cellStyle name="Normal 17 2 2 4" xfId="0"/>
    <cellStyle name="Normal 17 2 2 4 2" xfId="0"/>
    <cellStyle name="Normal 17 2 2 4_2.DATA" xfId="0"/>
    <cellStyle name="Normal 17 2 2 5" xfId="0"/>
    <cellStyle name="Normal 17 2 2_2.DATA" xfId="0"/>
    <cellStyle name="Normal 17 2 3" xfId="0"/>
    <cellStyle name="Normal 17 2 3 2" xfId="0"/>
    <cellStyle name="Normal 17 2 3 2 2" xfId="0"/>
    <cellStyle name="Normal 17 2 3 2 2 2" xfId="0"/>
    <cellStyle name="Normal 17 2 3 2 2_2.DATA" xfId="0"/>
    <cellStyle name="Normal 17 2 3 2 3" xfId="0"/>
    <cellStyle name="Normal 17 2 3 2_2.DATA" xfId="0"/>
    <cellStyle name="Normal 17 2 3 3" xfId="0"/>
    <cellStyle name="Normal 17 2 3 3 2" xfId="0"/>
    <cellStyle name="Normal 17 2 3 3 2 2" xfId="0"/>
    <cellStyle name="Normal 17 2 3 3 2_2.DATA" xfId="0"/>
    <cellStyle name="Normal 17 2 3 3 3" xfId="0"/>
    <cellStyle name="Normal 17 2 3 3_2.DATA" xfId="0"/>
    <cellStyle name="Normal 17 2 3 4" xfId="0"/>
    <cellStyle name="Normal 17 2 3 4 2" xfId="0"/>
    <cellStyle name="Normal 17 2 3 4_2.DATA" xfId="0"/>
    <cellStyle name="Normal 17 2 3 5" xfId="0"/>
    <cellStyle name="Normal 17 2 3_2.DATA" xfId="0"/>
    <cellStyle name="Normal 17 2 4" xfId="0"/>
    <cellStyle name="Normal 17 2 4 2" xfId="0"/>
    <cellStyle name="Normal 17 2 4 2 2" xfId="0"/>
    <cellStyle name="Normal 17 2 4 2 2 2" xfId="0"/>
    <cellStyle name="Normal 17 2 4 2 2_2.DATA" xfId="0"/>
    <cellStyle name="Normal 17 2 4 2 3" xfId="0"/>
    <cellStyle name="Normal 17 2 4 2_2.DATA" xfId="0"/>
    <cellStyle name="Normal 17 2 4 3" xfId="0"/>
    <cellStyle name="Normal 17 2 4 3 2" xfId="0"/>
    <cellStyle name="Normal 17 2 4 3_2.DATA" xfId="0"/>
    <cellStyle name="Normal 17 2 4 4" xfId="0"/>
    <cellStyle name="Normal 17 2 4_2.DATA" xfId="0"/>
    <cellStyle name="Normal 17 2 5" xfId="0"/>
    <cellStyle name="Normal 17 2 5 2" xfId="0"/>
    <cellStyle name="Normal 17 2 5 2 2" xfId="0"/>
    <cellStyle name="Normal 17 2 5 2_2.DATA" xfId="0"/>
    <cellStyle name="Normal 17 2 5 3" xfId="0"/>
    <cellStyle name="Normal 17 2 5_2.DATA" xfId="0"/>
    <cellStyle name="Normal 17 2 6" xfId="0"/>
    <cellStyle name="Normal 17 2 6 2" xfId="0"/>
    <cellStyle name="Normal 17 2 6 2 2" xfId="0"/>
    <cellStyle name="Normal 17 2 6 2_2.DATA" xfId="0"/>
    <cellStyle name="Normal 17 2 6 3" xfId="0"/>
    <cellStyle name="Normal 17 2 6_2.DATA" xfId="0"/>
    <cellStyle name="Normal 17 2 7" xfId="0"/>
    <cellStyle name="Normal 17 2 7 2" xfId="0"/>
    <cellStyle name="Normal 17 2 7_2.DATA" xfId="0"/>
    <cellStyle name="Normal 17 2 8" xfId="0"/>
    <cellStyle name="Normal 17 2_2.DATA" xfId="0"/>
    <cellStyle name="Normal 17 3" xfId="0"/>
    <cellStyle name="Normal 17 3 2" xfId="0"/>
    <cellStyle name="Normal 17 3 2 2" xfId="0"/>
    <cellStyle name="Normal 17 3 2 2 2" xfId="0"/>
    <cellStyle name="Normal 17 3 2 2_2.DATA" xfId="0"/>
    <cellStyle name="Normal 17 3 2 3" xfId="0"/>
    <cellStyle name="Normal 17 3 2_2.DATA" xfId="0"/>
    <cellStyle name="Normal 17 3 3" xfId="0"/>
    <cellStyle name="Normal 17 3 3 2" xfId="0"/>
    <cellStyle name="Normal 17 3 3_2.DATA" xfId="0"/>
    <cellStyle name="Normal 17 3 4" xfId="0"/>
    <cellStyle name="Normal 17 3_2.DATA" xfId="0"/>
    <cellStyle name="Normal 17 4" xfId="0"/>
    <cellStyle name="Normal 17 4 2" xfId="0"/>
    <cellStyle name="Normal 17 4 2 2" xfId="0"/>
    <cellStyle name="Normal 17 4 2_2.DATA" xfId="0"/>
    <cellStyle name="Normal 17 4 3" xfId="0"/>
    <cellStyle name="Normal 17 4_2.DATA" xfId="0"/>
    <cellStyle name="Normal 17 5" xfId="0"/>
    <cellStyle name="Normal 17 5 2" xfId="0"/>
    <cellStyle name="Normal 17 5_2.DATA" xfId="0"/>
    <cellStyle name="Normal 17 6" xfId="0"/>
    <cellStyle name="Normal 17 7" xfId="0"/>
    <cellStyle name="Normal 17_2.DATA" xfId="0"/>
    <cellStyle name="Normal 18" xfId="0"/>
    <cellStyle name="Normal 18 2" xfId="0"/>
    <cellStyle name="Normal 18 2 2" xfId="0"/>
    <cellStyle name="Normal 18 2 2 2" xfId="0"/>
    <cellStyle name="Normal 18 2 2 2 2" xfId="0"/>
    <cellStyle name="Normal 18 2 2 2 2 2" xfId="0"/>
    <cellStyle name="Normal 18 2 2 2 2_2.DATA" xfId="0"/>
    <cellStyle name="Normal 18 2 2 2 3" xfId="0"/>
    <cellStyle name="Normal 18 2 2 2_2.DATA" xfId="0"/>
    <cellStyle name="Normal 18 2 2 3" xfId="0"/>
    <cellStyle name="Normal 18 2 2 3 2" xfId="0"/>
    <cellStyle name="Normal 18 2 2 3 2 2" xfId="0"/>
    <cellStyle name="Normal 18 2 2 3 2_2.DATA" xfId="0"/>
    <cellStyle name="Normal 18 2 2 3 3" xfId="0"/>
    <cellStyle name="Normal 18 2 2 3_2.DATA" xfId="0"/>
    <cellStyle name="Normal 18 2 2 4" xfId="0"/>
    <cellStyle name="Normal 18 2 2 4 2" xfId="0"/>
    <cellStyle name="Normal 18 2 2 4_2.DATA" xfId="0"/>
    <cellStyle name="Normal 18 2 2 5" xfId="0"/>
    <cellStyle name="Normal 18 2 2_2.DATA" xfId="0"/>
    <cellStyle name="Normal 18 2 3" xfId="0"/>
    <cellStyle name="Normal 18 2 3 2" xfId="0"/>
    <cellStyle name="Normal 18 2 3 2 2" xfId="0"/>
    <cellStyle name="Normal 18 2 3 2 2 2" xfId="0"/>
    <cellStyle name="Normal 18 2 3 2 2_2.DATA" xfId="0"/>
    <cellStyle name="Normal 18 2 3 2 3" xfId="0"/>
    <cellStyle name="Normal 18 2 3 2_2.DATA" xfId="0"/>
    <cellStyle name="Normal 18 2 3 3" xfId="0"/>
    <cellStyle name="Normal 18 2 3 3 2" xfId="0"/>
    <cellStyle name="Normal 18 2 3 3 2 2" xfId="0"/>
    <cellStyle name="Normal 18 2 3 3 2_2.DATA" xfId="0"/>
    <cellStyle name="Normal 18 2 3 3 3" xfId="0"/>
    <cellStyle name="Normal 18 2 3 3_2.DATA" xfId="0"/>
    <cellStyle name="Normal 18 2 3 4" xfId="0"/>
    <cellStyle name="Normal 18 2 3 4 2" xfId="0"/>
    <cellStyle name="Normal 18 2 3 4_2.DATA" xfId="0"/>
    <cellStyle name="Normal 18 2 3 5" xfId="0"/>
    <cellStyle name="Normal 18 2 3_2.DATA" xfId="0"/>
    <cellStyle name="Normal 18 2 4" xfId="0"/>
    <cellStyle name="Normal 18 2 4 2" xfId="0"/>
    <cellStyle name="Normal 18 2 4 2 2" xfId="0"/>
    <cellStyle name="Normal 18 2 4 2 2 2" xfId="0"/>
    <cellStyle name="Normal 18 2 4 2 2_2.DATA" xfId="0"/>
    <cellStyle name="Normal 18 2 4 2 3" xfId="0"/>
    <cellStyle name="Normal 18 2 4 2_2.DATA" xfId="0"/>
    <cellStyle name="Normal 18 2 4 3" xfId="0"/>
    <cellStyle name="Normal 18 2 4 3 2" xfId="0"/>
    <cellStyle name="Normal 18 2 4 3_2.DATA" xfId="0"/>
    <cellStyle name="Normal 18 2 4 4" xfId="0"/>
    <cellStyle name="Normal 18 2 4_2.DATA" xfId="0"/>
    <cellStyle name="Normal 18 2 5" xfId="0"/>
    <cellStyle name="Normal 18 2 5 2" xfId="0"/>
    <cellStyle name="Normal 18 2 5 2 2" xfId="0"/>
    <cellStyle name="Normal 18 2 5 2_2.DATA" xfId="0"/>
    <cellStyle name="Normal 18 2 5 3" xfId="0"/>
    <cellStyle name="Normal 18 2 5_2.DATA" xfId="0"/>
    <cellStyle name="Normal 18 2 6" xfId="0"/>
    <cellStyle name="Normal 18 2 6 2" xfId="0"/>
    <cellStyle name="Normal 18 2 6 2 2" xfId="0"/>
    <cellStyle name="Normal 18 2 6 2_2.DATA" xfId="0"/>
    <cellStyle name="Normal 18 2 6 3" xfId="0"/>
    <cellStyle name="Normal 18 2 6_2.DATA" xfId="0"/>
    <cellStyle name="Normal 18 2 7" xfId="0"/>
    <cellStyle name="Normal 18 2 7 2" xfId="0"/>
    <cellStyle name="Normal 18 2 7_2.DATA" xfId="0"/>
    <cellStyle name="Normal 18 2 8" xfId="0"/>
    <cellStyle name="Normal 18 2_2.DATA" xfId="0"/>
    <cellStyle name="Normal 18 3" xfId="0"/>
    <cellStyle name="Normal 18 3 2" xfId="0"/>
    <cellStyle name="Normal 18 3 2 2" xfId="0"/>
    <cellStyle name="Normal 18 3 2 2 2" xfId="0"/>
    <cellStyle name="Normal 18 3 2 2_2.DATA" xfId="0"/>
    <cellStyle name="Normal 18 3 2 3" xfId="0"/>
    <cellStyle name="Normal 18 3 2_2.DATA" xfId="0"/>
    <cellStyle name="Normal 18 3 3" xfId="0"/>
    <cellStyle name="Normal 18 3 3 2" xfId="0"/>
    <cellStyle name="Normal 18 3 3_2.DATA" xfId="0"/>
    <cellStyle name="Normal 18 3 4" xfId="0"/>
    <cellStyle name="Normal 18 3_2.DATA" xfId="0"/>
    <cellStyle name="Normal 18 4" xfId="0"/>
    <cellStyle name="Normal 18 4 2" xfId="0"/>
    <cellStyle name="Normal 18 4 2 2" xfId="0"/>
    <cellStyle name="Normal 18 4 2_2.DATA" xfId="0"/>
    <cellStyle name="Normal 18 4 3" xfId="0"/>
    <cellStyle name="Normal 18 4_2.DATA" xfId="0"/>
    <cellStyle name="Normal 18 5" xfId="0"/>
    <cellStyle name="Normal 18 5 2" xfId="0"/>
    <cellStyle name="Normal 18 5_2.DATA" xfId="0"/>
    <cellStyle name="Normal 18 6" xfId="0"/>
    <cellStyle name="Normal 18 7" xfId="0"/>
    <cellStyle name="Normal 189 2" xfId="0"/>
    <cellStyle name="Normal 189 2 2" xfId="0"/>
    <cellStyle name="Normal 189 2 2 2" xfId="0"/>
    <cellStyle name="Normal 189 2 2 2 2" xfId="0"/>
    <cellStyle name="Normal 189 2 2 2 2 2" xfId="0"/>
    <cellStyle name="Normal 189 2 2 2 2_2.DATA" xfId="0"/>
    <cellStyle name="Normal 189 2 2 2 3" xfId="0"/>
    <cellStyle name="Normal 189 2 2 2_2.DATA" xfId="0"/>
    <cellStyle name="Normal 189 2 2 3" xfId="0"/>
    <cellStyle name="Normal 189 2 2 3 2" xfId="0"/>
    <cellStyle name="Normal 189 2 2 3 2 2" xfId="0"/>
    <cellStyle name="Normal 189 2 2 3 2_2.DATA" xfId="0"/>
    <cellStyle name="Normal 189 2 2 3 3" xfId="0"/>
    <cellStyle name="Normal 189 2 2 3_2.DATA" xfId="0"/>
    <cellStyle name="Normal 189 2 2 4" xfId="0"/>
    <cellStyle name="Normal 189 2 2 4 2" xfId="0"/>
    <cellStyle name="Normal 189 2 2 4_2.DATA" xfId="0"/>
    <cellStyle name="Normal 189 2 2 5" xfId="0"/>
    <cellStyle name="Normal 189 2 2_2.DATA" xfId="0"/>
    <cellStyle name="Normal 189 2 3" xfId="0"/>
    <cellStyle name="Normal 189 2 3 2" xfId="0"/>
    <cellStyle name="Normal 189 2 3 2 2" xfId="0"/>
    <cellStyle name="Normal 189 2 3 2 2 2" xfId="0"/>
    <cellStyle name="Normal 189 2 3 2 2_2.DATA" xfId="0"/>
    <cellStyle name="Normal 189 2 3 2 3" xfId="0"/>
    <cellStyle name="Normal 189 2 3 2_2.DATA" xfId="0"/>
    <cellStyle name="Normal 189 2 3 3" xfId="0"/>
    <cellStyle name="Normal 189 2 3 3 2" xfId="0"/>
    <cellStyle name="Normal 189 2 3 3 2 2" xfId="0"/>
    <cellStyle name="Normal 189 2 3 3 2_2.DATA" xfId="0"/>
    <cellStyle name="Normal 189 2 3 3 3" xfId="0"/>
    <cellStyle name="Normal 189 2 3 3_2.DATA" xfId="0"/>
    <cellStyle name="Normal 189 2 3 4" xfId="0"/>
    <cellStyle name="Normal 189 2 3 4 2" xfId="0"/>
    <cellStyle name="Normal 189 2 3 4_2.DATA" xfId="0"/>
    <cellStyle name="Normal 189 2 3 5" xfId="0"/>
    <cellStyle name="Normal 189 2 3_2.DATA" xfId="0"/>
    <cellStyle name="Normal 189 2 4" xfId="0"/>
    <cellStyle name="Normal 189 2 4 2" xfId="0"/>
    <cellStyle name="Normal 189 2 4 2 2" xfId="0"/>
    <cellStyle name="Normal 189 2 4 2_2.DATA" xfId="0"/>
    <cellStyle name="Normal 189 2 4 3" xfId="0"/>
    <cellStyle name="Normal 189 2 4_2.DATA" xfId="0"/>
    <cellStyle name="Normal 189 2 5" xfId="0"/>
    <cellStyle name="Normal 189 2 5 2" xfId="0"/>
    <cellStyle name="Normal 189 2 5 2 2" xfId="0"/>
    <cellStyle name="Normal 189 2 5 2_2.DATA" xfId="0"/>
    <cellStyle name="Normal 189 2 5 3" xfId="0"/>
    <cellStyle name="Normal 189 2 5_2.DATA" xfId="0"/>
    <cellStyle name="Normal 189 2 6" xfId="0"/>
    <cellStyle name="Normal 189 2 6 2" xfId="0"/>
    <cellStyle name="Normal 189 2 6_2.DATA" xfId="0"/>
    <cellStyle name="Normal 189 2 7" xfId="0"/>
    <cellStyle name="Normal 189 2_2.DATA" xfId="0"/>
    <cellStyle name="Normal 189 3" xfId="0"/>
    <cellStyle name="Normal 18_2.DATA" xfId="0"/>
    <cellStyle name="Normal 19" xfId="0"/>
    <cellStyle name="Normal 19 2" xfId="0"/>
    <cellStyle name="Normal 19 2 2" xfId="0"/>
    <cellStyle name="Normal 19 2 2 2" xfId="0"/>
    <cellStyle name="Normal 19 2 2 2 2" xfId="0"/>
    <cellStyle name="Normal 19 2 2 2 2 2" xfId="0"/>
    <cellStyle name="Normal 19 2 2 2 2_2.DATA" xfId="0"/>
    <cellStyle name="Normal 19 2 2 2 3" xfId="0"/>
    <cellStyle name="Normal 19 2 2 2_2.DATA" xfId="0"/>
    <cellStyle name="Normal 19 2 2 3" xfId="0"/>
    <cellStyle name="Normal 19 2 2 3 2" xfId="0"/>
    <cellStyle name="Normal 19 2 2 3 2 2" xfId="0"/>
    <cellStyle name="Normal 19 2 2 3 2_2.DATA" xfId="0"/>
    <cellStyle name="Normal 19 2 2 3 3" xfId="0"/>
    <cellStyle name="Normal 19 2 2 3_2.DATA" xfId="0"/>
    <cellStyle name="Normal 19 2 2 4" xfId="0"/>
    <cellStyle name="Normal 19 2 2 4 2" xfId="0"/>
    <cellStyle name="Normal 19 2 2 4_2.DATA" xfId="0"/>
    <cellStyle name="Normal 19 2 2 5" xfId="0"/>
    <cellStyle name="Normal 19 2 2_2.DATA" xfId="0"/>
    <cellStyle name="Normal 19 2 3" xfId="0"/>
    <cellStyle name="Normal 19 2 3 2" xfId="0"/>
    <cellStyle name="Normal 19 2 3 2 2" xfId="0"/>
    <cellStyle name="Normal 19 2 3 2 2 2" xfId="0"/>
    <cellStyle name="Normal 19 2 3 2 2_2.DATA" xfId="0"/>
    <cellStyle name="Normal 19 2 3 2 3" xfId="0"/>
    <cellStyle name="Normal 19 2 3 2_2.DATA" xfId="0"/>
    <cellStyle name="Normal 19 2 3 3" xfId="0"/>
    <cellStyle name="Normal 19 2 3 3 2" xfId="0"/>
    <cellStyle name="Normal 19 2 3 3 2 2" xfId="0"/>
    <cellStyle name="Normal 19 2 3 3 2_2.DATA" xfId="0"/>
    <cellStyle name="Normal 19 2 3 3 3" xfId="0"/>
    <cellStyle name="Normal 19 2 3 3_2.DATA" xfId="0"/>
    <cellStyle name="Normal 19 2 3 4" xfId="0"/>
    <cellStyle name="Normal 19 2 3 4 2" xfId="0"/>
    <cellStyle name="Normal 19 2 3 4_2.DATA" xfId="0"/>
    <cellStyle name="Normal 19 2 3 5" xfId="0"/>
    <cellStyle name="Normal 19 2 3_2.DATA" xfId="0"/>
    <cellStyle name="Normal 19 2 4" xfId="0"/>
    <cellStyle name="Normal 19 2 4 2" xfId="0"/>
    <cellStyle name="Normal 19 2 4 2 2" xfId="0"/>
    <cellStyle name="Normal 19 2 4 2 2 2" xfId="0"/>
    <cellStyle name="Normal 19 2 4 2 2_2.DATA" xfId="0"/>
    <cellStyle name="Normal 19 2 4 2 3" xfId="0"/>
    <cellStyle name="Normal 19 2 4 2_2.DATA" xfId="0"/>
    <cellStyle name="Normal 19 2 4 3" xfId="0"/>
    <cellStyle name="Normal 19 2 4 3 2" xfId="0"/>
    <cellStyle name="Normal 19 2 4 3_2.DATA" xfId="0"/>
    <cellStyle name="Normal 19 2 4 4" xfId="0"/>
    <cellStyle name="Normal 19 2 4_2.DATA" xfId="0"/>
    <cellStyle name="Normal 19 2 5" xfId="0"/>
    <cellStyle name="Normal 19 2 5 2" xfId="0"/>
    <cellStyle name="Normal 19 2 5 2 2" xfId="0"/>
    <cellStyle name="Normal 19 2 5 2_2.DATA" xfId="0"/>
    <cellStyle name="Normal 19 2 5 3" xfId="0"/>
    <cellStyle name="Normal 19 2 5_2.DATA" xfId="0"/>
    <cellStyle name="Normal 19 2 6" xfId="0"/>
    <cellStyle name="Normal 19 2 6 2" xfId="0"/>
    <cellStyle name="Normal 19 2 6 2 2" xfId="0"/>
    <cellStyle name="Normal 19 2 6 2_2.DATA" xfId="0"/>
    <cellStyle name="Normal 19 2 6 3" xfId="0"/>
    <cellStyle name="Normal 19 2 6_2.DATA" xfId="0"/>
    <cellStyle name="Normal 19 2 7" xfId="0"/>
    <cellStyle name="Normal 19 2 7 2" xfId="0"/>
    <cellStyle name="Normal 19 2 7_2.DATA" xfId="0"/>
    <cellStyle name="Normal 19 2 8" xfId="0"/>
    <cellStyle name="Normal 19 2_2.DATA" xfId="0"/>
    <cellStyle name="Normal 19 3" xfId="0"/>
    <cellStyle name="Normal 19 3 2" xfId="0"/>
    <cellStyle name="Normal 19 3 2 2" xfId="0"/>
    <cellStyle name="Normal 19 3 2 2 2" xfId="0"/>
    <cellStyle name="Normal 19 3 2 2_2.DATA" xfId="0"/>
    <cellStyle name="Normal 19 3 2 3" xfId="0"/>
    <cellStyle name="Normal 19 3 2_2.DATA" xfId="0"/>
    <cellStyle name="Normal 19 3 3" xfId="0"/>
    <cellStyle name="Normal 19 3 3 2" xfId="0"/>
    <cellStyle name="Normal 19 3 3_2.DATA" xfId="0"/>
    <cellStyle name="Normal 19 3 4" xfId="0"/>
    <cellStyle name="Normal 19 3_2.DATA" xfId="0"/>
    <cellStyle name="Normal 19 4" xfId="0"/>
    <cellStyle name="Normal 19 4 2" xfId="0"/>
    <cellStyle name="Normal 19 4 2 2" xfId="0"/>
    <cellStyle name="Normal 19 4 2_2.DATA" xfId="0"/>
    <cellStyle name="Normal 19 4 3" xfId="0"/>
    <cellStyle name="Normal 19 4_2.DATA" xfId="0"/>
    <cellStyle name="Normal 19 5" xfId="0"/>
    <cellStyle name="Normal 19 5 2" xfId="0"/>
    <cellStyle name="Normal 19 5_2.DATA" xfId="0"/>
    <cellStyle name="Normal 19 6" xfId="0"/>
    <cellStyle name="Normal 19 7" xfId="0"/>
    <cellStyle name="Normal 19 8" xfId="0"/>
    <cellStyle name="Normal 19_2.DATA" xfId="0"/>
    <cellStyle name="Normal 2" xfId="0"/>
    <cellStyle name="Normal 2 10" xfId="0"/>
    <cellStyle name="Normal 2 10 2" xfId="0"/>
    <cellStyle name="Normal 2 10 3" xfId="0"/>
    <cellStyle name="Normal 2 10_2.DATA" xfId="0"/>
    <cellStyle name="Normal 2 11" xfId="0"/>
    <cellStyle name="Normal 2 11 2" xfId="0"/>
    <cellStyle name="Normal 2 11 2 2 3" xfId="0"/>
    <cellStyle name="Normal 2 11 3" xfId="0"/>
    <cellStyle name="Normal 2 11_2.DATA" xfId="0"/>
    <cellStyle name="Normal 2 12" xfId="0"/>
    <cellStyle name="Normal 2 12 2" xfId="0"/>
    <cellStyle name="Normal 2 12 3" xfId="0"/>
    <cellStyle name="Normal 2 12_2.DATA" xfId="0"/>
    <cellStyle name="Normal 2 13" xfId="0"/>
    <cellStyle name="Normal 2 14" xfId="0"/>
    <cellStyle name="Normal 2 14 2" xfId="0"/>
    <cellStyle name="Normal 2 14 2 2" xfId="0"/>
    <cellStyle name="Normal 2 14 2 2 2" xfId="0"/>
    <cellStyle name="Normal 2 14 2 2 2 2" xfId="0"/>
    <cellStyle name="Normal 2 14 2 2 2_2.DATA" xfId="0"/>
    <cellStyle name="Normal 2 14 2 2 3" xfId="0"/>
    <cellStyle name="Normal 2 14 2 2_2.DATA" xfId="0"/>
    <cellStyle name="Normal 2 14 2 3" xfId="0"/>
    <cellStyle name="Normal 2 14 2 3 2" xfId="0"/>
    <cellStyle name="Normal 2 14 2 3 2 2" xfId="0"/>
    <cellStyle name="Normal 2 14 2 3 2_2.DATA" xfId="0"/>
    <cellStyle name="Normal 2 14 2 3 3" xfId="0"/>
    <cellStyle name="Normal 2 14 2 3_2.DATA" xfId="0"/>
    <cellStyle name="Normal 2 14 2 4" xfId="0"/>
    <cellStyle name="Normal 2 14 2 4 2" xfId="0"/>
    <cellStyle name="Normal 2 14 2 4_2.DATA" xfId="0"/>
    <cellStyle name="Normal 2 14 2 5" xfId="0"/>
    <cellStyle name="Normal 2 14 2_2.DATA" xfId="0"/>
    <cellStyle name="Normal 2 14 3" xfId="0"/>
    <cellStyle name="Normal 2 14 3 2" xfId="0"/>
    <cellStyle name="Normal 2 14 3 2 2" xfId="0"/>
    <cellStyle name="Normal 2 14 3 2 2 2" xfId="0"/>
    <cellStyle name="Normal 2 14 3 2 2_2.DATA" xfId="0"/>
    <cellStyle name="Normal 2 14 3 2 3" xfId="0"/>
    <cellStyle name="Normal 2 14 3 2_2.DATA" xfId="0"/>
    <cellStyle name="Normal 2 14 3 3" xfId="0"/>
    <cellStyle name="Normal 2 14 3 3 2" xfId="0"/>
    <cellStyle name="Normal 2 14 3 3 2 2" xfId="0"/>
    <cellStyle name="Normal 2 14 3 3 2_2.DATA" xfId="0"/>
    <cellStyle name="Normal 2 14 3 3 3" xfId="0"/>
    <cellStyle name="Normal 2 14 3 3_2.DATA" xfId="0"/>
    <cellStyle name="Normal 2 14 3 4" xfId="0"/>
    <cellStyle name="Normal 2 14 3 4 2" xfId="0"/>
    <cellStyle name="Normal 2 14 3 4_2.DATA" xfId="0"/>
    <cellStyle name="Normal 2 14 3 5" xfId="0"/>
    <cellStyle name="Normal 2 14 3_2.DATA" xfId="0"/>
    <cellStyle name="Normal 2 14 4" xfId="0"/>
    <cellStyle name="Normal 2 14 4 2" xfId="0"/>
    <cellStyle name="Normal 2 14 4 2 2" xfId="0"/>
    <cellStyle name="Normal 2 14 4 2_2.DATA" xfId="0"/>
    <cellStyle name="Normal 2 14 4 3" xfId="0"/>
    <cellStyle name="Normal 2 14 4_2.DATA" xfId="0"/>
    <cellStyle name="Normal 2 14 5" xfId="0"/>
    <cellStyle name="Normal 2 14 5 2" xfId="0"/>
    <cellStyle name="Normal 2 14 5 2 2" xfId="0"/>
    <cellStyle name="Normal 2 14 5 2_2.DATA" xfId="0"/>
    <cellStyle name="Normal 2 14 5 3" xfId="0"/>
    <cellStyle name="Normal 2 14 5_2.DATA" xfId="0"/>
    <cellStyle name="Normal 2 14 6" xfId="0"/>
    <cellStyle name="Normal 2 14 6 2" xfId="0"/>
    <cellStyle name="Normal 2 14 6_2.DATA" xfId="0"/>
    <cellStyle name="Normal 2 14 7" xfId="0"/>
    <cellStyle name="Normal 2 14 8" xfId="0"/>
    <cellStyle name="Normal 2 14 9" xfId="0"/>
    <cellStyle name="Normal 2 14_2.DATA" xfId="0"/>
    <cellStyle name="Normal 2 15" xfId="0"/>
    <cellStyle name="Normal 2 15 2" xfId="0"/>
    <cellStyle name="Normal 2 15 2 2" xfId="0"/>
    <cellStyle name="Normal 2 15 2_2.DATA" xfId="0"/>
    <cellStyle name="Normal 2 15 3" xfId="0"/>
    <cellStyle name="Normal 2 15_2.DATA" xfId="0"/>
    <cellStyle name="Normal 2 16" xfId="0"/>
    <cellStyle name="Normal 2 16 2" xfId="0"/>
    <cellStyle name="Normal 2 16 3" xfId="0"/>
    <cellStyle name="Normal 2 16 4" xfId="0"/>
    <cellStyle name="Normal 2 16_2.DATA" xfId="0"/>
    <cellStyle name="Normal 2 17" xfId="0"/>
    <cellStyle name="Normal 2 18" xfId="0"/>
    <cellStyle name="Normal 2 19" xfId="0"/>
    <cellStyle name="Normal 2 2" xfId="0"/>
    <cellStyle name="Normal 2 2 2" xfId="0"/>
    <cellStyle name="Normal 2 2 2 2" xfId="0"/>
    <cellStyle name="Normal 2 2 2 3" xfId="0"/>
    <cellStyle name="Normal 2 2 2_2.DATA" xfId="0"/>
    <cellStyle name="Normal 2 2 3" xfId="0"/>
    <cellStyle name="Normal 2 2 3 2" xfId="0"/>
    <cellStyle name="Normal 2 2 3 3" xfId="0"/>
    <cellStyle name="Normal 2 2 3_2.DATA" xfId="0"/>
    <cellStyle name="Normal 2 2 4" xfId="0"/>
    <cellStyle name="Normal 2 2 5" xfId="0"/>
    <cellStyle name="Normal 2 20" xfId="0"/>
    <cellStyle name="Normal 2 21" xfId="0"/>
    <cellStyle name="Normal 2 22" xfId="0"/>
    <cellStyle name="Normal 2 23" xfId="0"/>
    <cellStyle name="Normal 2 24" xfId="0"/>
    <cellStyle name="Normal 2 24 2" xfId="0"/>
    <cellStyle name="Normal 2 24 3" xfId="0"/>
    <cellStyle name="Normal 2 26" xfId="0"/>
    <cellStyle name="Normal 2 28" xfId="0"/>
    <cellStyle name="Normal 2 2_BLU" xfId="0"/>
    <cellStyle name="Normal 2 3" xfId="0"/>
    <cellStyle name="Normal 2 3 2" xfId="0"/>
    <cellStyle name="Normal 2 3 2 2" xfId="0"/>
    <cellStyle name="Normal 2 3 2 2 2" xfId="0"/>
    <cellStyle name="Normal 2 3 2 2 2 2" xfId="0"/>
    <cellStyle name="Normal 2 3 2 2 2_2.DATA" xfId="0"/>
    <cellStyle name="Normal 2 3 2 2 3" xfId="0"/>
    <cellStyle name="Normal 2 3 2 2_2.DATA" xfId="0"/>
    <cellStyle name="Normal 2 3 2 3" xfId="0"/>
    <cellStyle name="Normal 2 3 2 3 2" xfId="0"/>
    <cellStyle name="Normal 2 3 2 3 2 2" xfId="0"/>
    <cellStyle name="Normal 2 3 2 3 2_2.DATA" xfId="0"/>
    <cellStyle name="Normal 2 3 2 3 3" xfId="0"/>
    <cellStyle name="Normal 2 3 2 3_2.DATA" xfId="0"/>
    <cellStyle name="Normal 2 3 2 4" xfId="0"/>
    <cellStyle name="Normal 2 3 2 4 2" xfId="0"/>
    <cellStyle name="Normal 2 3 2 4_2.DATA" xfId="0"/>
    <cellStyle name="Normal 2 3 2 5" xfId="0"/>
    <cellStyle name="Normal 2 3 2_2.DATA" xfId="0"/>
    <cellStyle name="Normal 2 3 3" xfId="0"/>
    <cellStyle name="Normal 2 3 3 2" xfId="0"/>
    <cellStyle name="Normal 2 3 3 2 2" xfId="0"/>
    <cellStyle name="Normal 2 3 3 2_2.DATA" xfId="0"/>
    <cellStyle name="Normal 2 3 3 3" xfId="0"/>
    <cellStyle name="Normal 2 3 3_2.DATA" xfId="0"/>
    <cellStyle name="Normal 2 3 4" xfId="0"/>
    <cellStyle name="Normal 2 3 4 2" xfId="0"/>
    <cellStyle name="Normal 2 3 4 2 2" xfId="0"/>
    <cellStyle name="Normal 2 3 4 2_2.DATA" xfId="0"/>
    <cellStyle name="Normal 2 3 4 3" xfId="0"/>
    <cellStyle name="Normal 2 3 4_2.DATA" xfId="0"/>
    <cellStyle name="Normal 2 3 5" xfId="0"/>
    <cellStyle name="Normal 2 3 5 2" xfId="0"/>
    <cellStyle name="Normal 2 3 5_2.DATA" xfId="0"/>
    <cellStyle name="Normal 2 3 6" xfId="0"/>
    <cellStyle name="Normal 2 3_2.DATA" xfId="0"/>
    <cellStyle name="Normal 2 4" xfId="0"/>
    <cellStyle name="Normal 2 4 2" xfId="0"/>
    <cellStyle name="Normal 2 4 2 2" xfId="0"/>
    <cellStyle name="Normal 2 4 2 2 2" xfId="0"/>
    <cellStyle name="Normal 2 4 2 2 2 2" xfId="0"/>
    <cellStyle name="Normal 2 4 2 2 2_2.DATA" xfId="0"/>
    <cellStyle name="Normal 2 4 2 2 3" xfId="0"/>
    <cellStyle name="Normal 2 4 2 2_2.DATA" xfId="0"/>
    <cellStyle name="Normal 2 4 2 3" xfId="0"/>
    <cellStyle name="Normal 2 4 2 3 2" xfId="0"/>
    <cellStyle name="Normal 2 4 2 3 2 2" xfId="0"/>
    <cellStyle name="Normal 2 4 2 3 2_2.DATA" xfId="0"/>
    <cellStyle name="Normal 2 4 2 3 3" xfId="0"/>
    <cellStyle name="Normal 2 4 2 3_2.DATA" xfId="0"/>
    <cellStyle name="Normal 2 4 2 4" xfId="0"/>
    <cellStyle name="Normal 2 4 2 4 2" xfId="0"/>
    <cellStyle name="Normal 2 4 2 4_2.DATA" xfId="0"/>
    <cellStyle name="Normal 2 4 2 5" xfId="0"/>
    <cellStyle name="Normal 2 4 2 5 2" xfId="0"/>
    <cellStyle name="Normal 2 4 2 6" xfId="0"/>
    <cellStyle name="Normal 2 4 2_2.DATA" xfId="0"/>
    <cellStyle name="Normal 2 4 3" xfId="0"/>
    <cellStyle name="Normal 2 4 3 2" xfId="0"/>
    <cellStyle name="Normal 2 4 3 2 2" xfId="0"/>
    <cellStyle name="Normal 2 4 3 2_2.DATA" xfId="0"/>
    <cellStyle name="Normal 2 4 3 3" xfId="0"/>
    <cellStyle name="Normal 2 4 3_2.DATA" xfId="0"/>
    <cellStyle name="Normal 2 4 4" xfId="0"/>
    <cellStyle name="Normal 2 4 4 2" xfId="0"/>
    <cellStyle name="Normal 2 4 4 2 2" xfId="0"/>
    <cellStyle name="Normal 2 4 4 2_2.DATA" xfId="0"/>
    <cellStyle name="Normal 2 4 4 3" xfId="0"/>
    <cellStyle name="Normal 2 4 4_2.DATA" xfId="0"/>
    <cellStyle name="Normal 2 4 5" xfId="0"/>
    <cellStyle name="Normal 2 4 5 2" xfId="0"/>
    <cellStyle name="Normal 2 4 5_2.DATA" xfId="0"/>
    <cellStyle name="Normal 2 4 6" xfId="0"/>
    <cellStyle name="Normal 2 4 7" xfId="0"/>
    <cellStyle name="Normal 2 4 8" xfId="0"/>
    <cellStyle name="Normal 2 4_2.DATA" xfId="0"/>
    <cellStyle name="Normal 2 5" xfId="0"/>
    <cellStyle name="Normal 2 5 2" xfId="0"/>
    <cellStyle name="Normal 2 5 2 2" xfId="0"/>
    <cellStyle name="Normal 2 5 2 2 2" xfId="0"/>
    <cellStyle name="Normal 2 5 2 2_2.DATA" xfId="0"/>
    <cellStyle name="Normal 2 5 2 3" xfId="0"/>
    <cellStyle name="Normal 2 5 2_2.DATA" xfId="0"/>
    <cellStyle name="Normal 2 5 3" xfId="0"/>
    <cellStyle name="Normal 2 5 3 2" xfId="0"/>
    <cellStyle name="Normal 2 5 3 2 2" xfId="0"/>
    <cellStyle name="Normal 2 5 3 2_2.DATA" xfId="0"/>
    <cellStyle name="Normal 2 5 3 3" xfId="0"/>
    <cellStyle name="Normal 2 5 3_2.DATA" xfId="0"/>
    <cellStyle name="Normal 2 5 4" xfId="0"/>
    <cellStyle name="Normal 2 5 4 2" xfId="0"/>
    <cellStyle name="Normal 2 5 4_2.DATA" xfId="0"/>
    <cellStyle name="Normal 2 5 5" xfId="0"/>
    <cellStyle name="Normal 2 5 6" xfId="0"/>
    <cellStyle name="Normal 2 5_2.DATA" xfId="0"/>
    <cellStyle name="Normal 2 6" xfId="0"/>
    <cellStyle name="Normal 2 6 2" xfId="0"/>
    <cellStyle name="Normal 2 6 2 2" xfId="0"/>
    <cellStyle name="Normal 2 6 2 2 2" xfId="0"/>
    <cellStyle name="Normal 2 6 2 2_2.DATA" xfId="0"/>
    <cellStyle name="Normal 2 6 2 3" xfId="0"/>
    <cellStyle name="Normal 2 6 2_2.DATA" xfId="0"/>
    <cellStyle name="Normal 2 6 3" xfId="0"/>
    <cellStyle name="Normal 2 6 3 2" xfId="0"/>
    <cellStyle name="Normal 2 6 3 2 2" xfId="0"/>
    <cellStyle name="Normal 2 6 3 2_2.DATA" xfId="0"/>
    <cellStyle name="Normal 2 6 3 3" xfId="0"/>
    <cellStyle name="Normal 2 6 3_2.DATA" xfId="0"/>
    <cellStyle name="Normal 2 6 4" xfId="0"/>
    <cellStyle name="Normal 2 6 4 2" xfId="0"/>
    <cellStyle name="Normal 2 6 4_2.DATA" xfId="0"/>
    <cellStyle name="Normal 2 6 5" xfId="0"/>
    <cellStyle name="Normal 2 6 5 2" xfId="0"/>
    <cellStyle name="Normal 2 6 6" xfId="0"/>
    <cellStyle name="Normal 2 6_2.DATA" xfId="0"/>
    <cellStyle name="Normal 2 7" xfId="0"/>
    <cellStyle name="Normal 2 7 2" xfId="0"/>
    <cellStyle name="Normal 2 7 2 2" xfId="0"/>
    <cellStyle name="Normal 2 7 2_2.DATA" xfId="0"/>
    <cellStyle name="Normal 2 7 3" xfId="0"/>
    <cellStyle name="Normal 2 7 3 2" xfId="0"/>
    <cellStyle name="Normal 2 7 4" xfId="0"/>
    <cellStyle name="Normal 2 7_2.DATA" xfId="0"/>
    <cellStyle name="Normal 2 8" xfId="0"/>
    <cellStyle name="Normal 2 8 2" xfId="0"/>
    <cellStyle name="Normal 2 8 2 2" xfId="0"/>
    <cellStyle name="Normal 2 8 2_2.DATA" xfId="0"/>
    <cellStyle name="Normal 2 8 3" xfId="0"/>
    <cellStyle name="Normal 2 8 3 2" xfId="0"/>
    <cellStyle name="Normal 2 8 4" xfId="0"/>
    <cellStyle name="Normal 2 8_2.DATA" xfId="0"/>
    <cellStyle name="Normal 2 9" xfId="0"/>
    <cellStyle name="Normal 2 9 2" xfId="0"/>
    <cellStyle name="Normal 2 9 3" xfId="0"/>
    <cellStyle name="Normal 2 9 3 2" xfId="0"/>
    <cellStyle name="Normal 2 9 4" xfId="0"/>
    <cellStyle name="Normal 2 9_2.DATA" xfId="0"/>
    <cellStyle name="Normal 20" xfId="0"/>
    <cellStyle name="Normal 20 2" xfId="0"/>
    <cellStyle name="Normal 20 2 2" xfId="0"/>
    <cellStyle name="Normal 20 2 2 2" xfId="0"/>
    <cellStyle name="Normal 20 2 2 2 2" xfId="0"/>
    <cellStyle name="Normal 20 2 2 2 2 2" xfId="0"/>
    <cellStyle name="Normal 20 2 2 2 2_2.DATA" xfId="0"/>
    <cellStyle name="Normal 20 2 2 2 3" xfId="0"/>
    <cellStyle name="Normal 20 2 2 2_2.DATA" xfId="0"/>
    <cellStyle name="Normal 20 2 2 3" xfId="0"/>
    <cellStyle name="Normal 20 2 2 3 2" xfId="0"/>
    <cellStyle name="Normal 20 2 2 3 2 2" xfId="0"/>
    <cellStyle name="Normal 20 2 2 3 2_2.DATA" xfId="0"/>
    <cellStyle name="Normal 20 2 2 3 3" xfId="0"/>
    <cellStyle name="Normal 20 2 2 3_2.DATA" xfId="0"/>
    <cellStyle name="Normal 20 2 2 4" xfId="0"/>
    <cellStyle name="Normal 20 2 2 4 2" xfId="0"/>
    <cellStyle name="Normal 20 2 2 4_2.DATA" xfId="0"/>
    <cellStyle name="Normal 20 2 2 5" xfId="0"/>
    <cellStyle name="Normal 20 2 2_2.DATA" xfId="0"/>
    <cellStyle name="Normal 20 2 3" xfId="0"/>
    <cellStyle name="Normal 20 2 3 2" xfId="0"/>
    <cellStyle name="Normal 20 2 3 2 2" xfId="0"/>
    <cellStyle name="Normal 20 2 3 2 2 2" xfId="0"/>
    <cellStyle name="Normal 20 2 3 2 2_2.DATA" xfId="0"/>
    <cellStyle name="Normal 20 2 3 2 3" xfId="0"/>
    <cellStyle name="Normal 20 2 3 2_2.DATA" xfId="0"/>
    <cellStyle name="Normal 20 2 3 3" xfId="0"/>
    <cellStyle name="Normal 20 2 3 3 2" xfId="0"/>
    <cellStyle name="Normal 20 2 3 3 2 2" xfId="0"/>
    <cellStyle name="Normal 20 2 3 3 2_2.DATA" xfId="0"/>
    <cellStyle name="Normal 20 2 3 3 3" xfId="0"/>
    <cellStyle name="Normal 20 2 3 3_2.DATA" xfId="0"/>
    <cellStyle name="Normal 20 2 3 4" xfId="0"/>
    <cellStyle name="Normal 20 2 3 4 2" xfId="0"/>
    <cellStyle name="Normal 20 2 3 4_2.DATA" xfId="0"/>
    <cellStyle name="Normal 20 2 3 5" xfId="0"/>
    <cellStyle name="Normal 20 2 3_2.DATA" xfId="0"/>
    <cellStyle name="Normal 20 2 4" xfId="0"/>
    <cellStyle name="Normal 20 2 4 2" xfId="0"/>
    <cellStyle name="Normal 20 2 4 2 2" xfId="0"/>
    <cellStyle name="Normal 20 2 4 2 2 2" xfId="0"/>
    <cellStyle name="Normal 20 2 4 2 2_2.DATA" xfId="0"/>
    <cellStyle name="Normal 20 2 4 2 3" xfId="0"/>
    <cellStyle name="Normal 20 2 4 2_2.DATA" xfId="0"/>
    <cellStyle name="Normal 20 2 4 3" xfId="0"/>
    <cellStyle name="Normal 20 2 4 3 2" xfId="0"/>
    <cellStyle name="Normal 20 2 4 3_2.DATA" xfId="0"/>
    <cellStyle name="Normal 20 2 4 4" xfId="0"/>
    <cellStyle name="Normal 20 2 4_2.DATA" xfId="0"/>
    <cellStyle name="Normal 20 2 5" xfId="0"/>
    <cellStyle name="Normal 20 2 5 2" xfId="0"/>
    <cellStyle name="Normal 20 2 5 2 2" xfId="0"/>
    <cellStyle name="Normal 20 2 5 2_2.DATA" xfId="0"/>
    <cellStyle name="Normal 20 2 5 3" xfId="0"/>
    <cellStyle name="Normal 20 2 5_2.DATA" xfId="0"/>
    <cellStyle name="Normal 20 2 6" xfId="0"/>
    <cellStyle name="Normal 20 2 6 2" xfId="0"/>
    <cellStyle name="Normal 20 2 6 2 2" xfId="0"/>
    <cellStyle name="Normal 20 2 6 2_2.DATA" xfId="0"/>
    <cellStyle name="Normal 20 2 6 3" xfId="0"/>
    <cellStyle name="Normal 20 2 6_2.DATA" xfId="0"/>
    <cellStyle name="Normal 20 2 7" xfId="0"/>
    <cellStyle name="Normal 20 2 7 2" xfId="0"/>
    <cellStyle name="Normal 20 2 7_2.DATA" xfId="0"/>
    <cellStyle name="Normal 20 2 8" xfId="0"/>
    <cellStyle name="Normal 20 2_2.DATA" xfId="0"/>
    <cellStyle name="Normal 20 3" xfId="0"/>
    <cellStyle name="Normal 20 3 2" xfId="0"/>
    <cellStyle name="Normal 20 3 2 2" xfId="0"/>
    <cellStyle name="Normal 20 3 2 2 2" xfId="0"/>
    <cellStyle name="Normal 20 3 2 2_2.DATA" xfId="0"/>
    <cellStyle name="Normal 20 3 2 3" xfId="0"/>
    <cellStyle name="Normal 20 3 2_2.DATA" xfId="0"/>
    <cellStyle name="Normal 20 3 3" xfId="0"/>
    <cellStyle name="Normal 20 3 3 2" xfId="0"/>
    <cellStyle name="Normal 20 3 3_2.DATA" xfId="0"/>
    <cellStyle name="Normal 20 3 4" xfId="0"/>
    <cellStyle name="Normal 20 3_2.DATA" xfId="0"/>
    <cellStyle name="Normal 20 4" xfId="0"/>
    <cellStyle name="Normal 20 4 2" xfId="0"/>
    <cellStyle name="Normal 20 4 2 2" xfId="0"/>
    <cellStyle name="Normal 20 4 2_2.DATA" xfId="0"/>
    <cellStyle name="Normal 20 4 3" xfId="0"/>
    <cellStyle name="Normal 20 4_2.DATA" xfId="0"/>
    <cellStyle name="Normal 20 5" xfId="0"/>
    <cellStyle name="Normal 20 5 2" xfId="0"/>
    <cellStyle name="Normal 20 5_2.DATA" xfId="0"/>
    <cellStyle name="Normal 20 6" xfId="0"/>
    <cellStyle name="Normal 20 7" xfId="0"/>
    <cellStyle name="Normal 20 8" xfId="0"/>
    <cellStyle name="Normal 20_2.DATA" xfId="0"/>
    <cellStyle name="Normal 21" xfId="0"/>
    <cellStyle name="Normal 21 2" xfId="0"/>
    <cellStyle name="Normal 21 2 2" xfId="0"/>
    <cellStyle name="Normal 21 2 2 2" xfId="0"/>
    <cellStyle name="Normal 21 2 2 2 2" xfId="0"/>
    <cellStyle name="Normal 21 2 2 2 2 2" xfId="0"/>
    <cellStyle name="Normal 21 2 2 2 2_2.DATA" xfId="0"/>
    <cellStyle name="Normal 21 2 2 2 3" xfId="0"/>
    <cellStyle name="Normal 21 2 2 2_2.DATA" xfId="0"/>
    <cellStyle name="Normal 21 2 2 3" xfId="0"/>
    <cellStyle name="Normal 21 2 2 3 2" xfId="0"/>
    <cellStyle name="Normal 21 2 2 3 2 2" xfId="0"/>
    <cellStyle name="Normal 21 2 2 3 2_2.DATA" xfId="0"/>
    <cellStyle name="Normal 21 2 2 3 3" xfId="0"/>
    <cellStyle name="Normal 21 2 2 3_2.DATA" xfId="0"/>
    <cellStyle name="Normal 21 2 2 4" xfId="0"/>
    <cellStyle name="Normal 21 2 2 4 2" xfId="0"/>
    <cellStyle name="Normal 21 2 2 4_2.DATA" xfId="0"/>
    <cellStyle name="Normal 21 2 2 5" xfId="0"/>
    <cellStyle name="Normal 21 2 2_2.DATA" xfId="0"/>
    <cellStyle name="Normal 21 2 3" xfId="0"/>
    <cellStyle name="Normal 21 2 3 2" xfId="0"/>
    <cellStyle name="Normal 21 2 3 2 2" xfId="0"/>
    <cellStyle name="Normal 21 2 3 2 2 2" xfId="0"/>
    <cellStyle name="Normal 21 2 3 2 2_2.DATA" xfId="0"/>
    <cellStyle name="Normal 21 2 3 2 3" xfId="0"/>
    <cellStyle name="Normal 21 2 3 2_2.DATA" xfId="0"/>
    <cellStyle name="Normal 21 2 3 3" xfId="0"/>
    <cellStyle name="Normal 21 2 3 3 2" xfId="0"/>
    <cellStyle name="Normal 21 2 3 3 2 2" xfId="0"/>
    <cellStyle name="Normal 21 2 3 3 2_2.DATA" xfId="0"/>
    <cellStyle name="Normal 21 2 3 3 3" xfId="0"/>
    <cellStyle name="Normal 21 2 3 3_2.DATA" xfId="0"/>
    <cellStyle name="Normal 21 2 3 4" xfId="0"/>
    <cellStyle name="Normal 21 2 3 4 2" xfId="0"/>
    <cellStyle name="Normal 21 2 3 4_2.DATA" xfId="0"/>
    <cellStyle name="Normal 21 2 3 5" xfId="0"/>
    <cellStyle name="Normal 21 2 3_2.DATA" xfId="0"/>
    <cellStyle name="Normal 21 2 4" xfId="0"/>
    <cellStyle name="Normal 21 2 4 2" xfId="0"/>
    <cellStyle name="Normal 21 2 4 2 2" xfId="0"/>
    <cellStyle name="Normal 21 2 4 2 2 2" xfId="0"/>
    <cellStyle name="Normal 21 2 4 2 2_2.DATA" xfId="0"/>
    <cellStyle name="Normal 21 2 4 2 3" xfId="0"/>
    <cellStyle name="Normal 21 2 4 2_2.DATA" xfId="0"/>
    <cellStyle name="Normal 21 2 4 3" xfId="0"/>
    <cellStyle name="Normal 21 2 4 3 2" xfId="0"/>
    <cellStyle name="Normal 21 2 4 3_2.DATA" xfId="0"/>
    <cellStyle name="Normal 21 2 4 4" xfId="0"/>
    <cellStyle name="Normal 21 2 4_2.DATA" xfId="0"/>
    <cellStyle name="Normal 21 2 5" xfId="0"/>
    <cellStyle name="Normal 21 2 5 2" xfId="0"/>
    <cellStyle name="Normal 21 2 5 2 2" xfId="0"/>
    <cellStyle name="Normal 21 2 5 2_2.DATA" xfId="0"/>
    <cellStyle name="Normal 21 2 5 3" xfId="0"/>
    <cellStyle name="Normal 21 2 5_2.DATA" xfId="0"/>
    <cellStyle name="Normal 21 2 6" xfId="0"/>
    <cellStyle name="Normal 21 2 6 2" xfId="0"/>
    <cellStyle name="Normal 21 2 6 2 2" xfId="0"/>
    <cellStyle name="Normal 21 2 6 2_2.DATA" xfId="0"/>
    <cellStyle name="Normal 21 2 6 3" xfId="0"/>
    <cellStyle name="Normal 21 2 6_2.DATA" xfId="0"/>
    <cellStyle name="Normal 21 2 7" xfId="0"/>
    <cellStyle name="Normal 21 2 7 2" xfId="0"/>
    <cellStyle name="Normal 21 2 7_2.DATA" xfId="0"/>
    <cellStyle name="Normal 21 2 8" xfId="0"/>
    <cellStyle name="Normal 21 2_2.DATA" xfId="0"/>
    <cellStyle name="Normal 21 3" xfId="0"/>
    <cellStyle name="Normal 21 3 2" xfId="0"/>
    <cellStyle name="Normal 21 3 2 2" xfId="0"/>
    <cellStyle name="Normal 21 3 2 2 2" xfId="0"/>
    <cellStyle name="Normal 21 3 2 2_2.DATA" xfId="0"/>
    <cellStyle name="Normal 21 3 2 3" xfId="0"/>
    <cellStyle name="Normal 21 3 2_2.DATA" xfId="0"/>
    <cellStyle name="Normal 21 3 3" xfId="0"/>
    <cellStyle name="Normal 21 3 3 2" xfId="0"/>
    <cellStyle name="Normal 21 3 3_2.DATA" xfId="0"/>
    <cellStyle name="Normal 21 3 4" xfId="0"/>
    <cellStyle name="Normal 21 3_2.DATA" xfId="0"/>
    <cellStyle name="Normal 21 4" xfId="0"/>
    <cellStyle name="Normal 21 4 2" xfId="0"/>
    <cellStyle name="Normal 21 4 2 2" xfId="0"/>
    <cellStyle name="Normal 21 4 2_2.DATA" xfId="0"/>
    <cellStyle name="Normal 21 4 3" xfId="0"/>
    <cellStyle name="Normal 21 4_2.DATA" xfId="0"/>
    <cellStyle name="Normal 21 5" xfId="0"/>
    <cellStyle name="Normal 21 5 2" xfId="0"/>
    <cellStyle name="Normal 21 5_2.DATA" xfId="0"/>
    <cellStyle name="Normal 21 6" xfId="0"/>
    <cellStyle name="Normal 21 7" xfId="0"/>
    <cellStyle name="Normal 21 8" xfId="0"/>
    <cellStyle name="Normal 210" xfId="0"/>
    <cellStyle name="Normal 210 2" xfId="0"/>
    <cellStyle name="Normal 21_2.DATA" xfId="0"/>
    <cellStyle name="Normal 22" xfId="0"/>
    <cellStyle name="Normal 22 2" xfId="0"/>
    <cellStyle name="Normal 22 2 2" xfId="0"/>
    <cellStyle name="Normal 22 2 2 2" xfId="0"/>
    <cellStyle name="Normal 22 2 2 2 2" xfId="0"/>
    <cellStyle name="Normal 22 2 2 2 2 2" xfId="0"/>
    <cellStyle name="Normal 22 2 2 2 2_2.DATA" xfId="0"/>
    <cellStyle name="Normal 22 2 2 2 3" xfId="0"/>
    <cellStyle name="Normal 22 2 2 2_2.DATA" xfId="0"/>
    <cellStyle name="Normal 22 2 2 3" xfId="0"/>
    <cellStyle name="Normal 22 2 2 3 2" xfId="0"/>
    <cellStyle name="Normal 22 2 2 3 2 2" xfId="0"/>
    <cellStyle name="Normal 22 2 2 3 2_2.DATA" xfId="0"/>
    <cellStyle name="Normal 22 2 2 3 3" xfId="0"/>
    <cellStyle name="Normal 22 2 2 3_2.DATA" xfId="0"/>
    <cellStyle name="Normal 22 2 2 4" xfId="0"/>
    <cellStyle name="Normal 22 2 2 4 2" xfId="0"/>
    <cellStyle name="Normal 22 2 2 4_2.DATA" xfId="0"/>
    <cellStyle name="Normal 22 2 2 5" xfId="0"/>
    <cellStyle name="Normal 22 2 2_2.DATA" xfId="0"/>
    <cellStyle name="Normal 22 2 3" xfId="0"/>
    <cellStyle name="Normal 22 2 3 2" xfId="0"/>
    <cellStyle name="Normal 22 2 3 2 2" xfId="0"/>
    <cellStyle name="Normal 22 2 3 2 2 2" xfId="0"/>
    <cellStyle name="Normal 22 2 3 2 2_2.DATA" xfId="0"/>
    <cellStyle name="Normal 22 2 3 2 3" xfId="0"/>
    <cellStyle name="Normal 22 2 3 2_2.DATA" xfId="0"/>
    <cellStyle name="Normal 22 2 3 3" xfId="0"/>
    <cellStyle name="Normal 22 2 3 3 2" xfId="0"/>
    <cellStyle name="Normal 22 2 3 3 2 2" xfId="0"/>
    <cellStyle name="Normal 22 2 3 3 2_2.DATA" xfId="0"/>
    <cellStyle name="Normal 22 2 3 3 3" xfId="0"/>
    <cellStyle name="Normal 22 2 3 3_2.DATA" xfId="0"/>
    <cellStyle name="Normal 22 2 3 4" xfId="0"/>
    <cellStyle name="Normal 22 2 3 4 2" xfId="0"/>
    <cellStyle name="Normal 22 2 3 4_2.DATA" xfId="0"/>
    <cellStyle name="Normal 22 2 3 5" xfId="0"/>
    <cellStyle name="Normal 22 2 3_2.DATA" xfId="0"/>
    <cellStyle name="Normal 22 2 4" xfId="0"/>
    <cellStyle name="Normal 22 2 4 2" xfId="0"/>
    <cellStyle name="Normal 22 2 4 2 2" xfId="0"/>
    <cellStyle name="Normal 22 2 4 2 2 2" xfId="0"/>
    <cellStyle name="Normal 22 2 4 2 2_2.DATA" xfId="0"/>
    <cellStyle name="Normal 22 2 4 2 3" xfId="0"/>
    <cellStyle name="Normal 22 2 4 2_2.DATA" xfId="0"/>
    <cellStyle name="Normal 22 2 4 3" xfId="0"/>
    <cellStyle name="Normal 22 2 4 3 2" xfId="0"/>
    <cellStyle name="Normal 22 2 4 3_2.DATA" xfId="0"/>
    <cellStyle name="Normal 22 2 4 4" xfId="0"/>
    <cellStyle name="Normal 22 2 4_2.DATA" xfId="0"/>
    <cellStyle name="Normal 22 2 5" xfId="0"/>
    <cellStyle name="Normal 22 2 5 2" xfId="0"/>
    <cellStyle name="Normal 22 2 5 2 2" xfId="0"/>
    <cellStyle name="Normal 22 2 5 2_2.DATA" xfId="0"/>
    <cellStyle name="Normal 22 2 5 3" xfId="0"/>
    <cellStyle name="Normal 22 2 5_2.DATA" xfId="0"/>
    <cellStyle name="Normal 22 2 6" xfId="0"/>
    <cellStyle name="Normal 22 2 6 2" xfId="0"/>
    <cellStyle name="Normal 22 2 6 2 2" xfId="0"/>
    <cellStyle name="Normal 22 2 6 2_2.DATA" xfId="0"/>
    <cellStyle name="Normal 22 2 6 3" xfId="0"/>
    <cellStyle name="Normal 22 2 6_2.DATA" xfId="0"/>
    <cellStyle name="Normal 22 2 7" xfId="0"/>
    <cellStyle name="Normal 22 2 7 2" xfId="0"/>
    <cellStyle name="Normal 22 2 7_2.DATA" xfId="0"/>
    <cellStyle name="Normal 22 2 8" xfId="0"/>
    <cellStyle name="Normal 22 2_2.DATA" xfId="0"/>
    <cellStyle name="Normal 22 3" xfId="0"/>
    <cellStyle name="Normal 22 3 2" xfId="0"/>
    <cellStyle name="Normal 22 3 2 2" xfId="0"/>
    <cellStyle name="Normal 22 3 2 2 2" xfId="0"/>
    <cellStyle name="Normal 22 3 2 2_2.DATA" xfId="0"/>
    <cellStyle name="Normal 22 3 2 3" xfId="0"/>
    <cellStyle name="Normal 22 3 2_2.DATA" xfId="0"/>
    <cellStyle name="Normal 22 3 3" xfId="0"/>
    <cellStyle name="Normal 22 3 3 2" xfId="0"/>
    <cellStyle name="Normal 22 3 3_2.DATA" xfId="0"/>
    <cellStyle name="Normal 22 3 4" xfId="0"/>
    <cellStyle name="Normal 22 3_2.DATA" xfId="0"/>
    <cellStyle name="Normal 22 4" xfId="0"/>
    <cellStyle name="Normal 22 4 2" xfId="0"/>
    <cellStyle name="Normal 22 4 2 2" xfId="0"/>
    <cellStyle name="Normal 22 4 2_2.DATA" xfId="0"/>
    <cellStyle name="Normal 22 4 3" xfId="0"/>
    <cellStyle name="Normal 22 4_2.DATA" xfId="0"/>
    <cellStyle name="Normal 22 5" xfId="0"/>
    <cellStyle name="Normal 22 5 2" xfId="0"/>
    <cellStyle name="Normal 22 5_2.DATA" xfId="0"/>
    <cellStyle name="Normal 22 6" xfId="0"/>
    <cellStyle name="Normal 22 7" xfId="0"/>
    <cellStyle name="Normal 22 8" xfId="0"/>
    <cellStyle name="Normal 225" xfId="0"/>
    <cellStyle name="Normal 225 2" xfId="0"/>
    <cellStyle name="Normal 225 2 2" xfId="0"/>
    <cellStyle name="Normal 225 2 2 2" xfId="0"/>
    <cellStyle name="Normal 225 2 2 2 2" xfId="0"/>
    <cellStyle name="Normal 225 2 2 2_2.DATA" xfId="0"/>
    <cellStyle name="Normal 225 2 2 3" xfId="0"/>
    <cellStyle name="Normal 225 2 2_2.DATA" xfId="0"/>
    <cellStyle name="Normal 225 2 3" xfId="0"/>
    <cellStyle name="Normal 225 2 3 2" xfId="0"/>
    <cellStyle name="Normal 225 2 3 2 2" xfId="0"/>
    <cellStyle name="Normal 225 2 3 2_2.DATA" xfId="0"/>
    <cellStyle name="Normal 225 2 3 3" xfId="0"/>
    <cellStyle name="Normal 225 2 3_2.DATA" xfId="0"/>
    <cellStyle name="Normal 225 2 4" xfId="0"/>
    <cellStyle name="Normal 225 2 4 2" xfId="0"/>
    <cellStyle name="Normal 225 2 4_2.DATA" xfId="0"/>
    <cellStyle name="Normal 225 2 5" xfId="0"/>
    <cellStyle name="Normal 225 2_2.DATA" xfId="0"/>
    <cellStyle name="Normal 225 3" xfId="0"/>
    <cellStyle name="Normal 225 3 2" xfId="0"/>
    <cellStyle name="Normal 225 3 2 2" xfId="0"/>
    <cellStyle name="Normal 225 3 2 2 2" xfId="0"/>
    <cellStyle name="Normal 225 3 2 2_2.DATA" xfId="0"/>
    <cellStyle name="Normal 225 3 2 3" xfId="0"/>
    <cellStyle name="Normal 225 3 2_2.DATA" xfId="0"/>
    <cellStyle name="Normal 225 3 3" xfId="0"/>
    <cellStyle name="Normal 225 3 3 2" xfId="0"/>
    <cellStyle name="Normal 225 3 3 2 2" xfId="0"/>
    <cellStyle name="Normal 225 3 3 2_2.DATA" xfId="0"/>
    <cellStyle name="Normal 225 3 3 3" xfId="0"/>
    <cellStyle name="Normal 225 3 3_2.DATA" xfId="0"/>
    <cellStyle name="Normal 225 3 4" xfId="0"/>
    <cellStyle name="Normal 225 3 4 2" xfId="0"/>
    <cellStyle name="Normal 225 3 4_2.DATA" xfId="0"/>
    <cellStyle name="Normal 225 3 5" xfId="0"/>
    <cellStyle name="Normal 225 3_2.DATA" xfId="0"/>
    <cellStyle name="Normal 225 4" xfId="0"/>
    <cellStyle name="Normal 225 4 2" xfId="0"/>
    <cellStyle name="Normal 225 4 2 2" xfId="0"/>
    <cellStyle name="Normal 225 4 2_2.DATA" xfId="0"/>
    <cellStyle name="Normal 225 4 3" xfId="0"/>
    <cellStyle name="Normal 225 4_2.DATA" xfId="0"/>
    <cellStyle name="Normal 225 5" xfId="0"/>
    <cellStyle name="Normal 225 5 2" xfId="0"/>
    <cellStyle name="Normal 225 5 2 2" xfId="0"/>
    <cellStyle name="Normal 225 5 2_2.DATA" xfId="0"/>
    <cellStyle name="Normal 225 5 3" xfId="0"/>
    <cellStyle name="Normal 225 5_2.DATA" xfId="0"/>
    <cellStyle name="Normal 225 6" xfId="0"/>
    <cellStyle name="Normal 225 6 2" xfId="0"/>
    <cellStyle name="Normal 225 6_2.DATA" xfId="0"/>
    <cellStyle name="Normal 225 7" xfId="0"/>
    <cellStyle name="Normal 225_2.DATA" xfId="0"/>
    <cellStyle name="Normal 226" xfId="0"/>
    <cellStyle name="Normal 22_2.DATA" xfId="0"/>
    <cellStyle name="Normal 23" xfId="0"/>
    <cellStyle name="Normal 23 2" xfId="0"/>
    <cellStyle name="Normal 23 2 2" xfId="0"/>
    <cellStyle name="Normal 23 2 2 2" xfId="0"/>
    <cellStyle name="Normal 23 2 2 2 2" xfId="0"/>
    <cellStyle name="Normal 23 2 2 2 2 2" xfId="0"/>
    <cellStyle name="Normal 23 2 2 2 2_2.DATA" xfId="0"/>
    <cellStyle name="Normal 23 2 2 2 3" xfId="0"/>
    <cellStyle name="Normal 23 2 2 2_2.DATA" xfId="0"/>
    <cellStyle name="Normal 23 2 2 3" xfId="0"/>
    <cellStyle name="Normal 23 2 2 3 2" xfId="0"/>
    <cellStyle name="Normal 23 2 2 3 2 2" xfId="0"/>
    <cellStyle name="Normal 23 2 2 3 2_2.DATA" xfId="0"/>
    <cellStyle name="Normal 23 2 2 3 3" xfId="0"/>
    <cellStyle name="Normal 23 2 2 3_2.DATA" xfId="0"/>
    <cellStyle name="Normal 23 2 2 4" xfId="0"/>
    <cellStyle name="Normal 23 2 2 4 2" xfId="0"/>
    <cellStyle name="Normal 23 2 2 4_2.DATA" xfId="0"/>
    <cellStyle name="Normal 23 2 2 5" xfId="0"/>
    <cellStyle name="Normal 23 2 2_2.DATA" xfId="0"/>
    <cellStyle name="Normal 23 2 3" xfId="0"/>
    <cellStyle name="Normal 23 2 3 2" xfId="0"/>
    <cellStyle name="Normal 23 2 3 2 2" xfId="0"/>
    <cellStyle name="Normal 23 2 3 2 2 2" xfId="0"/>
    <cellStyle name="Normal 23 2 3 2 2_2.DATA" xfId="0"/>
    <cellStyle name="Normal 23 2 3 2 3" xfId="0"/>
    <cellStyle name="Normal 23 2 3 2_2.DATA" xfId="0"/>
    <cellStyle name="Normal 23 2 3 3" xfId="0"/>
    <cellStyle name="Normal 23 2 3 3 2" xfId="0"/>
    <cellStyle name="Normal 23 2 3 3 2 2" xfId="0"/>
    <cellStyle name="Normal 23 2 3 3 2_2.DATA" xfId="0"/>
    <cellStyle name="Normal 23 2 3 3 3" xfId="0"/>
    <cellStyle name="Normal 23 2 3 3_2.DATA" xfId="0"/>
    <cellStyle name="Normal 23 2 3 4" xfId="0"/>
    <cellStyle name="Normal 23 2 3 4 2" xfId="0"/>
    <cellStyle name="Normal 23 2 3 4_2.DATA" xfId="0"/>
    <cellStyle name="Normal 23 2 3 5" xfId="0"/>
    <cellStyle name="Normal 23 2 3_2.DATA" xfId="0"/>
    <cellStyle name="Normal 23 2 4" xfId="0"/>
    <cellStyle name="Normal 23 2 4 2" xfId="0"/>
    <cellStyle name="Normal 23 2 4 2 2" xfId="0"/>
    <cellStyle name="Normal 23 2 4 2 2 2" xfId="0"/>
    <cellStyle name="Normal 23 2 4 2 2_2.DATA" xfId="0"/>
    <cellStyle name="Normal 23 2 4 2 3" xfId="0"/>
    <cellStyle name="Normal 23 2 4 2_2.DATA" xfId="0"/>
    <cellStyle name="Normal 23 2 4 3" xfId="0"/>
    <cellStyle name="Normal 23 2 4 3 2" xfId="0"/>
    <cellStyle name="Normal 23 2 4 3_2.DATA" xfId="0"/>
    <cellStyle name="Normal 23 2 4 4" xfId="0"/>
    <cellStyle name="Normal 23 2 4_2.DATA" xfId="0"/>
    <cellStyle name="Normal 23 2 5" xfId="0"/>
    <cellStyle name="Normal 23 2 5 2" xfId="0"/>
    <cellStyle name="Normal 23 2 5 2 2" xfId="0"/>
    <cellStyle name="Normal 23 2 5 2_2.DATA" xfId="0"/>
    <cellStyle name="Normal 23 2 5 3" xfId="0"/>
    <cellStyle name="Normal 23 2 5_2.DATA" xfId="0"/>
    <cellStyle name="Normal 23 2 6" xfId="0"/>
    <cellStyle name="Normal 23 2 6 2" xfId="0"/>
    <cellStyle name="Normal 23 2 6 2 2" xfId="0"/>
    <cellStyle name="Normal 23 2 6 2_2.DATA" xfId="0"/>
    <cellStyle name="Normal 23 2 6 3" xfId="0"/>
    <cellStyle name="Normal 23 2 6_2.DATA" xfId="0"/>
    <cellStyle name="Normal 23 2 7" xfId="0"/>
    <cellStyle name="Normal 23 2 7 2" xfId="0"/>
    <cellStyle name="Normal 23 2 7_2.DATA" xfId="0"/>
    <cellStyle name="Normal 23 2 8" xfId="0"/>
    <cellStyle name="Normal 23 2_2.DATA" xfId="0"/>
    <cellStyle name="Normal 23 3" xfId="0"/>
    <cellStyle name="Normal 23 3 2" xfId="0"/>
    <cellStyle name="Normal 23 3 2 2" xfId="0"/>
    <cellStyle name="Normal 23 3 2 2 2" xfId="0"/>
    <cellStyle name="Normal 23 3 2 2_2.DATA" xfId="0"/>
    <cellStyle name="Normal 23 3 2 3" xfId="0"/>
    <cellStyle name="Normal 23 3 2_2.DATA" xfId="0"/>
    <cellStyle name="Normal 23 3 3" xfId="0"/>
    <cellStyle name="Normal 23 3 3 2" xfId="0"/>
    <cellStyle name="Normal 23 3 3_2.DATA" xfId="0"/>
    <cellStyle name="Normal 23 3 4" xfId="0"/>
    <cellStyle name="Normal 23 3_2.DATA" xfId="0"/>
    <cellStyle name="Normal 23 4" xfId="0"/>
    <cellStyle name="Normal 23 4 2" xfId="0"/>
    <cellStyle name="Normal 23 4 2 2" xfId="0"/>
    <cellStyle name="Normal 23 4 2_2.DATA" xfId="0"/>
    <cellStyle name="Normal 23 4 3" xfId="0"/>
    <cellStyle name="Normal 23 4_2.DATA" xfId="0"/>
    <cellStyle name="Normal 23 5" xfId="0"/>
    <cellStyle name="Normal 23 5 2" xfId="0"/>
    <cellStyle name="Normal 23 5_2.DATA" xfId="0"/>
    <cellStyle name="Normal 23 6" xfId="0"/>
    <cellStyle name="Normal 23 7" xfId="0"/>
    <cellStyle name="Normal 23 8" xfId="0"/>
    <cellStyle name="Normal 23_2.DATA" xfId="0"/>
    <cellStyle name="Normal 24" xfId="0"/>
    <cellStyle name="Normal 24 2" xfId="0"/>
    <cellStyle name="Normal 24 2 2" xfId="0"/>
    <cellStyle name="Normal 24 2 2 2" xfId="0"/>
    <cellStyle name="Normal 24 2 2 2 2" xfId="0"/>
    <cellStyle name="Normal 24 2 2 2 2 2" xfId="0"/>
    <cellStyle name="Normal 24 2 2 2 2_2.DATA" xfId="0"/>
    <cellStyle name="Normal 24 2 2 2 3" xfId="0"/>
    <cellStyle name="Normal 24 2 2 2_2.DATA" xfId="0"/>
    <cellStyle name="Normal 24 2 2 3" xfId="0"/>
    <cellStyle name="Normal 24 2 2 3 2" xfId="0"/>
    <cellStyle name="Normal 24 2 2 3 2 2" xfId="0"/>
    <cellStyle name="Normal 24 2 2 3 2_2.DATA" xfId="0"/>
    <cellStyle name="Normal 24 2 2 3 3" xfId="0"/>
    <cellStyle name="Normal 24 2 2 3_2.DATA" xfId="0"/>
    <cellStyle name="Normal 24 2 2 4" xfId="0"/>
    <cellStyle name="Normal 24 2 2 4 2" xfId="0"/>
    <cellStyle name="Normal 24 2 2 4_2.DATA" xfId="0"/>
    <cellStyle name="Normal 24 2 2 5" xfId="0"/>
    <cellStyle name="Normal 24 2 2_2.DATA" xfId="0"/>
    <cellStyle name="Normal 24 2 3" xfId="0"/>
    <cellStyle name="Normal 24 2 3 2" xfId="0"/>
    <cellStyle name="Normal 24 2 3 2 2" xfId="0"/>
    <cellStyle name="Normal 24 2 3 2 2 2" xfId="0"/>
    <cellStyle name="Normal 24 2 3 2 2_2.DATA" xfId="0"/>
    <cellStyle name="Normal 24 2 3 2 3" xfId="0"/>
    <cellStyle name="Normal 24 2 3 2_2.DATA" xfId="0"/>
    <cellStyle name="Normal 24 2 3 3" xfId="0"/>
    <cellStyle name="Normal 24 2 3 3 2" xfId="0"/>
    <cellStyle name="Normal 24 2 3 3 2 2" xfId="0"/>
    <cellStyle name="Normal 24 2 3 3 2_2.DATA" xfId="0"/>
    <cellStyle name="Normal 24 2 3 3 3" xfId="0"/>
    <cellStyle name="Normal 24 2 3 3_2.DATA" xfId="0"/>
    <cellStyle name="Normal 24 2 3 4" xfId="0"/>
    <cellStyle name="Normal 24 2 3 4 2" xfId="0"/>
    <cellStyle name="Normal 24 2 3 4_2.DATA" xfId="0"/>
    <cellStyle name="Normal 24 2 3 5" xfId="0"/>
    <cellStyle name="Normal 24 2 3_2.DATA" xfId="0"/>
    <cellStyle name="Normal 24 2 4" xfId="0"/>
    <cellStyle name="Normal 24 2 4 2" xfId="0"/>
    <cellStyle name="Normal 24 2 4 2 2" xfId="0"/>
    <cellStyle name="Normal 24 2 4 2 2 2" xfId="0"/>
    <cellStyle name="Normal 24 2 4 2 2_2.DATA" xfId="0"/>
    <cellStyle name="Normal 24 2 4 2 3" xfId="0"/>
    <cellStyle name="Normal 24 2 4 2_2.DATA" xfId="0"/>
    <cellStyle name="Normal 24 2 4 3" xfId="0"/>
    <cellStyle name="Normal 24 2 4 3 2" xfId="0"/>
    <cellStyle name="Normal 24 2 4 3_2.DATA" xfId="0"/>
    <cellStyle name="Normal 24 2 4 4" xfId="0"/>
    <cellStyle name="Normal 24 2 4_2.DATA" xfId="0"/>
    <cellStyle name="Normal 24 2 5" xfId="0"/>
    <cellStyle name="Normal 24 2 5 2" xfId="0"/>
    <cellStyle name="Normal 24 2 5 2 2" xfId="0"/>
    <cellStyle name="Normal 24 2 5 2_2.DATA" xfId="0"/>
    <cellStyle name="Normal 24 2 5 3" xfId="0"/>
    <cellStyle name="Normal 24 2 5_2.DATA" xfId="0"/>
    <cellStyle name="Normal 24 2 6" xfId="0"/>
    <cellStyle name="Normal 24 2 6 2" xfId="0"/>
    <cellStyle name="Normal 24 2 6 2 2" xfId="0"/>
    <cellStyle name="Normal 24 2 6 2_2.DATA" xfId="0"/>
    <cellStyle name="Normal 24 2 6 3" xfId="0"/>
    <cellStyle name="Normal 24 2 6_2.DATA" xfId="0"/>
    <cellStyle name="Normal 24 2 7" xfId="0"/>
    <cellStyle name="Normal 24 2 7 2" xfId="0"/>
    <cellStyle name="Normal 24 2 7_2.DATA" xfId="0"/>
    <cellStyle name="Normal 24 2 8" xfId="0"/>
    <cellStyle name="Normal 24 2_2.DATA" xfId="0"/>
    <cellStyle name="Normal 24 3" xfId="0"/>
    <cellStyle name="Normal 24 3 2" xfId="0"/>
    <cellStyle name="Normal 24 3 2 2" xfId="0"/>
    <cellStyle name="Normal 24 3 2 2 2" xfId="0"/>
    <cellStyle name="Normal 24 3 2 2_2.DATA" xfId="0"/>
    <cellStyle name="Normal 24 3 2 3" xfId="0"/>
    <cellStyle name="Normal 24 3 2_2.DATA" xfId="0"/>
    <cellStyle name="Normal 24 3 3" xfId="0"/>
    <cellStyle name="Normal 24 3 3 2" xfId="0"/>
    <cellStyle name="Normal 24 3 3_2.DATA" xfId="0"/>
    <cellStyle name="Normal 24 3 4" xfId="0"/>
    <cellStyle name="Normal 24 3_2.DATA" xfId="0"/>
    <cellStyle name="Normal 24 4" xfId="0"/>
    <cellStyle name="Normal 24 4 2" xfId="0"/>
    <cellStyle name="Normal 24 4 2 2" xfId="0"/>
    <cellStyle name="Normal 24 4 2_2.DATA" xfId="0"/>
    <cellStyle name="Normal 24 4 3" xfId="0"/>
    <cellStyle name="Normal 24 4_2.DATA" xfId="0"/>
    <cellStyle name="Normal 24 5" xfId="0"/>
    <cellStyle name="Normal 24 5 2" xfId="0"/>
    <cellStyle name="Normal 24 5_2.DATA" xfId="0"/>
    <cellStyle name="Normal 24 6" xfId="0"/>
    <cellStyle name="Normal 24 7" xfId="0"/>
    <cellStyle name="Normal 24 8" xfId="0"/>
    <cellStyle name="Normal 24_2.DATA" xfId="0"/>
    <cellStyle name="Normal 25" xfId="0"/>
    <cellStyle name="Normal 25 2" xfId="0"/>
    <cellStyle name="Normal 25 2 2" xfId="0"/>
    <cellStyle name="Normal 25 2 2 2" xfId="0"/>
    <cellStyle name="Normal 25 2 2 2 2" xfId="0"/>
    <cellStyle name="Normal 25 2 2 2 2 2" xfId="0"/>
    <cellStyle name="Normal 25 2 2 2 2_2.DATA" xfId="0"/>
    <cellStyle name="Normal 25 2 2 2 3" xfId="0"/>
    <cellStyle name="Normal 25 2 2 2_2.DATA" xfId="0"/>
    <cellStyle name="Normal 25 2 2 3" xfId="0"/>
    <cellStyle name="Normal 25 2 2 3 2" xfId="0"/>
    <cellStyle name="Normal 25 2 2 3 2 2" xfId="0"/>
    <cellStyle name="Normal 25 2 2 3 2_2.DATA" xfId="0"/>
    <cellStyle name="Normal 25 2 2 3 3" xfId="0"/>
    <cellStyle name="Normal 25 2 2 3_2.DATA" xfId="0"/>
    <cellStyle name="Normal 25 2 2 4" xfId="0"/>
    <cellStyle name="Normal 25 2 2 4 2" xfId="0"/>
    <cellStyle name="Normal 25 2 2 4_2.DATA" xfId="0"/>
    <cellStyle name="Normal 25 2 2 5" xfId="0"/>
    <cellStyle name="Normal 25 2 2_2.DATA" xfId="0"/>
    <cellStyle name="Normal 25 2 3" xfId="0"/>
    <cellStyle name="Normal 25 2 3 2" xfId="0"/>
    <cellStyle name="Normal 25 2 3 2 2" xfId="0"/>
    <cellStyle name="Normal 25 2 3 2 2 2" xfId="0"/>
    <cellStyle name="Normal 25 2 3 2 2_2.DATA" xfId="0"/>
    <cellStyle name="Normal 25 2 3 2 3" xfId="0"/>
    <cellStyle name="Normal 25 2 3 2_2.DATA" xfId="0"/>
    <cellStyle name="Normal 25 2 3 3" xfId="0"/>
    <cellStyle name="Normal 25 2 3 3 2" xfId="0"/>
    <cellStyle name="Normal 25 2 3 3 2 2" xfId="0"/>
    <cellStyle name="Normal 25 2 3 3 2_2.DATA" xfId="0"/>
    <cellStyle name="Normal 25 2 3 3 3" xfId="0"/>
    <cellStyle name="Normal 25 2 3 3_2.DATA" xfId="0"/>
    <cellStyle name="Normal 25 2 3 4" xfId="0"/>
    <cellStyle name="Normal 25 2 3 4 2" xfId="0"/>
    <cellStyle name="Normal 25 2 3 4_2.DATA" xfId="0"/>
    <cellStyle name="Normal 25 2 3 5" xfId="0"/>
    <cellStyle name="Normal 25 2 3_2.DATA" xfId="0"/>
    <cellStyle name="Normal 25 2 4" xfId="0"/>
    <cellStyle name="Normal 25 2 4 2" xfId="0"/>
    <cellStyle name="Normal 25 2 4 2 2" xfId="0"/>
    <cellStyle name="Normal 25 2 4 2 2 2" xfId="0"/>
    <cellStyle name="Normal 25 2 4 2 2_2.DATA" xfId="0"/>
    <cellStyle name="Normal 25 2 4 2 3" xfId="0"/>
    <cellStyle name="Normal 25 2 4 2_2.DATA" xfId="0"/>
    <cellStyle name="Normal 25 2 4 3" xfId="0"/>
    <cellStyle name="Normal 25 2 4 3 2" xfId="0"/>
    <cellStyle name="Normal 25 2 4 3_2.DATA" xfId="0"/>
    <cellStyle name="Normal 25 2 4 4" xfId="0"/>
    <cellStyle name="Normal 25 2 4_2.DATA" xfId="0"/>
    <cellStyle name="Normal 25 2 5" xfId="0"/>
    <cellStyle name="Normal 25 2 5 2" xfId="0"/>
    <cellStyle name="Normal 25 2 5 2 2" xfId="0"/>
    <cellStyle name="Normal 25 2 5 2_2.DATA" xfId="0"/>
    <cellStyle name="Normal 25 2 5 3" xfId="0"/>
    <cellStyle name="Normal 25 2 5_2.DATA" xfId="0"/>
    <cellStyle name="Normal 25 2 6" xfId="0"/>
    <cellStyle name="Normal 25 2 6 2" xfId="0"/>
    <cellStyle name="Normal 25 2 6 2 2" xfId="0"/>
    <cellStyle name="Normal 25 2 6 2_2.DATA" xfId="0"/>
    <cellStyle name="Normal 25 2 6 3" xfId="0"/>
    <cellStyle name="Normal 25 2 6_2.DATA" xfId="0"/>
    <cellStyle name="Normal 25 2 7" xfId="0"/>
    <cellStyle name="Normal 25 2 7 2" xfId="0"/>
    <cellStyle name="Normal 25 2 7_2.DATA" xfId="0"/>
    <cellStyle name="Normal 25 2 8" xfId="0"/>
    <cellStyle name="Normal 25 2_2.DATA" xfId="0"/>
    <cellStyle name="Normal 25 3" xfId="0"/>
    <cellStyle name="Normal 25 3 2" xfId="0"/>
    <cellStyle name="Normal 25 3 2 2" xfId="0"/>
    <cellStyle name="Normal 25 3 2 2 2" xfId="0"/>
    <cellStyle name="Normal 25 3 2 2_2.DATA" xfId="0"/>
    <cellStyle name="Normal 25 3 2 3" xfId="0"/>
    <cellStyle name="Normal 25 3 2_2.DATA" xfId="0"/>
    <cellStyle name="Normal 25 3 3" xfId="0"/>
    <cellStyle name="Normal 25 3 3 2" xfId="0"/>
    <cellStyle name="Normal 25 3 3_2.DATA" xfId="0"/>
    <cellStyle name="Normal 25 3 4" xfId="0"/>
    <cellStyle name="Normal 25 3_2.DATA" xfId="0"/>
    <cellStyle name="Normal 25 4" xfId="0"/>
    <cellStyle name="Normal 25 4 2" xfId="0"/>
    <cellStyle name="Normal 25 4 2 2" xfId="0"/>
    <cellStyle name="Normal 25 4 2_2.DATA" xfId="0"/>
    <cellStyle name="Normal 25 4 3" xfId="0"/>
    <cellStyle name="Normal 25 4_2.DATA" xfId="0"/>
    <cellStyle name="Normal 25 5" xfId="0"/>
    <cellStyle name="Normal 25 5 2" xfId="0"/>
    <cellStyle name="Normal 25 5_2.DATA" xfId="0"/>
    <cellStyle name="Normal 25 6" xfId="0"/>
    <cellStyle name="Normal 25 7" xfId="0"/>
    <cellStyle name="Normal 25 8" xfId="0"/>
    <cellStyle name="Normal 25_2.DATA" xfId="0"/>
    <cellStyle name="Normal 26" xfId="0"/>
    <cellStyle name="Normal 26 2" xfId="0"/>
    <cellStyle name="Normal 26 2 2" xfId="0"/>
    <cellStyle name="Normal 26 2 2 2" xfId="0"/>
    <cellStyle name="Normal 26 2 2 2 2" xfId="0"/>
    <cellStyle name="Normal 26 2 2 2 2 2" xfId="0"/>
    <cellStyle name="Normal 26 2 2 2 2_2.DATA" xfId="0"/>
    <cellStyle name="Normal 26 2 2 2 3" xfId="0"/>
    <cellStyle name="Normal 26 2 2 2_2.DATA" xfId="0"/>
    <cellStyle name="Normal 26 2 2 3" xfId="0"/>
    <cellStyle name="Normal 26 2 2 3 2" xfId="0"/>
    <cellStyle name="Normal 26 2 2 3 2 2" xfId="0"/>
    <cellStyle name="Normal 26 2 2 3 2_2.DATA" xfId="0"/>
    <cellStyle name="Normal 26 2 2 3 3" xfId="0"/>
    <cellStyle name="Normal 26 2 2 3_2.DATA" xfId="0"/>
    <cellStyle name="Normal 26 2 2 4" xfId="0"/>
    <cellStyle name="Normal 26 2 2 4 2" xfId="0"/>
    <cellStyle name="Normal 26 2 2 4_2.DATA" xfId="0"/>
    <cellStyle name="Normal 26 2 2 5" xfId="0"/>
    <cellStyle name="Normal 26 2 2_2.DATA" xfId="0"/>
    <cellStyle name="Normal 26 2 3" xfId="0"/>
    <cellStyle name="Normal 26 2 3 2" xfId="0"/>
    <cellStyle name="Normal 26 2 3 2 2" xfId="0"/>
    <cellStyle name="Normal 26 2 3 2 2 2" xfId="0"/>
    <cellStyle name="Normal 26 2 3 2 2_2.DATA" xfId="0"/>
    <cellStyle name="Normal 26 2 3 2 3" xfId="0"/>
    <cellStyle name="Normal 26 2 3 2_2.DATA" xfId="0"/>
    <cellStyle name="Normal 26 2 3 3" xfId="0"/>
    <cellStyle name="Normal 26 2 3 3 2" xfId="0"/>
    <cellStyle name="Normal 26 2 3 3 2 2" xfId="0"/>
    <cellStyle name="Normal 26 2 3 3 2_2.DATA" xfId="0"/>
    <cellStyle name="Normal 26 2 3 3 3" xfId="0"/>
    <cellStyle name="Normal 26 2 3 3_2.DATA" xfId="0"/>
    <cellStyle name="Normal 26 2 3 4" xfId="0"/>
    <cellStyle name="Normal 26 2 3 4 2" xfId="0"/>
    <cellStyle name="Normal 26 2 3 4_2.DATA" xfId="0"/>
    <cellStyle name="Normal 26 2 3 5" xfId="0"/>
    <cellStyle name="Normal 26 2 3_2.DATA" xfId="0"/>
    <cellStyle name="Normal 26 2 4" xfId="0"/>
    <cellStyle name="Normal 26 2 4 2" xfId="0"/>
    <cellStyle name="Normal 26 2 4 2 2" xfId="0"/>
    <cellStyle name="Normal 26 2 4 2 2 2" xfId="0"/>
    <cellStyle name="Normal 26 2 4 2 2_2.DATA" xfId="0"/>
    <cellStyle name="Normal 26 2 4 2 3" xfId="0"/>
    <cellStyle name="Normal 26 2 4 2_2.DATA" xfId="0"/>
    <cellStyle name="Normal 26 2 4 3" xfId="0"/>
    <cellStyle name="Normal 26 2 4 3 2" xfId="0"/>
    <cellStyle name="Normal 26 2 4 3_2.DATA" xfId="0"/>
    <cellStyle name="Normal 26 2 4 4" xfId="0"/>
    <cellStyle name="Normal 26 2 4_2.DATA" xfId="0"/>
    <cellStyle name="Normal 26 2 5" xfId="0"/>
    <cellStyle name="Normal 26 2 5 2" xfId="0"/>
    <cellStyle name="Normal 26 2 5 2 2" xfId="0"/>
    <cellStyle name="Normal 26 2 5 2_2.DATA" xfId="0"/>
    <cellStyle name="Normal 26 2 5 3" xfId="0"/>
    <cellStyle name="Normal 26 2 5_2.DATA" xfId="0"/>
    <cellStyle name="Normal 26 2 6" xfId="0"/>
    <cellStyle name="Normal 26 2 6 2" xfId="0"/>
    <cellStyle name="Normal 26 2 6 2 2" xfId="0"/>
    <cellStyle name="Normal 26 2 6 2_2.DATA" xfId="0"/>
    <cellStyle name="Normal 26 2 6 3" xfId="0"/>
    <cellStyle name="Normal 26 2 6_2.DATA" xfId="0"/>
    <cellStyle name="Normal 26 2 7" xfId="0"/>
    <cellStyle name="Normal 26 2 7 2" xfId="0"/>
    <cellStyle name="Normal 26 2 7_2.DATA" xfId="0"/>
    <cellStyle name="Normal 26 2 8" xfId="0"/>
    <cellStyle name="Normal 26 2_2.DATA" xfId="0"/>
    <cellStyle name="Normal 26 3" xfId="0"/>
    <cellStyle name="Normal 26 3 2" xfId="0"/>
    <cellStyle name="Normal 26 3 2 2" xfId="0"/>
    <cellStyle name="Normal 26 3 2 2 2" xfId="0"/>
    <cellStyle name="Normal 26 3 2 2_2.DATA" xfId="0"/>
    <cellStyle name="Normal 26 3 2 3" xfId="0"/>
    <cellStyle name="Normal 26 3 2_2.DATA" xfId="0"/>
    <cellStyle name="Normal 26 3 3" xfId="0"/>
    <cellStyle name="Normal 26 3 3 2" xfId="0"/>
    <cellStyle name="Normal 26 3 3_2.DATA" xfId="0"/>
    <cellStyle name="Normal 26 3 4" xfId="0"/>
    <cellStyle name="Normal 26 3_2.DATA" xfId="0"/>
    <cellStyle name="Normal 26 4" xfId="0"/>
    <cellStyle name="Normal 26 4 2" xfId="0"/>
    <cellStyle name="Normal 26 4 2 2" xfId="0"/>
    <cellStyle name="Normal 26 4 2_2.DATA" xfId="0"/>
    <cellStyle name="Normal 26 4 3" xfId="0"/>
    <cellStyle name="Normal 26 4_2.DATA" xfId="0"/>
    <cellStyle name="Normal 26 5" xfId="0"/>
    <cellStyle name="Normal 26 5 2" xfId="0"/>
    <cellStyle name="Normal 26 5_2.DATA" xfId="0"/>
    <cellStyle name="Normal 26 6" xfId="0"/>
    <cellStyle name="Normal 26 7" xfId="0"/>
    <cellStyle name="Normal 26 8" xfId="0"/>
    <cellStyle name="Normal 260" xfId="0"/>
    <cellStyle name="Normal 26_2.DATA" xfId="0"/>
    <cellStyle name="Normal 27" xfId="0"/>
    <cellStyle name="Normal 27 2" xfId="0"/>
    <cellStyle name="Normal 27 2 2" xfId="0"/>
    <cellStyle name="Normal 27 2 2 2" xfId="0"/>
    <cellStyle name="Normal 27 2 2 2 2" xfId="0"/>
    <cellStyle name="Normal 27 2 2 2 2 2" xfId="0"/>
    <cellStyle name="Normal 27 2 2 2 2_2.DATA" xfId="0"/>
    <cellStyle name="Normal 27 2 2 2 3" xfId="0"/>
    <cellStyle name="Normal 27 2 2 2_2.DATA" xfId="0"/>
    <cellStyle name="Normal 27 2 2 3" xfId="0"/>
    <cellStyle name="Normal 27 2 2 3 2" xfId="0"/>
    <cellStyle name="Normal 27 2 2 3 2 2" xfId="0"/>
    <cellStyle name="Normal 27 2 2 3 2_2.DATA" xfId="0"/>
    <cellStyle name="Normal 27 2 2 3 3" xfId="0"/>
    <cellStyle name="Normal 27 2 2 3_2.DATA" xfId="0"/>
    <cellStyle name="Normal 27 2 2 4" xfId="0"/>
    <cellStyle name="Normal 27 2 2 4 2" xfId="0"/>
    <cellStyle name="Normal 27 2 2 4_2.DATA" xfId="0"/>
    <cellStyle name="Normal 27 2 2 5" xfId="0"/>
    <cellStyle name="Normal 27 2 2_2.DATA" xfId="0"/>
    <cellStyle name="Normal 27 2 3" xfId="0"/>
    <cellStyle name="Normal 27 2 3 2" xfId="0"/>
    <cellStyle name="Normal 27 2 3 2 2" xfId="0"/>
    <cellStyle name="Normal 27 2 3 2 2 2" xfId="0"/>
    <cellStyle name="Normal 27 2 3 2 2_2.DATA" xfId="0"/>
    <cellStyle name="Normal 27 2 3 2 3" xfId="0"/>
    <cellStyle name="Normal 27 2 3 2_2.DATA" xfId="0"/>
    <cellStyle name="Normal 27 2 3 3" xfId="0"/>
    <cellStyle name="Normal 27 2 3 3 2" xfId="0"/>
    <cellStyle name="Normal 27 2 3 3 2 2" xfId="0"/>
    <cellStyle name="Normal 27 2 3 3 2_2.DATA" xfId="0"/>
    <cellStyle name="Normal 27 2 3 3 3" xfId="0"/>
    <cellStyle name="Normal 27 2 3 3_2.DATA" xfId="0"/>
    <cellStyle name="Normal 27 2 3 4" xfId="0"/>
    <cellStyle name="Normal 27 2 3 4 2" xfId="0"/>
    <cellStyle name="Normal 27 2 3 4_2.DATA" xfId="0"/>
    <cellStyle name="Normal 27 2 3 5" xfId="0"/>
    <cellStyle name="Normal 27 2 3_2.DATA" xfId="0"/>
    <cellStyle name="Normal 27 2 4" xfId="0"/>
    <cellStyle name="Normal 27 2 4 2" xfId="0"/>
    <cellStyle name="Normal 27 2 4 2 2" xfId="0"/>
    <cellStyle name="Normal 27 2 4 2 2 2" xfId="0"/>
    <cellStyle name="Normal 27 2 4 2 2_2.DATA" xfId="0"/>
    <cellStyle name="Normal 27 2 4 2 3" xfId="0"/>
    <cellStyle name="Normal 27 2 4 2_2.DATA" xfId="0"/>
    <cellStyle name="Normal 27 2 4 3" xfId="0"/>
    <cellStyle name="Normal 27 2 4 3 2" xfId="0"/>
    <cellStyle name="Normal 27 2 4 3_2.DATA" xfId="0"/>
    <cellStyle name="Normal 27 2 4 4" xfId="0"/>
    <cellStyle name="Normal 27 2 4_2.DATA" xfId="0"/>
    <cellStyle name="Normal 27 2 5" xfId="0"/>
    <cellStyle name="Normal 27 2 5 2" xfId="0"/>
    <cellStyle name="Normal 27 2 5 2 2" xfId="0"/>
    <cellStyle name="Normal 27 2 5 2_2.DATA" xfId="0"/>
    <cellStyle name="Normal 27 2 5 3" xfId="0"/>
    <cellStyle name="Normal 27 2 5_2.DATA" xfId="0"/>
    <cellStyle name="Normal 27 2 6" xfId="0"/>
    <cellStyle name="Normal 27 2 6 2" xfId="0"/>
    <cellStyle name="Normal 27 2 6 2 2" xfId="0"/>
    <cellStyle name="Normal 27 2 6 2_2.DATA" xfId="0"/>
    <cellStyle name="Normal 27 2 6 3" xfId="0"/>
    <cellStyle name="Normal 27 2 6_2.DATA" xfId="0"/>
    <cellStyle name="Normal 27 2 7" xfId="0"/>
    <cellStyle name="Normal 27 2 7 2" xfId="0"/>
    <cellStyle name="Normal 27 2 7_2.DATA" xfId="0"/>
    <cellStyle name="Normal 27 2 8" xfId="0"/>
    <cellStyle name="Normal 27 2_2.DATA" xfId="0"/>
    <cellStyle name="Normal 27 3" xfId="0"/>
    <cellStyle name="Normal 27 3 2" xfId="0"/>
    <cellStyle name="Normal 27 3 2 2" xfId="0"/>
    <cellStyle name="Normal 27 3 2 2 2" xfId="0"/>
    <cellStyle name="Normal 27 3 2 2_2.DATA" xfId="0"/>
    <cellStyle name="Normal 27 3 2 3" xfId="0"/>
    <cellStyle name="Normal 27 3 2_2.DATA" xfId="0"/>
    <cellStyle name="Normal 27 3 3" xfId="0"/>
    <cellStyle name="Normal 27 3 3 2" xfId="0"/>
    <cellStyle name="Normal 27 3 3_2.DATA" xfId="0"/>
    <cellStyle name="Normal 27 3 4" xfId="0"/>
    <cellStyle name="Normal 27 3_2.DATA" xfId="0"/>
    <cellStyle name="Normal 27 4" xfId="0"/>
    <cellStyle name="Normal 27 4 2" xfId="0"/>
    <cellStyle name="Normal 27 4 2 2" xfId="0"/>
    <cellStyle name="Normal 27 4 2_2.DATA" xfId="0"/>
    <cellStyle name="Normal 27 4 3" xfId="0"/>
    <cellStyle name="Normal 27 4_2.DATA" xfId="0"/>
    <cellStyle name="Normal 27 5" xfId="0"/>
    <cellStyle name="Normal 27 5 2" xfId="0"/>
    <cellStyle name="Normal 27 5_2.DATA" xfId="0"/>
    <cellStyle name="Normal 27 6" xfId="0"/>
    <cellStyle name="Normal 27 7" xfId="0"/>
    <cellStyle name="Normal 27 8" xfId="0"/>
    <cellStyle name="Normal 27 9" xfId="0"/>
    <cellStyle name="Normal 27_2.DATA" xfId="0"/>
    <cellStyle name="Normal 28" xfId="0"/>
    <cellStyle name="Normal 28 2" xfId="0"/>
    <cellStyle name="Normal 28 2 2" xfId="0"/>
    <cellStyle name="Normal 28 2 2 2" xfId="0"/>
    <cellStyle name="Normal 28 2 2 2 2" xfId="0"/>
    <cellStyle name="Normal 28 2 2 2 2 2" xfId="0"/>
    <cellStyle name="Normal 28 2 2 2 2_2.DATA" xfId="0"/>
    <cellStyle name="Normal 28 2 2 2 3" xfId="0"/>
    <cellStyle name="Normal 28 2 2 2_2.DATA" xfId="0"/>
    <cellStyle name="Normal 28 2 2 3" xfId="0"/>
    <cellStyle name="Normal 28 2 2 3 2" xfId="0"/>
    <cellStyle name="Normal 28 2 2 3 2 2" xfId="0"/>
    <cellStyle name="Normal 28 2 2 3 2_2.DATA" xfId="0"/>
    <cellStyle name="Normal 28 2 2 3 3" xfId="0"/>
    <cellStyle name="Normal 28 2 2 3_2.DATA" xfId="0"/>
    <cellStyle name="Normal 28 2 2 4" xfId="0"/>
    <cellStyle name="Normal 28 2 2 4 2" xfId="0"/>
    <cellStyle name="Normal 28 2 2 4_2.DATA" xfId="0"/>
    <cellStyle name="Normal 28 2 2 5" xfId="0"/>
    <cellStyle name="Normal 28 2 2_2.DATA" xfId="0"/>
    <cellStyle name="Normal 28 2 3" xfId="0"/>
    <cellStyle name="Normal 28 2 3 2" xfId="0"/>
    <cellStyle name="Normal 28 2 3 2 2" xfId="0"/>
    <cellStyle name="Normal 28 2 3 2 2 2" xfId="0"/>
    <cellStyle name="Normal 28 2 3 2 2_2.DATA" xfId="0"/>
    <cellStyle name="Normal 28 2 3 2 3" xfId="0"/>
    <cellStyle name="Normal 28 2 3 2_2.DATA" xfId="0"/>
    <cellStyle name="Normal 28 2 3 3" xfId="0"/>
    <cellStyle name="Normal 28 2 3 3 2" xfId="0"/>
    <cellStyle name="Normal 28 2 3 3 2 2" xfId="0"/>
    <cellStyle name="Normal 28 2 3 3 2_2.DATA" xfId="0"/>
    <cellStyle name="Normal 28 2 3 3 3" xfId="0"/>
    <cellStyle name="Normal 28 2 3 3_2.DATA" xfId="0"/>
    <cellStyle name="Normal 28 2 3 4" xfId="0"/>
    <cellStyle name="Normal 28 2 3 4 2" xfId="0"/>
    <cellStyle name="Normal 28 2 3 4_2.DATA" xfId="0"/>
    <cellStyle name="Normal 28 2 3 5" xfId="0"/>
    <cellStyle name="Normal 28 2 3_2.DATA" xfId="0"/>
    <cellStyle name="Normal 28 2 4" xfId="0"/>
    <cellStyle name="Normal 28 2 4 2" xfId="0"/>
    <cellStyle name="Normal 28 2 4 2 2" xfId="0"/>
    <cellStyle name="Normal 28 2 4 2 2 2" xfId="0"/>
    <cellStyle name="Normal 28 2 4 2 2_2.DATA" xfId="0"/>
    <cellStyle name="Normal 28 2 4 2 3" xfId="0"/>
    <cellStyle name="Normal 28 2 4 2_2.DATA" xfId="0"/>
    <cellStyle name="Normal 28 2 4 3" xfId="0"/>
    <cellStyle name="Normal 28 2 4 3 2" xfId="0"/>
    <cellStyle name="Normal 28 2 4 3_2.DATA" xfId="0"/>
    <cellStyle name="Normal 28 2 4 4" xfId="0"/>
    <cellStyle name="Normal 28 2 4_2.DATA" xfId="0"/>
    <cellStyle name="Normal 28 2 5" xfId="0"/>
    <cellStyle name="Normal 28 2 5 2" xfId="0"/>
    <cellStyle name="Normal 28 2 5 2 2" xfId="0"/>
    <cellStyle name="Normal 28 2 5 2_2.DATA" xfId="0"/>
    <cellStyle name="Normal 28 2 5 3" xfId="0"/>
    <cellStyle name="Normal 28 2 5_2.DATA" xfId="0"/>
    <cellStyle name="Normal 28 2 6" xfId="0"/>
    <cellStyle name="Normal 28 2 6 2" xfId="0"/>
    <cellStyle name="Normal 28 2 6 2 2" xfId="0"/>
    <cellStyle name="Normal 28 2 6 2_2.DATA" xfId="0"/>
    <cellStyle name="Normal 28 2 6 3" xfId="0"/>
    <cellStyle name="Normal 28 2 6_2.DATA" xfId="0"/>
    <cellStyle name="Normal 28 2 7" xfId="0"/>
    <cellStyle name="Normal 28 2 7 2" xfId="0"/>
    <cellStyle name="Normal 28 2 7_2.DATA" xfId="0"/>
    <cellStyle name="Normal 28 2 8" xfId="0"/>
    <cellStyle name="Normal 28 2_2.DATA" xfId="0"/>
    <cellStyle name="Normal 28 3" xfId="0"/>
    <cellStyle name="Normal 28 3 2" xfId="0"/>
    <cellStyle name="Normal 28 3 2 2" xfId="0"/>
    <cellStyle name="Normal 28 3 2 2 2" xfId="0"/>
    <cellStyle name="Normal 28 3 2 2_2.DATA" xfId="0"/>
    <cellStyle name="Normal 28 3 2 3" xfId="0"/>
    <cellStyle name="Normal 28 3 2_2.DATA" xfId="0"/>
    <cellStyle name="Normal 28 3 3" xfId="0"/>
    <cellStyle name="Normal 28 3 3 2" xfId="0"/>
    <cellStyle name="Normal 28 3 3_2.DATA" xfId="0"/>
    <cellStyle name="Normal 28 3 4" xfId="0"/>
    <cellStyle name="Normal 28 3_2.DATA" xfId="0"/>
    <cellStyle name="Normal 28 4" xfId="0"/>
    <cellStyle name="Normal 28 4 2" xfId="0"/>
    <cellStyle name="Normal 28 4 2 2" xfId="0"/>
    <cellStyle name="Normal 28 4 2_2.DATA" xfId="0"/>
    <cellStyle name="Normal 28 4 3" xfId="0"/>
    <cellStyle name="Normal 28 4_2.DATA" xfId="0"/>
    <cellStyle name="Normal 28 5" xfId="0"/>
    <cellStyle name="Normal 28 5 2" xfId="0"/>
    <cellStyle name="Normal 28 5_2.DATA" xfId="0"/>
    <cellStyle name="Normal 28 6" xfId="0"/>
    <cellStyle name="Normal 28 7" xfId="0"/>
    <cellStyle name="Normal 28 8" xfId="0"/>
    <cellStyle name="Normal 28_2.DATA" xfId="0"/>
    <cellStyle name="Normal 29" xfId="0"/>
    <cellStyle name="Normal 29 2" xfId="0"/>
    <cellStyle name="Normal 29 2 2" xfId="0"/>
    <cellStyle name="Normal 29 2 2 2" xfId="0"/>
    <cellStyle name="Normal 29 2 2 2 2" xfId="0"/>
    <cellStyle name="Normal 29 2 2 2 2 2" xfId="0"/>
    <cellStyle name="Normal 29 2 2 2 2_2.DATA" xfId="0"/>
    <cellStyle name="Normal 29 2 2 2 3" xfId="0"/>
    <cellStyle name="Normal 29 2 2 2_2.DATA" xfId="0"/>
    <cellStyle name="Normal 29 2 2 3" xfId="0"/>
    <cellStyle name="Normal 29 2 2 3 2" xfId="0"/>
    <cellStyle name="Normal 29 2 2 3 2 2" xfId="0"/>
    <cellStyle name="Normal 29 2 2 3 2_2.DATA" xfId="0"/>
    <cellStyle name="Normal 29 2 2 3 3" xfId="0"/>
    <cellStyle name="Normal 29 2 2 3_2.DATA" xfId="0"/>
    <cellStyle name="Normal 29 2 2 4" xfId="0"/>
    <cellStyle name="Normal 29 2 2 4 2" xfId="0"/>
    <cellStyle name="Normal 29 2 2 4_2.DATA" xfId="0"/>
    <cellStyle name="Normal 29 2 2 5" xfId="0"/>
    <cellStyle name="Normal 29 2 2_2.DATA" xfId="0"/>
    <cellStyle name="Normal 29 2 3" xfId="0"/>
    <cellStyle name="Normal 29 2 3 2" xfId="0"/>
    <cellStyle name="Normal 29 2 3 2 2" xfId="0"/>
    <cellStyle name="Normal 29 2 3 2 2 2" xfId="0"/>
    <cellStyle name="Normal 29 2 3 2 2_2.DATA" xfId="0"/>
    <cellStyle name="Normal 29 2 3 2 3" xfId="0"/>
    <cellStyle name="Normal 29 2 3 2_2.DATA" xfId="0"/>
    <cellStyle name="Normal 29 2 3 3" xfId="0"/>
    <cellStyle name="Normal 29 2 3 3 2" xfId="0"/>
    <cellStyle name="Normal 29 2 3 3 2 2" xfId="0"/>
    <cellStyle name="Normal 29 2 3 3 2_2.DATA" xfId="0"/>
    <cellStyle name="Normal 29 2 3 3 3" xfId="0"/>
    <cellStyle name="Normal 29 2 3 3_2.DATA" xfId="0"/>
    <cellStyle name="Normal 29 2 3 4" xfId="0"/>
    <cellStyle name="Normal 29 2 3 4 2" xfId="0"/>
    <cellStyle name="Normal 29 2 3 4_2.DATA" xfId="0"/>
    <cellStyle name="Normal 29 2 3 5" xfId="0"/>
    <cellStyle name="Normal 29 2 3_2.DATA" xfId="0"/>
    <cellStyle name="Normal 29 2 4" xfId="0"/>
    <cellStyle name="Normal 29 2 4 2" xfId="0"/>
    <cellStyle name="Normal 29 2 4 2 2" xfId="0"/>
    <cellStyle name="Normal 29 2 4 2 2 2" xfId="0"/>
    <cellStyle name="Normal 29 2 4 2 2_2.DATA" xfId="0"/>
    <cellStyle name="Normal 29 2 4 2 3" xfId="0"/>
    <cellStyle name="Normal 29 2 4 2_2.DATA" xfId="0"/>
    <cellStyle name="Normal 29 2 4 3" xfId="0"/>
    <cellStyle name="Normal 29 2 4 3 2" xfId="0"/>
    <cellStyle name="Normal 29 2 4 3_2.DATA" xfId="0"/>
    <cellStyle name="Normal 29 2 4 4" xfId="0"/>
    <cellStyle name="Normal 29 2 4_2.DATA" xfId="0"/>
    <cellStyle name="Normal 29 2 5" xfId="0"/>
    <cellStyle name="Normal 29 2 5 2" xfId="0"/>
    <cellStyle name="Normal 29 2 5 2 2" xfId="0"/>
    <cellStyle name="Normal 29 2 5 2_2.DATA" xfId="0"/>
    <cellStyle name="Normal 29 2 5 3" xfId="0"/>
    <cellStyle name="Normal 29 2 5_2.DATA" xfId="0"/>
    <cellStyle name="Normal 29 2 6" xfId="0"/>
    <cellStyle name="Normal 29 2 6 2" xfId="0"/>
    <cellStyle name="Normal 29 2 6 2 2" xfId="0"/>
    <cellStyle name="Normal 29 2 6 2_2.DATA" xfId="0"/>
    <cellStyle name="Normal 29 2 6 3" xfId="0"/>
    <cellStyle name="Normal 29 2 6_2.DATA" xfId="0"/>
    <cellStyle name="Normal 29 2 7" xfId="0"/>
    <cellStyle name="Normal 29 2 7 2" xfId="0"/>
    <cellStyle name="Normal 29 2 7_2.DATA" xfId="0"/>
    <cellStyle name="Normal 29 2 8" xfId="0"/>
    <cellStyle name="Normal 29 2_2.DATA" xfId="0"/>
    <cellStyle name="Normal 29 3" xfId="0"/>
    <cellStyle name="Normal 29 3 2" xfId="0"/>
    <cellStyle name="Normal 29 3 2 2" xfId="0"/>
    <cellStyle name="Normal 29 3 2 2 2" xfId="0"/>
    <cellStyle name="Normal 29 3 2 2_2.DATA" xfId="0"/>
    <cellStyle name="Normal 29 3 2 3" xfId="0"/>
    <cellStyle name="Normal 29 3 2_2.DATA" xfId="0"/>
    <cellStyle name="Normal 29 3 3" xfId="0"/>
    <cellStyle name="Normal 29 3 3 2" xfId="0"/>
    <cellStyle name="Normal 29 3 3_2.DATA" xfId="0"/>
    <cellStyle name="Normal 29 3 4" xfId="0"/>
    <cellStyle name="Normal 29 3_2.DATA" xfId="0"/>
    <cellStyle name="Normal 29 4" xfId="0"/>
    <cellStyle name="Normal 29 4 2" xfId="0"/>
    <cellStyle name="Normal 29 4 2 2" xfId="0"/>
    <cellStyle name="Normal 29 4 2_2.DATA" xfId="0"/>
    <cellStyle name="Normal 29 4 3" xfId="0"/>
    <cellStyle name="Normal 29 4_2.DATA" xfId="0"/>
    <cellStyle name="Normal 29 5" xfId="0"/>
    <cellStyle name="Normal 29 5 2" xfId="0"/>
    <cellStyle name="Normal 29 5_2.DATA" xfId="0"/>
    <cellStyle name="Normal 29 6" xfId="0"/>
    <cellStyle name="Normal 29_2.DATA" xfId="0"/>
    <cellStyle name="Normal 2_2.DATA" xfId="0"/>
    <cellStyle name="Normal 3" xfId="0"/>
    <cellStyle name="Normal 3 2" xfId="0"/>
    <cellStyle name="Normal 3 2 10" xfId="0"/>
    <cellStyle name="Normal 3 2 11" xfId="0"/>
    <cellStyle name="Normal 3 2 2" xfId="0"/>
    <cellStyle name="Normal 3 2 2 2" xfId="0"/>
    <cellStyle name="Normal 3 2 2 2 2" xfId="0"/>
    <cellStyle name="Normal 3 2 2 2 2 2" xfId="0"/>
    <cellStyle name="Normal 3 2 2 2 2_2.DATA" xfId="0"/>
    <cellStyle name="Normal 3 2 2 2 3" xfId="0"/>
    <cellStyle name="Normal 3 2 2 2_2.DATA" xfId="0"/>
    <cellStyle name="Normal 3 2 2 3" xfId="0"/>
    <cellStyle name="Normal 3 2 2 3 2" xfId="0"/>
    <cellStyle name="Normal 3 2 2 3 2 2" xfId="0"/>
    <cellStyle name="Normal 3 2 2 3 2_2.DATA" xfId="0"/>
    <cellStyle name="Normal 3 2 2 3 3" xfId="0"/>
    <cellStyle name="Normal 3 2 2 3_2.DATA" xfId="0"/>
    <cellStyle name="Normal 3 2 2 4" xfId="0"/>
    <cellStyle name="Normal 3 2 2 4 2" xfId="0"/>
    <cellStyle name="Normal 3 2 2 4_2.DATA" xfId="0"/>
    <cellStyle name="Normal 3 2 2 5" xfId="0"/>
    <cellStyle name="Normal 3 2 2 6" xfId="0"/>
    <cellStyle name="Normal 3 2 2 7" xfId="0"/>
    <cellStyle name="Normal 3 2 2_2.DATA" xfId="0"/>
    <cellStyle name="Normal 3 2 3" xfId="0"/>
    <cellStyle name="Normal 3 2 3 2" xfId="0"/>
    <cellStyle name="Normal 3 2 3 2 2" xfId="0"/>
    <cellStyle name="Normal 3 2 3 2 2 2" xfId="0"/>
    <cellStyle name="Normal 3 2 3 2 2_2.DATA" xfId="0"/>
    <cellStyle name="Normal 3 2 3 2 3" xfId="0"/>
    <cellStyle name="Normal 3 2 3 2_2.DATA" xfId="0"/>
    <cellStyle name="Normal 3 2 3 3" xfId="0"/>
    <cellStyle name="Normal 3 2 3 3 2" xfId="0"/>
    <cellStyle name="Normal 3 2 3 3 2 2" xfId="0"/>
    <cellStyle name="Normal 3 2 3 3 2_2.DATA" xfId="0"/>
    <cellStyle name="Normal 3 2 3 3 3" xfId="0"/>
    <cellStyle name="Normal 3 2 3 3_2.DATA" xfId="0"/>
    <cellStyle name="Normal 3 2 3 4" xfId="0"/>
    <cellStyle name="Normal 3 2 3 4 2" xfId="0"/>
    <cellStyle name="Normal 3 2 3 4_2.DATA" xfId="0"/>
    <cellStyle name="Normal 3 2 3 5" xfId="0"/>
    <cellStyle name="Normal 3 2 3_2.DATA" xfId="0"/>
    <cellStyle name="Normal 3 2 4" xfId="0"/>
    <cellStyle name="Normal 3 2 4 2" xfId="0"/>
    <cellStyle name="Normal 3 2 4 2 2" xfId="0"/>
    <cellStyle name="Normal 3 2 4 2 2 2" xfId="0"/>
    <cellStyle name="Normal 3 2 4 2 2_2.DATA" xfId="0"/>
    <cellStyle name="Normal 3 2 4 2 3" xfId="0"/>
    <cellStyle name="Normal 3 2 4 2_2.DATA" xfId="0"/>
    <cellStyle name="Normal 3 2 4 3" xfId="0"/>
    <cellStyle name="Normal 3 2 4 3 2" xfId="0"/>
    <cellStyle name="Normal 3 2 4 3_2.DATA" xfId="0"/>
    <cellStyle name="Normal 3 2 4 4" xfId="0"/>
    <cellStyle name="Normal 3 2 4_2.DATA" xfId="0"/>
    <cellStyle name="Normal 3 2 5" xfId="0"/>
    <cellStyle name="Normal 3 2 5 2" xfId="0"/>
    <cellStyle name="Normal 3 2 5 2 2" xfId="0"/>
    <cellStyle name="Normal 3 2 5 2_2.DATA" xfId="0"/>
    <cellStyle name="Normal 3 2 5 3" xfId="0"/>
    <cellStyle name="Normal 3 2 5_2.DATA" xfId="0"/>
    <cellStyle name="Normal 3 2 6" xfId="0"/>
    <cellStyle name="Normal 3 2 7" xfId="0"/>
    <cellStyle name="Normal 3 2 8" xfId="0"/>
    <cellStyle name="Normal 3 2 9" xfId="0"/>
    <cellStyle name="Normal 3 2_2.DATA" xfId="0"/>
    <cellStyle name="Normal 3 3" xfId="0"/>
    <cellStyle name="Normal 3 3 2" xfId="0"/>
    <cellStyle name="Normal 3 3 2 2" xfId="0"/>
    <cellStyle name="Normal 3 3 2 2 2" xfId="0"/>
    <cellStyle name="Normal 3 3 2 2 3" xfId="0"/>
    <cellStyle name="Normal 3 3 2 2_2.DATA" xfId="0"/>
    <cellStyle name="Normal 3 3 2 3" xfId="0"/>
    <cellStyle name="Normal 3 3 2 3 2" xfId="0"/>
    <cellStyle name="Normal 3 3 2 3 2 2" xfId="0"/>
    <cellStyle name="Normal 3 3 2 3 2_2.DATA" xfId="0"/>
    <cellStyle name="Normal 3 3 2 3 3" xfId="0"/>
    <cellStyle name="Normal 3 3 2 3_2.DATA" xfId="0"/>
    <cellStyle name="Normal 3 3 2 4" xfId="0"/>
    <cellStyle name="Normal 3 3 2 5" xfId="0"/>
    <cellStyle name="Normal 3 3 2 5 2" xfId="0"/>
    <cellStyle name="Normal 3 3 2 5_2.DATA" xfId="0"/>
    <cellStyle name="Normal 3 3 2 6" xfId="0"/>
    <cellStyle name="Normal 3 3 2 7" xfId="0"/>
    <cellStyle name="Normal 3 3 2_2.DATA" xfId="0"/>
    <cellStyle name="Normal 3 3 3" xfId="0"/>
    <cellStyle name="Normal 3 3 3 2" xfId="0"/>
    <cellStyle name="Normal 3 3 3 2 2" xfId="0"/>
    <cellStyle name="Normal 3 3 3 2_2.DATA" xfId="0"/>
    <cellStyle name="Normal 3 3 3 3" xfId="0"/>
    <cellStyle name="Normal 3 3 3_2.DATA" xfId="0"/>
    <cellStyle name="Normal 3 3 4" xfId="0"/>
    <cellStyle name="Normal 3 3 4 2" xfId="0"/>
    <cellStyle name="Normal 3 3 4 2 2" xfId="0"/>
    <cellStyle name="Normal 3 3 4 2_2.DATA" xfId="0"/>
    <cellStyle name="Normal 3 3 4 3" xfId="0"/>
    <cellStyle name="Normal 3 3 4_2.DATA" xfId="0"/>
    <cellStyle name="Normal 3 3 5" xfId="0"/>
    <cellStyle name="Normal 3 3 5 2" xfId="0"/>
    <cellStyle name="Normal 3 3 5_2.DATA" xfId="0"/>
    <cellStyle name="Normal 3 3 6" xfId="0"/>
    <cellStyle name="Normal 3 3 7" xfId="0"/>
    <cellStyle name="Normal 3 3 8" xfId="0"/>
    <cellStyle name="Normal 3 3_2.DATA" xfId="0"/>
    <cellStyle name="Normal 3 4" xfId="0"/>
    <cellStyle name="Normal 3 4 10" xfId="0"/>
    <cellStyle name="Normal 3 4 11" xfId="0"/>
    <cellStyle name="Normal 3 4 11 2" xfId="0"/>
    <cellStyle name="Normal 3 4 12" xfId="0"/>
    <cellStyle name="Normal 3 4 2" xfId="0"/>
    <cellStyle name="Normal 3 4 2 2" xfId="0"/>
    <cellStyle name="Normal 3 4 2_2.DATA" xfId="0"/>
    <cellStyle name="Normal 3 4 3" xfId="0"/>
    <cellStyle name="Normal 3 4 4" xfId="0"/>
    <cellStyle name="Normal 3 4 5" xfId="0"/>
    <cellStyle name="Normal 3 4 6" xfId="0"/>
    <cellStyle name="Normal 3 4 7" xfId="0"/>
    <cellStyle name="Normal 3 4 8" xfId="0"/>
    <cellStyle name="Normal 3 4 9" xfId="0"/>
    <cellStyle name="Normal 3 4_2.DATA" xfId="0"/>
    <cellStyle name="Normal 3 5" xfId="0"/>
    <cellStyle name="Normal 3 5 2" xfId="0"/>
    <cellStyle name="Normal 3 5 3" xfId="0"/>
    <cellStyle name="Normal 3 6" xfId="0"/>
    <cellStyle name="Normal 3 7" xfId="0"/>
    <cellStyle name="Normal 30" xfId="0"/>
    <cellStyle name="Normal 30 2" xfId="0"/>
    <cellStyle name="Normal 30 2 2" xfId="0"/>
    <cellStyle name="Normal 30 2 3" xfId="0"/>
    <cellStyle name="Normal 30 2 3 2" xfId="0"/>
    <cellStyle name="Normal 30 2 3 2 2" xfId="0"/>
    <cellStyle name="Normal 30 2 3 2_2.DATA" xfId="0"/>
    <cellStyle name="Normal 30 2 3 3" xfId="0"/>
    <cellStyle name="Normal 30 2 3_2.DATA" xfId="0"/>
    <cellStyle name="Normal 30 2 4" xfId="0"/>
    <cellStyle name="Normal 30 2 5" xfId="0"/>
    <cellStyle name="Normal 30 2 5 2" xfId="0"/>
    <cellStyle name="Normal 30 2 5_2.DATA" xfId="0"/>
    <cellStyle name="Normal 30 2 6" xfId="0"/>
    <cellStyle name="Normal 30 2_2.DATA" xfId="0"/>
    <cellStyle name="Normal 30 3" xfId="0"/>
    <cellStyle name="Normal 30 3 2" xfId="0"/>
    <cellStyle name="Normal 30 3 3" xfId="0"/>
    <cellStyle name="Normal 30 3 4" xfId="0"/>
    <cellStyle name="Normal 30 4" xfId="0"/>
    <cellStyle name="Normal 30 4 2" xfId="0"/>
    <cellStyle name="Normal 30 4 3" xfId="0"/>
    <cellStyle name="Normal 30 4 4" xfId="0"/>
    <cellStyle name="Normal 30 4 4 2" xfId="0"/>
    <cellStyle name="Normal 30 4 4_2.DATA" xfId="0"/>
    <cellStyle name="Normal 30 4 5" xfId="0"/>
    <cellStyle name="Normal 30 4_2.DATA" xfId="0"/>
    <cellStyle name="Normal 30 5" xfId="0"/>
    <cellStyle name="Normal 30 6" xfId="0"/>
    <cellStyle name="Normal 30 6 2" xfId="0"/>
    <cellStyle name="Normal 30 6_2.DATA" xfId="0"/>
    <cellStyle name="Normal 30 7" xfId="0"/>
    <cellStyle name="Normal 30_2.DATA" xfId="0"/>
    <cellStyle name="Normal 31" xfId="0"/>
    <cellStyle name="Normal 31 2" xfId="0"/>
    <cellStyle name="Normal 31 2 2" xfId="0"/>
    <cellStyle name="Normal 31 2 3" xfId="0"/>
    <cellStyle name="Normal 31 2 3 2" xfId="0"/>
    <cellStyle name="Normal 31 2 3 2 2" xfId="0"/>
    <cellStyle name="Normal 31 2 3 2_2.DATA" xfId="0"/>
    <cellStyle name="Normal 31 2 3 3" xfId="0"/>
    <cellStyle name="Normal 31 2 3_2.DATA" xfId="0"/>
    <cellStyle name="Normal 31 2 4" xfId="0"/>
    <cellStyle name="Normal 31 2 5" xfId="0"/>
    <cellStyle name="Normal 31 2 5 2" xfId="0"/>
    <cellStyle name="Normal 31 2 5_2.DATA" xfId="0"/>
    <cellStyle name="Normal 31 2 6" xfId="0"/>
    <cellStyle name="Normal 31 2_2.DATA" xfId="0"/>
    <cellStyle name="Normal 31 3" xfId="0"/>
    <cellStyle name="Normal 31 3 2" xfId="0"/>
    <cellStyle name="Normal 31 3 2 2" xfId="0"/>
    <cellStyle name="Normal 31 3 2 2 2" xfId="0"/>
    <cellStyle name="Normal 31 3 2 2_2.DATA" xfId="0"/>
    <cellStyle name="Normal 31 3 2 3" xfId="0"/>
    <cellStyle name="Normal 31 3 2_2.DATA" xfId="0"/>
    <cellStyle name="Normal 31 3 3" xfId="0"/>
    <cellStyle name="Normal 31 3 3 2" xfId="0"/>
    <cellStyle name="Normal 31 3 3_2.DATA" xfId="0"/>
    <cellStyle name="Normal 31 3 4" xfId="0"/>
    <cellStyle name="Normal 31 3_2.DATA" xfId="0"/>
    <cellStyle name="Normal 31 4" xfId="0"/>
    <cellStyle name="Normal 31 4 2" xfId="0"/>
    <cellStyle name="Normal 31 4 2 2" xfId="0"/>
    <cellStyle name="Normal 31 4 2_2.DATA" xfId="0"/>
    <cellStyle name="Normal 31 4 3" xfId="0"/>
    <cellStyle name="Normal 31 4_2.DATA" xfId="0"/>
    <cellStyle name="Normal 31 5" xfId="0"/>
    <cellStyle name="Normal 31 5 2" xfId="0"/>
    <cellStyle name="Normal 31 5_2.DATA" xfId="0"/>
    <cellStyle name="Normal 31 6" xfId="0"/>
    <cellStyle name="Normal 31 7" xfId="0"/>
    <cellStyle name="Normal 31 8" xfId="0"/>
    <cellStyle name="Normal 31_2.DATA" xfId="0"/>
    <cellStyle name="Normal 32" xfId="0"/>
    <cellStyle name="Normal 32 2" xfId="0"/>
    <cellStyle name="Normal 32 2 2" xfId="0"/>
    <cellStyle name="Normal 32 2 2 2" xfId="0"/>
    <cellStyle name="Normal 32 2 2 2 2" xfId="0"/>
    <cellStyle name="Normal 32 2 2 2 2 2" xfId="0"/>
    <cellStyle name="Normal 32 2 2 2 2_2.DATA" xfId="0"/>
    <cellStyle name="Normal 32 2 2 2 3" xfId="0"/>
    <cellStyle name="Normal 32 2 2 2_2.DATA" xfId="0"/>
    <cellStyle name="Normal 32 2 2 3" xfId="0"/>
    <cellStyle name="Normal 32 2 2 3 2" xfId="0"/>
    <cellStyle name="Normal 32 2 2 3 2 2" xfId="0"/>
    <cellStyle name="Normal 32 2 2 3 2_2.DATA" xfId="0"/>
    <cellStyle name="Normal 32 2 2 3 3" xfId="0"/>
    <cellStyle name="Normal 32 2 2 3_2.DATA" xfId="0"/>
    <cellStyle name="Normal 32 2 2 4" xfId="0"/>
    <cellStyle name="Normal 32 2 2 4 2" xfId="0"/>
    <cellStyle name="Normal 32 2 2 4_2.DATA" xfId="0"/>
    <cellStyle name="Normal 32 2 2 5" xfId="0"/>
    <cellStyle name="Normal 32 2 2_2.DATA" xfId="0"/>
    <cellStyle name="Normal 32 2 3" xfId="0"/>
    <cellStyle name="Normal 32 2 3 2" xfId="0"/>
    <cellStyle name="Normal 32 2 3 2 2" xfId="0"/>
    <cellStyle name="Normal 32 2 3 2 2 2" xfId="0"/>
    <cellStyle name="Normal 32 2 3 2 2_2.DATA" xfId="0"/>
    <cellStyle name="Normal 32 2 3 2 3" xfId="0"/>
    <cellStyle name="Normal 32 2 3 2_2.DATA" xfId="0"/>
    <cellStyle name="Normal 32 2 3 3" xfId="0"/>
    <cellStyle name="Normal 32 2 3 3 2" xfId="0"/>
    <cellStyle name="Normal 32 2 3 3 2 2" xfId="0"/>
    <cellStyle name="Normal 32 2 3 3 2_2.DATA" xfId="0"/>
    <cellStyle name="Normal 32 2 3 3 3" xfId="0"/>
    <cellStyle name="Normal 32 2 3 3_2.DATA" xfId="0"/>
    <cellStyle name="Normal 32 2 3 4" xfId="0"/>
    <cellStyle name="Normal 32 2 3 4 2" xfId="0"/>
    <cellStyle name="Normal 32 2 3 4_2.DATA" xfId="0"/>
    <cellStyle name="Normal 32 2 3 5" xfId="0"/>
    <cellStyle name="Normal 32 2 3_2.DATA" xfId="0"/>
    <cellStyle name="Normal 32 2 4" xfId="0"/>
    <cellStyle name="Normal 32 2 4 2" xfId="0"/>
    <cellStyle name="Normal 32 2 4 2 2" xfId="0"/>
    <cellStyle name="Normal 32 2 4 2_2.DATA" xfId="0"/>
    <cellStyle name="Normal 32 2 4 3" xfId="0"/>
    <cellStyle name="Normal 32 2 4_2.DATA" xfId="0"/>
    <cellStyle name="Normal 32 2 5" xfId="0"/>
    <cellStyle name="Normal 32 2 5 2" xfId="0"/>
    <cellStyle name="Normal 32 2 5 2 2" xfId="0"/>
    <cellStyle name="Normal 32 2 5 2_2.DATA" xfId="0"/>
    <cellStyle name="Normal 32 2 5 3" xfId="0"/>
    <cellStyle name="Normal 32 2 5_2.DATA" xfId="0"/>
    <cellStyle name="Normal 32 2 6" xfId="0"/>
    <cellStyle name="Normal 32 2 6 2" xfId="0"/>
    <cellStyle name="Normal 32 2 6_2.DATA" xfId="0"/>
    <cellStyle name="Normal 32 2 7" xfId="0"/>
    <cellStyle name="Normal 32 2_2.DATA" xfId="0"/>
    <cellStyle name="Normal 32 3" xfId="0"/>
    <cellStyle name="Normal 32 3 2" xfId="0"/>
    <cellStyle name="Normal 32 3 2 2" xfId="0"/>
    <cellStyle name="Normal 32 3 2 2 2" xfId="0"/>
    <cellStyle name="Normal 32 3 2 2_2.DATA" xfId="0"/>
    <cellStyle name="Normal 32 3 2 3" xfId="0"/>
    <cellStyle name="Normal 32 3 2_2.DATA" xfId="0"/>
    <cellStyle name="Normal 32 3 3" xfId="0"/>
    <cellStyle name="Normal 32 4" xfId="0"/>
    <cellStyle name="Normal 32 4 2" xfId="0"/>
    <cellStyle name="Normal 32 4 3" xfId="0"/>
    <cellStyle name="Normal 32 5" xfId="0"/>
    <cellStyle name="Normal 32 6" xfId="0"/>
    <cellStyle name="Normal 32 7" xfId="0"/>
    <cellStyle name="Normal 32_RND2-Property" xfId="0"/>
    <cellStyle name="Normal 33" xfId="0"/>
    <cellStyle name="Normal 33 2" xfId="0"/>
    <cellStyle name="Normal 33 2 2" xfId="0"/>
    <cellStyle name="Normal 33 2 2 2" xfId="0"/>
    <cellStyle name="Normal 33 2 2 2 2" xfId="0"/>
    <cellStyle name="Normal 33 2 2 2_2.DATA" xfId="0"/>
    <cellStyle name="Normal 33 2 2 3" xfId="0"/>
    <cellStyle name="Normal 33 2 2_2.DATA" xfId="0"/>
    <cellStyle name="Normal 33 2 3" xfId="0"/>
    <cellStyle name="Normal 33 2 3 2" xfId="0"/>
    <cellStyle name="Normal 33 2 3_2.DATA" xfId="0"/>
    <cellStyle name="Normal 33 2 4" xfId="0"/>
    <cellStyle name="Normal 33 2_2.DATA" xfId="0"/>
    <cellStyle name="Normal 33 3" xfId="0"/>
    <cellStyle name="Normal 33 3 2" xfId="0"/>
    <cellStyle name="Normal 33 3_2.DATA" xfId="0"/>
    <cellStyle name="Normal 33 4" xfId="0"/>
    <cellStyle name="Normal 33_2.DATA" xfId="0"/>
    <cellStyle name="Normal 34" xfId="0"/>
    <cellStyle name="Normal 34 2" xfId="0"/>
    <cellStyle name="Normal 34 2 2" xfId="0"/>
    <cellStyle name="Normal 34 2 2 2" xfId="0"/>
    <cellStyle name="Normal 34 2 2 2 2" xfId="0"/>
    <cellStyle name="Normal 34 2 2 2_2.DATA" xfId="0"/>
    <cellStyle name="Normal 34 2 2 3" xfId="0"/>
    <cellStyle name="Normal 34 2 2_2.DATA" xfId="0"/>
    <cellStyle name="Normal 34 2 3" xfId="0"/>
    <cellStyle name="Normal 34 2 3 2" xfId="0"/>
    <cellStyle name="Normal 34 2 3_2.DATA" xfId="0"/>
    <cellStyle name="Normal 34 2 4" xfId="0"/>
    <cellStyle name="Normal 34 2_2.DATA" xfId="0"/>
    <cellStyle name="Normal 34 3" xfId="0"/>
    <cellStyle name="Normal 34 3 2" xfId="0"/>
    <cellStyle name="Normal 34 3_2.DATA" xfId="0"/>
    <cellStyle name="Normal 34 4" xfId="0"/>
    <cellStyle name="Normal 34_2.DATA" xfId="0"/>
    <cellStyle name="Normal 35" xfId="0"/>
    <cellStyle name="Normal 35 2" xfId="0"/>
    <cellStyle name="Normal 35 2 2" xfId="0"/>
    <cellStyle name="Normal 35 2_2.DATA" xfId="0"/>
    <cellStyle name="Normal 35 3" xfId="0"/>
    <cellStyle name="Normal 35_2.DATA" xfId="0"/>
    <cellStyle name="Normal 36" xfId="0"/>
    <cellStyle name="Normal 37" xfId="0"/>
    <cellStyle name="Normal 37 2" xfId="0"/>
    <cellStyle name="Normal 37 3" xfId="0"/>
    <cellStyle name="Normal 38" xfId="0"/>
    <cellStyle name="Normal 38 2" xfId="0"/>
    <cellStyle name="Normal 38 2 2" xfId="0"/>
    <cellStyle name="Normal 38 2_2.DATA" xfId="0"/>
    <cellStyle name="Normal 38 3" xfId="0"/>
    <cellStyle name="Normal 38_2.DATA" xfId="0"/>
    <cellStyle name="Normal 39" xfId="0"/>
    <cellStyle name="Normal 39 2" xfId="0"/>
    <cellStyle name="Normal 39 2 2" xfId="0"/>
    <cellStyle name="Normal 39 2_2.DATA" xfId="0"/>
    <cellStyle name="Normal 39 3" xfId="0"/>
    <cellStyle name="Normal 39_2.DATA" xfId="0"/>
    <cellStyle name="Normal 3_2.DATA" xfId="0"/>
    <cellStyle name="Normal 4" xfId="0"/>
    <cellStyle name="Normal 4 2" xfId="0"/>
    <cellStyle name="Normal 4 2 2" xfId="0"/>
    <cellStyle name="Normal 4 2 2 2" xfId="0"/>
    <cellStyle name="Normal 4 2 2 2 2" xfId="0"/>
    <cellStyle name="Normal 4 2 2 2 2 2" xfId="0"/>
    <cellStyle name="Normal 4 2 2 2 2_2.DATA" xfId="0"/>
    <cellStyle name="Normal 4 2 2 2 3" xfId="0"/>
    <cellStyle name="Normal 4 2 2 2_2.DATA" xfId="0"/>
    <cellStyle name="Normal 4 2 2 3" xfId="0"/>
    <cellStyle name="Normal 4 2 2 3 2" xfId="0"/>
    <cellStyle name="Normal 4 2 2 3 2 2" xfId="0"/>
    <cellStyle name="Normal 4 2 2 3 2_2.DATA" xfId="0"/>
    <cellStyle name="Normal 4 2 2 3 3" xfId="0"/>
    <cellStyle name="Normal 4 2 2 3_2.DATA" xfId="0"/>
    <cellStyle name="Normal 4 2 2 4" xfId="0"/>
    <cellStyle name="Normal 4 2 2 4 2" xfId="0"/>
    <cellStyle name="Normal 4 2 2 4_2.DATA" xfId="0"/>
    <cellStyle name="Normal 4 2 2 5" xfId="0"/>
    <cellStyle name="Normal 4 2 2 6" xfId="0"/>
    <cellStyle name="Normal 4 2 2 7" xfId="0"/>
    <cellStyle name="Normal 4 2 2_2.DATA" xfId="0"/>
    <cellStyle name="Normal 4 2 3" xfId="0"/>
    <cellStyle name="Normal 4 2 3 2" xfId="0"/>
    <cellStyle name="Normal 4 2 3 2 2" xfId="0"/>
    <cellStyle name="Normal 4 2 3 2 2 2" xfId="0"/>
    <cellStyle name="Normal 4 2 3 2 2_2.DATA" xfId="0"/>
    <cellStyle name="Normal 4 2 3 2 3" xfId="0"/>
    <cellStyle name="Normal 4 2 3 2_2.DATA" xfId="0"/>
    <cellStyle name="Normal 4 2 3 3" xfId="0"/>
    <cellStyle name="Normal 4 2 3 3 2" xfId="0"/>
    <cellStyle name="Normal 4 2 3 3 2 2" xfId="0"/>
    <cellStyle name="Normal 4 2 3 3 2_2.DATA" xfId="0"/>
    <cellStyle name="Normal 4 2 3 3 3" xfId="0"/>
    <cellStyle name="Normal 4 2 3 3_2.DATA" xfId="0"/>
    <cellStyle name="Normal 4 2 3 4" xfId="0"/>
    <cellStyle name="Normal 4 2 3 4 2" xfId="0"/>
    <cellStyle name="Normal 4 2 3 4_2.DATA" xfId="0"/>
    <cellStyle name="Normal 4 2 3 5" xfId="0"/>
    <cellStyle name="Normal 4 2 3_2.DATA" xfId="0"/>
    <cellStyle name="Normal 4 2 4" xfId="0"/>
    <cellStyle name="Normal 4 2 4 2" xfId="0"/>
    <cellStyle name="Normal 4 2 4 2 2" xfId="0"/>
    <cellStyle name="Normal 4 2 4 2 2 2" xfId="0"/>
    <cellStyle name="Normal 4 2 4 2 2_2.DATA" xfId="0"/>
    <cellStyle name="Normal 4 2 4 2 3" xfId="0"/>
    <cellStyle name="Normal 4 2 4 2_2.DATA" xfId="0"/>
    <cellStyle name="Normal 4 2 4 3" xfId="0"/>
    <cellStyle name="Normal 4 2 4 3 2" xfId="0"/>
    <cellStyle name="Normal 4 2 4 3_2.DATA" xfId="0"/>
    <cellStyle name="Normal 4 2 4 4" xfId="0"/>
    <cellStyle name="Normal 4 2 4_2.DATA" xfId="0"/>
    <cellStyle name="Normal 4 2 5" xfId="0"/>
    <cellStyle name="Normal 4 2 5 2" xfId="0"/>
    <cellStyle name="Normal 4 2 5 2 2" xfId="0"/>
    <cellStyle name="Normal 4 2 5 2_2.DATA" xfId="0"/>
    <cellStyle name="Normal 4 2 5 3" xfId="0"/>
    <cellStyle name="Normal 4 2 5_2.DATA" xfId="0"/>
    <cellStyle name="Normal 4 3" xfId="0"/>
    <cellStyle name="Normal 4 3 2" xfId="0"/>
    <cellStyle name="Normal 4 3 2 2" xfId="0"/>
    <cellStyle name="Normal 4 3 2 2 2" xfId="0"/>
    <cellStyle name="Normal 4 3 2 2 2 2" xfId="0"/>
    <cellStyle name="Normal 4 3 2 2 2_2.DATA" xfId="0"/>
    <cellStyle name="Normal 4 3 2 2 3" xfId="0"/>
    <cellStyle name="Normal 4 3 2 2_2.DATA" xfId="0"/>
    <cellStyle name="Normal 4 3 2 3" xfId="0"/>
    <cellStyle name="Normal 4 3 2 3 2" xfId="0"/>
    <cellStyle name="Normal 4 3 2 3_2.DATA" xfId="0"/>
    <cellStyle name="Normal 4 3 2 4" xfId="0"/>
    <cellStyle name="Normal 4 3 2_2.DATA" xfId="0"/>
    <cellStyle name="Normal 4 3 3" xfId="0"/>
    <cellStyle name="Normal 4 3 3 2" xfId="0"/>
    <cellStyle name="Normal 4 3 3 2 2" xfId="0"/>
    <cellStyle name="Normal 4 3 3 2_2.DATA" xfId="0"/>
    <cellStyle name="Normal 4 3 3 3" xfId="0"/>
    <cellStyle name="Normal 4 3 3_2.DATA" xfId="0"/>
    <cellStyle name="Normal 4 3 4" xfId="0"/>
    <cellStyle name="Normal 4 3 4 2" xfId="0"/>
    <cellStyle name="Normal 4 3 4 2 2" xfId="0"/>
    <cellStyle name="Normal 4 3 4 2_2.DATA" xfId="0"/>
    <cellStyle name="Normal 4 3 4 3" xfId="0"/>
    <cellStyle name="Normal 4 3 4_2.DATA" xfId="0"/>
    <cellStyle name="Normal 4 3 5" xfId="0"/>
    <cellStyle name="Normal 4 3 5 2" xfId="0"/>
    <cellStyle name="Normal 4 3 5 2 2" xfId="0"/>
    <cellStyle name="Normal 4 3 5 2_2.DATA" xfId="0"/>
    <cellStyle name="Normal 4 3 5 3" xfId="0"/>
    <cellStyle name="Normal 4 3 5_2.DATA" xfId="0"/>
    <cellStyle name="Normal 4 3 6" xfId="0"/>
    <cellStyle name="Normal 4 3 6 2" xfId="0"/>
    <cellStyle name="Normal 4 3 6_2.DATA" xfId="0"/>
    <cellStyle name="Normal 4 3 7" xfId="0"/>
    <cellStyle name="Normal 4 3 8" xfId="0"/>
    <cellStyle name="Normal 4 3 9" xfId="0"/>
    <cellStyle name="Normal 4 3_2.DATA" xfId="0"/>
    <cellStyle name="Normal 4 4" xfId="0"/>
    <cellStyle name="Normal 40" xfId="0"/>
    <cellStyle name="Normal 40 2" xfId="0"/>
    <cellStyle name="Normal 40 3" xfId="0"/>
    <cellStyle name="Normal 41" xfId="0"/>
    <cellStyle name="Normal 41 2" xfId="0"/>
    <cellStyle name="Normal 41 2 2" xfId="0"/>
    <cellStyle name="Normal 41 2_2.DATA" xfId="0"/>
    <cellStyle name="Normal 41 3" xfId="0"/>
    <cellStyle name="Normal 41 4" xfId="0"/>
    <cellStyle name="Normal 41 5" xfId="0"/>
    <cellStyle name="Normal 41_2.DATA" xfId="0"/>
    <cellStyle name="Normal 42" xfId="0"/>
    <cellStyle name="Normal 42 2" xfId="0"/>
    <cellStyle name="Normal 42 2 2" xfId="0"/>
    <cellStyle name="Normal 42 2_2.DATA" xfId="0"/>
    <cellStyle name="Normal 42 3" xfId="0"/>
    <cellStyle name="Normal 42_2.DATA" xfId="0"/>
    <cellStyle name="Normal 43" xfId="0"/>
    <cellStyle name="Normal 43 2" xfId="0"/>
    <cellStyle name="Normal 43 2 2" xfId="0"/>
    <cellStyle name="Normal 43 2_2.DATA" xfId="0"/>
    <cellStyle name="Normal 43 3" xfId="0"/>
    <cellStyle name="Normal 43_2.DATA" xfId="0"/>
    <cellStyle name="Normal 44" xfId="0"/>
    <cellStyle name="Normal 44 2" xfId="0"/>
    <cellStyle name="Normal 44 2 2" xfId="0"/>
    <cellStyle name="Normal 44 2_2.DATA" xfId="0"/>
    <cellStyle name="Normal 44 3" xfId="0"/>
    <cellStyle name="Normal 44_2.DATA" xfId="0"/>
    <cellStyle name="Normal 45" xfId="0"/>
    <cellStyle name="Normal 45 2" xfId="0"/>
    <cellStyle name="Normal 45 2 2" xfId="0"/>
    <cellStyle name="Normal 45 2_2.DATA" xfId="0"/>
    <cellStyle name="Normal 45 3" xfId="0"/>
    <cellStyle name="Normal 45 3 2" xfId="0"/>
    <cellStyle name="Normal 45 3_2.DATA" xfId="0"/>
    <cellStyle name="Normal 45 4" xfId="0"/>
    <cellStyle name="Normal 45_2.DATA" xfId="0"/>
    <cellStyle name="Normal 46" xfId="0"/>
    <cellStyle name="Normal 46 2" xfId="0"/>
    <cellStyle name="Normal 46_2.DATA" xfId="0"/>
    <cellStyle name="Normal 47" xfId="0"/>
    <cellStyle name="Normal 47 2" xfId="0"/>
    <cellStyle name="Normal 47_2.DATA" xfId="0"/>
    <cellStyle name="Normal 48" xfId="0"/>
    <cellStyle name="Normal 49" xfId="0"/>
    <cellStyle name="Normal 49 2" xfId="0"/>
    <cellStyle name="Normal 4_2012 Data Element Changes_v8" xfId="0"/>
    <cellStyle name="Normal 5" xfId="0"/>
    <cellStyle name="Normal 5 2" xfId="0"/>
    <cellStyle name="Normal 5 2 10" xfId="0"/>
    <cellStyle name="Normal 5 2 2" xfId="0"/>
    <cellStyle name="Normal 5 2 2 2" xfId="0"/>
    <cellStyle name="Normal 5 2 2 2 2" xfId="0"/>
    <cellStyle name="Normal 5 2 2 2 2 2" xfId="0"/>
    <cellStyle name="Normal 5 2 2 2 2_2.DATA" xfId="0"/>
    <cellStyle name="Normal 5 2 2 2 3" xfId="0"/>
    <cellStyle name="Normal 5 2 2 2_2.DATA" xfId="0"/>
    <cellStyle name="Normal 5 2 2 3" xfId="0"/>
    <cellStyle name="Normal 5 2 2 3 2" xfId="0"/>
    <cellStyle name="Normal 5 2 2 3 2 2" xfId="0"/>
    <cellStyle name="Normal 5 2 2 3 2_2.DATA" xfId="0"/>
    <cellStyle name="Normal 5 2 2 3 3" xfId="0"/>
    <cellStyle name="Normal 5 2 2 3_2.DATA" xfId="0"/>
    <cellStyle name="Normal 5 2 2 4" xfId="0"/>
    <cellStyle name="Normal 5 2 2 4 2" xfId="0"/>
    <cellStyle name="Normal 5 2 2 4_2.DATA" xfId="0"/>
    <cellStyle name="Normal 5 2 2 5" xfId="0"/>
    <cellStyle name="Normal 5 2 2_2.DATA" xfId="0"/>
    <cellStyle name="Normal 5 2 3" xfId="0"/>
    <cellStyle name="Normal 5 2 3 2" xfId="0"/>
    <cellStyle name="Normal 5 2 3 2 2" xfId="0"/>
    <cellStyle name="Normal 5 2 3 2 2 2" xfId="0"/>
    <cellStyle name="Normal 5 2 3 2 2_2.DATA" xfId="0"/>
    <cellStyle name="Normal 5 2 3 2 3" xfId="0"/>
    <cellStyle name="Normal 5 2 3 2_2.DATA" xfId="0"/>
    <cellStyle name="Normal 5 2 3 3" xfId="0"/>
    <cellStyle name="Normal 5 2 3 3 2" xfId="0"/>
    <cellStyle name="Normal 5 2 3 3 2 2" xfId="0"/>
    <cellStyle name="Normal 5 2 3 3 2_2.DATA" xfId="0"/>
    <cellStyle name="Normal 5 2 3 3 3" xfId="0"/>
    <cellStyle name="Normal 5 2 3 3_2.DATA" xfId="0"/>
    <cellStyle name="Normal 5 2 3 4" xfId="0"/>
    <cellStyle name="Normal 5 2 3 4 2" xfId="0"/>
    <cellStyle name="Normal 5 2 3 4_2.DATA" xfId="0"/>
    <cellStyle name="Normal 5 2 3 5" xfId="0"/>
    <cellStyle name="Normal 5 2 3_2.DATA" xfId="0"/>
    <cellStyle name="Normal 5 2 4" xfId="0"/>
    <cellStyle name="Normal 5 2 4 2" xfId="0"/>
    <cellStyle name="Normal 5 2 4 2 2" xfId="0"/>
    <cellStyle name="Normal 5 2 4 2 2 2" xfId="0"/>
    <cellStyle name="Normal 5 2 4 2 2_2.DATA" xfId="0"/>
    <cellStyle name="Normal 5 2 4 2 3" xfId="0"/>
    <cellStyle name="Normal 5 2 4 2_2.DATA" xfId="0"/>
    <cellStyle name="Normal 5 2 4 3" xfId="0"/>
    <cellStyle name="Normal 5 2 4 3 2" xfId="0"/>
    <cellStyle name="Normal 5 2 4 3_2.DATA" xfId="0"/>
    <cellStyle name="Normal 5 2 4 4" xfId="0"/>
    <cellStyle name="Normal 5 2 4_2.DATA" xfId="0"/>
    <cellStyle name="Normal 5 2 5" xfId="0"/>
    <cellStyle name="Normal 5 2 5 2" xfId="0"/>
    <cellStyle name="Normal 5 2 5 2 2" xfId="0"/>
    <cellStyle name="Normal 5 2 5 2_2.DATA" xfId="0"/>
    <cellStyle name="Normal 5 2 5 3" xfId="0"/>
    <cellStyle name="Normal 5 2 5_2.DATA" xfId="0"/>
    <cellStyle name="Normal 5 2 6" xfId="0"/>
    <cellStyle name="Normal 5 2 7" xfId="0"/>
    <cellStyle name="Normal 5 2 8" xfId="0"/>
    <cellStyle name="Normal 5 2 9" xfId="0"/>
    <cellStyle name="Normal 5 2_2.DATA" xfId="0"/>
    <cellStyle name="Normal 5 3" xfId="0"/>
    <cellStyle name="Normal 5 3 2" xfId="0"/>
    <cellStyle name="Normal 5 3 2 2" xfId="0"/>
    <cellStyle name="Normal 5 3 2 2 2" xfId="0"/>
    <cellStyle name="Normal 5 3 2 2 2 2" xfId="0"/>
    <cellStyle name="Normal 5 3 2 2 2_2.DATA" xfId="0"/>
    <cellStyle name="Normal 5 3 2 2 3" xfId="0"/>
    <cellStyle name="Normal 5 3 2 2_2.DATA" xfId="0"/>
    <cellStyle name="Normal 5 3 2 3" xfId="0"/>
    <cellStyle name="Normal 5 3 2 3 2" xfId="0"/>
    <cellStyle name="Normal 5 3 2 3_2.DATA" xfId="0"/>
    <cellStyle name="Normal 5 3 2 4" xfId="0"/>
    <cellStyle name="Normal 5 3 2_2.DATA" xfId="0"/>
    <cellStyle name="Normal 5 3 3" xfId="0"/>
    <cellStyle name="Normal 5 3 3 2" xfId="0"/>
    <cellStyle name="Normal 5 3 3 2 2" xfId="0"/>
    <cellStyle name="Normal 5 3 3 2_2.DATA" xfId="0"/>
    <cellStyle name="Normal 5 3 3 3" xfId="0"/>
    <cellStyle name="Normal 5 3 3_2.DATA" xfId="0"/>
    <cellStyle name="Normal 5 3 4" xfId="0"/>
    <cellStyle name="Normal 5 3 4 2" xfId="0"/>
    <cellStyle name="Normal 5 3 4 2 2" xfId="0"/>
    <cellStyle name="Normal 5 3 4 2_2.DATA" xfId="0"/>
    <cellStyle name="Normal 5 3 4 3" xfId="0"/>
    <cellStyle name="Normal 5 3 4_2.DATA" xfId="0"/>
    <cellStyle name="Normal 5 3 5" xfId="0"/>
    <cellStyle name="Normal 5 3 5 2" xfId="0"/>
    <cellStyle name="Normal 5 3 5 2 2" xfId="0"/>
    <cellStyle name="Normal 5 3 5 2_2.DATA" xfId="0"/>
    <cellStyle name="Normal 5 3 5 3" xfId="0"/>
    <cellStyle name="Normal 5 3 5_2.DATA" xfId="0"/>
    <cellStyle name="Normal 5 3 6" xfId="0"/>
    <cellStyle name="Normal 5 3 6 2" xfId="0"/>
    <cellStyle name="Normal 5 3 6_2.DATA" xfId="0"/>
    <cellStyle name="Normal 5 3 7" xfId="0"/>
    <cellStyle name="Normal 5 3_2.DATA" xfId="0"/>
    <cellStyle name="Normal 5 4" xfId="0"/>
    <cellStyle name="Normal 5 4 2" xfId="0"/>
    <cellStyle name="Normal 5 4 2 2" xfId="0"/>
    <cellStyle name="Normal 5 4 2 2 2" xfId="0"/>
    <cellStyle name="Normal 5 4 2 3" xfId="0"/>
    <cellStyle name="Normal 5 4 2 4" xfId="0"/>
    <cellStyle name="Normal 5 4 2_2.DATA" xfId="0"/>
    <cellStyle name="Normal 5 4 3" xfId="0"/>
    <cellStyle name="Normal 5 4 3 2" xfId="0"/>
    <cellStyle name="Normal 5 4 3 3" xfId="0"/>
    <cellStyle name="Normal 5 4 3 4" xfId="0"/>
    <cellStyle name="Normal 5 4 4" xfId="0"/>
    <cellStyle name="Normal 5 4_2.DATA" xfId="0"/>
    <cellStyle name="Normal 5 5" xfId="0"/>
    <cellStyle name="Normal 5 5 2" xfId="0"/>
    <cellStyle name="Normal 5 5 2 2" xfId="0"/>
    <cellStyle name="Normal 5 5 2_2.DATA" xfId="0"/>
    <cellStyle name="Normal 5 5 3" xfId="0"/>
    <cellStyle name="Normal 5 5_2.DATA" xfId="0"/>
    <cellStyle name="Normal 5 6" xfId="0"/>
    <cellStyle name="Normal 5 6 2" xfId="0"/>
    <cellStyle name="Normal 5 6 3" xfId="0"/>
    <cellStyle name="Normal 5 6_2.DATA" xfId="0"/>
    <cellStyle name="Normal 5 7" xfId="0"/>
    <cellStyle name="Normal 5 8" xfId="0"/>
    <cellStyle name="Normal 5 9" xfId="0"/>
    <cellStyle name="Normal 50" xfId="0"/>
    <cellStyle name="Normal 51" xfId="0"/>
    <cellStyle name="Normal 52" xfId="0"/>
    <cellStyle name="Normal 53" xfId="0"/>
    <cellStyle name="Normal 54" xfId="0"/>
    <cellStyle name="Normal 55" xfId="0"/>
    <cellStyle name="Normal 56" xfId="0"/>
    <cellStyle name="Normal 57" xfId="0"/>
    <cellStyle name="Normal 57 2" xfId="0"/>
    <cellStyle name="Normal 57_2.DATA" xfId="0"/>
    <cellStyle name="Normal 58" xfId="0"/>
    <cellStyle name="Normal 59" xfId="0"/>
    <cellStyle name="Normal 5_2.DATA" xfId="0"/>
    <cellStyle name="Normal 6" xfId="0"/>
    <cellStyle name="Normal 6 2" xfId="0"/>
    <cellStyle name="Normal 6 2 10" xfId="0"/>
    <cellStyle name="Normal 6 2 2" xfId="0"/>
    <cellStyle name="Normal 6 2 2 2" xfId="0"/>
    <cellStyle name="Normal 6 2 2 2 2" xfId="0"/>
    <cellStyle name="Normal 6 2 2 2 2 2" xfId="0"/>
    <cellStyle name="Normal 6 2 2 2 2_2.DATA" xfId="0"/>
    <cellStyle name="Normal 6 2 2 2 3" xfId="0"/>
    <cellStyle name="Normal 6 2 2 2_2.DATA" xfId="0"/>
    <cellStyle name="Normal 6 2 2 3" xfId="0"/>
    <cellStyle name="Normal 6 2 2 3 2" xfId="0"/>
    <cellStyle name="Normal 6 2 2 3 2 2" xfId="0"/>
    <cellStyle name="Normal 6 2 2 3 2_2.DATA" xfId="0"/>
    <cellStyle name="Normal 6 2 2 3 3" xfId="0"/>
    <cellStyle name="Normal 6 2 2 3_2.DATA" xfId="0"/>
    <cellStyle name="Normal 6 2 2 4" xfId="0"/>
    <cellStyle name="Normal 6 2 2 4 2" xfId="0"/>
    <cellStyle name="Normal 6 2 2 4_2.DATA" xfId="0"/>
    <cellStyle name="Normal 6 2 2 5" xfId="0"/>
    <cellStyle name="Normal 6 2 2_2.DATA" xfId="0"/>
    <cellStyle name="Normal 6 2 3" xfId="0"/>
    <cellStyle name="Normal 6 2 3 2" xfId="0"/>
    <cellStyle name="Normal 6 2 3 2 2" xfId="0"/>
    <cellStyle name="Normal 6 2 3 2 2 2" xfId="0"/>
    <cellStyle name="Normal 6 2 3 2 2_2.DATA" xfId="0"/>
    <cellStyle name="Normal 6 2 3 2 3" xfId="0"/>
    <cellStyle name="Normal 6 2 3 2_2.DATA" xfId="0"/>
    <cellStyle name="Normal 6 2 3 3" xfId="0"/>
    <cellStyle name="Normal 6 2 3 3 2" xfId="0"/>
    <cellStyle name="Normal 6 2 3 3 2 2" xfId="0"/>
    <cellStyle name="Normal 6 2 3 3 2_2.DATA" xfId="0"/>
    <cellStyle name="Normal 6 2 3 3 3" xfId="0"/>
    <cellStyle name="Normal 6 2 3 3_2.DATA" xfId="0"/>
    <cellStyle name="Normal 6 2 3 4" xfId="0"/>
    <cellStyle name="Normal 6 2 3 4 2" xfId="0"/>
    <cellStyle name="Normal 6 2 3 4_2.DATA" xfId="0"/>
    <cellStyle name="Normal 6 2 3 5" xfId="0"/>
    <cellStyle name="Normal 6 2 3_2.DATA" xfId="0"/>
    <cellStyle name="Normal 6 2 4" xfId="0"/>
    <cellStyle name="Normal 6 2 4 2" xfId="0"/>
    <cellStyle name="Normal 6 2 4 2 2" xfId="0"/>
    <cellStyle name="Normal 6 2 4 2 2 2" xfId="0"/>
    <cellStyle name="Normal 6 2 4 2 2_2.DATA" xfId="0"/>
    <cellStyle name="Normal 6 2 4 2 3" xfId="0"/>
    <cellStyle name="Normal 6 2 4 2_2.DATA" xfId="0"/>
    <cellStyle name="Normal 6 2 4 3" xfId="0"/>
    <cellStyle name="Normal 6 2 4 3 2" xfId="0"/>
    <cellStyle name="Normal 6 2 4 3_2.DATA" xfId="0"/>
    <cellStyle name="Normal 6 2 4 4" xfId="0"/>
    <cellStyle name="Normal 6 2 4_2.DATA" xfId="0"/>
    <cellStyle name="Normal 6 2 5" xfId="0"/>
    <cellStyle name="Normal 6 2 5 2" xfId="0"/>
    <cellStyle name="Normal 6 2 5 2 2" xfId="0"/>
    <cellStyle name="Normal 6 2 5 2_2.DATA" xfId="0"/>
    <cellStyle name="Normal 6 2 5 3" xfId="0"/>
    <cellStyle name="Normal 6 2 5_2.DATA" xfId="0"/>
    <cellStyle name="Normal 6 2 6" xfId="0"/>
    <cellStyle name="Normal 6 2 7" xfId="0"/>
    <cellStyle name="Normal 6 2 8" xfId="0"/>
    <cellStyle name="Normal 6 2 9" xfId="0"/>
    <cellStyle name="Normal 6 2_2.DATA" xfId="0"/>
    <cellStyle name="Normal 6 3" xfId="0"/>
    <cellStyle name="Normal 6 3 2" xfId="0"/>
    <cellStyle name="Normal 6 3 2 2" xfId="0"/>
    <cellStyle name="Normal 6 3 2 2 2" xfId="0"/>
    <cellStyle name="Normal 6 3 2 2 3" xfId="0"/>
    <cellStyle name="Normal 6 3 2 2_2.DATA" xfId="0"/>
    <cellStyle name="Normal 6 3 2 3" xfId="0"/>
    <cellStyle name="Normal 6 3 2 3 2" xfId="0"/>
    <cellStyle name="Normal 6 3 2 3 2 2" xfId="0"/>
    <cellStyle name="Normal 6 3 2 3 2_2.DATA" xfId="0"/>
    <cellStyle name="Normal 6 3 2 3 3" xfId="0"/>
    <cellStyle name="Normal 6 3 2 3_2.DATA" xfId="0"/>
    <cellStyle name="Normal 6 3 2 4" xfId="0"/>
    <cellStyle name="Normal 6 3 2 5" xfId="0"/>
    <cellStyle name="Normal 6 3 2 5 2" xfId="0"/>
    <cellStyle name="Normal 6 3 2 5_2.DATA" xfId="0"/>
    <cellStyle name="Normal 6 3 2 6" xfId="0"/>
    <cellStyle name="Normal 6 3 2_2.DATA" xfId="0"/>
    <cellStyle name="Normal 6 3 3" xfId="0"/>
    <cellStyle name="Normal 6 3 3 2" xfId="0"/>
    <cellStyle name="Normal 6 3 3 2 2" xfId="0"/>
    <cellStyle name="Normal 6 3 3 2_2.DATA" xfId="0"/>
    <cellStyle name="Normal 6 3 3 3" xfId="0"/>
    <cellStyle name="Normal 6 3 3_2.DATA" xfId="0"/>
    <cellStyle name="Normal 6 3 4" xfId="0"/>
    <cellStyle name="Normal 6 3 4 2" xfId="0"/>
    <cellStyle name="Normal 6 3 4 2 2" xfId="0"/>
    <cellStyle name="Normal 6 3 4 2_2.DATA" xfId="0"/>
    <cellStyle name="Normal 6 3 4 3" xfId="0"/>
    <cellStyle name="Normal 6 3 4_2.DATA" xfId="0"/>
    <cellStyle name="Normal 6 3 5" xfId="0"/>
    <cellStyle name="Normal 6 3 5 2" xfId="0"/>
    <cellStyle name="Normal 6 3 5 2 2" xfId="0"/>
    <cellStyle name="Normal 6 3 5 2_2.DATA" xfId="0"/>
    <cellStyle name="Normal 6 3 5 3" xfId="0"/>
    <cellStyle name="Normal 6 3 5_2.DATA" xfId="0"/>
    <cellStyle name="Normal 6 3 6" xfId="0"/>
    <cellStyle name="Normal 6 3 6 2" xfId="0"/>
    <cellStyle name="Normal 6 3 6_2.DATA" xfId="0"/>
    <cellStyle name="Normal 6 3 7" xfId="0"/>
    <cellStyle name="Normal 6 3_2.DATA" xfId="0"/>
    <cellStyle name="Normal 6 4" xfId="0"/>
    <cellStyle name="Normal 6 4 2" xfId="0"/>
    <cellStyle name="Normal 6 4 2 2" xfId="0"/>
    <cellStyle name="Normal 6 4 2 3" xfId="0"/>
    <cellStyle name="Normal 6 4 2_2.DATA" xfId="0"/>
    <cellStyle name="Normal 6 4 3" xfId="0"/>
    <cellStyle name="Normal 6 4 3 2" xfId="0"/>
    <cellStyle name="Normal 6 4 3 3" xfId="0"/>
    <cellStyle name="Normal 6 4_2.DATA" xfId="0"/>
    <cellStyle name="Normal 6 5" xfId="0"/>
    <cellStyle name="Normal 6 5 2" xfId="0"/>
    <cellStyle name="Normal 6 5 2 2" xfId="0"/>
    <cellStyle name="Normal 6 5 2_2.DATA" xfId="0"/>
    <cellStyle name="Normal 6 5 3" xfId="0"/>
    <cellStyle name="Normal 6 5_2.DATA" xfId="0"/>
    <cellStyle name="Normal 6 6" xfId="0"/>
    <cellStyle name="Normal 6 6 2" xfId="0"/>
    <cellStyle name="Normal 6 6 3" xfId="0"/>
    <cellStyle name="Normal 6 6_2.DATA" xfId="0"/>
    <cellStyle name="Normal 6 7" xfId="0"/>
    <cellStyle name="Normal 6 8" xfId="0"/>
    <cellStyle name="Normal 60" xfId="0"/>
    <cellStyle name="Normal 61" xfId="0"/>
    <cellStyle name="Normal 62" xfId="0"/>
    <cellStyle name="Normal 63" xfId="0"/>
    <cellStyle name="Normal 6_2.DATA" xfId="0"/>
    <cellStyle name="Normal 7" xfId="0"/>
    <cellStyle name="Normal 7 2" xfId="0"/>
    <cellStyle name="Normal 7 2 2" xfId="0"/>
    <cellStyle name="Normal 7 2 2 2" xfId="0"/>
    <cellStyle name="Normal 7 2 2 2 2" xfId="0"/>
    <cellStyle name="Normal 7 2 2 2 2 2" xfId="0"/>
    <cellStyle name="Normal 7 2 2 2 2_2.DATA" xfId="0"/>
    <cellStyle name="Normal 7 2 2 2 3" xfId="0"/>
    <cellStyle name="Normal 7 2 2 2_2.DATA" xfId="0"/>
    <cellStyle name="Normal 7 2 2 3" xfId="0"/>
    <cellStyle name="Normal 7 2 2 3 2" xfId="0"/>
    <cellStyle name="Normal 7 2 2 3 2 2" xfId="0"/>
    <cellStyle name="Normal 7 2 2 3 2_2.DATA" xfId="0"/>
    <cellStyle name="Normal 7 2 2 3 3" xfId="0"/>
    <cellStyle name="Normal 7 2 2 3_2.DATA" xfId="0"/>
    <cellStyle name="Normal 7 2 2 4" xfId="0"/>
    <cellStyle name="Normal 7 2 2 4 2" xfId="0"/>
    <cellStyle name="Normal 7 2 2 4_2.DATA" xfId="0"/>
    <cellStyle name="Normal 7 2 2 5" xfId="0"/>
    <cellStyle name="Normal 7 2 2_2.DATA" xfId="0"/>
    <cellStyle name="Normal 7 2 3" xfId="0"/>
    <cellStyle name="Normal 7 2 3 2" xfId="0"/>
    <cellStyle name="Normal 7 2 3 2 2" xfId="0"/>
    <cellStyle name="Normal 7 2 3 2 2 2" xfId="0"/>
    <cellStyle name="Normal 7 2 3 2 2_2.DATA" xfId="0"/>
    <cellStyle name="Normal 7 2 3 2 3" xfId="0"/>
    <cellStyle name="Normal 7 2 3 2_2.DATA" xfId="0"/>
    <cellStyle name="Normal 7 2 3 3" xfId="0"/>
    <cellStyle name="Normal 7 2 3 3 2" xfId="0"/>
    <cellStyle name="Normal 7 2 3 3 2 2" xfId="0"/>
    <cellStyle name="Normal 7 2 3 3 2_2.DATA" xfId="0"/>
    <cellStyle name="Normal 7 2 3 3 3" xfId="0"/>
    <cellStyle name="Normal 7 2 3 3_2.DATA" xfId="0"/>
    <cellStyle name="Normal 7 2 3 4" xfId="0"/>
    <cellStyle name="Normal 7 2 3 4 2" xfId="0"/>
    <cellStyle name="Normal 7 2 3 4_2.DATA" xfId="0"/>
    <cellStyle name="Normal 7 2 3 5" xfId="0"/>
    <cellStyle name="Normal 7 2 3_2.DATA" xfId="0"/>
    <cellStyle name="Normal 7 2 4" xfId="0"/>
    <cellStyle name="Normal 7 2 4 2" xfId="0"/>
    <cellStyle name="Normal 7 2 4 2 2" xfId="0"/>
    <cellStyle name="Normal 7 2 4 2 2 2" xfId="0"/>
    <cellStyle name="Normal 7 2 4 2 2_2.DATA" xfId="0"/>
    <cellStyle name="Normal 7 2 4 2 3" xfId="0"/>
    <cellStyle name="Normal 7 2 4 2_2.DATA" xfId="0"/>
    <cellStyle name="Normal 7 2 4 3" xfId="0"/>
    <cellStyle name="Normal 7 2 4 3 2" xfId="0"/>
    <cellStyle name="Normal 7 2 4 3_2.DATA" xfId="0"/>
    <cellStyle name="Normal 7 2 4 4" xfId="0"/>
    <cellStyle name="Normal 7 2 4_2.DATA" xfId="0"/>
    <cellStyle name="Normal 7 2 5" xfId="0"/>
    <cellStyle name="Normal 7 2 5 2" xfId="0"/>
    <cellStyle name="Normal 7 2 5 2 2" xfId="0"/>
    <cellStyle name="Normal 7 2 5 2_2.DATA" xfId="0"/>
    <cellStyle name="Normal 7 2 5 3" xfId="0"/>
    <cellStyle name="Normal 7 2 5_2.DATA" xfId="0"/>
    <cellStyle name="Normal 7 2 6" xfId="0"/>
    <cellStyle name="Normal 7 2 7" xfId="0"/>
    <cellStyle name="Normal 7 2_2.DATA" xfId="0"/>
    <cellStyle name="Normal 7 3" xfId="0"/>
    <cellStyle name="Normal 7 3 2" xfId="0"/>
    <cellStyle name="Normal 7 3 2 2" xfId="0"/>
    <cellStyle name="Normal 7 3 2 2 2" xfId="0"/>
    <cellStyle name="Normal 7 3 2 2 2 2" xfId="0"/>
    <cellStyle name="Normal 7 3 2 2 2_2.DATA" xfId="0"/>
    <cellStyle name="Normal 7 3 2 2 3" xfId="0"/>
    <cellStyle name="Normal 7 3 2 2_2.DATA" xfId="0"/>
    <cellStyle name="Normal 7 3 2 3" xfId="0"/>
    <cellStyle name="Normal 7 3 2 3 2" xfId="0"/>
    <cellStyle name="Normal 7 3 2 3_2.DATA" xfId="0"/>
    <cellStyle name="Normal 7 3 2 4" xfId="0"/>
    <cellStyle name="Normal 7 3 2_2.DATA" xfId="0"/>
    <cellStyle name="Normal 7 3 3" xfId="0"/>
    <cellStyle name="Normal 7 3 3 2" xfId="0"/>
    <cellStyle name="Normal 7 3 3 2 2" xfId="0"/>
    <cellStyle name="Normal 7 3 3 2_2.DATA" xfId="0"/>
    <cellStyle name="Normal 7 3 3 3" xfId="0"/>
    <cellStyle name="Normal 7 3 3_2.DATA" xfId="0"/>
    <cellStyle name="Normal 7 3 4" xfId="0"/>
    <cellStyle name="Normal 7 3 4 2" xfId="0"/>
    <cellStyle name="Normal 7 3 4 2 2" xfId="0"/>
    <cellStyle name="Normal 7 3 4 2_2.DATA" xfId="0"/>
    <cellStyle name="Normal 7 3 4 3" xfId="0"/>
    <cellStyle name="Normal 7 3 4_2.DATA" xfId="0"/>
    <cellStyle name="Normal 7 3 5" xfId="0"/>
    <cellStyle name="Normal 7 3 5 2" xfId="0"/>
    <cellStyle name="Normal 7 3 5 2 2" xfId="0"/>
    <cellStyle name="Normal 7 3 5 2_2.DATA" xfId="0"/>
    <cellStyle name="Normal 7 3 5 3" xfId="0"/>
    <cellStyle name="Normal 7 3 5_2.DATA" xfId="0"/>
    <cellStyle name="Normal 7 3 6" xfId="0"/>
    <cellStyle name="Normal 7 3 6 2" xfId="0"/>
    <cellStyle name="Normal 7 3 6_2.DATA" xfId="0"/>
    <cellStyle name="Normal 7 3 7" xfId="0"/>
    <cellStyle name="Normal 7 3_2.DATA" xfId="0"/>
    <cellStyle name="Normal 7 4" xfId="0"/>
    <cellStyle name="Normal 7 4 2" xfId="0"/>
    <cellStyle name="Normal 7 4 2 2" xfId="0"/>
    <cellStyle name="Normal 7 4 2 3" xfId="0"/>
    <cellStyle name="Normal 7 4 2_2.DATA" xfId="0"/>
    <cellStyle name="Normal 7 4 3" xfId="0"/>
    <cellStyle name="Normal 7 4 3 2" xfId="0"/>
    <cellStyle name="Normal 7 4 3 3" xfId="0"/>
    <cellStyle name="Normal 7 4_2.DATA" xfId="0"/>
    <cellStyle name="Normal 7 5" xfId="0"/>
    <cellStyle name="Normal 7 5 2" xfId="0"/>
    <cellStyle name="Normal 7 5 3" xfId="0"/>
    <cellStyle name="Normal 7 5_2.DATA" xfId="0"/>
    <cellStyle name="Normal 7 6" xfId="0"/>
    <cellStyle name="Normal 7_2.DATA" xfId="0"/>
    <cellStyle name="Normal 8" xfId="0"/>
    <cellStyle name="Normal 8 2" xfId="0"/>
    <cellStyle name="Normal 8 2 2" xfId="0"/>
    <cellStyle name="Normal 8 2 2 2" xfId="0"/>
    <cellStyle name="Normal 8 2 2 2 2" xfId="0"/>
    <cellStyle name="Normal 8 2 2 2 2 2" xfId="0"/>
    <cellStyle name="Normal 8 2 2 2 2_2.DATA" xfId="0"/>
    <cellStyle name="Normal 8 2 2 2 3" xfId="0"/>
    <cellStyle name="Normal 8 2 2 2_2.DATA" xfId="0"/>
    <cellStyle name="Normal 8 2 2 3" xfId="0"/>
    <cellStyle name="Normal 8 2 2 3 2" xfId="0"/>
    <cellStyle name="Normal 8 2 2 3 2 2" xfId="0"/>
    <cellStyle name="Normal 8 2 2 3 2_2.DATA" xfId="0"/>
    <cellStyle name="Normal 8 2 2 3 3" xfId="0"/>
    <cellStyle name="Normal 8 2 2 3_2.DATA" xfId="0"/>
    <cellStyle name="Normal 8 2 2 4" xfId="0"/>
    <cellStyle name="Normal 8 2 2 4 2" xfId="0"/>
    <cellStyle name="Normal 8 2 2 4_2.DATA" xfId="0"/>
    <cellStyle name="Normal 8 2 2 5" xfId="0"/>
    <cellStyle name="Normal 8 2 2_2.DATA" xfId="0"/>
    <cellStyle name="Normal 8 2 3" xfId="0"/>
    <cellStyle name="Normal 8 2 3 2" xfId="0"/>
    <cellStyle name="Normal 8 2 3 2 2" xfId="0"/>
    <cellStyle name="Normal 8 2 3 2 2 2" xfId="0"/>
    <cellStyle name="Normal 8 2 3 2 2_2.DATA" xfId="0"/>
    <cellStyle name="Normal 8 2 3 2 3" xfId="0"/>
    <cellStyle name="Normal 8 2 3 2_2.DATA" xfId="0"/>
    <cellStyle name="Normal 8 2 3 3" xfId="0"/>
    <cellStyle name="Normal 8 2 3 3 2" xfId="0"/>
    <cellStyle name="Normal 8 2 3 3 2 2" xfId="0"/>
    <cellStyle name="Normal 8 2 3 3 2_2.DATA" xfId="0"/>
    <cellStyle name="Normal 8 2 3 3 3" xfId="0"/>
    <cellStyle name="Normal 8 2 3 3_2.DATA" xfId="0"/>
    <cellStyle name="Normal 8 2 3 4" xfId="0"/>
    <cellStyle name="Normal 8 2 3 4 2" xfId="0"/>
    <cellStyle name="Normal 8 2 3 4_2.DATA" xfId="0"/>
    <cellStyle name="Normal 8 2 3 5" xfId="0"/>
    <cellStyle name="Normal 8 2 3_2.DATA" xfId="0"/>
    <cellStyle name="Normal 8 2 4" xfId="0"/>
    <cellStyle name="Normal 8 2 4 2" xfId="0"/>
    <cellStyle name="Normal 8 2 4 2 2" xfId="0"/>
    <cellStyle name="Normal 8 2 4 2 2 2" xfId="0"/>
    <cellStyle name="Normal 8 2 4 2 2_2.DATA" xfId="0"/>
    <cellStyle name="Normal 8 2 4 2 3" xfId="0"/>
    <cellStyle name="Normal 8 2 4 2_2.DATA" xfId="0"/>
    <cellStyle name="Normal 8 2 4 3" xfId="0"/>
    <cellStyle name="Normal 8 2 4 3 2" xfId="0"/>
    <cellStyle name="Normal 8 2 4 3_2.DATA" xfId="0"/>
    <cellStyle name="Normal 8 2 4 4" xfId="0"/>
    <cellStyle name="Normal 8 2 4_2.DATA" xfId="0"/>
    <cellStyle name="Normal 8 2 5" xfId="0"/>
    <cellStyle name="Normal 8 2 5 2" xfId="0"/>
    <cellStyle name="Normal 8 2 5 2 2" xfId="0"/>
    <cellStyle name="Normal 8 2 5 2_2.DATA" xfId="0"/>
    <cellStyle name="Normal 8 2 5 3" xfId="0"/>
    <cellStyle name="Normal 8 2 5_2.DATA" xfId="0"/>
    <cellStyle name="Normal 8 2 6" xfId="0"/>
    <cellStyle name="Normal 8 2 6 2" xfId="0"/>
    <cellStyle name="Normal 8 2 6 2 2" xfId="0"/>
    <cellStyle name="Normal 8 2 6 2_2.DATA" xfId="0"/>
    <cellStyle name="Normal 8 2 6 3" xfId="0"/>
    <cellStyle name="Normal 8 2 6_2.DATA" xfId="0"/>
    <cellStyle name="Normal 8 2 7" xfId="0"/>
    <cellStyle name="Normal 8 2 7 2" xfId="0"/>
    <cellStyle name="Normal 8 2 7_2.DATA" xfId="0"/>
    <cellStyle name="Normal 8 2 8" xfId="0"/>
    <cellStyle name="Normal 8 2_2.DATA" xfId="0"/>
    <cellStyle name="Normal 8 3" xfId="0"/>
    <cellStyle name="Normal 8 3 2" xfId="0"/>
    <cellStyle name="Normal 8 3 2 2" xfId="0"/>
    <cellStyle name="Normal 8 3 2 2 2" xfId="0"/>
    <cellStyle name="Normal 8 3 2 2_2.DATA" xfId="0"/>
    <cellStyle name="Normal 8 3 2 3" xfId="0"/>
    <cellStyle name="Normal 8 3 2_2.DATA" xfId="0"/>
    <cellStyle name="Normal 8 3 3" xfId="0"/>
    <cellStyle name="Normal 8 3 3 2" xfId="0"/>
    <cellStyle name="Normal 8 3 3_2.DATA" xfId="0"/>
    <cellStyle name="Normal 8 3 4" xfId="0"/>
    <cellStyle name="Normal 8 3_2.DATA" xfId="0"/>
    <cellStyle name="Normal 8 4" xfId="0"/>
    <cellStyle name="Normal 8 4 2" xfId="0"/>
    <cellStyle name="Normal 8 4 2 2" xfId="0"/>
    <cellStyle name="Normal 8 4 2_2.DATA" xfId="0"/>
    <cellStyle name="Normal 8 4 3" xfId="0"/>
    <cellStyle name="Normal 8 4_2.DATA" xfId="0"/>
    <cellStyle name="Normal 8 5" xfId="0"/>
    <cellStyle name="Normal 8 5 2" xfId="0"/>
    <cellStyle name="Normal 8 5_2.DATA" xfId="0"/>
    <cellStyle name="Normal 8 6" xfId="0"/>
    <cellStyle name="Normal 8_2.DATA" xfId="0"/>
    <cellStyle name="Normal 9" xfId="0"/>
    <cellStyle name="Normal 9 2" xfId="0"/>
    <cellStyle name="Normal 9 2 2" xfId="0"/>
    <cellStyle name="Normal 9 2 2 2" xfId="0"/>
    <cellStyle name="Normal 9 2 2 2 2" xfId="0"/>
    <cellStyle name="Normal 9 2 2 2 3" xfId="0"/>
    <cellStyle name="Normal 9 2 2 2_2.DATA" xfId="0"/>
    <cellStyle name="Normal 9 2 2 3" xfId="0"/>
    <cellStyle name="Normal 9 2 2 4" xfId="0"/>
    <cellStyle name="Normal 9 2 2_2.DATA" xfId="0"/>
    <cellStyle name="Normal 9 2 3" xfId="0"/>
    <cellStyle name="Normal 9 2 3 2" xfId="0"/>
    <cellStyle name="Normal 9 2 3 2 2" xfId="0"/>
    <cellStyle name="Normal 9 2 3 2_2.DATA" xfId="0"/>
    <cellStyle name="Normal 9 2 3 3" xfId="0"/>
    <cellStyle name="Normal 9 2 3_2.DATA" xfId="0"/>
    <cellStyle name="Normal 9 2 4" xfId="0"/>
    <cellStyle name="Normal 9 2 4 2" xfId="0"/>
    <cellStyle name="Normal 9 2 4_2.DATA" xfId="0"/>
    <cellStyle name="Normal 9 2 5" xfId="0"/>
    <cellStyle name="Normal 9 2_2.DATA" xfId="0"/>
    <cellStyle name="Normal 9 3" xfId="0"/>
    <cellStyle name="Normal 9 3 2" xfId="0"/>
    <cellStyle name="Normal 9 3 2 2" xfId="0"/>
    <cellStyle name="Normal 9 3 2 2 2" xfId="0"/>
    <cellStyle name="Normal 9 3 2 3" xfId="0"/>
    <cellStyle name="Normal 9 3 2 4" xfId="0"/>
    <cellStyle name="Normal 9 3 2_2.DATA" xfId="0"/>
    <cellStyle name="Normal 9 3 3" xfId="0"/>
    <cellStyle name="Normal 9 3 3 2" xfId="0"/>
    <cellStyle name="Normal 9 3 3 3" xfId="0"/>
    <cellStyle name="Normal 9 3 3 4" xfId="0"/>
    <cellStyle name="Normal 9 3 4" xfId="0"/>
    <cellStyle name="Normal 9 3_2.DATA" xfId="0"/>
    <cellStyle name="Normal 9 4" xfId="0"/>
    <cellStyle name="Normal 9 4 2" xfId="0"/>
    <cellStyle name="Normal 9 4 2 2" xfId="0"/>
    <cellStyle name="Normal 9 4 2 3" xfId="0"/>
    <cellStyle name="Normal 9 4 2_2.DATA" xfId="0"/>
    <cellStyle name="Normal 9 4 3" xfId="0"/>
    <cellStyle name="Normal 9 4 4" xfId="0"/>
    <cellStyle name="Normal 9 4_2.DATA" xfId="0"/>
    <cellStyle name="Normal 9 5" xfId="0"/>
    <cellStyle name="Normal 9 5 2" xfId="0"/>
    <cellStyle name="Normal 9 5 3" xfId="0"/>
    <cellStyle name="Normal 9 5_2.DATA" xfId="0"/>
    <cellStyle name="Normal 9 6" xfId="0"/>
    <cellStyle name="Normal 9 6 2" xfId="0"/>
    <cellStyle name="Normal 9 6 3" xfId="0"/>
    <cellStyle name="Normal 9_2.DATA" xfId="0"/>
    <cellStyle name="Note 10" xfId="0"/>
    <cellStyle name="Note 10 2" xfId="0"/>
    <cellStyle name="Note 10_2.DATA" xfId="0"/>
    <cellStyle name="Note 11" xfId="0"/>
    <cellStyle name="Note 11 2" xfId="0"/>
    <cellStyle name="Note 11_2.DATA" xfId="0"/>
    <cellStyle name="Note 12" xfId="0"/>
    <cellStyle name="Note 12 2" xfId="0"/>
    <cellStyle name="Note 12_2.DATA" xfId="0"/>
    <cellStyle name="Note 13" xfId="0"/>
    <cellStyle name="Note 13 2" xfId="0"/>
    <cellStyle name="Note 13_2.DATA" xfId="0"/>
    <cellStyle name="Note 14" xfId="0"/>
    <cellStyle name="Note 14 2" xfId="0"/>
    <cellStyle name="Note 14_2.DATA" xfId="0"/>
    <cellStyle name="Note 15" xfId="0"/>
    <cellStyle name="Note 15 2" xfId="0"/>
    <cellStyle name="Note 15_2.DATA" xfId="0"/>
    <cellStyle name="Note 16" xfId="0"/>
    <cellStyle name="Note 16 2" xfId="0"/>
    <cellStyle name="Note 16_2.DATA" xfId="0"/>
    <cellStyle name="Note 2" xfId="0"/>
    <cellStyle name="Note 2 2" xfId="0"/>
    <cellStyle name="Note 2 2 2" xfId="0"/>
    <cellStyle name="Note 2 2 2 2" xfId="0"/>
    <cellStyle name="Note 2 2 2 2 2" xfId="0"/>
    <cellStyle name="Note 2 2 2 2_2.DATA" xfId="0"/>
    <cellStyle name="Note 2 2 2 3" xfId="0"/>
    <cellStyle name="Note 2 2 2_2.DATA" xfId="0"/>
    <cellStyle name="Note 2 2 3" xfId="0"/>
    <cellStyle name="Note 2 2 3 2" xfId="0"/>
    <cellStyle name="Note 2 2 3 2 2" xfId="0"/>
    <cellStyle name="Note 2 2 3 2_2.DATA" xfId="0"/>
    <cellStyle name="Note 2 2 3 3" xfId="0"/>
    <cellStyle name="Note 2 2 3_2.DATA" xfId="0"/>
    <cellStyle name="Note 2 2 4" xfId="0"/>
    <cellStyle name="Note 2 2 4 2" xfId="0"/>
    <cellStyle name="Note 2 2 4 3" xfId="0"/>
    <cellStyle name="Note 2 2 4_2.DATA" xfId="0"/>
    <cellStyle name="Note 2 2 5" xfId="0"/>
    <cellStyle name="Note 2 2 6" xfId="0"/>
    <cellStyle name="Note 2 2 6 2" xfId="0"/>
    <cellStyle name="Note 2 2 7" xfId="0"/>
    <cellStyle name="Note 2 2_2.DATA" xfId="0"/>
    <cellStyle name="Note 2 3" xfId="0"/>
    <cellStyle name="Note 2 3 2" xfId="0"/>
    <cellStyle name="Note 2 3 2 2" xfId="0"/>
    <cellStyle name="Note 2 3 2 2 2" xfId="0"/>
    <cellStyle name="Note 2 3 2 2_2.DATA" xfId="0"/>
    <cellStyle name="Note 2 3 2 3" xfId="0"/>
    <cellStyle name="Note 2 3 2_2.DATA" xfId="0"/>
    <cellStyle name="Note 2 3 3" xfId="0"/>
    <cellStyle name="Note 2 3 3 2" xfId="0"/>
    <cellStyle name="Note 2 3 3 2 2" xfId="0"/>
    <cellStyle name="Note 2 3 3 2_2.DATA" xfId="0"/>
    <cellStyle name="Note 2 3 3 3" xfId="0"/>
    <cellStyle name="Note 2 3 3_2.DATA" xfId="0"/>
    <cellStyle name="Note 2 3 4" xfId="0"/>
    <cellStyle name="Note 2 3 4 2" xfId="0"/>
    <cellStyle name="Note 2 3 4_2.DATA" xfId="0"/>
    <cellStyle name="Note 2 3 5" xfId="0"/>
    <cellStyle name="Note 2 3 6" xfId="0"/>
    <cellStyle name="Note 2 3 7" xfId="0"/>
    <cellStyle name="Note 2 3_2.DATA" xfId="0"/>
    <cellStyle name="Note 2 4" xfId="0"/>
    <cellStyle name="Note 2 4 2" xfId="0"/>
    <cellStyle name="Note 2 4 2 2" xfId="0"/>
    <cellStyle name="Note 2 4 2 3" xfId="0"/>
    <cellStyle name="Note 2 4 2_2.DATA" xfId="0"/>
    <cellStyle name="Note 2 4 3" xfId="0"/>
    <cellStyle name="Note 2 4 4" xfId="0"/>
    <cellStyle name="Note 2 4 5" xfId="0"/>
    <cellStyle name="Note 2 4 6" xfId="0"/>
    <cellStyle name="Note 2 4_2.DATA" xfId="0"/>
    <cellStyle name="Note 2 5" xfId="0"/>
    <cellStyle name="Note 2 5 2" xfId="0"/>
    <cellStyle name="Note 2 5 2 2" xfId="0"/>
    <cellStyle name="Note 2 5 2_2.DATA" xfId="0"/>
    <cellStyle name="Note 2 5 3" xfId="0"/>
    <cellStyle name="Note 2 5_2.DATA" xfId="0"/>
    <cellStyle name="Note 2 6" xfId="0"/>
    <cellStyle name="Note 2 6 2" xfId="0"/>
    <cellStyle name="Note 2 6_2.DATA" xfId="0"/>
    <cellStyle name="Note 2 7" xfId="0"/>
    <cellStyle name="Note 2 8" xfId="0"/>
    <cellStyle name="Note 2 9" xfId="0"/>
    <cellStyle name="Note 2_2.DATA" xfId="0"/>
    <cellStyle name="Note 3" xfId="0"/>
    <cellStyle name="Note 3 2" xfId="0"/>
    <cellStyle name="Note 3 2 2" xfId="0"/>
    <cellStyle name="Note 3 2 2 2" xfId="0"/>
    <cellStyle name="Note 3 2 2 2 2" xfId="0"/>
    <cellStyle name="Note 3 2 2 3" xfId="0"/>
    <cellStyle name="Note 3 2 2 4" xfId="0"/>
    <cellStyle name="Note 3 2 2_2.DATA" xfId="0"/>
    <cellStyle name="Note 3 2 3" xfId="0"/>
    <cellStyle name="Note 3 2 3 2" xfId="0"/>
    <cellStyle name="Note 3 2 4" xfId="0"/>
    <cellStyle name="Note 3 2 5" xfId="0"/>
    <cellStyle name="Note 3 2 6" xfId="0"/>
    <cellStyle name="Note 3 2_2.DATA" xfId="0"/>
    <cellStyle name="Note 3 3" xfId="0"/>
    <cellStyle name="Note 3 3 2" xfId="0"/>
    <cellStyle name="Note 3 3 2 2" xfId="0"/>
    <cellStyle name="Note 3 3 2 2 2" xfId="0"/>
    <cellStyle name="Note 3 3 2 3" xfId="0"/>
    <cellStyle name="Note 3 3 2 4" xfId="0"/>
    <cellStyle name="Note 3 3 2_2.DATA" xfId="0"/>
    <cellStyle name="Note 3 3 3" xfId="0"/>
    <cellStyle name="Note 3 3 3 2" xfId="0"/>
    <cellStyle name="Note 3 3 4" xfId="0"/>
    <cellStyle name="Note 3 3 5" xfId="0"/>
    <cellStyle name="Note 3 3 6" xfId="0"/>
    <cellStyle name="Note 3 3_2.DATA" xfId="0"/>
    <cellStyle name="Note 3 4" xfId="0"/>
    <cellStyle name="Note 3 4 2" xfId="0"/>
    <cellStyle name="Note 3 4 2 2" xfId="0"/>
    <cellStyle name="Note 3 4 3" xfId="0"/>
    <cellStyle name="Note 3 4 4" xfId="0"/>
    <cellStyle name="Note 3 4_2.DATA" xfId="0"/>
    <cellStyle name="Note 3 5" xfId="0"/>
    <cellStyle name="Note 3 5 2" xfId="0"/>
    <cellStyle name="Note 3 6" xfId="0"/>
    <cellStyle name="Note 3 7" xfId="0"/>
    <cellStyle name="Note 3 8" xfId="0"/>
    <cellStyle name="Note 3_2.DATA" xfId="0"/>
    <cellStyle name="Note 4" xfId="0"/>
    <cellStyle name="Note 4 2" xfId="0"/>
    <cellStyle name="Note 4 2 2" xfId="0"/>
    <cellStyle name="Note 4 2 2 2" xfId="0"/>
    <cellStyle name="Note 4 2 2 2 2" xfId="0"/>
    <cellStyle name="Note 4 2 2 3" xfId="0"/>
    <cellStyle name="Note 4 2 3" xfId="0"/>
    <cellStyle name="Note 4 2 3 2" xfId="0"/>
    <cellStyle name="Note 4 2 4" xfId="0"/>
    <cellStyle name="Note 4 2 5" xfId="0"/>
    <cellStyle name="Note 4 2_2.DATA" xfId="0"/>
    <cellStyle name="Note 4 3" xfId="0"/>
    <cellStyle name="Note 4 3 2" xfId="0"/>
    <cellStyle name="Note 4 3 2 2" xfId="0"/>
    <cellStyle name="Note 4 3 2 2 2" xfId="0"/>
    <cellStyle name="Note 4 3 2 3" xfId="0"/>
    <cellStyle name="Note 4 3 3" xfId="0"/>
    <cellStyle name="Note 4 3 3 2" xfId="0"/>
    <cellStyle name="Note 4 3 4" xfId="0"/>
    <cellStyle name="Note 4 4" xfId="0"/>
    <cellStyle name="Note 4 4 2" xfId="0"/>
    <cellStyle name="Note 4 4 2 2" xfId="0"/>
    <cellStyle name="Note 4 4 3" xfId="0"/>
    <cellStyle name="Note 4 5" xfId="0"/>
    <cellStyle name="Note 4 5 2" xfId="0"/>
    <cellStyle name="Note 4 6" xfId="0"/>
    <cellStyle name="Note 4 7" xfId="0"/>
    <cellStyle name="Note 4_2.DATA" xfId="0"/>
    <cellStyle name="Note 5" xfId="0"/>
    <cellStyle name="Note 5 2" xfId="0"/>
    <cellStyle name="Note 5 2 2" xfId="0"/>
    <cellStyle name="Note 5 2 2 2" xfId="0"/>
    <cellStyle name="Note 5 2 2 2 2" xfId="0"/>
    <cellStyle name="Note 5 2 2 3" xfId="0"/>
    <cellStyle name="Note 5 2 3" xfId="0"/>
    <cellStyle name="Note 5 2 3 2" xfId="0"/>
    <cellStyle name="Note 5 2 4" xfId="0"/>
    <cellStyle name="Note 5 2 5" xfId="0"/>
    <cellStyle name="Note 5 2_2.DATA" xfId="0"/>
    <cellStyle name="Note 5 3" xfId="0"/>
    <cellStyle name="Note 5 3 2" xfId="0"/>
    <cellStyle name="Note 5 3 2 2" xfId="0"/>
    <cellStyle name="Note 5 3 3" xfId="0"/>
    <cellStyle name="Note 5 4" xfId="0"/>
    <cellStyle name="Note 5 4 2" xfId="0"/>
    <cellStyle name="Note 5 5" xfId="0"/>
    <cellStyle name="Note 5 6" xfId="0"/>
    <cellStyle name="Note 5_2.DATA" xfId="0"/>
    <cellStyle name="Note 6" xfId="0"/>
    <cellStyle name="Note 6 2" xfId="0"/>
    <cellStyle name="Note 6 2 2" xfId="0"/>
    <cellStyle name="Note 6 2_2.DATA" xfId="0"/>
    <cellStyle name="Note 6 3" xfId="0"/>
    <cellStyle name="Note 6_2.DATA" xfId="0"/>
    <cellStyle name="Note 7" xfId="0"/>
    <cellStyle name="Note 7 2" xfId="0"/>
    <cellStyle name="Note 7 2 2" xfId="0"/>
    <cellStyle name="Note 7 2_2.DATA" xfId="0"/>
    <cellStyle name="Note 7 3" xfId="0"/>
    <cellStyle name="Note 7_2.DATA" xfId="0"/>
    <cellStyle name="Note 8" xfId="0"/>
    <cellStyle name="Note 8 2" xfId="0"/>
    <cellStyle name="Note 8 2 2" xfId="0"/>
    <cellStyle name="Note 8 2_2.DATA" xfId="0"/>
    <cellStyle name="Note 8 3" xfId="0"/>
    <cellStyle name="Note 8_2.DATA" xfId="0"/>
    <cellStyle name="Note 9" xfId="0"/>
    <cellStyle name="Note 9 2" xfId="0"/>
    <cellStyle name="Note 9 2 2" xfId="0"/>
    <cellStyle name="Note 9 2_2.DATA" xfId="0"/>
    <cellStyle name="Note 9 3" xfId="0"/>
    <cellStyle name="Note 9_2.DATA" xfId="0"/>
    <cellStyle name="Output 2" xfId="0"/>
    <cellStyle name="Output 2 2" xfId="0"/>
    <cellStyle name="Output 2 2 2" xfId="0"/>
    <cellStyle name="Output 2 2 2 2" xfId="0"/>
    <cellStyle name="Output 2 2 2 3" xfId="0"/>
    <cellStyle name="Output 2 2 2 4" xfId="0"/>
    <cellStyle name="Output 2 2 2_BC Valid CC Listing" xfId="0"/>
    <cellStyle name="Output 2 2 3" xfId="0"/>
    <cellStyle name="Output 2 2 4" xfId="0"/>
    <cellStyle name="Output 2 2 5" xfId="0"/>
    <cellStyle name="Output 2 2_BC Valid CC Listing" xfId="0"/>
    <cellStyle name="Output 2 3" xfId="0"/>
    <cellStyle name="Output 2 3 2" xfId="0"/>
    <cellStyle name="Output 2 3 3" xfId="0"/>
    <cellStyle name="Output 2 3 4" xfId="0"/>
    <cellStyle name="Output 2 3_BC Valid CC Listing" xfId="0"/>
    <cellStyle name="Output 2 4" xfId="0"/>
    <cellStyle name="Output 2 5" xfId="0"/>
    <cellStyle name="Output 2 6" xfId="0"/>
    <cellStyle name="Output 2 7" xfId="0"/>
    <cellStyle name="Output 2 8" xfId="0"/>
    <cellStyle name="Output 2_BC Valid CC Listing" xfId="0"/>
    <cellStyle name="Output 3" xfId="0"/>
    <cellStyle name="Output 3 2" xfId="0"/>
    <cellStyle name="Output 3 3" xfId="0"/>
    <cellStyle name="Output 3_2.DATA" xfId="0"/>
    <cellStyle name="Output 4" xfId="0"/>
    <cellStyle name="Output 5" xfId="0"/>
    <cellStyle name="Output Amounts" xfId="0"/>
    <cellStyle name="Output Column Headings" xfId="0"/>
    <cellStyle name="Output Line Items" xfId="0"/>
    <cellStyle name="Output Report Heading" xfId="0"/>
    <cellStyle name="Output Report Title" xfId="0"/>
    <cellStyle name="Percent 10" xfId="0"/>
    <cellStyle name="Percent 10 2" xfId="0"/>
    <cellStyle name="Percent 11" xfId="0"/>
    <cellStyle name="Percent 11 2" xfId="0"/>
    <cellStyle name="Percent 12" xfId="0"/>
    <cellStyle name="Percent 12 2" xfId="0"/>
    <cellStyle name="Percent 13" xfId="0"/>
    <cellStyle name="Percent 13 2" xfId="0"/>
    <cellStyle name="Percent 14" xfId="0"/>
    <cellStyle name="Percent 14 2" xfId="0"/>
    <cellStyle name="Percent 2" xfId="0"/>
    <cellStyle name="Percent 2 2" xfId="0"/>
    <cellStyle name="Percent 2 2 2" xfId="0"/>
    <cellStyle name="Percent 2 2 2 2" xfId="0"/>
    <cellStyle name="Percent 2 2 2 2 2" xfId="0"/>
    <cellStyle name="Percent 2 2 2 2 3" xfId="0"/>
    <cellStyle name="Percent 2 2 2 3" xfId="0"/>
    <cellStyle name="Percent 2 2 2 4" xfId="0"/>
    <cellStyle name="Percent 2 2 3" xfId="0"/>
    <cellStyle name="Percent 2 2 3 2" xfId="0"/>
    <cellStyle name="Percent 2 2 3 2 2" xfId="0"/>
    <cellStyle name="Percent 2 2 3 3" xfId="0"/>
    <cellStyle name="Percent 2 2 4" xfId="0"/>
    <cellStyle name="Percent 2 2 4 2" xfId="0"/>
    <cellStyle name="Percent 2 2 5" xfId="0"/>
    <cellStyle name="Percent 2 2 5 2" xfId="0"/>
    <cellStyle name="Percent 2 3" xfId="0"/>
    <cellStyle name="Percent 2 3 2" xfId="0"/>
    <cellStyle name="Percent 2 3 2 2" xfId="0"/>
    <cellStyle name="Percent 2 3 2 2 2" xfId="0"/>
    <cellStyle name="Percent 2 3 2 3" xfId="0"/>
    <cellStyle name="Percent 2 3 3" xfId="0"/>
    <cellStyle name="Percent 2 3 3 2" xfId="0"/>
    <cellStyle name="Percent 2 3 3 2 2" xfId="0"/>
    <cellStyle name="Percent 2 3 3 3" xfId="0"/>
    <cellStyle name="Percent 2 3 4" xfId="0"/>
    <cellStyle name="Percent 2 3 4 2" xfId="0"/>
    <cellStyle name="Percent 2 3 5" xfId="0"/>
    <cellStyle name="Percent 2 3 6" xfId="0"/>
    <cellStyle name="Percent 2 4" xfId="0"/>
    <cellStyle name="Percent 2 4 2" xfId="0"/>
    <cellStyle name="Percent 2 4 2 2" xfId="0"/>
    <cellStyle name="Percent 2 4 2 3" xfId="0"/>
    <cellStyle name="Percent 2 4 3" xfId="0"/>
    <cellStyle name="Percent 2 4 4" xfId="0"/>
    <cellStyle name="Percent 2 4 4 2" xfId="0"/>
    <cellStyle name="Percent 2 4 5" xfId="0"/>
    <cellStyle name="Percent 2 5" xfId="0"/>
    <cellStyle name="Percent 2 5 2" xfId="0"/>
    <cellStyle name="Percent 2 5 2 2" xfId="0"/>
    <cellStyle name="Percent 2 5 3" xfId="0"/>
    <cellStyle name="Percent 2 6" xfId="0"/>
    <cellStyle name="Percent 2 6 2" xfId="0"/>
    <cellStyle name="Percent 2 7" xfId="0"/>
    <cellStyle name="Percent 3" xfId="0"/>
    <cellStyle name="Percent 3 2" xfId="0"/>
    <cellStyle name="Percent 3 2 2" xfId="0"/>
    <cellStyle name="Percent 3 2 2 2" xfId="0"/>
    <cellStyle name="Percent 3 2 2 3" xfId="0"/>
    <cellStyle name="Percent 3 2 3" xfId="0"/>
    <cellStyle name="Percent 3 2 4" xfId="0"/>
    <cellStyle name="Percent 3 2 5" xfId="0"/>
    <cellStyle name="Percent 3 3" xfId="0"/>
    <cellStyle name="Percent 3 3 2" xfId="0"/>
    <cellStyle name="Percent 3 3 2 2" xfId="0"/>
    <cellStyle name="Percent 3 3 3" xfId="0"/>
    <cellStyle name="Percent 3 4" xfId="0"/>
    <cellStyle name="Percent 3 4 2" xfId="0"/>
    <cellStyle name="Percent 3 5" xfId="0"/>
    <cellStyle name="Percent 4" xfId="0"/>
    <cellStyle name="Percent 4 2" xfId="0"/>
    <cellStyle name="Percent 4 2 2" xfId="0"/>
    <cellStyle name="Percent 4 3" xfId="0"/>
    <cellStyle name="Percent 5" xfId="0"/>
    <cellStyle name="Percent 5 2" xfId="0"/>
    <cellStyle name="Percent 5 2 2" xfId="0"/>
    <cellStyle name="Percent 5 2 2 2" xfId="0"/>
    <cellStyle name="Percent 5 2 3" xfId="0"/>
    <cellStyle name="Percent 5 2 4" xfId="0"/>
    <cellStyle name="Percent 5 3" xfId="0"/>
    <cellStyle name="Percent 5 3 2" xfId="0"/>
    <cellStyle name="Percent 5 3 3" xfId="0"/>
    <cellStyle name="Percent 5 3 4" xfId="0"/>
    <cellStyle name="Percent 5 4" xfId="0"/>
    <cellStyle name="Percent 6" xfId="0"/>
    <cellStyle name="Percent 6 2" xfId="0"/>
    <cellStyle name="Percent 6 2 2" xfId="0"/>
    <cellStyle name="Percent 6 3" xfId="0"/>
    <cellStyle name="Percent 6 3 2" xfId="0"/>
    <cellStyle name="Percent 6 4" xfId="0"/>
    <cellStyle name="Percent 7" xfId="0"/>
    <cellStyle name="Percent 7 2" xfId="0"/>
    <cellStyle name="Percent 7 2 2" xfId="0"/>
    <cellStyle name="Percent 7 3" xfId="0"/>
    <cellStyle name="Percent 7 3 2" xfId="0"/>
    <cellStyle name="Percent 7 4" xfId="0"/>
    <cellStyle name="Percent 8" xfId="0"/>
    <cellStyle name="Percent 8 2" xfId="0"/>
    <cellStyle name="Percent 8 3" xfId="0"/>
    <cellStyle name="Percent 8 4" xfId="0"/>
    <cellStyle name="Percent 9" xfId="0"/>
    <cellStyle name="Percent 9 2" xfId="0"/>
    <cellStyle name="Period Title" xfId="0"/>
    <cellStyle name="Presentation Currency" xfId="0"/>
    <cellStyle name="Presentation Date" xfId="0"/>
    <cellStyle name="Presentation Heading 1" xfId="0"/>
    <cellStyle name="Presentation Heading 2" xfId="0"/>
    <cellStyle name="Presentation Heading 3" xfId="0"/>
    <cellStyle name="Presentation Heading 4" xfId="0"/>
    <cellStyle name="Presentation Hyperlink Arrow" xfId="0"/>
    <cellStyle name="Presentation Hyperlink Check" xfId="0"/>
    <cellStyle name="Presentation Hyperlink Text" xfId="0"/>
    <cellStyle name="Presentation Model Name" xfId="0"/>
    <cellStyle name="Presentation Multiple" xfId="0"/>
    <cellStyle name="Presentation Normal" xfId="0"/>
    <cellStyle name="Presentation Number" xfId="0"/>
    <cellStyle name="Presentation Percentage" xfId="0"/>
    <cellStyle name="Presentation Period Title" xfId="0"/>
    <cellStyle name="Presentation Section Number" xfId="0"/>
    <cellStyle name="Presentation Sheet Title" xfId="0"/>
    <cellStyle name="Presentation Year" xfId="0"/>
    <cellStyle name="Right Currency" xfId="0"/>
    <cellStyle name="Right Date" xfId="0"/>
    <cellStyle name="Right Multiple" xfId="0"/>
    <cellStyle name="Right Number" xfId="0"/>
    <cellStyle name="Right Percentage" xfId="0"/>
    <cellStyle name="Right Year" xfId="0"/>
    <cellStyle name="Section Number" xfId="0"/>
    <cellStyle name="Sheet Title" xfId="0"/>
    <cellStyle name="Standard_DACH_MA" xfId="0"/>
    <cellStyle name="Style 1" xfId="0"/>
    <cellStyle name="STYLE1" xfId="0"/>
    <cellStyle name="STYLE1 2" xfId="0"/>
    <cellStyle name="STYLE1_BNYTDCON " xfId="0"/>
    <cellStyle name="STYLE2" xfId="0"/>
    <cellStyle name="STYLE2 2" xfId="0"/>
    <cellStyle name="STYLE2 3" xfId="0"/>
    <cellStyle name="STYLE3" xfId="0"/>
    <cellStyle name="STYLE3 2" xfId="0"/>
    <cellStyle name="STYLE3 3" xfId="0"/>
    <cellStyle name="STYLE3_CF CONSOL" xfId="0"/>
    <cellStyle name="STYLE4" xfId="0"/>
    <cellStyle name="STYLE4 2" xfId="0"/>
    <cellStyle name="STYLE4 3" xfId="0"/>
    <cellStyle name="STYLE4_CF CONSOL" xfId="0"/>
    <cellStyle name="STYLE5" xfId="0"/>
    <cellStyle name="STYLE5 2" xfId="0"/>
    <cellStyle name="STYLE6" xfId="0"/>
    <cellStyle name="STYLE6 2" xfId="0"/>
    <cellStyle name="STYLE7" xfId="0"/>
    <cellStyle name="STYLE7 2" xfId="0"/>
    <cellStyle name="STYLE8" xfId="0"/>
    <cellStyle name="STYLE8 2" xfId="0"/>
    <cellStyle name="STYLE9" xfId="0"/>
    <cellStyle name="Text Line" xfId="0"/>
    <cellStyle name="Text Line + borders" xfId="0"/>
    <cellStyle name="Title 2" xfId="0"/>
    <cellStyle name="Title 2 2" xfId="0"/>
    <cellStyle name="Title 2 3" xfId="0"/>
    <cellStyle name="Title 2 4" xfId="0"/>
    <cellStyle name="TOC 1" xfId="0"/>
    <cellStyle name="TOC 2" xfId="0"/>
    <cellStyle name="TOC 3" xfId="0"/>
    <cellStyle name="TOC 4" xfId="0"/>
    <cellStyle name="Total 2" xfId="0"/>
    <cellStyle name="Total 2 2" xfId="0"/>
    <cellStyle name="Total 2 2 2" xfId="0"/>
    <cellStyle name="Total 2 2 2 2" xfId="0"/>
    <cellStyle name="Total 2 2 2 3" xfId="0"/>
    <cellStyle name="Total 2 2 2 4" xfId="0"/>
    <cellStyle name="Total 2 2 2_BC Valid CC Listing" xfId="0"/>
    <cellStyle name="Total 2 2 3" xfId="0"/>
    <cellStyle name="Total 2 2 4" xfId="0"/>
    <cellStyle name="Total 2 2 5" xfId="0"/>
    <cellStyle name="Total 2 2_BC Valid CC Listing" xfId="0"/>
    <cellStyle name="Total 2 3" xfId="0"/>
    <cellStyle name="Total 2 3 2" xfId="0"/>
    <cellStyle name="Total 2 3 3" xfId="0"/>
    <cellStyle name="Total 2 3 4" xfId="0"/>
    <cellStyle name="Total 2 3_BC Valid CC Listing" xfId="0"/>
    <cellStyle name="Total 2 4" xfId="0"/>
    <cellStyle name="Total 2 5" xfId="0"/>
    <cellStyle name="Total 2 6" xfId="0"/>
    <cellStyle name="Total 2 7" xfId="0"/>
    <cellStyle name="Total 2 8" xfId="0"/>
    <cellStyle name="Total 2_BC Valid CC Listing" xfId="0"/>
    <cellStyle name="Total 3" xfId="0"/>
    <cellStyle name="Total 3 2" xfId="0"/>
    <cellStyle name="Total 3 3" xfId="0"/>
    <cellStyle name="Total 3_2.DATA" xfId="0"/>
    <cellStyle name="Total 4" xfId="0"/>
    <cellStyle name="Total 5" xfId="0"/>
    <cellStyle name="Warning Text 2" xfId="0"/>
    <cellStyle name="Warning Text 2 2" xfId="0"/>
    <cellStyle name="Warning Text 2 3" xfId="0"/>
    <cellStyle name="Warning Text 2 4" xfId="0"/>
    <cellStyle name="Warning Text 2_2.DATA" xfId="0"/>
    <cellStyle name="Warning Text 3" xfId="0"/>
    <cellStyle name="Warning Text 3 2" xfId="0"/>
    <cellStyle name="Warning Text 3 3" xfId="0"/>
    <cellStyle name="Warning Text 3_2.DATA" xfId="0"/>
    <cellStyle name="Pivot Table Corner" xfId="0"/>
    <cellStyle name="Pivot Table Value" xfId="0"/>
    <cellStyle name="Pivot Table Field" xfId="0"/>
    <cellStyle name="Pivot Table Category" xfId="0"/>
    <cellStyle name="Pivot Table Title" xfId="0"/>
    <cellStyle name="Pivot Table Result" xfId="0"/>
    <cellStyle name="*unknown*" xfId="20" builtinId="8"/>
  </cellStyles>
  <dxfs count="30">
    <dxf>
      <fill>
        <patternFill patternType="solid">
          <fgColor rgb="FF203864"/>
        </patternFill>
      </fill>
    </dxf>
    <dxf>
      <fill>
        <patternFill patternType="solid">
          <fgColor rgb="FF595959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85BD5F"/>
        </patternFill>
      </fill>
    </dxf>
    <dxf>
      <fill>
        <patternFill patternType="solid">
          <fgColor rgb="FF548235"/>
        </patternFill>
      </fill>
    </dxf>
    <dxf>
      <fill>
        <patternFill patternType="solid">
          <fgColor rgb="FF843C0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BE5D6"/>
        </patternFill>
      </fill>
    </dxf>
    <dxf>
      <fill>
        <patternFill patternType="solid">
          <fgColor rgb="FF0563C1"/>
        </patternFill>
      </fill>
    </dxf>
    <dxf>
      <fill>
        <patternFill patternType="solid">
          <fgColor rgb="FFBF9000"/>
        </patternFill>
      </fill>
    </dxf>
    <dxf>
      <fill>
        <patternFill patternType="solid">
          <fgColor rgb="FF71AE48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E2F0D9"/>
        </patternFill>
      </fill>
    </dxf>
    <dxf>
      <fill>
        <patternFill patternType="solid">
          <fgColor rgb="FFDEEBF7"/>
        </patternFill>
      </fill>
    </dxf>
    <dxf>
      <fill>
        <patternFill patternType="solid">
          <fgColor rgb="FF2E75B6"/>
        </patternFill>
      </fill>
    </dxf>
    <dxf>
      <fill>
        <patternFill patternType="solid">
          <fgColor rgb="FFC55A11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9C0006"/>
        </patternFill>
      </fill>
    </dxf>
    <dxf>
      <fill>
        <patternFill patternType="solid">
          <f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C7CE"/>
      <rgbColor rgb="FFBDD7EE"/>
      <rgbColor rgb="FF95000D"/>
      <rgbColor rgb="FFDAE3F3"/>
      <rgbColor rgb="FF000080"/>
      <rgbColor rgb="FF7F7F7F"/>
      <rgbColor rgb="FFFFE699"/>
      <rgbColor rgb="FFD9D9D9"/>
      <rgbColor rgb="FFC0C0C0"/>
      <rgbColor rgb="FF808080"/>
      <rgbColor rgb="FF96BBE4"/>
      <rgbColor rgb="FFCBCACA"/>
      <rgbColor rgb="FFFFFFCC"/>
      <rgbColor rgb="FFCCFFFF"/>
      <rgbColor rgb="FFE2F0D9"/>
      <rgbColor rgb="FFFF8080"/>
      <rgbColor rgb="FF1B70C5"/>
      <rgbColor rgb="FFCCCCFF"/>
      <rgbColor rgb="FFFFF2CC"/>
      <rgbColor rgb="FFFBE5D6"/>
      <rgbColor rgb="FFFFD966"/>
      <rgbColor rgb="FFC4E0B2"/>
      <rgbColor rgb="FFFFEB9C"/>
      <rgbColor rgb="FFEDEDED"/>
      <rgbColor rgb="FFDBDBDB"/>
      <rgbColor rgb="FFF2F2F2"/>
      <rgbColor rgb="FFB4C7E7"/>
      <rgbColor rgb="FFDEEBF7"/>
      <rgbColor rgb="FFCCFECC"/>
      <rgbColor rgb="FFFFFF99"/>
      <rgbColor rgb="FF99CCFF"/>
      <rgbColor rgb="FFFF99CC"/>
      <rgbColor rgb="FFCC99FF"/>
      <rgbColor rgb="FFFFCB97"/>
      <rgbColor rgb="FFB2B2B2"/>
      <rgbColor rgb="FF46B5D3"/>
      <rgbColor rgb="FF78B350"/>
      <rgbColor rgb="FFFFCB00"/>
      <rgbColor rgb="FFFE8800"/>
      <rgbColor rgb="FFFA7406"/>
      <rgbColor rgb="FF575A63"/>
      <rgbColor rgb="FFA2A2A2"/>
      <rgbColor rgb="FF003366"/>
      <rgbColor rgb="FF2E8327"/>
      <rgbColor rgb="FF203864"/>
      <rgbColor rgb="FF3F3F3F"/>
      <rgbColor rgb="FF994703"/>
      <rgbColor rgb="FFF8CBAD"/>
      <rgbColor rgb="FF353590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sharedStrings" Target="sharedStrings.xml"/><Relationship Id="rId15" Type="http://schemas.openxmlformats.org/officeDocument/2006/relationships/pivotCacheDefinition" Target="pivotCache/pivotCacheDefinition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3" descr="Split into Fil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Split into Files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5" descr="Send Emai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Send Email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6" descr="Outcome Letter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Outcome Letters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0</xdr:col>
      <xdr:colOff>1486800</xdr:colOff>
      <xdr:row>1</xdr:row>
      <xdr:rowOff>2880</xdr:rowOff>
    </xdr:to>
    <xdr:pic>
      <xdr:nvPicPr>
        <xdr:cNvPr id="0" name="Picture 1" descr=""/>
        <xdr:cNvPicPr/>
      </xdr:nvPicPr>
      <xdr:blipFill>
        <a:blip r:embed="rId1"/>
        <a:srcRect l="0" t="0" r="221" b="0"/>
        <a:stretch/>
      </xdr:blipFill>
      <xdr:spPr>
        <a:xfrm>
          <a:off x="0" y="0"/>
          <a:ext cx="1486800" cy="298080"/>
        </a:xfrm>
        <a:prstGeom prst="rect">
          <a:avLst/>
        </a:prstGeom>
        <a:ln w="0"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teamsites.au.deloitte.com/Users/sdiehl/AppData/Local/Microsoft/Windows/Temporary%20Internet%20Files/Content.Outlook/C34FWKFE/Synergy%20Actual%20Data%20Collection%20Template_PG_V2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file://int.ucq.com.au/ucq/corpdata/Human%20Resources/HR%20Shared%20Services/Remuneration/04.%20Salaried%20Annual%20Remuneration%20Review/2022/1.%202022%20Draft%20ARR%20master%20spreadsheets/2022%20Annual%20Rem%20Review%20MASTER%20-%20DO%20NOT%20TOUCH.xlsm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../../../../../../../C:/Users/jkroll/Desktop/Remuneration%20Review%20(formulas)_GM%20v19_FINAL_3(1)%20KW%20jk.xlsm" TargetMode="External"/>
</Relationships>
</file>

<file path=xl/externalLinks/_rels/externalLink4.xml.rels><?xml version="1.0" encoding="UTF-8"?>
<Relationships xmlns="http://schemas.openxmlformats.org/package/2006/relationships"><Relationship Id="rId1" Type="http://schemas.openxmlformats.org/officeDocument/2006/relationships/externalLinkPath" Target="../../../../../../../Z:/Human%20Resources/HR%20Shared%20Services/Remuneration/04.%20Salaried%20ARR/2023-24/5.%20Data%20Validation/Remuneration%20Review%20fi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nergy"/>
      <sheetName val="Synergy Actuals"/>
      <sheetName val="SynergyConfig"/>
      <sheetName val="Risk Profile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2021 ARR Summary (Excld Hos)"/>
      <sheetName val="2022 ARR Summary"/>
      <sheetName val="Employee Data"/>
      <sheetName val="EA Compliance check"/>
      <sheetName val="Performance"/>
      <sheetName val="Notes"/>
      <sheetName val="Excluded"/>
      <sheetName val="Copy of Master Signatory"/>
      <sheetName val="Gender Pay"/>
      <sheetName val="Demographics"/>
      <sheetName val="Increase Formulation"/>
      <sheetName val="HEAT MAP &amp; FTE"/>
      <sheetName val="Comp-ratio Distribution"/>
      <sheetName val="Legends"/>
      <sheetName val="Increase Distribution"/>
      <sheetName val="Key Learnings"/>
      <sheetName val="UCQ RF"/>
      <sheetName val="PBI Tax Calc"/>
      <sheetName val="Look 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cros"/>
      <sheetName val="2023 ARR Summary"/>
      <sheetName val="Employee Data"/>
      <sheetName val="Lookup_Rem Ranges"/>
    </sheetNames>
    <sheetDataSet>
      <sheetData sheetId="0"/>
      <sheetData sheetId="1"/>
      <sheetData sheetId="2"/>
      <sheetData sheetId="3">
        <row r="2">
          <cell r="D2" t="str">
            <v>Min</v>
          </cell>
          <cell r="E2" t="str">
            <v>Midpoint</v>
          </cell>
          <cell r="F2" t="str">
            <v>Max</v>
          </cell>
        </row>
        <row r="4">
          <cell r="C4" t="str">
            <v>GI10</v>
          </cell>
          <cell r="D4">
            <v>314300</v>
          </cell>
          <cell r="E4">
            <v>369800</v>
          </cell>
          <cell r="F4">
            <v>425300</v>
          </cell>
        </row>
        <row r="5">
          <cell r="C5" t="str">
            <v>GI9</v>
          </cell>
          <cell r="D5">
            <v>244000</v>
          </cell>
          <cell r="E5">
            <v>287100</v>
          </cell>
          <cell r="F5">
            <v>330200</v>
          </cell>
        </row>
        <row r="6">
          <cell r="C6" t="str">
            <v>GI8</v>
          </cell>
          <cell r="D6">
            <v>189500</v>
          </cell>
          <cell r="E6">
            <v>222900</v>
          </cell>
          <cell r="F6">
            <v>256300</v>
          </cell>
        </row>
        <row r="7">
          <cell r="C7" t="str">
            <v>GI7</v>
          </cell>
          <cell r="D7">
            <v>147100</v>
          </cell>
          <cell r="E7">
            <v>173100</v>
          </cell>
          <cell r="F7">
            <v>199100</v>
          </cell>
        </row>
        <row r="8">
          <cell r="C8" t="str">
            <v>GI6</v>
          </cell>
          <cell r="D8">
            <v>114200</v>
          </cell>
          <cell r="E8">
            <v>134400</v>
          </cell>
          <cell r="F8">
            <v>154600</v>
          </cell>
        </row>
        <row r="9">
          <cell r="C9" t="str">
            <v>GI5</v>
          </cell>
          <cell r="D9">
            <v>88700</v>
          </cell>
          <cell r="E9">
            <v>104300</v>
          </cell>
          <cell r="F9">
            <v>119900</v>
          </cell>
        </row>
        <row r="10">
          <cell r="C10" t="str">
            <v>GI4</v>
          </cell>
          <cell r="D10">
            <v>73500</v>
          </cell>
          <cell r="E10">
            <v>86500</v>
          </cell>
          <cell r="F10">
            <v>99500</v>
          </cell>
        </row>
        <row r="11">
          <cell r="C11" t="str">
            <v>GI3</v>
          </cell>
          <cell r="D11">
            <v>64900</v>
          </cell>
          <cell r="E11">
            <v>76300</v>
          </cell>
          <cell r="F11">
            <v>87700</v>
          </cell>
        </row>
        <row r="12">
          <cell r="C12" t="str">
            <v>GI2</v>
          </cell>
          <cell r="D12">
            <v>57100</v>
          </cell>
          <cell r="E12">
            <v>67200</v>
          </cell>
          <cell r="F12">
            <v>77300</v>
          </cell>
        </row>
        <row r="13">
          <cell r="C13" t="str">
            <v>GI1</v>
          </cell>
          <cell r="D13">
            <v>50400</v>
          </cell>
          <cell r="E13">
            <v>59300</v>
          </cell>
          <cell r="F13">
            <v>68200</v>
          </cell>
        </row>
        <row r="15">
          <cell r="C15" t="str">
            <v>CASS10</v>
          </cell>
          <cell r="D15">
            <v>268800</v>
          </cell>
          <cell r="E15">
            <v>316200</v>
          </cell>
          <cell r="F15">
            <v>363600</v>
          </cell>
        </row>
        <row r="16">
          <cell r="C16" t="str">
            <v>CASS9</v>
          </cell>
          <cell r="D16">
            <v>213500</v>
          </cell>
          <cell r="E16">
            <v>251200</v>
          </cell>
          <cell r="F16">
            <v>288900</v>
          </cell>
        </row>
        <row r="17">
          <cell r="C17" t="str">
            <v>CASS8</v>
          </cell>
          <cell r="D17">
            <v>168700</v>
          </cell>
          <cell r="E17">
            <v>198500</v>
          </cell>
          <cell r="F17">
            <v>228300</v>
          </cell>
        </row>
        <row r="18">
          <cell r="C18" t="str">
            <v>CASS7</v>
          </cell>
          <cell r="D18">
            <v>133400</v>
          </cell>
          <cell r="E18">
            <v>156900</v>
          </cell>
          <cell r="F18">
            <v>180400</v>
          </cell>
        </row>
        <row r="19">
          <cell r="C19" t="str">
            <v>CASS6</v>
          </cell>
          <cell r="D19">
            <v>105500</v>
          </cell>
          <cell r="E19">
            <v>124100</v>
          </cell>
          <cell r="F19">
            <v>142700</v>
          </cell>
        </row>
        <row r="20">
          <cell r="C20" t="str">
            <v>CASS5</v>
          </cell>
          <cell r="D20">
            <v>83400</v>
          </cell>
          <cell r="E20">
            <v>98100</v>
          </cell>
          <cell r="F20">
            <v>112800</v>
          </cell>
        </row>
        <row r="21">
          <cell r="C21" t="str">
            <v>CASS4</v>
          </cell>
          <cell r="D21">
            <v>70000</v>
          </cell>
          <cell r="E21">
            <v>82300</v>
          </cell>
          <cell r="F21">
            <v>94600</v>
          </cell>
        </row>
        <row r="22">
          <cell r="C22" t="str">
            <v>CASS3</v>
          </cell>
          <cell r="D22">
            <v>62400</v>
          </cell>
          <cell r="E22">
            <v>73400</v>
          </cell>
          <cell r="F22">
            <v>84400</v>
          </cell>
        </row>
        <row r="23">
          <cell r="C23" t="str">
            <v>CASS2</v>
          </cell>
          <cell r="D23">
            <v>55700</v>
          </cell>
          <cell r="E23">
            <v>65500</v>
          </cell>
          <cell r="F23">
            <v>75300</v>
          </cell>
        </row>
        <row r="24">
          <cell r="C24" t="str">
            <v>CASS1</v>
          </cell>
          <cell r="D24">
            <v>49700</v>
          </cell>
          <cell r="E24">
            <v>58500</v>
          </cell>
          <cell r="F24">
            <v>67300</v>
          </cell>
        </row>
        <row r="25">
          <cell r="C25" t="str">
            <v>EAEA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cros"/>
      <sheetName val="2023 ARR Summary"/>
      <sheetName val="Employee Data"/>
      <sheetName val="Lookup_Rem Ranges"/>
      <sheetName val="Pivot_BU"/>
      <sheetName val="Lookup_EA Award Compliance"/>
    </sheetNames>
    <sheetDataSet>
      <sheetData sheetId="0"/>
      <sheetData sheetId="1"/>
      <sheetData sheetId="2"/>
      <sheetData sheetId="3">
        <row r="2">
          <cell r="D2" t="str">
            <v>Min</v>
          </cell>
        </row>
        <row r="4">
          <cell r="C4" t="str">
            <v>GI10</v>
          </cell>
          <cell r="D4">
            <v>314300</v>
          </cell>
        </row>
        <row r="5">
          <cell r="C5" t="str">
            <v>GI9</v>
          </cell>
          <cell r="D5">
            <v>244000</v>
          </cell>
        </row>
        <row r="6">
          <cell r="C6" t="str">
            <v>GI8</v>
          </cell>
          <cell r="D6">
            <v>189500</v>
          </cell>
        </row>
        <row r="7">
          <cell r="C7" t="str">
            <v>GI7</v>
          </cell>
          <cell r="D7">
            <v>147100</v>
          </cell>
        </row>
        <row r="8">
          <cell r="C8" t="str">
            <v>GI6</v>
          </cell>
          <cell r="D8">
            <v>114200</v>
          </cell>
        </row>
        <row r="9">
          <cell r="C9" t="str">
            <v>GI5</v>
          </cell>
          <cell r="D9">
            <v>88700</v>
          </cell>
        </row>
        <row r="10">
          <cell r="C10" t="str">
            <v>GI4</v>
          </cell>
          <cell r="D10">
            <v>73500</v>
          </cell>
        </row>
        <row r="11">
          <cell r="C11" t="str">
            <v>GI3</v>
          </cell>
          <cell r="D11">
            <v>64900</v>
          </cell>
        </row>
        <row r="12">
          <cell r="C12" t="str">
            <v>GI2</v>
          </cell>
          <cell r="D12">
            <v>57100</v>
          </cell>
        </row>
        <row r="13">
          <cell r="C13" t="str">
            <v>GI1</v>
          </cell>
          <cell r="D13">
            <v>50400</v>
          </cell>
        </row>
        <row r="15">
          <cell r="C15" t="str">
            <v>CASS10</v>
          </cell>
          <cell r="D15">
            <v>268800</v>
          </cell>
        </row>
        <row r="16">
          <cell r="C16" t="str">
            <v>CASS9</v>
          </cell>
          <cell r="D16">
            <v>213500</v>
          </cell>
        </row>
        <row r="17">
          <cell r="C17" t="str">
            <v>CASS8</v>
          </cell>
          <cell r="D17">
            <v>168700</v>
          </cell>
        </row>
        <row r="18">
          <cell r="C18" t="str">
            <v>CASS7</v>
          </cell>
          <cell r="D18">
            <v>133400</v>
          </cell>
        </row>
        <row r="19">
          <cell r="C19" t="str">
            <v>CASS6</v>
          </cell>
          <cell r="D19">
            <v>105500</v>
          </cell>
        </row>
        <row r="20">
          <cell r="C20" t="str">
            <v>CASS5</v>
          </cell>
          <cell r="D20">
            <v>83400</v>
          </cell>
        </row>
        <row r="21">
          <cell r="C21" t="str">
            <v>CASS4</v>
          </cell>
          <cell r="D21">
            <v>70000</v>
          </cell>
        </row>
        <row r="22">
          <cell r="C22" t="str">
            <v>CASS3</v>
          </cell>
          <cell r="D22">
            <v>62400</v>
          </cell>
        </row>
        <row r="23">
          <cell r="C23" t="str">
            <v>CASS2</v>
          </cell>
          <cell r="D23">
            <v>55700</v>
          </cell>
        </row>
        <row r="24">
          <cell r="C24" t="str">
            <v>CASS1</v>
          </cell>
          <cell r="D24">
            <v>49700</v>
          </cell>
        </row>
        <row r="26">
          <cell r="C26" t="str">
            <v>HOS-CLIN8</v>
          </cell>
          <cell r="D26">
            <v>188000</v>
          </cell>
        </row>
        <row r="27">
          <cell r="C27" t="str">
            <v>HOS-CLIN7</v>
          </cell>
          <cell r="D27">
            <v>163000</v>
          </cell>
        </row>
        <row r="28">
          <cell r="C28" t="str">
            <v>HOS-CLIN6</v>
          </cell>
          <cell r="D28">
            <v>148000</v>
          </cell>
        </row>
        <row r="29">
          <cell r="C29" t="str">
            <v>HOS-CLIN5</v>
          </cell>
          <cell r="D29">
            <v>120000</v>
          </cell>
        </row>
        <row r="31">
          <cell r="C31" t="str">
            <v>HOS-MED9</v>
          </cell>
          <cell r="D31">
            <v>320000</v>
          </cell>
        </row>
        <row r="32">
          <cell r="C32" t="str">
            <v>HOS-MED8</v>
          </cell>
          <cell r="D32">
            <v>340000</v>
          </cell>
        </row>
        <row r="33">
          <cell r="C33" t="str">
            <v>HOS-MED7</v>
          </cell>
          <cell r="D33">
            <v>180000</v>
          </cell>
        </row>
        <row r="34">
          <cell r="C34" t="str">
            <v>HOS-MED6</v>
          </cell>
          <cell r="D34">
            <v>160000</v>
          </cell>
        </row>
        <row r="35">
          <cell r="C35" t="str">
            <v>EAEA</v>
          </cell>
        </row>
      </sheetData>
      <sheetData sheetId="4"/>
      <sheetData sheetId="5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" createdVersion="3">
  <cacheSource type="worksheet">
    <worksheetSource ref="C16:W25" sheet="Employee Data"/>
  </cacheSource>
  <cacheFields count="21">
    <cacheField name="Entity and Employee ID" numFmtId="0">
      <sharedItems count="9">
        <s v="UCC005088"/>
        <s v="UCC008939"/>
        <s v="UCC015882"/>
        <s v="UCC016308"/>
        <s v="UCC017817"/>
        <s v="UCC017956"/>
        <s v="UCC019124"/>
        <s v="UCC020741"/>
        <s v="UCC021991"/>
      </sharedItems>
    </cacheField>
    <cacheField name="Employee ID" numFmtId="0">
      <sharedItems containsSemiMixedTypes="0" containsString="0" containsNumber="1" containsInteger="1" minValue="5088" maxValue="21991" count="9">
        <n v="5088"/>
        <n v="8939"/>
        <n v="15882"/>
        <n v="16308"/>
        <n v="17817"/>
        <n v="17956"/>
        <n v="19124"/>
        <n v="20741"/>
        <n v="21991"/>
      </sharedItems>
    </cacheField>
    <cacheField name="First Name" numFmtId="0">
      <sharedItems count="9">
        <s v="Jamie"/>
        <s v="Joanne"/>
        <s v="Luke"/>
        <s v="Martin"/>
        <s v="Michael"/>
        <s v="Nyomie"/>
        <s v="Viola"/>
        <s v="Vivien"/>
        <s v="Xue"/>
      </sharedItems>
    </cacheField>
    <cacheField name="Surname" numFmtId="0">
      <sharedItems count="9">
        <s v="Bull"/>
        <s v="Lindsay"/>
        <s v="Mackay"/>
        <s v="Moses"/>
        <s v="Powell"/>
        <s v="Sherrington"/>
        <s v="Stewart"/>
        <s v="Woollaston"/>
        <s v="Zhang"/>
      </sharedItems>
    </cacheField>
    <cacheField name="Gender" numFmtId="0">
      <sharedItems count="2">
        <s v="FEMALE"/>
        <s v="MALE"/>
      </sharedItems>
    </cacheField>
    <cacheField name="Internal Position Code" numFmtId="0">
      <sharedItems count="9">
        <s v="FAD02"/>
        <s v="FAD03"/>
        <s v="FAD04"/>
        <s v="FAD05"/>
        <s v="FAD06"/>
        <s v="FAD07"/>
        <s v="FAD12"/>
        <s v="FAD57"/>
        <s v="FAD60"/>
      </sharedItems>
    </cacheField>
    <cacheField name="Position Number" numFmtId="0">
      <sharedItems count="9">
        <s v="P00235"/>
        <s v="P01917"/>
        <s v="P03882"/>
        <s v="P06411"/>
        <s v="P06451"/>
        <s v="P06452"/>
        <s v="P06466"/>
        <s v="P07388"/>
        <s v="P07389"/>
      </sharedItems>
    </cacheField>
    <cacheField name="Position Title (Nominal)" numFmtId="0">
      <sharedItems count="9">
        <s v="General Manager Disability Services"/>
        <s v="General Manager Family Child and Individual Support"/>
        <s v="General Manager Lifeline and Wellbeing Service"/>
        <s v="General Manager Lifeline Retail"/>
        <s v="Practice &amp; Quality Manager"/>
        <s v="Project and Service Planning Leader"/>
        <s v="Recycling Supervisor"/>
        <s v="Senior Manager Business Performance and Enablement"/>
        <s v="Transport Supervisor"/>
      </sharedItems>
    </cacheField>
    <cacheField name="Hire Date" numFmtId="0">
      <sharedItems containsSemiMixedTypes="0" containsNonDate="0" containsDate="1" containsString="0" minDate="2002-02-04T00:00:00" maxDate="2023-05-01T00:00:00" count="9">
        <d v="2002-02-04T00:00:00"/>
        <d v="2008-06-16T00:00:00"/>
        <d v="2016-01-04T00:00:00"/>
        <d v="2016-01-27T00:00:00"/>
        <d v="2016-08-08T00:00:00"/>
        <d v="2018-06-11T00:00:00"/>
        <d v="2018-08-20T00:00:00"/>
        <d v="2020-01-20T00:00:00"/>
        <d v="2023-05-01T00:00:00"/>
      </sharedItems>
    </cacheField>
    <cacheField name="Contract End Date&#10;(for fixed term contracts only)" numFmtId="0">
      <sharedItems containsString="0" containsBlank="1" count="1">
        <m/>
      </sharedItems>
    </cacheField>
    <cacheField name="Position Start Date" numFmtId="0">
      <sharedItems containsSemiMixedTypes="0" containsNonDate="0" containsDate="1" containsString="0" minDate="2018-10-06T00:00:00" maxDate="2023-05-01T00:00:00" count="8">
        <d v="2018-10-06T00:00:00"/>
        <d v="2019-01-31T00:00:00"/>
        <d v="2022-03-07T00:00:00"/>
        <d v="2022-04-04T00:00:00"/>
        <d v="2022-07-04T00:00:00"/>
        <d v="2023-03-06T00:00:00"/>
        <d v="2023-03-07T00:00:00"/>
        <d v="2023-05-01T00:00:00"/>
      </sharedItems>
    </cacheField>
    <cacheField name="Employment Type" numFmtId="0">
      <sharedItems count="2">
        <s v="FULL"/>
        <s v="PART"/>
      </sharedItems>
    </cacheField>
    <cacheField name="Hours Worked per Week&#10;(Average for casuals)" numFmtId="0">
      <sharedItems containsSemiMixedTypes="0" containsString="0" containsNumber="1" containsInteger="1" minValue="34" maxValue="38" count="2">
        <n v="34"/>
        <n v="38"/>
      </sharedItems>
    </cacheField>
    <cacheField name="FTE&#10;38hpw" numFmtId="0">
      <sharedItems containsSemiMixedTypes="0" containsString="0" containsNumber="1" minValue="0.894736842105263" maxValue="1" count="2">
        <n v="0.894736842105263"/>
        <n v="1"/>
      </sharedItems>
    </cacheField>
    <cacheField name="WGEA Category" numFmtId="0">
      <sharedItems count="5">
        <s v="Clerical &amp; Admin"/>
        <s v="Other Exec / Gen Mgrs"/>
        <s v="Other Managers"/>
        <s v="Professionals"/>
        <s v="Senior Managers"/>
      </sharedItems>
    </cacheField>
    <cacheField name="Manager Employee No." numFmtId="0">
      <sharedItems containsSemiMixedTypes="0" containsString="0" containsNumber="1" containsInteger="1" minValue="5120" maxValue="14463" count="2">
        <n v="5120"/>
        <n v="14463"/>
      </sharedItems>
    </cacheField>
    <cacheField name="Manager Name" numFmtId="0">
      <sharedItems count="2">
        <s v="Andrea Coling"/>
        <s v="Donna Reveillac-Shkalla"/>
      </sharedItems>
    </cacheField>
    <cacheField name="Manager Position No." numFmtId="0">
      <sharedItems count="2">
        <s v="P00226"/>
        <s v="P06450"/>
      </sharedItems>
    </cacheField>
    <cacheField name="Manager Position Title" numFmtId="0">
      <sharedItems count="2">
        <s v="Distribution Manager"/>
        <s v="Group Executive Family And Disability Services"/>
      </sharedItems>
    </cacheField>
    <cacheField name="Business Unit" numFmtId="0">
      <sharedItems count="1">
        <s v="Family &amp; Disability Services"/>
      </sharedItems>
    </cacheField>
    <cacheField name="Function" numFmtId="0">
      <sharedItems count="2">
        <s v="FADS - SLT &amp; Support"/>
        <s v="Lifeline Retail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3"/>
    <x v="3"/>
    <x v="7"/>
    <x v="0"/>
    <x v="0"/>
    <x v="1"/>
    <x v="7"/>
    <x v="1"/>
    <x v="4"/>
    <x v="0"/>
    <x v="1"/>
    <x v="0"/>
    <x v="1"/>
    <x v="1"/>
    <x v="1"/>
    <x v="1"/>
    <x v="1"/>
    <x v="1"/>
    <x v="1"/>
    <x v="0"/>
    <x v="0"/>
  </r>
  <r>
    <x v="6"/>
    <x v="6"/>
    <x v="2"/>
    <x v="1"/>
    <x v="1"/>
    <x v="3"/>
    <x v="8"/>
    <x v="2"/>
    <x v="7"/>
    <x v="0"/>
    <x v="6"/>
    <x v="0"/>
    <x v="1"/>
    <x v="1"/>
    <x v="4"/>
    <x v="1"/>
    <x v="1"/>
    <x v="1"/>
    <x v="1"/>
    <x v="0"/>
    <x v="0"/>
  </r>
  <r>
    <x v="5"/>
    <x v="5"/>
    <x v="0"/>
    <x v="2"/>
    <x v="1"/>
    <x v="4"/>
    <x v="5"/>
    <x v="3"/>
    <x v="6"/>
    <x v="0"/>
    <x v="5"/>
    <x v="0"/>
    <x v="1"/>
    <x v="1"/>
    <x v="4"/>
    <x v="1"/>
    <x v="1"/>
    <x v="1"/>
    <x v="1"/>
    <x v="0"/>
    <x v="0"/>
  </r>
  <r>
    <x v="1"/>
    <x v="1"/>
    <x v="1"/>
    <x v="3"/>
    <x v="0"/>
    <x v="2"/>
    <x v="2"/>
    <x v="4"/>
    <x v="1"/>
    <x v="0"/>
    <x v="0"/>
    <x v="0"/>
    <x v="1"/>
    <x v="1"/>
    <x v="2"/>
    <x v="1"/>
    <x v="1"/>
    <x v="1"/>
    <x v="1"/>
    <x v="0"/>
    <x v="0"/>
  </r>
  <r>
    <x v="4"/>
    <x v="4"/>
    <x v="5"/>
    <x v="5"/>
    <x v="0"/>
    <x v="6"/>
    <x v="3"/>
    <x v="5"/>
    <x v="5"/>
    <x v="0"/>
    <x v="5"/>
    <x v="1"/>
    <x v="0"/>
    <x v="0"/>
    <x v="3"/>
    <x v="1"/>
    <x v="1"/>
    <x v="1"/>
    <x v="1"/>
    <x v="0"/>
    <x v="0"/>
  </r>
  <r>
    <x v="8"/>
    <x v="8"/>
    <x v="3"/>
    <x v="7"/>
    <x v="1"/>
    <x v="0"/>
    <x v="4"/>
    <x v="0"/>
    <x v="8"/>
    <x v="0"/>
    <x v="7"/>
    <x v="0"/>
    <x v="1"/>
    <x v="1"/>
    <x v="1"/>
    <x v="1"/>
    <x v="1"/>
    <x v="1"/>
    <x v="1"/>
    <x v="0"/>
    <x v="0"/>
  </r>
  <r>
    <x v="7"/>
    <x v="7"/>
    <x v="8"/>
    <x v="8"/>
    <x v="0"/>
    <x v="5"/>
    <x v="6"/>
    <x v="7"/>
    <x v="2"/>
    <x v="0"/>
    <x v="2"/>
    <x v="0"/>
    <x v="1"/>
    <x v="1"/>
    <x v="4"/>
    <x v="1"/>
    <x v="1"/>
    <x v="1"/>
    <x v="1"/>
    <x v="0"/>
    <x v="0"/>
  </r>
  <r>
    <x v="2"/>
    <x v="2"/>
    <x v="4"/>
    <x v="4"/>
    <x v="1"/>
    <x v="8"/>
    <x v="1"/>
    <x v="8"/>
    <x v="3"/>
    <x v="0"/>
    <x v="4"/>
    <x v="0"/>
    <x v="1"/>
    <x v="1"/>
    <x v="0"/>
    <x v="0"/>
    <x v="0"/>
    <x v="0"/>
    <x v="0"/>
    <x v="0"/>
    <x v="1"/>
  </r>
  <r>
    <x v="0"/>
    <x v="0"/>
    <x v="6"/>
    <x v="6"/>
    <x v="0"/>
    <x v="7"/>
    <x v="0"/>
    <x v="6"/>
    <x v="0"/>
    <x v="0"/>
    <x v="3"/>
    <x v="0"/>
    <x v="1"/>
    <x v="1"/>
    <x v="0"/>
    <x v="0"/>
    <x v="0"/>
    <x v="0"/>
    <x v="0"/>
    <x v="0"/>
    <x v="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2:C6" firstHeaderRow="1" firstDataRow="1" firstDataCol="2"/>
  <pivotFields count="2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axis="axisRow" compact="0" showAll="0">
      <items count="3">
        <item x="1"/>
        <item x="0"/>
        <item t="default"/>
      </items>
    </pivotField>
  </pivotFields>
  <rowFields count="2">
    <field x="19"/>
    <field x="20"/>
  </row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jamie.mackay@uccommunity.org.au" TargetMode="External"/><Relationship Id="rId2" Type="http://schemas.openxmlformats.org/officeDocument/2006/relationships/hyperlink" Target="mailto:jamie.mackay@uccommunity.org.au" TargetMode="External"/><Relationship Id="rId3" Type="http://schemas.openxmlformats.org/officeDocument/2006/relationships/hyperlink" Target="mailto:jamie.mackay@uccommunity.org.au" TargetMode="External"/><Relationship Id="rId4" Type="http://schemas.openxmlformats.org/officeDocument/2006/relationships/hyperlink" Target="mailto:jamie.mackay@uccommunity.org.au" TargetMode="External"/><Relationship Id="rId5" Type="http://schemas.openxmlformats.org/officeDocument/2006/relationships/hyperlink" Target="mailto:Susan.Zhang@uccommunity.org.au" TargetMode="External"/><Relationship Id="rId6" Type="http://schemas.openxmlformats.org/officeDocument/2006/relationships/hyperlink" Target="mailto:Susan.Zhang@uccommunity.org.au" TargetMode="External"/><Relationship Id="rId7" Type="http://schemas.openxmlformats.org/officeDocument/2006/relationships/hyperlink" Target="mailto:Susan.Zhang@uccommunity.org.au" TargetMode="External"/><Relationship Id="rId8" Type="http://schemas.openxmlformats.org/officeDocument/2006/relationships/hyperlink" Target="mailto:Susan.Zhang@uccommunity.org.au" TargetMode="External"/><Relationship Id="rId9" Type="http://schemas.openxmlformats.org/officeDocument/2006/relationships/hyperlink" Target="mailto:jamie.mackay@uccommunity.org.au" TargetMode="External"/><Relationship Id="rId10" Type="http://schemas.openxmlformats.org/officeDocument/2006/relationships/hyperlink" Target="mailto:jamie.mackay@uccommunity.org.au" TargetMode="External"/><Relationship Id="rId11" Type="http://schemas.openxmlformats.org/officeDocument/2006/relationships/hyperlink" Target="mailto:jamie.mackay@uccommunity.org.au" TargetMode="External"/><Relationship Id="rId12" Type="http://schemas.openxmlformats.org/officeDocument/2006/relationships/hyperlink" Target="mailto:jamie.mackay@uccommunity.org.au" TargetMode="External"/><Relationship Id="rId13" Type="http://schemas.openxmlformats.org/officeDocument/2006/relationships/hyperlink" Target="mailto:jamie.mackay@uccommunity.org.au" TargetMode="External"/><Relationship Id="rId14" Type="http://schemas.openxmlformats.org/officeDocument/2006/relationships/hyperlink" Target="mailto:Martin.Woollaston@uccommunity.org.au" TargetMode="External"/><Relationship Id="rId15" Type="http://schemas.openxmlformats.org/officeDocument/2006/relationships/hyperlink" Target="mailto:Martin.Woollaston@uccommunity.org.au" TargetMode="External"/><Relationship Id="rId16" Type="http://schemas.openxmlformats.org/officeDocument/2006/relationships/hyperlink" Target="mailto:jamie.mackay@uccommunity.org.au" TargetMode="External"/><Relationship Id="rId17" Type="http://schemas.openxmlformats.org/officeDocument/2006/relationships/hyperlink" Target="mailto:jamie.mackay@uccommunity.org.au" TargetMode="External"/><Relationship Id="rId18" Type="http://schemas.openxmlformats.org/officeDocument/2006/relationships/hyperlink" Target="mailto:jamie.mackay@uccommunity.org.au" TargetMode="External"/><Relationship Id="rId19" Type="http://schemas.openxmlformats.org/officeDocument/2006/relationships/hyperlink" Target="mailto:jamie.mackay@uccommunity.org.au" TargetMode="External"/><Relationship Id="rId20" Type="http://schemas.openxmlformats.org/officeDocument/2006/relationships/hyperlink" Target="mailto:jamie.mackay@uccommunity.org.au" TargetMode="External"/><Relationship Id="rId21" Type="http://schemas.openxmlformats.org/officeDocument/2006/relationships/hyperlink" Target="mailto:jamie.mackay@uccommunity.org.au" TargetMode="External"/><Relationship Id="rId22" Type="http://schemas.openxmlformats.org/officeDocument/2006/relationships/hyperlink" Target="mailto:jamie.mackay@uccommunity.org.au" TargetMode="External"/><Relationship Id="rId23" Type="http://schemas.openxmlformats.org/officeDocument/2006/relationships/hyperlink" Target="mailto:jamie.mackay@uccommunity.org.au" TargetMode="External"/><Relationship Id="rId24" Type="http://schemas.openxmlformats.org/officeDocument/2006/relationships/hyperlink" Target="mailto:jamie.mackay@uccommunity.org.au" TargetMode="External"/><Relationship Id="rId25" Type="http://schemas.openxmlformats.org/officeDocument/2006/relationships/hyperlink" Target="mailto:jamie.mackay@uccommunity.org.au" TargetMode="External"/><Relationship Id="rId26" Type="http://schemas.openxmlformats.org/officeDocument/2006/relationships/hyperlink" Target="mailto:jamie.mackay@uccommunity.org.au" TargetMode="External"/><Relationship Id="rId27" Type="http://schemas.openxmlformats.org/officeDocument/2006/relationships/hyperlink" Target="mailto:jamie.mackay@uccommunity.org.au" TargetMode="External"/><Relationship Id="rId28" Type="http://schemas.openxmlformats.org/officeDocument/2006/relationships/hyperlink" Target="mailto:jamie.mackay@uccommunity.org.au" TargetMode="External"/><Relationship Id="rId29" Type="http://schemas.openxmlformats.org/officeDocument/2006/relationships/hyperlink" Target="mailto:jamie.mackay@uccommunity.org.au" TargetMode="External"/><Relationship Id="rId30" Type="http://schemas.openxmlformats.org/officeDocument/2006/relationships/hyperlink" Target="mailto:Joanne.Trentin@uccommunity.org.au" TargetMode="External"/><Relationship Id="rId31" Type="http://schemas.openxmlformats.org/officeDocument/2006/relationships/hyperlink" Target="mailto:Joanne.Trentin@uccommunity.org.au" TargetMode="External"/><Relationship Id="rId32" Type="http://schemas.openxmlformats.org/officeDocument/2006/relationships/hyperlink" Target="mailto:Joanne.Trentin@uccommunity.org.au" TargetMode="External"/><Relationship Id="rId33" Type="http://schemas.openxmlformats.org/officeDocument/2006/relationships/hyperlink" Target="mailto:Joanne.Trentin@uccommunity.org.au" TargetMode="External"/><Relationship Id="rId34" Type="http://schemas.openxmlformats.org/officeDocument/2006/relationships/hyperlink" Target="mailto:Joanne.Trentin@uccommunity.org.au" TargetMode="External"/><Relationship Id="rId35" Type="http://schemas.openxmlformats.org/officeDocument/2006/relationships/hyperlink" Target="mailto:Joanne.Trentin@uccommunity.org.au" TargetMode="External"/><Relationship Id="rId36" Type="http://schemas.openxmlformats.org/officeDocument/2006/relationships/hyperlink" Target="mailto:Joanne.Trentin@uccommunity.org.au" TargetMode="External"/><Relationship Id="rId37" Type="http://schemas.openxmlformats.org/officeDocument/2006/relationships/hyperlink" Target="mailto:Joanne.Trentin@uccommunity.org.au" TargetMode="External"/><Relationship Id="rId38" Type="http://schemas.openxmlformats.org/officeDocument/2006/relationships/hyperlink" Target="mailto:Joanne.Trentin@uccommunity.org.au" TargetMode="External"/><Relationship Id="rId39" Type="http://schemas.openxmlformats.org/officeDocument/2006/relationships/hyperlink" Target="mailto:Joanne.Trentin@uccommunity.org.au" TargetMode="External"/><Relationship Id="rId40" Type="http://schemas.openxmlformats.org/officeDocument/2006/relationships/hyperlink" Target="mailto:Joanne.Trentin@uccommunity.org.au" TargetMode="External"/><Relationship Id="rId41" Type="http://schemas.openxmlformats.org/officeDocument/2006/relationships/hyperlink" Target="mailto:Joanne.Trentin@uccommunity.org.au" TargetMode="External"/><Relationship Id="rId42" Type="http://schemas.openxmlformats.org/officeDocument/2006/relationships/hyperlink" Target="mailto:Joanne.Trentin@uccommunity.org.au" TargetMode="External"/><Relationship Id="rId43" Type="http://schemas.openxmlformats.org/officeDocument/2006/relationships/hyperlink" Target="mailto:Joanne.Trentin@uccommunity.org.au" TargetMode="External"/><Relationship Id="rId44" Type="http://schemas.openxmlformats.org/officeDocument/2006/relationships/hyperlink" Target="mailto:Joanne.Trentin@uccommunity.org.au" TargetMode="External"/><Relationship Id="rId45" Type="http://schemas.openxmlformats.org/officeDocument/2006/relationships/hyperlink" Target="mailto:luke.lindsay@uccommunity.org.au" TargetMode="External"/><Relationship Id="rId46" Type="http://schemas.openxmlformats.org/officeDocument/2006/relationships/hyperlink" Target="mailto:luke.lindsay@uccommunity.org.au" TargetMode="External"/><Relationship Id="rId47" Type="http://schemas.openxmlformats.org/officeDocument/2006/relationships/hyperlink" Target="mailto:luke.lindsay@uccommunity.org.au" TargetMode="External"/><Relationship Id="rId48" Type="http://schemas.openxmlformats.org/officeDocument/2006/relationships/hyperlink" Target="mailto:luke.lindsay@uccommunity.org.au" TargetMode="External"/><Relationship Id="rId49" Type="http://schemas.openxmlformats.org/officeDocument/2006/relationships/hyperlink" Target="mailto:luke.lindsay@uccommunity.org.au" TargetMode="External"/><Relationship Id="rId50" Type="http://schemas.openxmlformats.org/officeDocument/2006/relationships/hyperlink" Target="mailto:luke.lindsay@uccommunity.org.au" TargetMode="External"/><Relationship Id="rId51" Type="http://schemas.openxmlformats.org/officeDocument/2006/relationships/hyperlink" Target="mailto:luke.lindsay@uccommunity.org.au" TargetMode="External"/><Relationship Id="rId52" Type="http://schemas.openxmlformats.org/officeDocument/2006/relationships/hyperlink" Target="mailto:Joanne.Trentin@uccommunity.org.au" TargetMode="External"/><Relationship Id="rId53" Type="http://schemas.openxmlformats.org/officeDocument/2006/relationships/hyperlink" Target="mailto:Joanne.Trentin@uccommunity.org.au" TargetMode="External"/><Relationship Id="rId54" Type="http://schemas.openxmlformats.org/officeDocument/2006/relationships/hyperlink" Target="mailto:jamie.mackay@uccommunity.org.au" TargetMode="External"/><Relationship Id="rId55" Type="http://schemas.openxmlformats.org/officeDocument/2006/relationships/hyperlink" Target="mailto:jamie.mackay@uccommunity.org.au" TargetMode="External"/><Relationship Id="rId56" Type="http://schemas.openxmlformats.org/officeDocument/2006/relationships/hyperlink" Target="mailto:luke.lindsay@uccommunity.org.au" TargetMode="External"/><Relationship Id="rId57" Type="http://schemas.openxmlformats.org/officeDocument/2006/relationships/hyperlink" Target="mailto:luke.lindsay@uccommunity.org.au" TargetMode="External"/><Relationship Id="rId58" Type="http://schemas.openxmlformats.org/officeDocument/2006/relationships/hyperlink" Target="mailto:Martin.Woollaston@uccommunity.org.au" TargetMode="External"/><Relationship Id="rId59" Type="http://schemas.openxmlformats.org/officeDocument/2006/relationships/hyperlink" Target="mailto:Martin.Woollaston@uccommunity.org.au" TargetMode="External"/><Relationship Id="rId60" Type="http://schemas.openxmlformats.org/officeDocument/2006/relationships/hyperlink" Target="mailto:Martin.Woollaston@uccommunity.org.au" TargetMode="External"/><Relationship Id="rId61" Type="http://schemas.openxmlformats.org/officeDocument/2006/relationships/hyperlink" Target="mailto:Martin.Woollaston@uccommunity.org.au" TargetMode="External"/><Relationship Id="rId62" Type="http://schemas.openxmlformats.org/officeDocument/2006/relationships/hyperlink" Target="mailto:Martin.Woollaston@uccommunity.org.au" TargetMode="External"/><Relationship Id="rId63" Type="http://schemas.openxmlformats.org/officeDocument/2006/relationships/hyperlink" Target="mailto:Martin.Woollaston@uccommunity.org.au" TargetMode="External"/><Relationship Id="rId64" Type="http://schemas.openxmlformats.org/officeDocument/2006/relationships/hyperlink" Target="mailto:Martin.Woollaston@uccommunity.org.au" TargetMode="External"/><Relationship Id="rId65" Type="http://schemas.openxmlformats.org/officeDocument/2006/relationships/hyperlink" Target="mailto:Martin.Woollaston@uccommunity.org.au" TargetMode="External"/><Relationship Id="rId66" Type="http://schemas.openxmlformats.org/officeDocument/2006/relationships/hyperlink" Target="mailto:Martin.Woollaston@uccommunity.org.au" TargetMode="External"/><Relationship Id="rId67" Type="http://schemas.openxmlformats.org/officeDocument/2006/relationships/hyperlink" Target="mailto:Martin.Woollaston@uccommunity.org.au" TargetMode="External"/><Relationship Id="rId68" Type="http://schemas.openxmlformats.org/officeDocument/2006/relationships/hyperlink" Target="mailto:Martin.Woollaston@uccommunity.org.au" TargetMode="External"/><Relationship Id="rId69" Type="http://schemas.openxmlformats.org/officeDocument/2006/relationships/hyperlink" Target="mailto:Martin.Woollaston@uccommunity.org.au" TargetMode="External"/><Relationship Id="rId70" Type="http://schemas.openxmlformats.org/officeDocument/2006/relationships/hyperlink" Target="mailto:Martin.Woollaston@uccommunity.org.au" TargetMode="External"/><Relationship Id="rId71" Type="http://schemas.openxmlformats.org/officeDocument/2006/relationships/hyperlink" Target="mailto:jamie.mackay@uccommunity.org.au" TargetMode="External"/><Relationship Id="rId72" Type="http://schemas.openxmlformats.org/officeDocument/2006/relationships/hyperlink" Target="mailto:jamie.mackay@uccommunity.org.au" TargetMode="External"/><Relationship Id="rId73" Type="http://schemas.openxmlformats.org/officeDocument/2006/relationships/hyperlink" Target="mailto:Susan.Zhang@uccommunity.org.au" TargetMode="External"/><Relationship Id="rId74" Type="http://schemas.openxmlformats.org/officeDocument/2006/relationships/hyperlink" Target="mailto:luke.lindsay@uccommunity.org.au" TargetMode="External"/><Relationship Id="rId75" Type="http://schemas.openxmlformats.org/officeDocument/2006/relationships/hyperlink" Target="mailto:Susan.Zhang@uccommunity.org.au" TargetMode="External"/><Relationship Id="rId76" Type="http://schemas.openxmlformats.org/officeDocument/2006/relationships/hyperlink" Target="mailto:luke.lindsay@uccommunity.org.au" TargetMode="External"/><Relationship Id="rId77" Type="http://schemas.openxmlformats.org/officeDocument/2006/relationships/hyperlink" Target="mailto:vivien.bull@uccommunity.org.au" TargetMode="External"/><Relationship Id="rId78" Type="http://schemas.openxmlformats.org/officeDocument/2006/relationships/hyperlink" Target="mailto:vivien.bull@uccommunity.org.au" TargetMode="External"/><Relationship Id="rId79" Type="http://schemas.openxmlformats.org/officeDocument/2006/relationships/hyperlink" Target="mailto:vivien.bull@uccommunity.org.au" TargetMode="External"/><Relationship Id="rId80" Type="http://schemas.openxmlformats.org/officeDocument/2006/relationships/hyperlink" Target="mailto:vivien.bull@uccommunity.org.au" TargetMode="External"/><Relationship Id="rId81" Type="http://schemas.openxmlformats.org/officeDocument/2006/relationships/hyperlink" Target="mailto:vivien.bull@uccommunity.org.au" TargetMode="External"/><Relationship Id="rId82" Type="http://schemas.openxmlformats.org/officeDocument/2006/relationships/hyperlink" Target="mailto:vivien.bull@uccommunity.org.au" TargetMode="External"/><Relationship Id="rId83" Type="http://schemas.openxmlformats.org/officeDocument/2006/relationships/hyperlink" Target="mailto:Susan.Zhang@uccommunity.org.au" TargetMode="External"/><Relationship Id="rId84" Type="http://schemas.openxmlformats.org/officeDocument/2006/relationships/hyperlink" Target="mailto:Susan.Zhang@uccommunity.org.au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DT11:DU16"/>
  <sheetViews>
    <sheetView showFormulas="false" showGridLines="true" showRowColHeaders="true" showZeros="true" rightToLeft="false" tabSelected="true" showOutlineSymbols="true" defaultGridColor="true" view="normal" topLeftCell="A4" colorId="64" zoomScale="75" zoomScaleNormal="75" zoomScalePageLayoutView="100" workbookViewId="0">
      <selection pane="topLeft" activeCell="M14" activeCellId="0" sqref="M14"/>
    </sheetView>
  </sheetViews>
  <sheetFormatPr defaultColWidth="8.515625" defaultRowHeight="15" zeroHeight="false" outlineLevelRow="0" outlineLevelCol="0"/>
  <sheetData>
    <row r="11" customFormat="false" ht="36" hidden="false" customHeight="false" outlineLevel="0" collapsed="false">
      <c r="DT11" s="1" t="s">
        <v>0</v>
      </c>
      <c r="DU11" s="1" t="s">
        <v>1</v>
      </c>
    </row>
    <row r="12" customFormat="false" ht="60" hidden="false" customHeight="false" outlineLevel="0" collapsed="false">
      <c r="DT12" s="2" t="s">
        <v>2</v>
      </c>
      <c r="DU12" s="3" t="s">
        <v>3</v>
      </c>
    </row>
    <row r="13" customFormat="false" ht="60" hidden="false" customHeight="false" outlineLevel="0" collapsed="false">
      <c r="DT13" s="2" t="s">
        <v>4</v>
      </c>
      <c r="DU13" s="3" t="s">
        <v>5</v>
      </c>
    </row>
    <row r="14" customFormat="false" ht="60" hidden="false" customHeight="false" outlineLevel="0" collapsed="false">
      <c r="DT14" s="2" t="s">
        <v>6</v>
      </c>
      <c r="DU14" s="3" t="s">
        <v>7</v>
      </c>
    </row>
    <row r="15" customFormat="false" ht="60" hidden="false" customHeight="false" outlineLevel="0" collapsed="false">
      <c r="DT15" s="2" t="s">
        <v>8</v>
      </c>
      <c r="DU15" s="3" t="s">
        <v>9</v>
      </c>
    </row>
    <row r="16" customFormat="false" ht="15" hidden="false" customHeight="false" outlineLevel="0" collapsed="false">
      <c r="DT16" s="4"/>
      <c r="DU16" s="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3">
              <controlPr defaultSize="0" print="false" autoFill="0" autoPict="0" macro="Module2.Button2_Click">
                <anchor moveWithCells="true" sizeWithCells="false">
                  <from>
                    <xdr:col>9</xdr:col>
                    <xdr:colOff>316800</xdr:colOff>
                    <xdr:row>10</xdr:row>
                    <xdr:rowOff>108000</xdr:rowOff>
                  </from>
                  <to>
                    <xdr:col>12</xdr:col>
                    <xdr:colOff>165600</xdr:colOff>
                    <xdr:row>11</xdr:row>
                    <xdr:rowOff>165600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5">
              <controlPr defaultSize="0" print="false" autoFill="0" autoPict="0" macro="Module3.SendEmail_Click">
                <anchor moveWithCells="true" sizeWithCells="false">
                  <from>
                    <xdr:col>17</xdr:col>
                    <xdr:colOff>21600</xdr:colOff>
                    <xdr:row>10</xdr:row>
                    <xdr:rowOff>57600</xdr:rowOff>
                  </from>
                  <to>
                    <xdr:col>19</xdr:col>
                    <xdr:colOff>136800</xdr:colOff>
                    <xdr:row>11</xdr:row>
                    <xdr:rowOff>115200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6">
              <controlPr defaultSize="0" print="false" autoFill="0" autoPict="0" macro="Module4.GenerateCampaignFromTemplate">
                <anchor moveWithCells="true" sizeWithCells="false">
                  <from>
                    <xdr:col>9</xdr:col>
                    <xdr:colOff>316800</xdr:colOff>
                    <xdr:row>12</xdr:row>
                    <xdr:rowOff>108000</xdr:rowOff>
                  </from>
                  <to>
                    <xdr:col>12</xdr:col>
                    <xdr:colOff>165600</xdr:colOff>
                    <xdr:row>13</xdr:row>
                    <xdr:rowOff>-250920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E1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H4" activeCellId="1" sqref="M14 H4"/>
    </sheetView>
  </sheetViews>
  <sheetFormatPr defaultColWidth="9.42578125" defaultRowHeight="15" zeroHeight="false" outlineLevelRow="1" outlineLevelCol="1"/>
  <cols>
    <col collapsed="false" customWidth="true" hidden="false" outlineLevel="0" max="1" min="1" style="5" width="36.86"/>
    <col collapsed="false" customWidth="true" hidden="false" outlineLevel="0" max="2" min="2" style="6" width="15"/>
    <col collapsed="false" customWidth="true" hidden="false" outlineLevel="0" max="3" min="3" style="5" width="14"/>
    <col collapsed="false" customWidth="true" hidden="false" outlineLevel="0" max="4" min="4" style="7" width="16.43"/>
    <col collapsed="false" customWidth="true" hidden="false" outlineLevel="0" max="5" min="5" style="7" width="15.42"/>
    <col collapsed="false" customWidth="true" hidden="true" outlineLevel="1" max="6" min="6" style="7" width="15.42"/>
    <col collapsed="false" customWidth="true" hidden="false" outlineLevel="0" max="7" min="7" style="8" width="15.85"/>
    <col collapsed="false" customWidth="true" hidden="false" outlineLevel="0" max="8" min="8" style="9" width="15.57"/>
    <col collapsed="false" customWidth="true" hidden="false" outlineLevel="0" max="9" min="9" style="7" width="17"/>
    <col collapsed="false" customWidth="true" hidden="false" outlineLevel="0" max="12" min="10" style="9" width="14"/>
    <col collapsed="false" customWidth="true" hidden="false" outlineLevel="0" max="13" min="13" style="9" width="15.57"/>
    <col collapsed="false" customWidth="true" hidden="false" outlineLevel="0" max="14" min="14" style="6" width="13"/>
    <col collapsed="false" customWidth="true" hidden="false" outlineLevel="0" max="15" min="15" style="9" width="14.42"/>
    <col collapsed="false" customWidth="true" hidden="true" outlineLevel="1" max="16" min="16" style="10" width="15.57"/>
    <col collapsed="false" customWidth="true" hidden="true" outlineLevel="1" max="17" min="17" style="9" width="14.14"/>
    <col collapsed="false" customWidth="true" hidden="true" outlineLevel="1" max="18" min="18" style="10" width="14.42"/>
    <col collapsed="false" customWidth="true" hidden="true" outlineLevel="1" max="19" min="19" style="9" width="14.86"/>
    <col collapsed="false" customWidth="true" hidden="false" outlineLevel="0" max="20" min="20" style="6" width="15.42"/>
    <col collapsed="false" customWidth="true" hidden="false" outlineLevel="0" max="21" min="21" style="7" width="14.42"/>
    <col collapsed="false" customWidth="true" hidden="false" outlineLevel="0" max="22" min="22" style="6" width="12.57"/>
    <col collapsed="false" customWidth="true" hidden="false" outlineLevel="0" max="23" min="23" style="9" width="14.57"/>
    <col collapsed="false" customWidth="true" hidden="false" outlineLevel="0" max="24" min="24" style="9" width="16.85"/>
    <col collapsed="false" customWidth="true" hidden="false" outlineLevel="0" max="25" min="25" style="9" width="16"/>
    <col collapsed="false" customWidth="false" hidden="false" outlineLevel="0" max="27" min="26" style="11" width="9.42"/>
    <col collapsed="false" customWidth="false" hidden="false" outlineLevel="0" max="32" min="28" style="5" width="9.42"/>
    <col collapsed="false" customWidth="false" hidden="false" outlineLevel="0" max="16384" min="33" style="12" width="9.42"/>
  </cols>
  <sheetData>
    <row r="1" s="26" customFormat="true" ht="23.25" hidden="false" customHeight="false" outlineLevel="0" collapsed="false">
      <c r="A1" s="13"/>
      <c r="B1" s="14" t="s">
        <v>10</v>
      </c>
      <c r="C1" s="13"/>
      <c r="D1" s="15"/>
      <c r="E1" s="15"/>
      <c r="F1" s="15"/>
      <c r="G1" s="16"/>
      <c r="H1" s="17"/>
      <c r="I1" s="18"/>
      <c r="J1" s="17"/>
      <c r="K1" s="17"/>
      <c r="L1" s="17"/>
      <c r="M1" s="17"/>
      <c r="N1" s="19"/>
      <c r="O1" s="17"/>
      <c r="P1" s="17"/>
      <c r="Q1" s="17"/>
      <c r="R1" s="17"/>
      <c r="S1" s="17"/>
      <c r="T1" s="19"/>
      <c r="U1" s="15"/>
      <c r="V1" s="20"/>
      <c r="W1" s="17"/>
      <c r="X1" s="17"/>
      <c r="Y1" s="17"/>
      <c r="Z1" s="21"/>
      <c r="AA1" s="21"/>
      <c r="AB1" s="20"/>
      <c r="AC1" s="20"/>
      <c r="AD1" s="20"/>
      <c r="AE1" s="20"/>
      <c r="AF1" s="22"/>
      <c r="AG1" s="23"/>
      <c r="AH1" s="24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5"/>
      <c r="AU1" s="25"/>
      <c r="AV1" s="25"/>
      <c r="AW1" s="25"/>
      <c r="AX1" s="25"/>
      <c r="BB1" s="25"/>
      <c r="BC1" s="25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5"/>
      <c r="CE1" s="25"/>
    </row>
    <row r="2" s="26" customFormat="true" ht="23.25" hidden="false" customHeight="false" outlineLevel="0" collapsed="false">
      <c r="A2" s="27"/>
      <c r="B2" s="28"/>
      <c r="C2" s="13"/>
      <c r="D2" s="15"/>
      <c r="E2" s="15"/>
      <c r="F2" s="15"/>
      <c r="G2" s="16"/>
      <c r="H2" s="17"/>
      <c r="I2" s="18"/>
      <c r="J2" s="17"/>
      <c r="K2" s="17"/>
      <c r="L2" s="17"/>
      <c r="M2" s="17"/>
      <c r="N2" s="19"/>
      <c r="O2" s="17"/>
      <c r="P2" s="17"/>
      <c r="Q2" s="17"/>
      <c r="R2" s="17"/>
      <c r="S2" s="17"/>
      <c r="T2" s="19"/>
      <c r="U2" s="15"/>
      <c r="V2" s="20"/>
      <c r="W2" s="17"/>
      <c r="X2" s="17"/>
      <c r="Y2" s="17"/>
      <c r="Z2" s="21"/>
      <c r="AA2" s="21"/>
      <c r="AB2" s="20"/>
      <c r="AC2" s="20"/>
      <c r="AD2" s="20"/>
      <c r="AE2" s="20"/>
      <c r="AF2" s="22"/>
      <c r="AG2" s="23"/>
      <c r="AH2" s="24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5"/>
      <c r="AU2" s="25"/>
      <c r="AV2" s="25"/>
      <c r="AW2" s="25"/>
      <c r="AX2" s="25"/>
      <c r="BB2" s="25"/>
      <c r="BC2" s="25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5"/>
      <c r="CE2" s="25"/>
    </row>
    <row r="3" s="26" customFormat="true" ht="38.25" hidden="false" customHeight="false" outlineLevel="0" collapsed="false">
      <c r="A3" s="29"/>
      <c r="B3" s="30" t="s">
        <v>11</v>
      </c>
      <c r="C3" s="30" t="s">
        <v>12</v>
      </c>
      <c r="D3" s="31" t="s">
        <v>13</v>
      </c>
      <c r="E3" s="31" t="s">
        <v>13</v>
      </c>
      <c r="F3" s="17"/>
      <c r="G3" s="17"/>
      <c r="H3" s="17"/>
      <c r="I3" s="17"/>
      <c r="J3" s="19"/>
      <c r="K3" s="17"/>
      <c r="L3" s="19"/>
      <c r="M3" s="15"/>
      <c r="N3" s="20"/>
      <c r="O3" s="17"/>
      <c r="P3" s="17"/>
      <c r="Q3" s="17"/>
      <c r="R3" s="17"/>
      <c r="S3" s="17"/>
      <c r="T3" s="17"/>
      <c r="U3" s="17"/>
      <c r="V3" s="21"/>
      <c r="W3" s="21"/>
      <c r="X3" s="20"/>
      <c r="Y3" s="20"/>
      <c r="Z3" s="20"/>
      <c r="AA3" s="20"/>
      <c r="AB3" s="22"/>
      <c r="AC3" s="20"/>
      <c r="AD3" s="32"/>
      <c r="AE3" s="20"/>
      <c r="AF3" s="20"/>
      <c r="AG3" s="23"/>
      <c r="AH3" s="23"/>
      <c r="AI3" s="23"/>
      <c r="AJ3" s="23"/>
      <c r="AK3" s="23"/>
      <c r="AL3" s="23"/>
      <c r="AM3" s="23"/>
      <c r="AN3" s="23"/>
      <c r="AO3" s="23"/>
      <c r="AP3" s="25"/>
      <c r="AQ3" s="25"/>
      <c r="AR3" s="25"/>
      <c r="AS3" s="25"/>
      <c r="AT3" s="25"/>
      <c r="AX3" s="25"/>
      <c r="AY3" s="25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5"/>
      <c r="CA3" s="25"/>
    </row>
    <row r="4" s="26" customFormat="true" ht="12.75" hidden="false" customHeight="false" outlineLevel="0" collapsed="false">
      <c r="A4" s="33" t="s">
        <v>14</v>
      </c>
      <c r="B4" s="34" t="n">
        <f aca="false">$C4/$F$79</f>
        <v>0</v>
      </c>
      <c r="C4" s="35" t="n">
        <f aca="false">I79</f>
        <v>0</v>
      </c>
      <c r="D4" s="34" t="n">
        <f aca="false">E4/F79</f>
        <v>0</v>
      </c>
      <c r="E4" s="35" t="n">
        <f aca="false">Q79</f>
        <v>0</v>
      </c>
      <c r="F4" s="17"/>
      <c r="G4" s="17"/>
      <c r="H4" s="17"/>
      <c r="I4" s="17"/>
      <c r="J4" s="19"/>
      <c r="K4" s="17"/>
      <c r="L4" s="19"/>
      <c r="M4" s="15"/>
      <c r="N4" s="20"/>
      <c r="O4" s="17"/>
      <c r="P4" s="17"/>
      <c r="Q4" s="17"/>
      <c r="R4" s="17"/>
      <c r="S4" s="17"/>
      <c r="T4" s="17"/>
      <c r="U4" s="17"/>
      <c r="V4" s="21"/>
      <c r="W4" s="21"/>
      <c r="X4" s="20"/>
      <c r="Y4" s="20"/>
      <c r="Z4" s="20"/>
      <c r="AA4" s="20"/>
      <c r="AB4" s="22"/>
      <c r="AC4" s="20"/>
      <c r="AD4" s="32"/>
      <c r="AE4" s="20"/>
      <c r="AF4" s="20"/>
      <c r="AG4" s="23"/>
      <c r="AH4" s="23"/>
      <c r="AI4" s="23"/>
      <c r="AJ4" s="23"/>
      <c r="AK4" s="23"/>
      <c r="AL4" s="23"/>
      <c r="AM4" s="23"/>
      <c r="AN4" s="23"/>
      <c r="AO4" s="23"/>
      <c r="AP4" s="25"/>
      <c r="AQ4" s="25"/>
      <c r="AR4" s="25"/>
      <c r="AS4" s="25"/>
      <c r="AT4" s="25"/>
      <c r="AX4" s="25"/>
      <c r="AY4" s="25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5"/>
      <c r="CA4" s="25"/>
    </row>
    <row r="5" s="26" customFormat="true" ht="12.75" hidden="false" customHeight="false" outlineLevel="0" collapsed="false">
      <c r="A5" s="36" t="s">
        <v>15</v>
      </c>
      <c r="B5" s="34" t="n">
        <f aca="false">$C5/$F$79</f>
        <v>0.00857576455018844</v>
      </c>
      <c r="C5" s="35" t="n">
        <f aca="false">J79</f>
        <v>59617</v>
      </c>
      <c r="D5" s="34" t="n">
        <f aca="false">E5/F79</f>
        <v>0.0160515262234242</v>
      </c>
      <c r="E5" s="35" t="n">
        <f aca="false">S79</f>
        <v>111587</v>
      </c>
      <c r="F5" s="17"/>
      <c r="G5" s="17"/>
      <c r="H5" s="17"/>
      <c r="I5" s="17"/>
      <c r="J5" s="19"/>
      <c r="K5" s="17"/>
      <c r="L5" s="19"/>
      <c r="M5" s="15"/>
      <c r="N5" s="20"/>
      <c r="O5" s="17"/>
      <c r="P5" s="17"/>
      <c r="Q5" s="17"/>
      <c r="R5" s="17"/>
      <c r="S5" s="17"/>
      <c r="T5" s="17"/>
      <c r="U5" s="17"/>
      <c r="V5" s="21"/>
      <c r="W5" s="21"/>
      <c r="X5" s="20"/>
      <c r="Y5" s="20"/>
      <c r="Z5" s="20"/>
      <c r="AA5" s="20"/>
      <c r="AB5" s="22"/>
      <c r="AC5" s="20"/>
      <c r="AD5" s="32"/>
      <c r="AE5" s="20"/>
      <c r="AF5" s="20"/>
      <c r="AG5" s="23"/>
      <c r="AH5" s="23"/>
      <c r="AI5" s="23"/>
      <c r="AJ5" s="23"/>
      <c r="AK5" s="23"/>
      <c r="AL5" s="23"/>
      <c r="AM5" s="23"/>
      <c r="AN5" s="23"/>
      <c r="AO5" s="23"/>
      <c r="AP5" s="25"/>
      <c r="AQ5" s="25"/>
      <c r="AR5" s="25"/>
      <c r="AS5" s="25"/>
      <c r="AT5" s="25"/>
      <c r="AX5" s="25"/>
      <c r="AY5" s="25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5"/>
      <c r="CA5" s="25"/>
    </row>
    <row r="6" s="26" customFormat="true" ht="12.75" hidden="false" customHeight="false" outlineLevel="0" collapsed="false">
      <c r="A6" s="36" t="s">
        <v>16</v>
      </c>
      <c r="B6" s="34" t="n">
        <f aca="false">$C6/$F$79</f>
        <v>0.0212723323455796</v>
      </c>
      <c r="C6" s="35" t="n">
        <f aca="false">K79</f>
        <v>147881</v>
      </c>
      <c r="D6" s="37"/>
      <c r="E6" s="37"/>
      <c r="F6" s="17"/>
      <c r="G6" s="17"/>
      <c r="H6" s="17"/>
      <c r="I6" s="17"/>
      <c r="J6" s="19"/>
      <c r="K6" s="17"/>
      <c r="L6" s="19"/>
      <c r="M6" s="15"/>
      <c r="N6" s="20"/>
      <c r="O6" s="17"/>
      <c r="P6" s="17"/>
      <c r="Q6" s="17"/>
      <c r="R6" s="17"/>
      <c r="S6" s="17"/>
      <c r="T6" s="17"/>
      <c r="U6" s="17"/>
      <c r="V6" s="21"/>
      <c r="W6" s="21"/>
      <c r="X6" s="20"/>
      <c r="Y6" s="20"/>
      <c r="Z6" s="20"/>
      <c r="AA6" s="20"/>
      <c r="AB6" s="22"/>
      <c r="AC6" s="20"/>
      <c r="AD6" s="32"/>
      <c r="AE6" s="20"/>
      <c r="AF6" s="20"/>
      <c r="AG6" s="23"/>
      <c r="AH6" s="23"/>
      <c r="AI6" s="23"/>
      <c r="AJ6" s="23"/>
      <c r="AK6" s="23"/>
      <c r="AL6" s="23"/>
      <c r="AM6" s="23"/>
      <c r="AN6" s="23"/>
      <c r="AO6" s="23"/>
      <c r="AP6" s="25"/>
      <c r="AQ6" s="25"/>
      <c r="AR6" s="25"/>
      <c r="AS6" s="25"/>
      <c r="AT6" s="25"/>
      <c r="AX6" s="25"/>
      <c r="AY6" s="25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5"/>
      <c r="CA6" s="25"/>
    </row>
    <row r="7" s="26" customFormat="true" ht="12.75" hidden="false" customHeight="false" outlineLevel="0" collapsed="false">
      <c r="A7" s="36" t="s">
        <v>17</v>
      </c>
      <c r="B7" s="34" t="n">
        <f aca="false">$C7/$F$79</f>
        <v>0.00265326965677954</v>
      </c>
      <c r="C7" s="35" t="n">
        <f aca="false">M79</f>
        <v>18445</v>
      </c>
      <c r="D7" s="37"/>
      <c r="E7" s="37"/>
      <c r="F7" s="17"/>
      <c r="G7" s="17"/>
      <c r="H7" s="17"/>
      <c r="I7" s="17"/>
      <c r="J7" s="19"/>
      <c r="K7" s="17" t="s">
        <v>18</v>
      </c>
      <c r="L7" s="19"/>
      <c r="M7" s="15"/>
      <c r="N7" s="20"/>
      <c r="O7" s="17"/>
      <c r="P7" s="17"/>
      <c r="Q7" s="17"/>
      <c r="R7" s="17"/>
      <c r="S7" s="17"/>
      <c r="T7" s="17"/>
      <c r="U7" s="17"/>
      <c r="V7" s="21"/>
      <c r="W7" s="21"/>
      <c r="X7" s="20"/>
      <c r="Y7" s="20"/>
      <c r="Z7" s="20"/>
      <c r="AA7" s="20"/>
      <c r="AB7" s="22"/>
      <c r="AC7" s="20"/>
      <c r="AD7" s="32"/>
      <c r="AE7" s="20"/>
      <c r="AF7" s="20"/>
      <c r="AG7" s="23"/>
      <c r="AH7" s="23"/>
      <c r="AI7" s="23"/>
      <c r="AJ7" s="23"/>
      <c r="AK7" s="23"/>
      <c r="AL7" s="23"/>
      <c r="AM7" s="23"/>
      <c r="AN7" s="23"/>
      <c r="AO7" s="23"/>
      <c r="AP7" s="25"/>
      <c r="AQ7" s="25"/>
      <c r="AR7" s="25"/>
      <c r="AS7" s="25"/>
      <c r="AT7" s="25"/>
      <c r="AX7" s="25"/>
      <c r="AY7" s="25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5"/>
      <c r="CA7" s="25"/>
    </row>
    <row r="8" s="26" customFormat="true" ht="12.75" hidden="false" customHeight="false" outlineLevel="0" collapsed="false">
      <c r="A8" s="38" t="s">
        <v>19</v>
      </c>
      <c r="B8" s="34" t="n">
        <f aca="false">$C8/$F$79</f>
        <v>0</v>
      </c>
      <c r="C8" s="35" t="n">
        <f aca="false">L79</f>
        <v>0</v>
      </c>
      <c r="D8" s="37"/>
      <c r="E8" s="37"/>
      <c r="F8" s="17"/>
      <c r="G8" s="17"/>
      <c r="H8" s="17"/>
      <c r="I8" s="17"/>
      <c r="J8" s="19"/>
      <c r="K8" s="17"/>
      <c r="L8" s="19"/>
      <c r="M8" s="15"/>
      <c r="N8" s="20"/>
      <c r="O8" s="17"/>
      <c r="P8" s="17"/>
      <c r="Q8" s="17"/>
      <c r="R8" s="17"/>
      <c r="S8" s="17"/>
      <c r="T8" s="17"/>
      <c r="U8" s="17"/>
      <c r="V8" s="21"/>
      <c r="W8" s="21"/>
      <c r="X8" s="20"/>
      <c r="Y8" s="20"/>
      <c r="Z8" s="20"/>
      <c r="AA8" s="20"/>
      <c r="AB8" s="22"/>
      <c r="AC8" s="20"/>
      <c r="AD8" s="32"/>
      <c r="AE8" s="20"/>
      <c r="AF8" s="20"/>
      <c r="AG8" s="23"/>
      <c r="AH8" s="23"/>
      <c r="AI8" s="23"/>
      <c r="AJ8" s="23"/>
      <c r="AK8" s="23"/>
      <c r="AL8" s="23"/>
      <c r="AM8" s="23"/>
      <c r="AN8" s="23"/>
      <c r="AO8" s="23"/>
      <c r="AP8" s="25"/>
      <c r="AQ8" s="25"/>
      <c r="AR8" s="25"/>
      <c r="AS8" s="25"/>
      <c r="AT8" s="25"/>
      <c r="AX8" s="25"/>
      <c r="AY8" s="25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5"/>
      <c r="CA8" s="25"/>
    </row>
    <row r="9" s="26" customFormat="true" ht="12.75" hidden="false" customHeight="false" outlineLevel="0" collapsed="false">
      <c r="A9" s="39" t="s">
        <v>20</v>
      </c>
      <c r="B9" s="40" t="n">
        <f aca="false">SUM(B4:B8)</f>
        <v>0.0325013665525475</v>
      </c>
      <c r="C9" s="41" t="n">
        <f aca="false">SUM(C4:C8)</f>
        <v>225943</v>
      </c>
      <c r="D9" s="42" t="n">
        <f aca="false">SUM(D4:D7)</f>
        <v>0.0160515262234242</v>
      </c>
      <c r="E9" s="43" t="n">
        <f aca="false">SUM(E4:E7)</f>
        <v>111587</v>
      </c>
      <c r="F9" s="17"/>
      <c r="G9" s="17"/>
      <c r="H9" s="17"/>
      <c r="I9" s="17"/>
      <c r="J9" s="19"/>
      <c r="K9" s="17"/>
      <c r="L9" s="19"/>
      <c r="M9" s="15"/>
      <c r="N9" s="20"/>
      <c r="O9" s="17"/>
      <c r="P9" s="17"/>
      <c r="Q9" s="17"/>
      <c r="R9" s="17"/>
      <c r="S9" s="17"/>
      <c r="T9" s="17"/>
      <c r="U9" s="17"/>
      <c r="V9" s="21"/>
      <c r="W9" s="21"/>
      <c r="X9" s="20"/>
      <c r="Y9" s="20"/>
      <c r="Z9" s="20"/>
      <c r="AA9" s="20"/>
      <c r="AB9" s="22"/>
      <c r="AC9" s="20"/>
      <c r="AD9" s="32"/>
      <c r="AE9" s="20"/>
      <c r="AF9" s="20"/>
      <c r="AG9" s="23"/>
      <c r="AH9" s="23"/>
      <c r="AI9" s="23"/>
      <c r="AJ9" s="23"/>
      <c r="AK9" s="23"/>
      <c r="AL9" s="23"/>
      <c r="AM9" s="23"/>
      <c r="AN9" s="23"/>
      <c r="AO9" s="23"/>
      <c r="AP9" s="25"/>
      <c r="AQ9" s="25"/>
      <c r="AR9" s="25"/>
      <c r="AS9" s="25"/>
      <c r="AT9" s="25"/>
      <c r="AX9" s="25"/>
      <c r="AY9" s="25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5"/>
      <c r="CA9" s="25"/>
    </row>
    <row r="10" s="26" customFormat="true" ht="23.25" hidden="false" customHeight="false" outlineLevel="0" collapsed="false">
      <c r="A10" s="13"/>
      <c r="B10" s="28"/>
      <c r="C10" s="13"/>
      <c r="D10" s="15"/>
      <c r="E10" s="15"/>
      <c r="F10" s="15"/>
      <c r="G10" s="16"/>
      <c r="H10" s="17"/>
      <c r="I10" s="18"/>
      <c r="J10" s="17"/>
      <c r="K10" s="17"/>
      <c r="L10" s="44"/>
      <c r="M10" s="17"/>
      <c r="N10" s="19"/>
      <c r="O10" s="17"/>
      <c r="P10" s="17"/>
      <c r="Q10" s="17"/>
      <c r="R10" s="17"/>
      <c r="S10" s="17"/>
      <c r="T10" s="19"/>
      <c r="U10" s="15"/>
      <c r="V10" s="20"/>
      <c r="W10" s="17"/>
      <c r="X10" s="17"/>
      <c r="Y10" s="17"/>
      <c r="Z10" s="21"/>
      <c r="AA10" s="21"/>
      <c r="AB10" s="20"/>
      <c r="AC10" s="20"/>
      <c r="AD10" s="20"/>
      <c r="AE10" s="20"/>
      <c r="AF10" s="22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5"/>
      <c r="AU10" s="25"/>
      <c r="AV10" s="25"/>
      <c r="AW10" s="25"/>
      <c r="AX10" s="25"/>
      <c r="BB10" s="25"/>
      <c r="BC10" s="25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5"/>
      <c r="CE10" s="25"/>
    </row>
    <row r="11" s="59" customFormat="true" ht="28.5" hidden="false" customHeight="true" outlineLevel="0" collapsed="false">
      <c r="A11" s="45"/>
      <c r="B11" s="46"/>
      <c r="C11" s="45"/>
      <c r="D11" s="47"/>
      <c r="E11" s="47"/>
      <c r="F11" s="48"/>
      <c r="G11" s="49" t="s">
        <v>21</v>
      </c>
      <c r="H11" s="49"/>
      <c r="I11" s="50"/>
      <c r="J11" s="51" t="s">
        <v>22</v>
      </c>
      <c r="K11" s="51"/>
      <c r="L11" s="51"/>
      <c r="M11" s="51"/>
      <c r="N11" s="51"/>
      <c r="O11" s="51"/>
      <c r="P11" s="52" t="s">
        <v>23</v>
      </c>
      <c r="Q11" s="52"/>
      <c r="R11" s="52"/>
      <c r="S11" s="52"/>
      <c r="T11" s="52"/>
      <c r="U11" s="52"/>
      <c r="V11" s="53" t="s">
        <v>24</v>
      </c>
      <c r="W11" s="53"/>
      <c r="X11" s="53"/>
      <c r="Y11" s="53"/>
      <c r="Z11" s="54"/>
      <c r="AA11" s="54"/>
      <c r="AB11" s="55"/>
      <c r="AC11" s="55"/>
      <c r="AD11" s="55"/>
      <c r="AE11" s="55"/>
      <c r="AF11" s="56"/>
      <c r="AG11" s="57"/>
      <c r="AH11" s="58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</row>
    <row r="12" s="67" customFormat="true" ht="51" hidden="false" customHeight="true" outlineLevel="0" collapsed="false">
      <c r="A12" s="60" t="s">
        <v>25</v>
      </c>
      <c r="B12" s="61" t="s">
        <v>26</v>
      </c>
      <c r="C12" s="62" t="s">
        <v>27</v>
      </c>
      <c r="D12" s="61" t="s">
        <v>28</v>
      </c>
      <c r="E12" s="63" t="s">
        <v>29</v>
      </c>
      <c r="F12" s="61" t="s">
        <v>30</v>
      </c>
      <c r="G12" s="53" t="s">
        <v>31</v>
      </c>
      <c r="H12" s="53" t="s">
        <v>32</v>
      </c>
      <c r="I12" s="64" t="s">
        <v>33</v>
      </c>
      <c r="J12" s="65" t="s">
        <v>34</v>
      </c>
      <c r="K12" s="65" t="s">
        <v>35</v>
      </c>
      <c r="L12" s="65" t="s">
        <v>36</v>
      </c>
      <c r="M12" s="65" t="s">
        <v>37</v>
      </c>
      <c r="N12" s="51" t="s">
        <v>38</v>
      </c>
      <c r="O12" s="51" t="s">
        <v>39</v>
      </c>
      <c r="P12" s="31" t="s">
        <v>40</v>
      </c>
      <c r="Q12" s="31" t="s">
        <v>41</v>
      </c>
      <c r="R12" s="31" t="s">
        <v>42</v>
      </c>
      <c r="S12" s="31" t="s">
        <v>43</v>
      </c>
      <c r="T12" s="31" t="s">
        <v>44</v>
      </c>
      <c r="U12" s="31" t="s">
        <v>45</v>
      </c>
      <c r="V12" s="53" t="s">
        <v>46</v>
      </c>
      <c r="W12" s="53" t="s">
        <v>47</v>
      </c>
      <c r="X12" s="53" t="s">
        <v>48</v>
      </c>
      <c r="Y12" s="53" t="s">
        <v>49</v>
      </c>
      <c r="Z12" s="66"/>
      <c r="AA12" s="66"/>
      <c r="AB12" s="66"/>
      <c r="AC12" s="66"/>
      <c r="AD12" s="66"/>
      <c r="AE12" s="66"/>
      <c r="AF12" s="66"/>
    </row>
    <row r="13" s="75" customFormat="true" ht="15.75" hidden="true" customHeight="false" outlineLevel="1" collapsed="false">
      <c r="A13" s="68" t="s">
        <v>50</v>
      </c>
      <c r="B13" s="69" t="n">
        <f aca="false">COUNTIFS('Employee Data'!$V:$V,$A:$A)</f>
        <v>0</v>
      </c>
      <c r="C13" s="69" t="n">
        <f aca="false">COUNTIFS('Employee Data'!$V:$V,$A:$A,'Employee Data'!$BA:$BA,"Yes")</f>
        <v>0</v>
      </c>
      <c r="D13" s="70" t="n">
        <f aca="false">SUMIFS('Employee Data'!$AP:$AP,'Employee Data'!$V:$V,$A:$A)</f>
        <v>0</v>
      </c>
      <c r="E13" s="70" t="n">
        <f aca="false">SUMIFS('Employee Data'!$AQ:$AQ,'Employee Data'!$V:$V,$A:$A)</f>
        <v>0</v>
      </c>
      <c r="F13" s="70" t="n">
        <f aca="false">SUMIFS('Employee Data'!$AR:$AR,'Employee Data'!$V:$V,$A:$A)</f>
        <v>0</v>
      </c>
      <c r="G13" s="71" t="e">
        <f aca="false">H13/F13</f>
        <v>#DIV/0!</v>
      </c>
      <c r="H13" s="70" t="n">
        <f aca="false">SUMIFS('Employee Data'!$CQ:$CQ,'Employee Data'!$V:$V,$A:$A)</f>
        <v>0</v>
      </c>
      <c r="I13" s="70" t="n">
        <f aca="false">SUMIFS('Employee Data'!$CS:$CS,'Employee Data'!$V:$V,$A:$A)</f>
        <v>0</v>
      </c>
      <c r="J13" s="70" t="n">
        <f aca="false">SUMIFS('Employee Data'!$CW:$CW,'Employee Data'!$V:$V,$A:$A)</f>
        <v>0</v>
      </c>
      <c r="K13" s="70" t="n">
        <f aca="false">SUMIFS('Employee Data'!$BF:$BF,'Employee Data'!$V:$V,$A:$A,'Employee Data'!$BA:$BA,"Yes")</f>
        <v>0</v>
      </c>
      <c r="L13" s="70" t="n">
        <f aca="false">SUMIFS('Employee Data'!$BH:$BH,'Employee Data'!$V:$V,$A:$A)</f>
        <v>0</v>
      </c>
      <c r="M13" s="70" t="n">
        <f aca="false">SUMIFS('Employee Data'!$BJ:$BJ,'Employee Data'!$V:$V,$A:$A)</f>
        <v>0</v>
      </c>
      <c r="N13" s="72" t="e">
        <f aca="false">O13/F13</f>
        <v>#DIV/0!</v>
      </c>
      <c r="O13" s="70" t="n">
        <f aca="false">SUMIFS('Employee Data'!$DJ:$DJ,'Employee Data'!$V:$V,$A:$A)</f>
        <v>0</v>
      </c>
      <c r="P13" s="73" t="e">
        <f aca="false">Q13/F13</f>
        <v>#DIV/0!</v>
      </c>
      <c r="Q13" s="70" t="n">
        <f aca="false">SUMIFS('Employee Data'!$CU:$CU,'Employee Data'!$V:$V,$A:$A)</f>
        <v>0</v>
      </c>
      <c r="R13" s="73" t="e">
        <f aca="false">S13/F13</f>
        <v>#DIV/0!</v>
      </c>
      <c r="S13" s="70" t="n">
        <f aca="false">SUMIFS('Employee Data'!$CY:$CY,'Employee Data'!$V:$V,$A:$A)</f>
        <v>0</v>
      </c>
      <c r="T13" s="72" t="e">
        <f aca="false">U13/F13</f>
        <v>#DIV/0!</v>
      </c>
      <c r="U13" s="70" t="n">
        <f aca="false">SUMIFS('Employee Data'!$DL:$DL,'Employee Data'!$V:$V,$A:$A)</f>
        <v>0</v>
      </c>
      <c r="V13" s="71" t="e">
        <f aca="false">W13/F13</f>
        <v>#DIV/0!</v>
      </c>
      <c r="W13" s="70" t="n">
        <f aca="false">SUMIFS('Employee Data'!$BN:$BN,'Employee Data'!$V:$V,$A:$A)</f>
        <v>0</v>
      </c>
      <c r="X13" s="70" t="n">
        <f aca="false">SUMIFS('Employee Data'!$BO:$BO,'Employee Data'!$V:$V,$A:$A)</f>
        <v>0</v>
      </c>
      <c r="Y13" s="70" t="n">
        <f aca="false">SUMIFS('Employee Data'!$BV:$BV,'Employee Data'!$V:$V,$A:$A)</f>
        <v>0</v>
      </c>
      <c r="Z13" s="74"/>
      <c r="AA13" s="74"/>
      <c r="AB13" s="74"/>
      <c r="AC13" s="74"/>
      <c r="AD13" s="74"/>
      <c r="AE13" s="74"/>
      <c r="AF13" s="74"/>
    </row>
    <row r="14" s="83" customFormat="true" ht="12.75" hidden="true" customHeight="false" outlineLevel="1" collapsed="false">
      <c r="A14" s="76" t="s">
        <v>51</v>
      </c>
      <c r="B14" s="77" t="n">
        <f aca="false">COUNTIFS('Employee Data'!$W:$W,$A:$A)</f>
        <v>0</v>
      </c>
      <c r="C14" s="77" t="n">
        <f aca="false">COUNTIFS('Employee Data'!$W:$W,$A:$A,'Employee Data'!$BA:$BA,"Yes")</f>
        <v>0</v>
      </c>
      <c r="D14" s="78" t="n">
        <f aca="false">SUMIFS('Employee Data'!$AP:$AP,'Employee Data'!$W:$W,$A:$A)</f>
        <v>0</v>
      </c>
      <c r="E14" s="78" t="n">
        <f aca="false">SUMIFS('Employee Data'!$AQ:$AQ,'Employee Data'!$W:$W,$A:$A)</f>
        <v>0</v>
      </c>
      <c r="F14" s="78" t="n">
        <f aca="false">SUMIFS('Employee Data'!$AR:$AR,'Employee Data'!$W:$W,$A:$A)</f>
        <v>0</v>
      </c>
      <c r="G14" s="79" t="e">
        <f aca="false">H14/F14</f>
        <v>#DIV/0!</v>
      </c>
      <c r="H14" s="78" t="n">
        <f aca="false">SUMIFS('Employee Data'!$CQ:$CQ,'Employee Data'!$W:$W,$A:$A)</f>
        <v>0</v>
      </c>
      <c r="I14" s="78" t="n">
        <f aca="false">SUMIFS('Employee Data'!$CS:$CS,'Employee Data'!$W:$W,$A:$A)</f>
        <v>0</v>
      </c>
      <c r="J14" s="78" t="n">
        <f aca="false">SUMIFS('Employee Data'!$CW:$CW,'Employee Data'!$W:$W,$A:$A)</f>
        <v>0</v>
      </c>
      <c r="K14" s="78" t="n">
        <f aca="false">SUMIFS('Employee Data'!$BF:$BF,'Employee Data'!$W:$W,$A:$A)</f>
        <v>0</v>
      </c>
      <c r="L14" s="78" t="n">
        <f aca="false">SUMIFS('Employee Data'!$BH:$BH,'Employee Data'!$W:$W,$A:$A)</f>
        <v>0</v>
      </c>
      <c r="M14" s="78" t="n">
        <f aca="false">SUMIFS('Employee Data'!$BJ:$BJ,'Employee Data'!$W:$W,$A:$A)</f>
        <v>0</v>
      </c>
      <c r="N14" s="80" t="e">
        <f aca="false">O14/F14</f>
        <v>#DIV/0!</v>
      </c>
      <c r="O14" s="78" t="n">
        <f aca="false">SUMIFS('Employee Data'!$DJ:$DJ,'Employee Data'!$W:$W,$A:$A)</f>
        <v>0</v>
      </c>
      <c r="P14" s="81" t="e">
        <f aca="false">Q14/F14</f>
        <v>#DIV/0!</v>
      </c>
      <c r="Q14" s="78" t="n">
        <f aca="false">SUMIFS('Employee Data'!$CU:$CU,'Employee Data'!$W:$W,$A:$A)</f>
        <v>0</v>
      </c>
      <c r="R14" s="81" t="e">
        <f aca="false">S14/F14</f>
        <v>#DIV/0!</v>
      </c>
      <c r="S14" s="78" t="n">
        <f aca="false">SUMIFS('Employee Data'!$CY:$CY,'Employee Data'!$W:$W,$A:$A)</f>
        <v>0</v>
      </c>
      <c r="T14" s="80" t="e">
        <f aca="false">U14/F14</f>
        <v>#DIV/0!</v>
      </c>
      <c r="U14" s="78" t="n">
        <f aca="false">SUMIFS('Employee Data'!$DL:$DL,'Employee Data'!$W:$W,$A:$A)</f>
        <v>0</v>
      </c>
      <c r="V14" s="79" t="e">
        <f aca="false">W14/F14</f>
        <v>#DIV/0!</v>
      </c>
      <c r="W14" s="78" t="n">
        <f aca="false">SUMIFS('Employee Data'!$BN:$BN,'Employee Data'!$W:$W,$A:$A)</f>
        <v>0</v>
      </c>
      <c r="X14" s="78" t="n">
        <f aca="false">SUMIFS('Employee Data'!$BO:$BO,'Employee Data'!$W:$W,$A:$A)</f>
        <v>0</v>
      </c>
      <c r="Y14" s="78" t="n">
        <f aca="false">SUMIFS('Employee Data'!$BV:$BV,'Employee Data'!$W:$W,$A:$A)</f>
        <v>0</v>
      </c>
      <c r="Z14" s="82"/>
      <c r="AA14" s="82"/>
      <c r="AB14" s="82"/>
      <c r="AC14" s="82"/>
      <c r="AD14" s="82"/>
      <c r="AE14" s="82"/>
      <c r="AF14" s="82"/>
    </row>
    <row r="15" s="83" customFormat="true" ht="12.75" hidden="true" customHeight="false" outlineLevel="1" collapsed="false">
      <c r="A15" s="76" t="s">
        <v>52</v>
      </c>
      <c r="B15" s="77" t="n">
        <f aca="false">COUNTIFS('Employee Data'!$W:$W,$A:$A)</f>
        <v>0</v>
      </c>
      <c r="C15" s="77" t="n">
        <f aca="false">COUNTIFS('Employee Data'!$W:$W,$A:$A,'Employee Data'!$BA:$BA,"Yes")</f>
        <v>0</v>
      </c>
      <c r="D15" s="78" t="n">
        <f aca="false">SUMIFS('Employee Data'!$AP:$AP,'Employee Data'!$W:$W,$A:$A)</f>
        <v>0</v>
      </c>
      <c r="E15" s="78" t="n">
        <f aca="false">SUMIFS('Employee Data'!$AQ:$AQ,'Employee Data'!$W:$W,$A:$A)</f>
        <v>0</v>
      </c>
      <c r="F15" s="78" t="n">
        <f aca="false">SUMIFS('Employee Data'!$AR:$AR,'Employee Data'!$W:$W,$A:$A)</f>
        <v>0</v>
      </c>
      <c r="G15" s="79" t="e">
        <f aca="false">H15/F15</f>
        <v>#DIV/0!</v>
      </c>
      <c r="H15" s="78" t="n">
        <f aca="false">SUMIFS('Employee Data'!$CQ:$CQ,'Employee Data'!$W:$W,$A:$A)</f>
        <v>0</v>
      </c>
      <c r="I15" s="78" t="n">
        <f aca="false">SUMIFS('Employee Data'!$CS:$CS,'Employee Data'!$W:$W,$A:$A)</f>
        <v>0</v>
      </c>
      <c r="J15" s="78" t="n">
        <f aca="false">SUMIFS('Employee Data'!$CW:$CW,'Employee Data'!$W:$W,$A:$A)</f>
        <v>0</v>
      </c>
      <c r="K15" s="78" t="n">
        <f aca="false">SUMIFS('Employee Data'!$BF:$BF,'Employee Data'!$W:$W,$A:$A)</f>
        <v>0</v>
      </c>
      <c r="L15" s="78" t="n">
        <f aca="false">SUMIFS('Employee Data'!$BH:$BH,'Employee Data'!$W:$W,$A:$A)</f>
        <v>0</v>
      </c>
      <c r="M15" s="78" t="n">
        <f aca="false">SUMIFS('Employee Data'!$BJ:$BJ,'Employee Data'!$W:$W,$A:$A)</f>
        <v>0</v>
      </c>
      <c r="N15" s="80" t="e">
        <f aca="false">O15/F15</f>
        <v>#DIV/0!</v>
      </c>
      <c r="O15" s="78" t="n">
        <f aca="false">SUMIFS('Employee Data'!$DJ:$DJ,'Employee Data'!$W:$W,$A:$A)</f>
        <v>0</v>
      </c>
      <c r="P15" s="81" t="e">
        <f aca="false">Q15/F15</f>
        <v>#DIV/0!</v>
      </c>
      <c r="Q15" s="78" t="n">
        <f aca="false">SUMIFS('Employee Data'!$CU:$CU,'Employee Data'!$W:$W,$A:$A)</f>
        <v>0</v>
      </c>
      <c r="R15" s="81" t="e">
        <f aca="false">S15/F15</f>
        <v>#DIV/0!</v>
      </c>
      <c r="S15" s="78" t="n">
        <f aca="false">SUMIFS('Employee Data'!$CY:$CY,'Employee Data'!$W:$W,$A:$A)</f>
        <v>0</v>
      </c>
      <c r="T15" s="80" t="e">
        <f aca="false">U15/F15</f>
        <v>#DIV/0!</v>
      </c>
      <c r="U15" s="78" t="n">
        <f aca="false">SUMIFS('Employee Data'!$DL:$DL,'Employee Data'!$W:$W,$A:$A)</f>
        <v>0</v>
      </c>
      <c r="V15" s="79" t="e">
        <f aca="false">W15/F15</f>
        <v>#DIV/0!</v>
      </c>
      <c r="W15" s="78" t="n">
        <f aca="false">SUMIFS('Employee Data'!$BN:$BN,'Employee Data'!$W:$W,$A:$A)</f>
        <v>0</v>
      </c>
      <c r="X15" s="78" t="n">
        <f aca="false">SUMIFS('Employee Data'!$BO:$BO,'Employee Data'!$W:$W,$A:$A)</f>
        <v>0</v>
      </c>
      <c r="Y15" s="78" t="n">
        <f aca="false">SUMIFS('Employee Data'!$BV:$BV,'Employee Data'!$W:$W,$A:$A)</f>
        <v>0</v>
      </c>
      <c r="Z15" s="82"/>
      <c r="AA15" s="82"/>
      <c r="AB15" s="82"/>
      <c r="AC15" s="82"/>
      <c r="AD15" s="82"/>
      <c r="AE15" s="82"/>
      <c r="AF15" s="82"/>
    </row>
    <row r="16" s="83" customFormat="true" ht="12.75" hidden="true" customHeight="false" outlineLevel="1" collapsed="false">
      <c r="A16" s="76" t="s">
        <v>53</v>
      </c>
      <c r="B16" s="77" t="n">
        <f aca="false">COUNTIFS('Employee Data'!$W:$W,$A:$A)</f>
        <v>0</v>
      </c>
      <c r="C16" s="77" t="n">
        <f aca="false">COUNTIFS('Employee Data'!$W:$W,$A:$A,'Employee Data'!$BA:$BA,"Yes")</f>
        <v>0</v>
      </c>
      <c r="D16" s="78" t="n">
        <f aca="false">SUMIFS('Employee Data'!$AP:$AP,'Employee Data'!$W:$W,$A:$A)</f>
        <v>0</v>
      </c>
      <c r="E16" s="78" t="n">
        <f aca="false">SUMIFS('Employee Data'!$AQ:$AQ,'Employee Data'!$W:$W,$A:$A)</f>
        <v>0</v>
      </c>
      <c r="F16" s="78" t="n">
        <f aca="false">SUMIFS('Employee Data'!$AR:$AR,'Employee Data'!$W:$W,$A:$A)</f>
        <v>0</v>
      </c>
      <c r="G16" s="79" t="e">
        <f aca="false">H16/F16</f>
        <v>#DIV/0!</v>
      </c>
      <c r="H16" s="78" t="n">
        <f aca="false">SUMIFS('Employee Data'!$CQ:$CQ,'Employee Data'!$W:$W,$A:$A)</f>
        <v>0</v>
      </c>
      <c r="I16" s="78" t="n">
        <f aca="false">SUMIFS('Employee Data'!$CS:$CS,'Employee Data'!$W:$W,$A:$A)</f>
        <v>0</v>
      </c>
      <c r="J16" s="78" t="n">
        <f aca="false">SUMIFS('Employee Data'!$CW:$CW,'Employee Data'!$W:$W,$A:$A)</f>
        <v>0</v>
      </c>
      <c r="K16" s="78" t="n">
        <f aca="false">SUMIFS('Employee Data'!$BF:$BF,'Employee Data'!$W:$W,$A:$A)</f>
        <v>0</v>
      </c>
      <c r="L16" s="78" t="n">
        <f aca="false">SUMIFS('Employee Data'!$BH:$BH,'Employee Data'!$W:$W,$A:$A)</f>
        <v>0</v>
      </c>
      <c r="M16" s="78" t="n">
        <f aca="false">SUMIFS('Employee Data'!$BJ:$BJ,'Employee Data'!$W:$W,$A:$A)</f>
        <v>0</v>
      </c>
      <c r="N16" s="80" t="e">
        <f aca="false">O16/F16</f>
        <v>#DIV/0!</v>
      </c>
      <c r="O16" s="78" t="n">
        <f aca="false">SUMIFS('Employee Data'!$DJ:$DJ,'Employee Data'!$W:$W,$A:$A)</f>
        <v>0</v>
      </c>
      <c r="P16" s="81" t="e">
        <f aca="false">Q16/F16</f>
        <v>#DIV/0!</v>
      </c>
      <c r="Q16" s="78" t="n">
        <f aca="false">SUMIFS('Employee Data'!$CU:$CU,'Employee Data'!$W:$W,$A:$A)</f>
        <v>0</v>
      </c>
      <c r="R16" s="81" t="e">
        <f aca="false">S16/F16</f>
        <v>#DIV/0!</v>
      </c>
      <c r="S16" s="78" t="n">
        <f aca="false">SUMIFS('Employee Data'!$CY:$CY,'Employee Data'!$W:$W,$A:$A)</f>
        <v>0</v>
      </c>
      <c r="T16" s="80" t="e">
        <f aca="false">U16/F16</f>
        <v>#DIV/0!</v>
      </c>
      <c r="U16" s="78" t="n">
        <f aca="false">SUMIFS('Employee Data'!$DL:$DL,'Employee Data'!$W:$W,$A:$A)</f>
        <v>0</v>
      </c>
      <c r="V16" s="79" t="e">
        <f aca="false">W16/F16</f>
        <v>#DIV/0!</v>
      </c>
      <c r="W16" s="78" t="n">
        <f aca="false">SUMIFS('Employee Data'!$BN:$BN,'Employee Data'!$W:$W,$A:$A)</f>
        <v>0</v>
      </c>
      <c r="X16" s="78" t="n">
        <f aca="false">SUMIFS('Employee Data'!$BO:$BO,'Employee Data'!$W:$W,$A:$A)</f>
        <v>0</v>
      </c>
      <c r="Y16" s="78" t="n">
        <f aca="false">SUMIFS('Employee Data'!$BV:$BV,'Employee Data'!$W:$W,$A:$A)</f>
        <v>0</v>
      </c>
      <c r="Z16" s="82"/>
      <c r="AA16" s="82"/>
      <c r="AB16" s="82"/>
      <c r="AC16" s="82"/>
      <c r="AD16" s="82"/>
      <c r="AE16" s="82"/>
      <c r="AF16" s="82"/>
    </row>
    <row r="17" s="83" customFormat="true" ht="12.75" hidden="true" customHeight="false" outlineLevel="1" collapsed="false">
      <c r="A17" s="76" t="s">
        <v>54</v>
      </c>
      <c r="B17" s="84" t="n">
        <f aca="false">COUNTIFS('Employee Data'!$W:$W,$A:$A)</f>
        <v>0</v>
      </c>
      <c r="C17" s="77" t="n">
        <f aca="false">COUNTIFS('Employee Data'!$W:$W,$A:$A,'Employee Data'!$BA:$BA,"Yes")</f>
        <v>0</v>
      </c>
      <c r="D17" s="78" t="n">
        <f aca="false">SUMIFS('Employee Data'!$AP:$AP,'Employee Data'!$W:$W,$A:$A)</f>
        <v>0</v>
      </c>
      <c r="E17" s="78" t="n">
        <f aca="false">SUMIFS('Employee Data'!$AQ:$AQ,'Employee Data'!$W:$W,$A:$A)</f>
        <v>0</v>
      </c>
      <c r="F17" s="78" t="n">
        <f aca="false">SUMIFS('Employee Data'!$AR:$AR,'Employee Data'!$W:$W,$A:$A)</f>
        <v>0</v>
      </c>
      <c r="G17" s="79" t="e">
        <f aca="false">H17/F17</f>
        <v>#DIV/0!</v>
      </c>
      <c r="H17" s="78" t="n">
        <f aca="false">SUMIFS('Employee Data'!$CQ:$CQ,'Employee Data'!$W:$W,$A:$A)</f>
        <v>0</v>
      </c>
      <c r="I17" s="78" t="n">
        <f aca="false">SUMIFS('Employee Data'!$CS:$CS,'Employee Data'!$W:$W,$A:$A)</f>
        <v>0</v>
      </c>
      <c r="J17" s="78" t="n">
        <f aca="false">SUMIFS('Employee Data'!$CW:$CW,'Employee Data'!$W:$W,$A:$A)</f>
        <v>0</v>
      </c>
      <c r="K17" s="78" t="n">
        <f aca="false">SUMIFS('Employee Data'!$BF:$BF,'Employee Data'!$W:$W,$A:$A)</f>
        <v>0</v>
      </c>
      <c r="L17" s="78" t="n">
        <f aca="false">SUMIFS('Employee Data'!$BH:$BH,'Employee Data'!$W:$W,$A:$A)</f>
        <v>0</v>
      </c>
      <c r="M17" s="78" t="n">
        <f aca="false">SUMIFS('Employee Data'!$BJ:$BJ,'Employee Data'!$W:$W,$A:$A)</f>
        <v>0</v>
      </c>
      <c r="N17" s="80" t="e">
        <f aca="false">O17/F17</f>
        <v>#DIV/0!</v>
      </c>
      <c r="O17" s="78" t="n">
        <f aca="false">SUMIFS('Employee Data'!$DJ:$DJ,'Employee Data'!$W:$W,$A:$A)</f>
        <v>0</v>
      </c>
      <c r="P17" s="81" t="e">
        <f aca="false">Q17/F17</f>
        <v>#DIV/0!</v>
      </c>
      <c r="Q17" s="78" t="n">
        <f aca="false">SUMIFS('Employee Data'!$CU:$CU,'Employee Data'!$W:$W,$A:$A)</f>
        <v>0</v>
      </c>
      <c r="R17" s="81" t="e">
        <f aca="false">S17/F17</f>
        <v>#DIV/0!</v>
      </c>
      <c r="S17" s="78" t="n">
        <f aca="false">SUMIFS('Employee Data'!$CY:$CY,'Employee Data'!$W:$W,$A:$A)</f>
        <v>0</v>
      </c>
      <c r="T17" s="80" t="e">
        <f aca="false">U17/F17</f>
        <v>#DIV/0!</v>
      </c>
      <c r="U17" s="78" t="n">
        <f aca="false">SUMIFS('Employee Data'!$DL:$DL,'Employee Data'!$W:$W,$A:$A)</f>
        <v>0</v>
      </c>
      <c r="V17" s="79" t="e">
        <f aca="false">W17/F17</f>
        <v>#DIV/0!</v>
      </c>
      <c r="W17" s="78" t="n">
        <f aca="false">SUMIFS('Employee Data'!$BN:$BN,'Employee Data'!$W:$W,$A:$A)</f>
        <v>0</v>
      </c>
      <c r="X17" s="78" t="n">
        <f aca="false">SUMIFS('Employee Data'!$BO:$BO,'Employee Data'!$W:$W,$A:$A)</f>
        <v>0</v>
      </c>
      <c r="Y17" s="78" t="n">
        <f aca="false">SUMIFS('Employee Data'!$BV:$BV,'Employee Data'!$W:$W,$A:$A)</f>
        <v>0</v>
      </c>
      <c r="Z17" s="82"/>
      <c r="AA17" s="82"/>
      <c r="AB17" s="82"/>
      <c r="AC17" s="82"/>
      <c r="AD17" s="82"/>
      <c r="AE17" s="82"/>
      <c r="AF17" s="82"/>
    </row>
    <row r="18" s="83" customFormat="true" ht="12.75" hidden="true" customHeight="false" outlineLevel="1" collapsed="false">
      <c r="A18" s="76" t="s">
        <v>55</v>
      </c>
      <c r="B18" s="77" t="n">
        <f aca="false">COUNTIFS('Employee Data'!$W:$W,$A:$A)</f>
        <v>0</v>
      </c>
      <c r="C18" s="77" t="n">
        <f aca="false">COUNTIFS('Employee Data'!$W:$W,$A:$A,'Employee Data'!$BA:$BA,"Yes")</f>
        <v>0</v>
      </c>
      <c r="D18" s="78" t="n">
        <f aca="false">SUMIFS('Employee Data'!$AP:$AP,'Employee Data'!$W:$W,$A:$A)</f>
        <v>0</v>
      </c>
      <c r="E18" s="78" t="n">
        <f aca="false">SUMIFS('Employee Data'!$AQ:$AQ,'Employee Data'!$W:$W,$A:$A)</f>
        <v>0</v>
      </c>
      <c r="F18" s="78" t="n">
        <f aca="false">SUMIFS('Employee Data'!$AR:$AR,'Employee Data'!$W:$W,$A:$A)</f>
        <v>0</v>
      </c>
      <c r="G18" s="79" t="e">
        <f aca="false">H18/F18</f>
        <v>#DIV/0!</v>
      </c>
      <c r="H18" s="78" t="n">
        <f aca="false">SUMIFS('Employee Data'!$CQ:$CQ,'Employee Data'!$W:$W,$A:$A)</f>
        <v>0</v>
      </c>
      <c r="I18" s="78" t="n">
        <f aca="false">SUMIFS('Employee Data'!$CS:$CS,'Employee Data'!$W:$W,$A:$A)</f>
        <v>0</v>
      </c>
      <c r="J18" s="78" t="n">
        <f aca="false">SUMIFS('Employee Data'!$CW:$CW,'Employee Data'!$W:$W,$A:$A)</f>
        <v>0</v>
      </c>
      <c r="K18" s="78" t="n">
        <f aca="false">SUMIFS('Employee Data'!$BF:$BF,'Employee Data'!$W:$W,$A:$A)</f>
        <v>0</v>
      </c>
      <c r="L18" s="78" t="n">
        <f aca="false">SUMIFS('Employee Data'!$BH:$BH,'Employee Data'!$W:$W,$A:$A)</f>
        <v>0</v>
      </c>
      <c r="M18" s="78" t="n">
        <f aca="false">SUMIFS('Employee Data'!$BJ:$BJ,'Employee Data'!$W:$W,$A:$A)</f>
        <v>0</v>
      </c>
      <c r="N18" s="80" t="e">
        <f aca="false">O18/F18</f>
        <v>#DIV/0!</v>
      </c>
      <c r="O18" s="78" t="n">
        <f aca="false">SUMIFS('Employee Data'!$DJ:$DJ,'Employee Data'!$W:$W,$A:$A)</f>
        <v>0</v>
      </c>
      <c r="P18" s="81" t="e">
        <f aca="false">Q18/F18</f>
        <v>#DIV/0!</v>
      </c>
      <c r="Q18" s="78" t="n">
        <f aca="false">SUMIFS('Employee Data'!$CU:$CU,'Employee Data'!$W:$W,$A:$A)</f>
        <v>0</v>
      </c>
      <c r="R18" s="81" t="e">
        <f aca="false">S18/F18</f>
        <v>#DIV/0!</v>
      </c>
      <c r="S18" s="78" t="n">
        <f aca="false">SUMIFS('Employee Data'!$CY:$CY,'Employee Data'!$W:$W,$A:$A)</f>
        <v>0</v>
      </c>
      <c r="T18" s="80" t="e">
        <f aca="false">U18/F18</f>
        <v>#DIV/0!</v>
      </c>
      <c r="U18" s="78" t="n">
        <f aca="false">SUMIFS('Employee Data'!$DL:$DL,'Employee Data'!$W:$W,$A:$A)</f>
        <v>0</v>
      </c>
      <c r="V18" s="79" t="e">
        <f aca="false">W18/F18</f>
        <v>#DIV/0!</v>
      </c>
      <c r="W18" s="78" t="n">
        <f aca="false">SUMIFS('Employee Data'!$BN:$BN,'Employee Data'!$W:$W,$A:$A)</f>
        <v>0</v>
      </c>
      <c r="X18" s="78" t="n">
        <f aca="false">SUMIFS('Employee Data'!$BO:$BO,'Employee Data'!$W:$W,$A:$A)</f>
        <v>0</v>
      </c>
      <c r="Y18" s="78" t="n">
        <f aca="false">SUMIFS('Employee Data'!$BV:$BV,'Employee Data'!$W:$W,$A:$A)</f>
        <v>0</v>
      </c>
      <c r="Z18" s="82"/>
      <c r="AA18" s="82"/>
      <c r="AB18" s="82"/>
      <c r="AC18" s="82"/>
      <c r="AD18" s="82"/>
      <c r="AE18" s="82"/>
      <c r="AF18" s="82"/>
    </row>
    <row r="19" s="83" customFormat="true" ht="12.75" hidden="true" customHeight="false" outlineLevel="1" collapsed="false">
      <c r="A19" s="76" t="s">
        <v>56</v>
      </c>
      <c r="B19" s="77" t="n">
        <f aca="false">COUNTIFS('Employee Data'!$W:$W,$A:$A)</f>
        <v>0</v>
      </c>
      <c r="C19" s="77" t="n">
        <f aca="false">COUNTIFS('Employee Data'!$W:$W,$A:$A,'Employee Data'!$BA:$BA,"Yes")</f>
        <v>0</v>
      </c>
      <c r="D19" s="78" t="n">
        <f aca="false">SUMIFS('Employee Data'!$AP:$AP,'Employee Data'!$W:$W,$A:$A)</f>
        <v>0</v>
      </c>
      <c r="E19" s="78" t="n">
        <f aca="false">SUMIFS('Employee Data'!$AQ:$AQ,'Employee Data'!$W:$W,$A:$A)</f>
        <v>0</v>
      </c>
      <c r="F19" s="78" t="n">
        <f aca="false">SUMIFS('Employee Data'!$AR:$AR,'Employee Data'!$W:$W,$A:$A)</f>
        <v>0</v>
      </c>
      <c r="G19" s="79" t="e">
        <f aca="false">H19/F19</f>
        <v>#DIV/0!</v>
      </c>
      <c r="H19" s="78" t="n">
        <f aca="false">SUMIFS('Employee Data'!$CQ:$CQ,'Employee Data'!$W:$W,$A:$A)</f>
        <v>0</v>
      </c>
      <c r="I19" s="78" t="n">
        <f aca="false">SUMIFS('Employee Data'!$CS:$CS,'Employee Data'!$W:$W,$A:$A)</f>
        <v>0</v>
      </c>
      <c r="J19" s="78" t="n">
        <f aca="false">SUMIFS('Employee Data'!$CW:$CW,'Employee Data'!$W:$W,$A:$A)</f>
        <v>0</v>
      </c>
      <c r="K19" s="78" t="n">
        <f aca="false">SUMIFS('Employee Data'!$BF:$BF,'Employee Data'!$W:$W,$A:$A)</f>
        <v>0</v>
      </c>
      <c r="L19" s="78" t="n">
        <f aca="false">SUMIFS('Employee Data'!$BH:$BH,'Employee Data'!$W:$W,$A:$A)</f>
        <v>0</v>
      </c>
      <c r="M19" s="78" t="n">
        <f aca="false">SUMIFS('Employee Data'!$BJ:$BJ,'Employee Data'!$W:$W,$A:$A)</f>
        <v>0</v>
      </c>
      <c r="N19" s="80" t="e">
        <f aca="false">O19/F19</f>
        <v>#DIV/0!</v>
      </c>
      <c r="O19" s="78" t="n">
        <f aca="false">SUMIFS('Employee Data'!$DJ:$DJ,'Employee Data'!$W:$W,$A:$A)</f>
        <v>0</v>
      </c>
      <c r="P19" s="81" t="e">
        <f aca="false">Q19/F19</f>
        <v>#DIV/0!</v>
      </c>
      <c r="Q19" s="78" t="n">
        <f aca="false">SUMIFS('Employee Data'!$CU:$CU,'Employee Data'!$W:$W,$A:$A)</f>
        <v>0</v>
      </c>
      <c r="R19" s="81" t="e">
        <f aca="false">S19/F19</f>
        <v>#DIV/0!</v>
      </c>
      <c r="S19" s="78" t="n">
        <f aca="false">SUMIFS('Employee Data'!$CY:$CY,'Employee Data'!$W:$W,$A:$A)</f>
        <v>0</v>
      </c>
      <c r="T19" s="80" t="e">
        <f aca="false">U19/F19</f>
        <v>#DIV/0!</v>
      </c>
      <c r="U19" s="78" t="n">
        <f aca="false">SUMIFS('Employee Data'!$DL:$DL,'Employee Data'!$W:$W,$A:$A)</f>
        <v>0</v>
      </c>
      <c r="V19" s="79" t="e">
        <f aca="false">W19/F19</f>
        <v>#DIV/0!</v>
      </c>
      <c r="W19" s="78" t="n">
        <f aca="false">SUMIFS('Employee Data'!$BN:$BN,'Employee Data'!$W:$W,$A:$A)</f>
        <v>0</v>
      </c>
      <c r="X19" s="78" t="n">
        <f aca="false">SUMIFS('Employee Data'!$BO:$BO,'Employee Data'!$W:$W,$A:$A)</f>
        <v>0</v>
      </c>
      <c r="Y19" s="78" t="n">
        <f aca="false">SUMIFS('Employee Data'!$BV:$BV,'Employee Data'!$W:$W,$A:$A)</f>
        <v>0</v>
      </c>
      <c r="Z19" s="82"/>
      <c r="AA19" s="82"/>
      <c r="AB19" s="82"/>
      <c r="AC19" s="82"/>
      <c r="AD19" s="82"/>
      <c r="AE19" s="82"/>
      <c r="AF19" s="82"/>
    </row>
    <row r="20" s="83" customFormat="true" ht="12.75" hidden="true" customHeight="false" outlineLevel="1" collapsed="false">
      <c r="A20" s="76" t="s">
        <v>57</v>
      </c>
      <c r="B20" s="77" t="n">
        <f aca="false">COUNTIFS('Employee Data'!$W:$W,$A:$A)</f>
        <v>0</v>
      </c>
      <c r="C20" s="77" t="n">
        <f aca="false">COUNTIFS('Employee Data'!$W:$W,$A:$A,'Employee Data'!$BA:$BA,"Yes")</f>
        <v>0</v>
      </c>
      <c r="D20" s="78" t="n">
        <f aca="false">SUMIFS('Employee Data'!$AP:$AP,'Employee Data'!$W:$W,$A:$A)</f>
        <v>0</v>
      </c>
      <c r="E20" s="78" t="n">
        <f aca="false">SUMIFS('Employee Data'!$AQ:$AQ,'Employee Data'!$W:$W,$A:$A)</f>
        <v>0</v>
      </c>
      <c r="F20" s="78" t="n">
        <f aca="false">SUMIFS('Employee Data'!$AR:$AR,'Employee Data'!$W:$W,$A:$A)</f>
        <v>0</v>
      </c>
      <c r="G20" s="79" t="e">
        <f aca="false">H20/F20</f>
        <v>#DIV/0!</v>
      </c>
      <c r="H20" s="78" t="n">
        <f aca="false">SUMIFS('Employee Data'!$CQ:$CQ,'Employee Data'!$W:$W,$A:$A)</f>
        <v>0</v>
      </c>
      <c r="I20" s="78" t="n">
        <f aca="false">SUMIFS('Employee Data'!$CS:$CS,'Employee Data'!$W:$W,$A:$A)</f>
        <v>0</v>
      </c>
      <c r="J20" s="78" t="n">
        <f aca="false">SUMIFS('Employee Data'!$CW:$CW,'Employee Data'!$W:$W,$A:$A)</f>
        <v>0</v>
      </c>
      <c r="K20" s="78" t="n">
        <f aca="false">SUMIFS('Employee Data'!$BF:$BF,'Employee Data'!$W:$W,$A:$A)</f>
        <v>0</v>
      </c>
      <c r="L20" s="78" t="n">
        <f aca="false">SUMIFS('Employee Data'!$BH:$BH,'Employee Data'!$W:$W,$A:$A)</f>
        <v>0</v>
      </c>
      <c r="M20" s="78" t="n">
        <f aca="false">SUMIFS('Employee Data'!$BJ:$BJ,'Employee Data'!$W:$W,$A:$A)</f>
        <v>0</v>
      </c>
      <c r="N20" s="80" t="e">
        <f aca="false">O20/F20</f>
        <v>#DIV/0!</v>
      </c>
      <c r="O20" s="78" t="n">
        <f aca="false">SUMIFS('Employee Data'!$DJ:$DJ,'Employee Data'!$W:$W,$A:$A)</f>
        <v>0</v>
      </c>
      <c r="P20" s="81" t="e">
        <f aca="false">Q20/F20</f>
        <v>#DIV/0!</v>
      </c>
      <c r="Q20" s="78" t="n">
        <f aca="false">SUMIFS('Employee Data'!$CU:$CU,'Employee Data'!$W:$W,$A:$A)</f>
        <v>0</v>
      </c>
      <c r="R20" s="81" t="e">
        <f aca="false">S20/F20</f>
        <v>#DIV/0!</v>
      </c>
      <c r="S20" s="78" t="n">
        <f aca="false">SUMIFS('Employee Data'!$CY:$CY,'Employee Data'!$W:$W,$A:$A)</f>
        <v>0</v>
      </c>
      <c r="T20" s="80" t="e">
        <f aca="false">U20/F20</f>
        <v>#DIV/0!</v>
      </c>
      <c r="U20" s="78" t="n">
        <f aca="false">SUMIFS('Employee Data'!$DL:$DL,'Employee Data'!$W:$W,$A:$A)</f>
        <v>0</v>
      </c>
      <c r="V20" s="79" t="e">
        <f aca="false">W20/F20</f>
        <v>#DIV/0!</v>
      </c>
      <c r="W20" s="78" t="n">
        <f aca="false">SUMIFS('Employee Data'!$BN:$BN,'Employee Data'!$W:$W,$A:$A)</f>
        <v>0</v>
      </c>
      <c r="X20" s="78" t="n">
        <f aca="false">SUMIFS('Employee Data'!$BO:$BO,'Employee Data'!$W:$W,$A:$A)</f>
        <v>0</v>
      </c>
      <c r="Y20" s="78" t="n">
        <f aca="false">SUMIFS('Employee Data'!$BV:$BV,'Employee Data'!$W:$W,$A:$A)</f>
        <v>0</v>
      </c>
      <c r="Z20" s="82"/>
      <c r="AA20" s="82"/>
      <c r="AB20" s="82"/>
      <c r="AC20" s="82"/>
      <c r="AD20" s="82"/>
      <c r="AE20" s="82"/>
      <c r="AF20" s="82"/>
    </row>
    <row r="21" s="75" customFormat="true" ht="15.75" hidden="false" customHeight="false" outlineLevel="0" collapsed="false">
      <c r="A21" s="68" t="s">
        <v>58</v>
      </c>
      <c r="B21" s="69" t="n">
        <f aca="false">COUNTIFS('Employee Data'!$V:$V,$A:$A)</f>
        <v>105</v>
      </c>
      <c r="C21" s="69" t="n">
        <f aca="false">COUNTIFS('Employee Data'!$V:$V,$A:$A,'Employee Data'!$BA:$BA,"Yes")</f>
        <v>56</v>
      </c>
      <c r="D21" s="70" t="n">
        <f aca="false">SUMIFS('Employee Data'!$AP:$AP,'Employee Data'!$V:$V,$A:$A)</f>
        <v>11592182</v>
      </c>
      <c r="E21" s="70" t="n">
        <f aca="false">SUMIFS('Employee Data'!$AQ:$AQ,'Employee Data'!$V:$V,$A:$A)</f>
        <v>11438811</v>
      </c>
      <c r="F21" s="70" t="n">
        <f aca="false">SUMIFS('Employee Data'!$AR:$AR,'Employee Data'!$V:$V,$A:$A)</f>
        <v>6951800</v>
      </c>
      <c r="G21" s="71" t="n">
        <f aca="false">H21/F21</f>
        <v>0.0325013665525475</v>
      </c>
      <c r="H21" s="70" t="n">
        <f aca="false">SUMIFS('Employee Data'!$CQ:$CQ,'Employee Data'!$V:$V,$A:$A)</f>
        <v>225943</v>
      </c>
      <c r="I21" s="70" t="n">
        <f aca="false">SUMIFS('Employee Data'!$CS:$CS,'Employee Data'!$V:$V,$A:$A)</f>
        <v>0</v>
      </c>
      <c r="J21" s="70" t="n">
        <f aca="false">SUMIFS('Employee Data'!$CW:$CW,'Employee Data'!$V:$V,$A:$A)</f>
        <v>59617</v>
      </c>
      <c r="K21" s="70" t="n">
        <f aca="false">SUMIFS('Employee Data'!$BF:$BF,'Employee Data'!$V:$V,$A:$A,'Employee Data'!$BA:$BA,"Yes")</f>
        <v>147881</v>
      </c>
      <c r="L21" s="70" t="n">
        <f aca="false">SUMIFS('Employee Data'!$BH:$BH,'Employee Data'!$V:$V,$A:$A)</f>
        <v>0</v>
      </c>
      <c r="M21" s="70" t="n">
        <f aca="false">SUMIFS('Employee Data'!$BJ:$BJ,'Employee Data'!$V:$V,$A:$A)</f>
        <v>18445</v>
      </c>
      <c r="N21" s="72" t="n">
        <f aca="false">O21/F21</f>
        <v>0.0325013665525475</v>
      </c>
      <c r="O21" s="70" t="n">
        <f aca="false">SUMIFS('Employee Data'!$DJ:$DJ,'Employee Data'!$V:$V,$A:$A)</f>
        <v>225943</v>
      </c>
      <c r="P21" s="73" t="n">
        <f aca="false">Q21/F21</f>
        <v>0</v>
      </c>
      <c r="Q21" s="70" t="n">
        <f aca="false">SUMIFS('Employee Data'!$CU:$CU,'Employee Data'!$V:$V,$A:$A)</f>
        <v>0</v>
      </c>
      <c r="R21" s="73" t="n">
        <f aca="false">S21/F21</f>
        <v>0.0160515262234242</v>
      </c>
      <c r="S21" s="70" t="n">
        <f aca="false">SUMIFS('Employee Data'!$CY:$CY,'Employee Data'!$V:$V,$A:$A)</f>
        <v>111587</v>
      </c>
      <c r="T21" s="72" t="n">
        <f aca="false">U21/F21</f>
        <v>0.0160515262234242</v>
      </c>
      <c r="U21" s="70" t="n">
        <f aca="false">SUMIFS('Employee Data'!$DL:$DL,'Employee Data'!$V:$V,$A:$A)</f>
        <v>111587</v>
      </c>
      <c r="V21" s="71" t="n">
        <f aca="false">W21/F21</f>
        <v>0.0458990477286458</v>
      </c>
      <c r="W21" s="70" t="n">
        <f aca="false">SUMIFS('Employee Data'!$BN:$BN,'Employee Data'!$V:$V,$A:$A)</f>
        <v>319081</v>
      </c>
      <c r="X21" s="70" t="n">
        <f aca="false">SUMIFS('Employee Data'!$BO:$BO,'Employee Data'!$V:$V,$A:$A)</f>
        <v>11911263</v>
      </c>
      <c r="Y21" s="70" t="n">
        <f aca="false">SUMIFS('Employee Data'!$BV:$BV,'Employee Data'!$V:$V,$A:$A)</f>
        <v>11754708.9157895</v>
      </c>
      <c r="Z21" s="74"/>
      <c r="AA21" s="74"/>
      <c r="AB21" s="74"/>
      <c r="AC21" s="74"/>
      <c r="AD21" s="74"/>
      <c r="AE21" s="74"/>
      <c r="AF21" s="74"/>
    </row>
    <row r="22" s="83" customFormat="true" ht="12.75" hidden="false" customHeight="false" outlineLevel="0" collapsed="false">
      <c r="A22" s="76" t="s">
        <v>59</v>
      </c>
      <c r="B22" s="77" t="n">
        <f aca="false">COUNTIFS('Employee Data'!$W:$W,$A:$A)</f>
        <v>7</v>
      </c>
      <c r="C22" s="77" t="n">
        <f aca="false">COUNTIFS('Employee Data'!$W:$W,$A:$A,'Employee Data'!$BA:$BA,"Yes")</f>
        <v>7</v>
      </c>
      <c r="D22" s="78" t="n">
        <f aca="false">SUMIFS('Employee Data'!$AP:$AP,'Employee Data'!$W:$W,$A:$A)</f>
        <v>1302700</v>
      </c>
      <c r="E22" s="78" t="n">
        <f aca="false">SUMIFS('Employee Data'!$AQ:$AQ,'Employee Data'!$W:$W,$A:$A)</f>
        <v>1289016</v>
      </c>
      <c r="F22" s="78" t="n">
        <f aca="false">SUMIFS('Employee Data'!$AR:$AR,'Employee Data'!$W:$W,$A:$A)</f>
        <v>1302700</v>
      </c>
      <c r="G22" s="79" t="n">
        <f aca="false">H22/F22</f>
        <v>0.0325017271820066</v>
      </c>
      <c r="H22" s="78" t="n">
        <f aca="false">SUMIFS('Employee Data'!$CQ:$CQ,'Employee Data'!$W:$W,$A:$A)</f>
        <v>42340</v>
      </c>
      <c r="I22" s="78" t="n">
        <f aca="false">SUMIFS('Employee Data'!$CS:$CS,'Employee Data'!$W:$W,$A:$A)</f>
        <v>0</v>
      </c>
      <c r="J22" s="78" t="n">
        <f aca="false">SUMIFS('Employee Data'!$CW:$CW,'Employee Data'!$W:$W,$A:$A)</f>
        <v>11311</v>
      </c>
      <c r="K22" s="78" t="n">
        <f aca="false">SUMIFS('Employee Data'!$BF:$BF,'Employee Data'!$W:$W,$A:$A)</f>
        <v>31029</v>
      </c>
      <c r="L22" s="78" t="n">
        <f aca="false">SUMIFS('Employee Data'!$BH:$BH,'Employee Data'!$W:$W,$A:$A)</f>
        <v>0</v>
      </c>
      <c r="M22" s="78" t="n">
        <f aca="false">SUMIFS('Employee Data'!$BJ:$BJ,'Employee Data'!$W:$W,$A:$A)</f>
        <v>0</v>
      </c>
      <c r="N22" s="80" t="n">
        <f aca="false">O22/F22</f>
        <v>0.0325017271820066</v>
      </c>
      <c r="O22" s="78" t="n">
        <f aca="false">SUMIFS('Employee Data'!$DJ:$DJ,'Employee Data'!$W:$W,$A:$A)</f>
        <v>42340</v>
      </c>
      <c r="P22" s="81" t="n">
        <f aca="false">Q22/F22</f>
        <v>0</v>
      </c>
      <c r="Q22" s="78" t="n">
        <f aca="false">SUMIFS('Employee Data'!$CU:$CU,'Employee Data'!$W:$W,$A:$A)</f>
        <v>0</v>
      </c>
      <c r="R22" s="81" t="n">
        <f aca="false">S22/F22</f>
        <v>0.0244039302986106</v>
      </c>
      <c r="S22" s="78" t="n">
        <f aca="false">SUMIFS('Employee Data'!$CY:$CY,'Employee Data'!$W:$W,$A:$A)</f>
        <v>31791</v>
      </c>
      <c r="T22" s="80" t="n">
        <f aca="false">U22/F22</f>
        <v>0.0244039302986106</v>
      </c>
      <c r="U22" s="78" t="n">
        <f aca="false">SUMIFS('Employee Data'!$DL:$DL,'Employee Data'!$W:$W,$A:$A)</f>
        <v>31791</v>
      </c>
      <c r="V22" s="79" t="n">
        <f aca="false">W22/F22</f>
        <v>0.0569041222077224</v>
      </c>
      <c r="W22" s="78" t="n">
        <f aca="false">SUMIFS('Employee Data'!$BN:$BN,'Employee Data'!$W:$W,$A:$A)</f>
        <v>74129</v>
      </c>
      <c r="X22" s="78" t="n">
        <f aca="false">SUMIFS('Employee Data'!$BO:$BO,'Employee Data'!$W:$W,$A:$A)</f>
        <v>1376829</v>
      </c>
      <c r="Y22" s="78" t="n">
        <f aca="false">SUMIFS('Employee Data'!$BV:$BV,'Employee Data'!$W:$W,$A:$A)</f>
        <v>1362700.05263158</v>
      </c>
      <c r="Z22" s="82"/>
      <c r="AA22" s="82"/>
      <c r="AB22" s="82"/>
      <c r="AC22" s="82"/>
      <c r="AD22" s="82"/>
      <c r="AE22" s="82"/>
      <c r="AF22" s="82"/>
    </row>
    <row r="23" s="83" customFormat="true" ht="12.75" hidden="false" customHeight="false" outlineLevel="0" collapsed="false">
      <c r="A23" s="76" t="s">
        <v>60</v>
      </c>
      <c r="B23" s="77" t="n">
        <f aca="false">COUNTIFS('Employee Data'!$W:$W,$A:$A)</f>
        <v>8</v>
      </c>
      <c r="C23" s="77" t="n">
        <f aca="false">COUNTIFS('Employee Data'!$W:$W,$A:$A,'Employee Data'!$BA:$BA,"Yes")</f>
        <v>7</v>
      </c>
      <c r="D23" s="78" t="n">
        <f aca="false">SUMIFS('Employee Data'!$AP:$AP,'Employee Data'!$W:$W,$A:$A)</f>
        <v>959600</v>
      </c>
      <c r="E23" s="78" t="n">
        <f aca="false">SUMIFS('Employee Data'!$AQ:$AQ,'Employee Data'!$W:$W,$A:$A)</f>
        <v>937960</v>
      </c>
      <c r="F23" s="78" t="n">
        <f aca="false">SUMIFS('Employee Data'!$AR:$AR,'Employee Data'!$W:$W,$A:$A)</f>
        <v>865400</v>
      </c>
      <c r="G23" s="79" t="n">
        <f aca="false">H23/F23</f>
        <v>0.0325017333025191</v>
      </c>
      <c r="H23" s="78" t="n">
        <f aca="false">SUMIFS('Employee Data'!$CQ:$CQ,'Employee Data'!$W:$W,$A:$A)</f>
        <v>28127</v>
      </c>
      <c r="I23" s="78" t="n">
        <f aca="false">SUMIFS('Employee Data'!$CS:$CS,'Employee Data'!$W:$W,$A:$A)</f>
        <v>0</v>
      </c>
      <c r="J23" s="78" t="n">
        <f aca="false">SUMIFS('Employee Data'!$CW:$CW,'Employee Data'!$W:$W,$A:$A)</f>
        <v>0</v>
      </c>
      <c r="K23" s="78" t="n">
        <f aca="false">SUMIFS('Employee Data'!$BF:$BF,'Employee Data'!$W:$W,$A:$A)</f>
        <v>18188</v>
      </c>
      <c r="L23" s="78" t="n">
        <f aca="false">SUMIFS('Employee Data'!$BH:$BH,'Employee Data'!$W:$W,$A:$A)</f>
        <v>0</v>
      </c>
      <c r="M23" s="78" t="n">
        <f aca="false">SUMIFS('Employee Data'!$BJ:$BJ,'Employee Data'!$W:$W,$A:$A)</f>
        <v>9939</v>
      </c>
      <c r="N23" s="80" t="n">
        <f aca="false">O23/F23</f>
        <v>0.0325017333025191</v>
      </c>
      <c r="O23" s="78" t="n">
        <f aca="false">SUMIFS('Employee Data'!$DJ:$DJ,'Employee Data'!$W:$W,$A:$A)</f>
        <v>28127</v>
      </c>
      <c r="P23" s="81" t="n">
        <f aca="false">Q23/F23</f>
        <v>0</v>
      </c>
      <c r="Q23" s="78" t="n">
        <f aca="false">SUMIFS('Employee Data'!$CU:$CU,'Employee Data'!$W:$W,$A:$A)</f>
        <v>0</v>
      </c>
      <c r="R23" s="81" t="n">
        <f aca="false">S23/F23</f>
        <v>0</v>
      </c>
      <c r="S23" s="78" t="n">
        <f aca="false">SUMIFS('Employee Data'!$CY:$CY,'Employee Data'!$W:$W,$A:$A)</f>
        <v>0</v>
      </c>
      <c r="T23" s="80" t="n">
        <f aca="false">U23/F23</f>
        <v>0</v>
      </c>
      <c r="U23" s="78" t="n">
        <f aca="false">SUMIFS('Employee Data'!$DL:$DL,'Employee Data'!$W:$W,$A:$A)</f>
        <v>0</v>
      </c>
      <c r="V23" s="79" t="n">
        <f aca="false">W23/F23</f>
        <v>0.0210168708111856</v>
      </c>
      <c r="W23" s="78" t="n">
        <f aca="false">SUMIFS('Employee Data'!$BN:$BN,'Employee Data'!$W:$W,$A:$A)</f>
        <v>18188</v>
      </c>
      <c r="X23" s="78" t="n">
        <f aca="false">SUMIFS('Employee Data'!$BO:$BO,'Employee Data'!$W:$W,$A:$A)</f>
        <v>977788</v>
      </c>
      <c r="Y23" s="78" t="n">
        <f aca="false">SUMIFS('Employee Data'!$BV:$BV,'Employee Data'!$W:$W,$A:$A)</f>
        <v>955444.6</v>
      </c>
      <c r="Z23" s="82"/>
      <c r="AA23" s="82"/>
      <c r="AB23" s="82"/>
      <c r="AC23" s="82"/>
      <c r="AD23" s="82"/>
      <c r="AE23" s="82"/>
      <c r="AF23" s="82"/>
    </row>
    <row r="24" s="83" customFormat="true" ht="12.75" hidden="false" customHeight="false" outlineLevel="0" collapsed="false">
      <c r="A24" s="76" t="s">
        <v>61</v>
      </c>
      <c r="B24" s="77" t="n">
        <f aca="false">COUNTIFS('Employee Data'!$W:$W,$A:$A)</f>
        <v>6</v>
      </c>
      <c r="C24" s="77" t="n">
        <f aca="false">COUNTIFS('Employee Data'!$W:$W,$A:$A,'Employee Data'!$BA:$BA,"Yes")</f>
        <v>6</v>
      </c>
      <c r="D24" s="78" t="n">
        <f aca="false">SUMIFS('Employee Data'!$AP:$AP,'Employee Data'!$W:$W,$A:$A)</f>
        <v>797000</v>
      </c>
      <c r="E24" s="78" t="n">
        <f aca="false">SUMIFS('Employee Data'!$AQ:$AQ,'Employee Data'!$W:$W,$A:$A)</f>
        <v>797000</v>
      </c>
      <c r="F24" s="78" t="n">
        <f aca="false">SUMIFS('Employee Data'!$AR:$AR,'Employee Data'!$W:$W,$A:$A)</f>
        <v>797000</v>
      </c>
      <c r="G24" s="79" t="n">
        <f aca="false">H24/F24</f>
        <v>0.0325018820577164</v>
      </c>
      <c r="H24" s="78" t="n">
        <f aca="false">SUMIFS('Employee Data'!$CQ:$CQ,'Employee Data'!$W:$W,$A:$A)</f>
        <v>25904</v>
      </c>
      <c r="I24" s="78" t="n">
        <f aca="false">SUMIFS('Employee Data'!$CS:$CS,'Employee Data'!$W:$W,$A:$A)</f>
        <v>0</v>
      </c>
      <c r="J24" s="78" t="n">
        <f aca="false">SUMIFS('Employee Data'!$CW:$CW,'Employee Data'!$W:$W,$A:$A)</f>
        <v>7100</v>
      </c>
      <c r="K24" s="78" t="n">
        <f aca="false">SUMIFS('Employee Data'!$BF:$BF,'Employee Data'!$W:$W,$A:$A)</f>
        <v>18804</v>
      </c>
      <c r="L24" s="78" t="n">
        <f aca="false">SUMIFS('Employee Data'!$BH:$BH,'Employee Data'!$W:$W,$A:$A)</f>
        <v>0</v>
      </c>
      <c r="M24" s="78" t="n">
        <f aca="false">SUMIFS('Employee Data'!$BJ:$BJ,'Employee Data'!$W:$W,$A:$A)</f>
        <v>0</v>
      </c>
      <c r="N24" s="80" t="n">
        <f aca="false">O24/F24</f>
        <v>0.0325018820577164</v>
      </c>
      <c r="O24" s="78" t="n">
        <f aca="false">SUMIFS('Employee Data'!$DJ:$DJ,'Employee Data'!$W:$W,$A:$A)</f>
        <v>25904</v>
      </c>
      <c r="P24" s="81" t="n">
        <f aca="false">Q24/F24</f>
        <v>0</v>
      </c>
      <c r="Q24" s="78" t="n">
        <f aca="false">SUMIFS('Employee Data'!$CU:$CU,'Employee Data'!$W:$W,$A:$A)</f>
        <v>0</v>
      </c>
      <c r="R24" s="81" t="n">
        <f aca="false">S24/F24</f>
        <v>0</v>
      </c>
      <c r="S24" s="78" t="n">
        <f aca="false">SUMIFS('Employee Data'!$CY:$CY,'Employee Data'!$W:$W,$A:$A)</f>
        <v>0</v>
      </c>
      <c r="T24" s="80" t="n">
        <f aca="false">U24/F24</f>
        <v>0</v>
      </c>
      <c r="U24" s="78" t="n">
        <f aca="false">SUMIFS('Employee Data'!$DL:$DL,'Employee Data'!$W:$W,$A:$A)</f>
        <v>0</v>
      </c>
      <c r="V24" s="79" t="n">
        <f aca="false">W24/F24</f>
        <v>0.0325018820577164</v>
      </c>
      <c r="W24" s="78" t="n">
        <f aca="false">SUMIFS('Employee Data'!$BN:$BN,'Employee Data'!$W:$W,$A:$A)</f>
        <v>25904</v>
      </c>
      <c r="X24" s="78" t="n">
        <f aca="false">SUMIFS('Employee Data'!$BO:$BO,'Employee Data'!$W:$W,$A:$A)</f>
        <v>822904</v>
      </c>
      <c r="Y24" s="78" t="n">
        <f aca="false">SUMIFS('Employee Data'!$BV:$BV,'Employee Data'!$W:$W,$A:$A)</f>
        <v>822904</v>
      </c>
      <c r="Z24" s="82"/>
      <c r="AA24" s="82"/>
      <c r="AB24" s="82"/>
      <c r="AC24" s="82"/>
      <c r="AD24" s="82"/>
      <c r="AE24" s="82"/>
      <c r="AF24" s="82"/>
    </row>
    <row r="25" s="83" customFormat="true" ht="12.75" hidden="false" customHeight="false" outlineLevel="0" collapsed="false">
      <c r="A25" s="76" t="s">
        <v>62</v>
      </c>
      <c r="B25" s="77" t="n">
        <f aca="false">COUNTIFS('Employee Data'!$W:$W,$A:$A)</f>
        <v>16</v>
      </c>
      <c r="C25" s="77" t="n">
        <f aca="false">COUNTIFS('Employee Data'!$W:$W,$A:$A,'Employee Data'!$BA:$BA,"Yes")</f>
        <v>3</v>
      </c>
      <c r="D25" s="78" t="n">
        <f aca="false">SUMIFS('Employee Data'!$AP:$AP,'Employee Data'!$W:$W,$A:$A)</f>
        <v>1726727</v>
      </c>
      <c r="E25" s="78" t="n">
        <f aca="false">SUMIFS('Employee Data'!$AQ:$AQ,'Employee Data'!$W:$W,$A:$A)</f>
        <v>1726727</v>
      </c>
      <c r="F25" s="78" t="n">
        <f aca="false">SUMIFS('Employee Data'!$AR:$AR,'Employee Data'!$W:$W,$A:$A)</f>
        <v>372000</v>
      </c>
      <c r="G25" s="79" t="n">
        <f aca="false">H25/F25</f>
        <v>0.032502688172043</v>
      </c>
      <c r="H25" s="78" t="n">
        <f aca="false">SUMIFS('Employee Data'!$CQ:$CQ,'Employee Data'!$W:$W,$A:$A)</f>
        <v>12091</v>
      </c>
      <c r="I25" s="78" t="n">
        <f aca="false">SUMIFS('Employee Data'!$CS:$CS,'Employee Data'!$W:$W,$A:$A)</f>
        <v>0</v>
      </c>
      <c r="J25" s="78" t="n">
        <f aca="false">SUMIFS('Employee Data'!$CW:$CW,'Employee Data'!$W:$W,$A:$A)</f>
        <v>3972</v>
      </c>
      <c r="K25" s="78" t="n">
        <f aca="false">SUMIFS('Employee Data'!$BF:$BF,'Employee Data'!$W:$W,$A:$A)</f>
        <v>8119</v>
      </c>
      <c r="L25" s="78" t="n">
        <f aca="false">SUMIFS('Employee Data'!$BH:$BH,'Employee Data'!$W:$W,$A:$A)</f>
        <v>0</v>
      </c>
      <c r="M25" s="78" t="n">
        <f aca="false">SUMIFS('Employee Data'!$BJ:$BJ,'Employee Data'!$W:$W,$A:$A)</f>
        <v>0</v>
      </c>
      <c r="N25" s="80" t="n">
        <f aca="false">O25/F25</f>
        <v>0.032502688172043</v>
      </c>
      <c r="O25" s="78" t="n">
        <f aca="false">SUMIFS('Employee Data'!$DJ:$DJ,'Employee Data'!$W:$W,$A:$A)</f>
        <v>12091</v>
      </c>
      <c r="P25" s="81" t="n">
        <f aca="false">Q25/F25</f>
        <v>0</v>
      </c>
      <c r="Q25" s="78" t="n">
        <f aca="false">SUMIFS('Employee Data'!$CU:$CU,'Employee Data'!$W:$W,$A:$A)</f>
        <v>0</v>
      </c>
      <c r="R25" s="81" t="n">
        <f aca="false">S25/F25</f>
        <v>0.0194327956989247</v>
      </c>
      <c r="S25" s="78" t="n">
        <f aca="false">SUMIFS('Employee Data'!$CY:$CY,'Employee Data'!$W:$W,$A:$A)</f>
        <v>7229</v>
      </c>
      <c r="T25" s="80" t="n">
        <f aca="false">U25/F25</f>
        <v>0.0194327956989247</v>
      </c>
      <c r="U25" s="78" t="n">
        <f aca="false">SUMIFS('Employee Data'!$DL:$DL,'Employee Data'!$W:$W,$A:$A)</f>
        <v>7229</v>
      </c>
      <c r="V25" s="79" t="n">
        <f aca="false">W25/F25</f>
        <v>0.0519327956989247</v>
      </c>
      <c r="W25" s="78" t="n">
        <f aca="false">SUMIFS('Employee Data'!$BN:$BN,'Employee Data'!$W:$W,$A:$A)</f>
        <v>19319</v>
      </c>
      <c r="X25" s="78" t="n">
        <f aca="false">SUMIFS('Employee Data'!$BO:$BO,'Employee Data'!$W:$W,$A:$A)</f>
        <v>1746046</v>
      </c>
      <c r="Y25" s="78" t="n">
        <f aca="false">SUMIFS('Employee Data'!$BV:$BV,'Employee Data'!$W:$W,$A:$A)</f>
        <v>1746046</v>
      </c>
      <c r="Z25" s="82"/>
      <c r="AA25" s="82"/>
      <c r="AB25" s="82"/>
      <c r="AC25" s="82"/>
      <c r="AD25" s="82"/>
      <c r="AE25" s="82"/>
      <c r="AF25" s="82"/>
    </row>
    <row r="26" s="83" customFormat="true" ht="12.75" hidden="false" customHeight="false" outlineLevel="0" collapsed="false">
      <c r="A26" s="76" t="s">
        <v>63</v>
      </c>
      <c r="B26" s="77" t="n">
        <f aca="false">COUNTIFS('Employee Data'!$W:$W,$A:$A)</f>
        <v>14</v>
      </c>
      <c r="C26" s="77" t="n">
        <f aca="false">COUNTIFS('Employee Data'!$W:$W,$A:$A,'Employee Data'!$BA:$BA,"Yes")</f>
        <v>9</v>
      </c>
      <c r="D26" s="78" t="n">
        <f aca="false">SUMIFS('Employee Data'!$AP:$AP,'Employee Data'!$W:$W,$A:$A)</f>
        <v>1659600</v>
      </c>
      <c r="E26" s="78" t="n">
        <f aca="false">SUMIFS('Employee Data'!$AQ:$AQ,'Employee Data'!$W:$W,$A:$A)</f>
        <v>1597011</v>
      </c>
      <c r="F26" s="78" t="n">
        <f aca="false">SUMIFS('Employee Data'!$AR:$AR,'Employee Data'!$W:$W,$A:$A)</f>
        <v>1088900</v>
      </c>
      <c r="G26" s="79" t="n">
        <f aca="false">H26/F26</f>
        <v>0.0325016071264579</v>
      </c>
      <c r="H26" s="78" t="n">
        <f aca="false">SUMIFS('Employee Data'!$CQ:$CQ,'Employee Data'!$W:$W,$A:$A)</f>
        <v>35391</v>
      </c>
      <c r="I26" s="78" t="n">
        <f aca="false">SUMIFS('Employee Data'!$CS:$CS,'Employee Data'!$W:$W,$A:$A)</f>
        <v>0</v>
      </c>
      <c r="J26" s="78" t="n">
        <f aca="false">SUMIFS('Employee Data'!$CW:$CW,'Employee Data'!$W:$W,$A:$A)</f>
        <v>2700</v>
      </c>
      <c r="K26" s="78" t="n">
        <f aca="false">SUMIFS('Employee Data'!$BF:$BF,'Employee Data'!$W:$W,$A:$A)</f>
        <v>32691</v>
      </c>
      <c r="L26" s="78" t="n">
        <f aca="false">SUMIFS('Employee Data'!$BH:$BH,'Employee Data'!$W:$W,$A:$A)</f>
        <v>0</v>
      </c>
      <c r="M26" s="78" t="n">
        <f aca="false">SUMIFS('Employee Data'!$BJ:$BJ,'Employee Data'!$W:$W,$A:$A)</f>
        <v>0</v>
      </c>
      <c r="N26" s="80" t="n">
        <f aca="false">O26/F26</f>
        <v>0.0325016071264579</v>
      </c>
      <c r="O26" s="78" t="n">
        <f aca="false">SUMIFS('Employee Data'!$DJ:$DJ,'Employee Data'!$W:$W,$A:$A)</f>
        <v>35391</v>
      </c>
      <c r="P26" s="81" t="n">
        <f aca="false">Q26/F26</f>
        <v>0</v>
      </c>
      <c r="Q26" s="78" t="n">
        <f aca="false">SUMIFS('Employee Data'!$CU:$CU,'Employee Data'!$W:$W,$A:$A)</f>
        <v>0</v>
      </c>
      <c r="R26" s="81" t="n">
        <f aca="false">S26/F26</f>
        <v>0</v>
      </c>
      <c r="S26" s="78" t="n">
        <f aca="false">SUMIFS('Employee Data'!$CY:$CY,'Employee Data'!$W:$W,$A:$A)</f>
        <v>0</v>
      </c>
      <c r="T26" s="80" t="n">
        <f aca="false">U26/F26</f>
        <v>0</v>
      </c>
      <c r="U26" s="78" t="n">
        <f aca="false">SUMIFS('Employee Data'!$DL:$DL,'Employee Data'!$W:$W,$A:$A)</f>
        <v>0</v>
      </c>
      <c r="V26" s="79" t="n">
        <f aca="false">W26/F26</f>
        <v>0.0325016071264579</v>
      </c>
      <c r="W26" s="78" t="n">
        <f aca="false">SUMIFS('Employee Data'!$BN:$BN,'Employee Data'!$W:$W,$A:$A)</f>
        <v>35391</v>
      </c>
      <c r="X26" s="78" t="n">
        <f aca="false">SUMIFS('Employee Data'!$BO:$BO,'Employee Data'!$W:$W,$A:$A)</f>
        <v>1694991</v>
      </c>
      <c r="Y26" s="78" t="n">
        <f aca="false">SUMIFS('Employee Data'!$BV:$BV,'Employee Data'!$W:$W,$A:$A)</f>
        <v>1630367.21052632</v>
      </c>
      <c r="Z26" s="82"/>
      <c r="AA26" s="82"/>
      <c r="AB26" s="82"/>
      <c r="AC26" s="82"/>
      <c r="AD26" s="82"/>
      <c r="AE26" s="82"/>
      <c r="AF26" s="82"/>
    </row>
    <row r="27" s="83" customFormat="true" ht="12.75" hidden="false" customHeight="false" outlineLevel="0" collapsed="false">
      <c r="A27" s="76" t="s">
        <v>64</v>
      </c>
      <c r="B27" s="77" t="n">
        <f aca="false">COUNTIFS('Employee Data'!$W:$W,$A:$A)</f>
        <v>32</v>
      </c>
      <c r="C27" s="77" t="n">
        <f aca="false">COUNTIFS('Employee Data'!$W:$W,$A:$A,'Employee Data'!$BA:$BA,"Yes")</f>
        <v>15</v>
      </c>
      <c r="D27" s="78" t="n">
        <f aca="false">SUMIFS('Employee Data'!$AP:$AP,'Employee Data'!$W:$W,$A:$A)</f>
        <v>2639455</v>
      </c>
      <c r="E27" s="78" t="n">
        <f aca="false">SUMIFS('Employee Data'!$AQ:$AQ,'Employee Data'!$W:$W,$A:$A)</f>
        <v>2628629</v>
      </c>
      <c r="F27" s="78" t="n">
        <f aca="false">SUMIFS('Employee Data'!$AR:$AR,'Employee Data'!$W:$W,$A:$A)</f>
        <v>1463300</v>
      </c>
      <c r="G27" s="79" t="n">
        <f aca="false">H27/F27</f>
        <v>0.032500512540149</v>
      </c>
      <c r="H27" s="78" t="n">
        <f aca="false">SUMIFS('Employee Data'!$CQ:$CQ,'Employee Data'!$W:$W,$A:$A)</f>
        <v>47558</v>
      </c>
      <c r="I27" s="78" t="n">
        <f aca="false">SUMIFS('Employee Data'!$CS:$CS,'Employee Data'!$W:$W,$A:$A)</f>
        <v>0</v>
      </c>
      <c r="J27" s="78" t="n">
        <f aca="false">SUMIFS('Employee Data'!$CW:$CW,'Employee Data'!$W:$W,$A:$A)</f>
        <v>30423</v>
      </c>
      <c r="K27" s="78" t="n">
        <f aca="false">SUMIFS('Employee Data'!$BF:$BF,'Employee Data'!$W:$W,$A:$A)</f>
        <v>17135</v>
      </c>
      <c r="L27" s="78" t="n">
        <f aca="false">SUMIFS('Employee Data'!$BH:$BH,'Employee Data'!$W:$W,$A:$A)</f>
        <v>0</v>
      </c>
      <c r="M27" s="78" t="n">
        <f aca="false">SUMIFS('Employee Data'!$BJ:$BJ,'Employee Data'!$W:$W,$A:$A)</f>
        <v>0</v>
      </c>
      <c r="N27" s="80" t="n">
        <f aca="false">O27/F27</f>
        <v>0.032500512540149</v>
      </c>
      <c r="O27" s="78" t="n">
        <f aca="false">SUMIFS('Employee Data'!$DJ:$DJ,'Employee Data'!$W:$W,$A:$A)</f>
        <v>47558</v>
      </c>
      <c r="P27" s="81" t="n">
        <f aca="false">Q27/F27</f>
        <v>0</v>
      </c>
      <c r="Q27" s="78" t="n">
        <f aca="false">SUMIFS('Employee Data'!$CU:$CU,'Employee Data'!$W:$W,$A:$A)</f>
        <v>0</v>
      </c>
      <c r="R27" s="81" t="n">
        <f aca="false">S27/F27</f>
        <v>0.0476853686872138</v>
      </c>
      <c r="S27" s="78" t="n">
        <f aca="false">SUMIFS('Employee Data'!$CY:$CY,'Employee Data'!$W:$W,$A:$A)</f>
        <v>69778</v>
      </c>
      <c r="T27" s="80" t="n">
        <f aca="false">U27/F27</f>
        <v>0.0476853686872138</v>
      </c>
      <c r="U27" s="78" t="n">
        <f aca="false">SUMIFS('Employee Data'!$DL:$DL,'Employee Data'!$W:$W,$A:$A)</f>
        <v>69778</v>
      </c>
      <c r="V27" s="79" t="n">
        <f aca="false">W27/F27</f>
        <v>0.0801851978404975</v>
      </c>
      <c r="W27" s="78" t="n">
        <f aca="false">SUMIFS('Employee Data'!$BN:$BN,'Employee Data'!$W:$W,$A:$A)</f>
        <v>117335</v>
      </c>
      <c r="X27" s="78" t="n">
        <f aca="false">SUMIFS('Employee Data'!$BO:$BO,'Employee Data'!$W:$W,$A:$A)</f>
        <v>2756790</v>
      </c>
      <c r="Y27" s="78" t="n">
        <f aca="false">SUMIFS('Employee Data'!$BV:$BV,'Employee Data'!$W:$W,$A:$A)</f>
        <v>2745963.63157895</v>
      </c>
      <c r="Z27" s="82"/>
      <c r="AA27" s="82"/>
      <c r="AB27" s="82"/>
      <c r="AC27" s="82"/>
      <c r="AD27" s="82"/>
      <c r="AE27" s="82"/>
      <c r="AF27" s="82"/>
    </row>
    <row r="28" s="83" customFormat="true" ht="12.75" hidden="false" customHeight="false" outlineLevel="0" collapsed="false">
      <c r="A28" s="76" t="s">
        <v>65</v>
      </c>
      <c r="B28" s="77" t="n">
        <f aca="false">COUNTIFS('Employee Data'!$W:$W,$A:$A)</f>
        <v>22</v>
      </c>
      <c r="C28" s="77" t="n">
        <f aca="false">COUNTIFS('Employee Data'!$W:$W,$A:$A,'Employee Data'!$BA:$BA,"Yes")</f>
        <v>9</v>
      </c>
      <c r="D28" s="78" t="n">
        <f aca="false">SUMIFS('Employee Data'!$AP:$AP,'Employee Data'!$W:$W,$A:$A)</f>
        <v>2507100</v>
      </c>
      <c r="E28" s="78" t="n">
        <f aca="false">SUMIFS('Employee Data'!$AQ:$AQ,'Employee Data'!$W:$W,$A:$A)</f>
        <v>2462468</v>
      </c>
      <c r="F28" s="78" t="n">
        <f aca="false">SUMIFS('Employee Data'!$AR:$AR,'Employee Data'!$W:$W,$A:$A)</f>
        <v>1062500</v>
      </c>
      <c r="G28" s="79" t="n">
        <f aca="false">H28/F28</f>
        <v>0.0325007058823529</v>
      </c>
      <c r="H28" s="78" t="n">
        <f aca="false">SUMIFS('Employee Data'!$CQ:$CQ,'Employee Data'!$W:$W,$A:$A)</f>
        <v>34532</v>
      </c>
      <c r="I28" s="78" t="n">
        <f aca="false">SUMIFS('Employee Data'!$CS:$CS,'Employee Data'!$W:$W,$A:$A)</f>
        <v>0</v>
      </c>
      <c r="J28" s="78" t="n">
        <f aca="false">SUMIFS('Employee Data'!$CW:$CW,'Employee Data'!$W:$W,$A:$A)</f>
        <v>4111</v>
      </c>
      <c r="K28" s="78" t="n">
        <f aca="false">SUMIFS('Employee Data'!$BF:$BF,'Employee Data'!$W:$W,$A:$A)</f>
        <v>21915</v>
      </c>
      <c r="L28" s="78" t="n">
        <f aca="false">SUMIFS('Employee Data'!$BH:$BH,'Employee Data'!$W:$W,$A:$A)</f>
        <v>0</v>
      </c>
      <c r="M28" s="78" t="n">
        <f aca="false">SUMIFS('Employee Data'!$BJ:$BJ,'Employee Data'!$W:$W,$A:$A)</f>
        <v>8506</v>
      </c>
      <c r="N28" s="80" t="n">
        <f aca="false">O28/F28</f>
        <v>0.0325007058823529</v>
      </c>
      <c r="O28" s="78" t="n">
        <f aca="false">SUMIFS('Employee Data'!$DJ:$DJ,'Employee Data'!$W:$W,$A:$A)</f>
        <v>34532</v>
      </c>
      <c r="P28" s="81" t="n">
        <f aca="false">Q28/F28</f>
        <v>0</v>
      </c>
      <c r="Q28" s="78" t="n">
        <f aca="false">SUMIFS('Employee Data'!$CU:$CU,'Employee Data'!$W:$W,$A:$A)</f>
        <v>0</v>
      </c>
      <c r="R28" s="81" t="n">
        <f aca="false">S28/F28</f>
        <v>0.00262494117647059</v>
      </c>
      <c r="S28" s="78" t="n">
        <f aca="false">SUMIFS('Employee Data'!$CY:$CY,'Employee Data'!$W:$W,$A:$A)</f>
        <v>2789</v>
      </c>
      <c r="T28" s="80" t="n">
        <f aca="false">U28/F28</f>
        <v>0.00262494117647059</v>
      </c>
      <c r="U28" s="78" t="n">
        <f aca="false">SUMIFS('Employee Data'!$DL:$DL,'Employee Data'!$W:$W,$A:$A)</f>
        <v>2789</v>
      </c>
      <c r="V28" s="79" t="n">
        <f aca="false">W28/F28</f>
        <v>0.02712</v>
      </c>
      <c r="W28" s="78" t="n">
        <f aca="false">SUMIFS('Employee Data'!$BN:$BN,'Employee Data'!$W:$W,$A:$A)</f>
        <v>28815</v>
      </c>
      <c r="X28" s="78" t="n">
        <f aca="false">SUMIFS('Employee Data'!$BO:$BO,'Employee Data'!$W:$W,$A:$A)</f>
        <v>2535915</v>
      </c>
      <c r="Y28" s="78" t="n">
        <f aca="false">SUMIFS('Employee Data'!$BV:$BV,'Employee Data'!$W:$W,$A:$A)</f>
        <v>2491283.42105263</v>
      </c>
      <c r="Z28" s="82"/>
      <c r="AA28" s="82"/>
      <c r="AB28" s="82"/>
      <c r="AC28" s="82"/>
      <c r="AD28" s="82"/>
      <c r="AE28" s="82"/>
      <c r="AF28" s="82"/>
    </row>
    <row r="29" s="75" customFormat="true" ht="15.75" hidden="true" customHeight="false" outlineLevel="1" collapsed="false">
      <c r="A29" s="68" t="s">
        <v>66</v>
      </c>
      <c r="B29" s="69" t="n">
        <f aca="false">COUNTIFS('Employee Data'!$V:$V,$A:$A)</f>
        <v>0</v>
      </c>
      <c r="C29" s="69" t="n">
        <f aca="false">COUNTIFS('Employee Data'!$V:$V,$A:$A,'Employee Data'!$BA:$BA,"Yes")</f>
        <v>0</v>
      </c>
      <c r="D29" s="70" t="n">
        <f aca="false">SUMIFS('Employee Data'!$AP:$AP,'Employee Data'!$V:$V,$A:$A)</f>
        <v>0</v>
      </c>
      <c r="E29" s="70" t="n">
        <f aca="false">SUMIFS('Employee Data'!$AQ:$AQ,'Employee Data'!$V:$V,$A:$A)</f>
        <v>0</v>
      </c>
      <c r="F29" s="70" t="n">
        <f aca="false">SUMIFS('Employee Data'!$AR:$AR,'Employee Data'!$V:$V,$A:$A)</f>
        <v>0</v>
      </c>
      <c r="G29" s="71" t="e">
        <f aca="false">H29/F29</f>
        <v>#DIV/0!</v>
      </c>
      <c r="H29" s="70" t="n">
        <f aca="false">SUMIFS('Employee Data'!$CQ:$CQ,'Employee Data'!$V:$V,$A:$A)</f>
        <v>0</v>
      </c>
      <c r="I29" s="70" t="n">
        <f aca="false">SUMIFS('Employee Data'!$CS:$CS,'Employee Data'!$V:$V,$A:$A)</f>
        <v>0</v>
      </c>
      <c r="J29" s="70" t="n">
        <f aca="false">SUMIFS('Employee Data'!$CW:$CW,'Employee Data'!$V:$V,$A:$A)</f>
        <v>0</v>
      </c>
      <c r="K29" s="70" t="n">
        <f aca="false">SUMIFS('Employee Data'!$BF:$BF,'Employee Data'!$V:$V,$A:$A,'Employee Data'!$BA:$BA,"Yes")</f>
        <v>0</v>
      </c>
      <c r="L29" s="70" t="n">
        <f aca="false">SUMIFS('Employee Data'!$BH:$BH,'Employee Data'!$V:$V,$A:$A)</f>
        <v>0</v>
      </c>
      <c r="M29" s="70" t="n">
        <f aca="false">SUMIFS('Employee Data'!$BJ:$BJ,'Employee Data'!$V:$V,$A:$A)</f>
        <v>0</v>
      </c>
      <c r="N29" s="72" t="e">
        <f aca="false">O29/F29</f>
        <v>#DIV/0!</v>
      </c>
      <c r="O29" s="70" t="n">
        <f aca="false">SUMIFS('Employee Data'!$DJ:$DJ,'Employee Data'!$V:$V,$A:$A)</f>
        <v>0</v>
      </c>
      <c r="P29" s="73" t="e">
        <f aca="false">Q29/F29</f>
        <v>#DIV/0!</v>
      </c>
      <c r="Q29" s="70" t="n">
        <f aca="false">SUMIFS('Employee Data'!$CU:$CU,'Employee Data'!$V:$V,$A:$A)</f>
        <v>0</v>
      </c>
      <c r="R29" s="73" t="e">
        <f aca="false">S29/F29</f>
        <v>#DIV/0!</v>
      </c>
      <c r="S29" s="70" t="n">
        <f aca="false">SUMIFS('Employee Data'!$CY:$CY,'Employee Data'!$V:$V,$A:$A)</f>
        <v>0</v>
      </c>
      <c r="T29" s="72" t="e">
        <f aca="false">U29/F29</f>
        <v>#DIV/0!</v>
      </c>
      <c r="U29" s="70" t="n">
        <f aca="false">SUMIFS('Employee Data'!$DL:$DL,'Employee Data'!$V:$V,$A:$A)</f>
        <v>0</v>
      </c>
      <c r="V29" s="71" t="e">
        <f aca="false">W29/F29</f>
        <v>#DIV/0!</v>
      </c>
      <c r="W29" s="70" t="n">
        <f aca="false">SUMIFS('Employee Data'!$BN:$BN,'Employee Data'!$V:$V,$A:$A)</f>
        <v>0</v>
      </c>
      <c r="X29" s="70" t="n">
        <f aca="false">SUMIFS('Employee Data'!$BO:$BO,'Employee Data'!$V:$V,$A:$A)</f>
        <v>0</v>
      </c>
      <c r="Y29" s="70" t="n">
        <f aca="false">SUMIFS('Employee Data'!$BV:$BV,'Employee Data'!$V:$V,$A:$A)</f>
        <v>0</v>
      </c>
      <c r="Z29" s="74"/>
      <c r="AA29" s="74"/>
      <c r="AB29" s="74"/>
      <c r="AC29" s="74"/>
      <c r="AD29" s="74"/>
      <c r="AE29" s="74"/>
      <c r="AF29" s="74"/>
    </row>
    <row r="30" s="83" customFormat="true" ht="12.75" hidden="true" customHeight="false" outlineLevel="1" collapsed="false">
      <c r="A30" s="76" t="s">
        <v>67</v>
      </c>
      <c r="B30" s="77" t="n">
        <f aca="false">COUNTIFS('Employee Data'!$W:$W,$A:$A)</f>
        <v>0</v>
      </c>
      <c r="C30" s="77" t="n">
        <f aca="false">COUNTIFS('Employee Data'!$W:$W,$A:$A,'Employee Data'!$BA:$BA,"Yes")</f>
        <v>0</v>
      </c>
      <c r="D30" s="78" t="n">
        <f aca="false">SUMIFS('Employee Data'!$AP:$AP,'Employee Data'!$W:$W,$A:$A,'Employee Data'!$BA:$BA,"Yes")</f>
        <v>0</v>
      </c>
      <c r="E30" s="78" t="n">
        <f aca="false">SUMIFS('Employee Data'!$AQ:$AQ,'Employee Data'!$W:$W,$A:$A,'Employee Data'!$BA:$BA,"Yes")</f>
        <v>0</v>
      </c>
      <c r="F30" s="78" t="n">
        <f aca="false">SUMIFS('Employee Data'!$AR:$AR,'Employee Data'!$W:$W,$A:$A)</f>
        <v>0</v>
      </c>
      <c r="G30" s="79" t="e">
        <f aca="false">H30/F30</f>
        <v>#DIV/0!</v>
      </c>
      <c r="H30" s="78" t="n">
        <f aca="false">SUMIFS('Employee Data'!$CQ:$CQ,'Employee Data'!$W:$W,$A:$A)</f>
        <v>0</v>
      </c>
      <c r="I30" s="78" t="n">
        <f aca="false">SUMIFS('Employee Data'!$CS:$CS,'Employee Data'!$W:$W,$A:$A)</f>
        <v>0</v>
      </c>
      <c r="J30" s="78" t="n">
        <f aca="false">SUMIFS('Employee Data'!$CW:$CW,'Employee Data'!$W:$W,$A:$A)</f>
        <v>0</v>
      </c>
      <c r="K30" s="78" t="n">
        <f aca="false">SUMIFS('Employee Data'!$BF:$BF,'Employee Data'!$W:$W,$A:$A,'Employee Data'!$BA:$BA,"Yes")</f>
        <v>0</v>
      </c>
      <c r="L30" s="78" t="n">
        <f aca="false">SUMIFS('Employee Data'!$BH:$BH,'Employee Data'!$W:$W,$A:$A)</f>
        <v>0</v>
      </c>
      <c r="M30" s="78" t="n">
        <f aca="false">SUMIFS('Employee Data'!$BI:$BI,'Employee Data'!$W:$W,$A:$A,'Employee Data'!$BA:$BA,"Yes")</f>
        <v>0</v>
      </c>
      <c r="N30" s="80" t="e">
        <f aca="false">O30/F30</f>
        <v>#DIV/0!</v>
      </c>
      <c r="O30" s="78" t="n">
        <f aca="false">SUMIFS('Employee Data'!$DJ:$DJ,'Employee Data'!$W:$W,$A:$A,'Employee Data'!$BA:$BA,"Yes")</f>
        <v>0</v>
      </c>
      <c r="P30" s="81" t="e">
        <f aca="false">Q30/F30</f>
        <v>#DIV/0!</v>
      </c>
      <c r="Q30" s="78" t="n">
        <f aca="false">SUMIFS('Employee Data'!$CU:$CU,'Employee Data'!$W:$W,$A:$A)</f>
        <v>0</v>
      </c>
      <c r="R30" s="81" t="e">
        <f aca="false">S30/F30</f>
        <v>#DIV/0!</v>
      </c>
      <c r="S30" s="78" t="n">
        <f aca="false">SUMIFS('Employee Data'!$CY:$CY,'Employee Data'!$W:$W,$A:$A)</f>
        <v>0</v>
      </c>
      <c r="T30" s="80" t="e">
        <f aca="false">U30/F30</f>
        <v>#DIV/0!</v>
      </c>
      <c r="U30" s="78" t="n">
        <f aca="false">SUMIFS('Employee Data'!$DL:$DL,'Employee Data'!$W:$W,$A:$A,'Employee Data'!$BA:$BA,"Yes")</f>
        <v>0</v>
      </c>
      <c r="V30" s="79" t="e">
        <f aca="false">W30/F30</f>
        <v>#DIV/0!</v>
      </c>
      <c r="W30" s="78" t="n">
        <f aca="false">SUMIFS('Employee Data'!$BN:$BN,'Employee Data'!$W:$W,$A:$A,'Employee Data'!$BA:$BA,"Yes")</f>
        <v>0</v>
      </c>
      <c r="X30" s="78" t="n">
        <f aca="false">SUMIFS('Employee Data'!$BO:$BO,'Employee Data'!$W:$W,$A:$A,'Employee Data'!$BA:$BA,"Yes")</f>
        <v>0</v>
      </c>
      <c r="Y30" s="78" t="n">
        <f aca="false">SUMIFS('Employee Data'!$BV:$BV,'Employee Data'!$W:$W,$A:$A,'Employee Data'!$BA:$BA,"Yes")</f>
        <v>0</v>
      </c>
      <c r="Z30" s="82"/>
      <c r="AA30" s="82"/>
      <c r="AB30" s="82"/>
      <c r="AC30" s="82"/>
      <c r="AD30" s="82"/>
      <c r="AE30" s="82"/>
      <c r="AF30" s="82"/>
    </row>
    <row r="31" s="83" customFormat="true" ht="12.75" hidden="true" customHeight="false" outlineLevel="1" collapsed="false">
      <c r="A31" s="76" t="s">
        <v>68</v>
      </c>
      <c r="B31" s="77" t="n">
        <f aca="false">COUNTIFS('Employee Data'!$W:$W,$A:$A)</f>
        <v>0</v>
      </c>
      <c r="C31" s="77" t="n">
        <f aca="false">COUNTIFS('Employee Data'!$W:$W,$A:$A,'Employee Data'!$BA:$BA,"Yes")</f>
        <v>0</v>
      </c>
      <c r="D31" s="78" t="n">
        <f aca="false">SUMIFS('Employee Data'!$AP:$AP,'Employee Data'!$W:$W,$A:$A,'Employee Data'!$BA:$BA,"Yes")</f>
        <v>0</v>
      </c>
      <c r="E31" s="78" t="n">
        <f aca="false">SUMIFS('Employee Data'!$AQ:$AQ,'Employee Data'!$W:$W,$A:$A,'Employee Data'!$BA:$BA,"Yes")</f>
        <v>0</v>
      </c>
      <c r="F31" s="78" t="n">
        <f aca="false">SUMIFS('Employee Data'!$AR:$AR,'Employee Data'!$W:$W,$A:$A)</f>
        <v>0</v>
      </c>
      <c r="G31" s="79" t="e">
        <f aca="false">H31/F31</f>
        <v>#DIV/0!</v>
      </c>
      <c r="H31" s="78" t="n">
        <f aca="false">SUMIFS('Employee Data'!$CQ:$CQ,'Employee Data'!$W:$W,$A:$A)</f>
        <v>0</v>
      </c>
      <c r="I31" s="78" t="n">
        <f aca="false">SUMIFS('Employee Data'!$CS:$CS,'Employee Data'!$W:$W,$A:$A)</f>
        <v>0</v>
      </c>
      <c r="J31" s="78" t="n">
        <f aca="false">SUMIFS('Employee Data'!$CW:$CW,'Employee Data'!$W:$W,$A:$A)</f>
        <v>0</v>
      </c>
      <c r="K31" s="78" t="n">
        <f aca="false">SUMIFS('Employee Data'!$BF:$BF,'Employee Data'!$W:$W,$A:$A,'Employee Data'!$BA:$BA,"Yes")</f>
        <v>0</v>
      </c>
      <c r="L31" s="78" t="n">
        <f aca="false">SUMIFS('Employee Data'!$BH:$BH,'Employee Data'!$W:$W,$A:$A)</f>
        <v>0</v>
      </c>
      <c r="M31" s="78" t="n">
        <f aca="false">SUMIFS('Employee Data'!$BI:$BI,'Employee Data'!$W:$W,$A:$A,'Employee Data'!$BA:$BA,"Yes")</f>
        <v>0</v>
      </c>
      <c r="N31" s="80" t="e">
        <f aca="false">O31/F31</f>
        <v>#DIV/0!</v>
      </c>
      <c r="O31" s="78" t="n">
        <f aca="false">SUMIFS('Employee Data'!$DJ:$DJ,'Employee Data'!$W:$W,$A:$A,'Employee Data'!$BA:$BA,"Yes")</f>
        <v>0</v>
      </c>
      <c r="P31" s="81" t="e">
        <f aca="false">Q31/F31</f>
        <v>#DIV/0!</v>
      </c>
      <c r="Q31" s="78" t="n">
        <f aca="false">SUMIFS('Employee Data'!$CU:$CU,'Employee Data'!$W:$W,$A:$A)</f>
        <v>0</v>
      </c>
      <c r="R31" s="81" t="e">
        <f aca="false">S31/F31</f>
        <v>#DIV/0!</v>
      </c>
      <c r="S31" s="78" t="n">
        <f aca="false">SUMIFS('Employee Data'!$CY:$CY,'Employee Data'!$W:$W,$A:$A)</f>
        <v>0</v>
      </c>
      <c r="T31" s="80" t="e">
        <f aca="false">U31/F31</f>
        <v>#DIV/0!</v>
      </c>
      <c r="U31" s="78" t="n">
        <f aca="false">SUMIFS('Employee Data'!$DL:$DL,'Employee Data'!$W:$W,$A:$A,'Employee Data'!$BA:$BA,"Yes")</f>
        <v>0</v>
      </c>
      <c r="V31" s="79" t="e">
        <f aca="false">W31/F31</f>
        <v>#DIV/0!</v>
      </c>
      <c r="W31" s="78" t="n">
        <f aca="false">SUMIFS('Employee Data'!$BN:$BN,'Employee Data'!$W:$W,$A:$A,'Employee Data'!$BA:$BA,"Yes")</f>
        <v>0</v>
      </c>
      <c r="X31" s="78" t="n">
        <f aca="false">SUMIFS('Employee Data'!$BO:$BO,'Employee Data'!$W:$W,$A:$A,'Employee Data'!$BA:$BA,"Yes")</f>
        <v>0</v>
      </c>
      <c r="Y31" s="78" t="n">
        <f aca="false">SUMIFS('Employee Data'!$BV:$BV,'Employee Data'!$W:$W,$A:$A,'Employee Data'!$BA:$BA,"Yes")</f>
        <v>0</v>
      </c>
      <c r="Z31" s="82"/>
      <c r="AA31" s="82"/>
      <c r="AB31" s="82"/>
      <c r="AC31" s="82"/>
      <c r="AD31" s="82"/>
      <c r="AE31" s="82"/>
      <c r="AF31" s="82"/>
    </row>
    <row r="32" s="83" customFormat="true" ht="12.75" hidden="true" customHeight="false" outlineLevel="1" collapsed="false">
      <c r="A32" s="76" t="s">
        <v>69</v>
      </c>
      <c r="B32" s="77" t="n">
        <f aca="false">COUNTIFS('Employee Data'!$W:$W,$A:$A)</f>
        <v>0</v>
      </c>
      <c r="C32" s="77" t="n">
        <f aca="false">COUNTIFS('Employee Data'!$W:$W,$A:$A,'Employee Data'!$BA:$BA,"Yes")</f>
        <v>0</v>
      </c>
      <c r="D32" s="78" t="n">
        <f aca="false">SUMIFS('Employee Data'!$AP:$AP,'Employee Data'!$W:$W,$A:$A,'Employee Data'!$BA:$BA,"Yes")</f>
        <v>0</v>
      </c>
      <c r="E32" s="78" t="n">
        <f aca="false">SUMIFS('Employee Data'!$AQ:$AQ,'Employee Data'!$W:$W,$A:$A,'Employee Data'!$BA:$BA,"Yes")</f>
        <v>0</v>
      </c>
      <c r="F32" s="78" t="n">
        <f aca="false">SUMIFS('Employee Data'!$AR:$AR,'Employee Data'!$W:$W,$A:$A)</f>
        <v>0</v>
      </c>
      <c r="G32" s="79" t="e">
        <f aca="false">H32/F32</f>
        <v>#DIV/0!</v>
      </c>
      <c r="H32" s="78" t="n">
        <f aca="false">SUMIFS('Employee Data'!$CQ:$CQ,'Employee Data'!$W:$W,$A:$A)</f>
        <v>0</v>
      </c>
      <c r="I32" s="78" t="n">
        <f aca="false">SUMIFS('Employee Data'!$CS:$CS,'Employee Data'!$W:$W,$A:$A)</f>
        <v>0</v>
      </c>
      <c r="J32" s="78" t="n">
        <f aca="false">SUMIFS('Employee Data'!$CW:$CW,'Employee Data'!$W:$W,$A:$A)</f>
        <v>0</v>
      </c>
      <c r="K32" s="78" t="n">
        <f aca="false">SUMIFS('Employee Data'!$BF:$BF,'Employee Data'!$W:$W,$A:$A,'Employee Data'!$BA:$BA,"Yes")</f>
        <v>0</v>
      </c>
      <c r="L32" s="78" t="n">
        <f aca="false">SUMIFS('Employee Data'!$BH:$BH,'Employee Data'!$W:$W,$A:$A)</f>
        <v>0</v>
      </c>
      <c r="M32" s="78" t="n">
        <f aca="false">SUMIFS('Employee Data'!$BI:$BI,'Employee Data'!$W:$W,$A:$A,'Employee Data'!$BA:$BA,"Yes")</f>
        <v>0</v>
      </c>
      <c r="N32" s="80" t="e">
        <f aca="false">O32/F32</f>
        <v>#DIV/0!</v>
      </c>
      <c r="O32" s="78" t="n">
        <f aca="false">SUMIFS('Employee Data'!$DJ:$DJ,'Employee Data'!$W:$W,$A:$A,'Employee Data'!$BA:$BA,"Yes")</f>
        <v>0</v>
      </c>
      <c r="P32" s="81" t="e">
        <f aca="false">Q32/F32</f>
        <v>#DIV/0!</v>
      </c>
      <c r="Q32" s="78" t="n">
        <f aca="false">SUMIFS('Employee Data'!$CU:$CU,'Employee Data'!$W:$W,$A:$A)</f>
        <v>0</v>
      </c>
      <c r="R32" s="81" t="e">
        <f aca="false">S32/F32</f>
        <v>#DIV/0!</v>
      </c>
      <c r="S32" s="78" t="n">
        <f aca="false">SUMIFS('Employee Data'!$CY:$CY,'Employee Data'!$W:$W,$A:$A)</f>
        <v>0</v>
      </c>
      <c r="T32" s="80" t="e">
        <f aca="false">U32/F32</f>
        <v>#DIV/0!</v>
      </c>
      <c r="U32" s="78" t="n">
        <f aca="false">SUMIFS('Employee Data'!$DL:$DL,'Employee Data'!$W:$W,$A:$A,'Employee Data'!$BA:$BA,"Yes")</f>
        <v>0</v>
      </c>
      <c r="V32" s="79" t="e">
        <f aca="false">W32/F32</f>
        <v>#DIV/0!</v>
      </c>
      <c r="W32" s="78" t="n">
        <f aca="false">SUMIFS('Employee Data'!$BN:$BN,'Employee Data'!$W:$W,$A:$A,'Employee Data'!$BA:$BA,"Yes")</f>
        <v>0</v>
      </c>
      <c r="X32" s="78" t="n">
        <f aca="false">SUMIFS('Employee Data'!$BO:$BO,'Employee Data'!$W:$W,$A:$A,'Employee Data'!$BA:$BA,"Yes")</f>
        <v>0</v>
      </c>
      <c r="Y32" s="78" t="n">
        <f aca="false">SUMIFS('Employee Data'!$BV:$BV,'Employee Data'!$W:$W,$A:$A,'Employee Data'!$BA:$BA,"Yes")</f>
        <v>0</v>
      </c>
      <c r="Z32" s="82"/>
      <c r="AA32" s="82"/>
      <c r="AB32" s="82"/>
      <c r="AC32" s="82"/>
      <c r="AD32" s="82"/>
      <c r="AE32" s="82"/>
      <c r="AF32" s="82"/>
    </row>
    <row r="33" s="83" customFormat="true" ht="12.75" hidden="true" customHeight="false" outlineLevel="1" collapsed="false">
      <c r="A33" s="76" t="s">
        <v>70</v>
      </c>
      <c r="B33" s="77" t="n">
        <f aca="false">COUNTIFS('Employee Data'!$W:$W,$A:$A)</f>
        <v>0</v>
      </c>
      <c r="C33" s="77" t="n">
        <f aca="false">COUNTIFS('Employee Data'!$W:$W,$A:$A,'Employee Data'!$BA:$BA,"Yes")</f>
        <v>0</v>
      </c>
      <c r="D33" s="78" t="n">
        <f aca="false">SUMIFS('Employee Data'!$AP:$AP,'Employee Data'!$W:$W,$A:$A,'Employee Data'!$BA:$BA,"Yes")</f>
        <v>0</v>
      </c>
      <c r="E33" s="78" t="n">
        <f aca="false">SUMIFS('Employee Data'!$AQ:$AQ,'Employee Data'!$W:$W,$A:$A,'Employee Data'!$BA:$BA,"Yes")</f>
        <v>0</v>
      </c>
      <c r="F33" s="78" t="n">
        <f aca="false">SUMIFS('Employee Data'!$AR:$AR,'Employee Data'!$W:$W,$A:$A)</f>
        <v>0</v>
      </c>
      <c r="G33" s="79" t="e">
        <f aca="false">H33/F33</f>
        <v>#DIV/0!</v>
      </c>
      <c r="H33" s="78" t="n">
        <f aca="false">SUMIFS('Employee Data'!$CQ:$CQ,'Employee Data'!$W:$W,$A:$A)</f>
        <v>0</v>
      </c>
      <c r="I33" s="78" t="n">
        <f aca="false">SUMIFS('Employee Data'!$CS:$CS,'Employee Data'!$W:$W,$A:$A)</f>
        <v>0</v>
      </c>
      <c r="J33" s="78" t="n">
        <f aca="false">SUMIFS('Employee Data'!$CW:$CW,'Employee Data'!$W:$W,$A:$A)</f>
        <v>0</v>
      </c>
      <c r="K33" s="78" t="n">
        <f aca="false">SUMIFS('Employee Data'!$BF:$BF,'Employee Data'!$W:$W,$A:$A,'Employee Data'!$BA:$BA,"Yes")</f>
        <v>0</v>
      </c>
      <c r="L33" s="78" t="n">
        <f aca="false">SUMIFS('Employee Data'!$BH:$BH,'Employee Data'!$W:$W,$A:$A)</f>
        <v>0</v>
      </c>
      <c r="M33" s="78" t="n">
        <f aca="false">SUMIFS('Employee Data'!$BI:$BI,'Employee Data'!$W:$W,$A:$A,'Employee Data'!$BA:$BA,"Yes")</f>
        <v>0</v>
      </c>
      <c r="N33" s="80" t="e">
        <f aca="false">O33/F33</f>
        <v>#DIV/0!</v>
      </c>
      <c r="O33" s="78" t="n">
        <f aca="false">SUMIFS('Employee Data'!$DJ:$DJ,'Employee Data'!$W:$W,$A:$A,'Employee Data'!$BA:$BA,"Yes")</f>
        <v>0</v>
      </c>
      <c r="P33" s="81" t="e">
        <f aca="false">Q33/F33</f>
        <v>#DIV/0!</v>
      </c>
      <c r="Q33" s="78" t="n">
        <f aca="false">SUMIFS('Employee Data'!$CU:$CU,'Employee Data'!$W:$W,$A:$A)</f>
        <v>0</v>
      </c>
      <c r="R33" s="81" t="e">
        <f aca="false">S33/F33</f>
        <v>#DIV/0!</v>
      </c>
      <c r="S33" s="78" t="n">
        <f aca="false">SUMIFS('Employee Data'!$CY:$CY,'Employee Data'!$W:$W,$A:$A)</f>
        <v>0</v>
      </c>
      <c r="T33" s="80" t="e">
        <f aca="false">U33/F33</f>
        <v>#DIV/0!</v>
      </c>
      <c r="U33" s="78" t="n">
        <f aca="false">SUMIFS('Employee Data'!$DL:$DL,'Employee Data'!$W:$W,$A:$A,'Employee Data'!$BA:$BA,"Yes")</f>
        <v>0</v>
      </c>
      <c r="V33" s="79" t="e">
        <f aca="false">W33/F33</f>
        <v>#DIV/0!</v>
      </c>
      <c r="W33" s="78" t="n">
        <f aca="false">SUMIFS('Employee Data'!$BN:$BN,'Employee Data'!$W:$W,$A:$A,'Employee Data'!$BA:$BA,"Yes")</f>
        <v>0</v>
      </c>
      <c r="X33" s="78" t="n">
        <f aca="false">SUMIFS('Employee Data'!$BO:$BO,'Employee Data'!$W:$W,$A:$A,'Employee Data'!$BA:$BA,"Yes")</f>
        <v>0</v>
      </c>
      <c r="Y33" s="78" t="n">
        <f aca="false">SUMIFS('Employee Data'!$BV:$BV,'Employee Data'!$W:$W,$A:$A,'Employee Data'!$BA:$BA,"Yes")</f>
        <v>0</v>
      </c>
      <c r="Z33" s="82"/>
      <c r="AA33" s="82"/>
      <c r="AB33" s="82"/>
      <c r="AC33" s="82"/>
      <c r="AD33" s="82"/>
      <c r="AE33" s="82"/>
      <c r="AF33" s="82"/>
    </row>
    <row r="34" s="83" customFormat="true" ht="12.75" hidden="true" customHeight="false" outlineLevel="1" collapsed="false">
      <c r="A34" s="76" t="s">
        <v>71</v>
      </c>
      <c r="B34" s="77" t="n">
        <f aca="false">COUNTIFS('Employee Data'!$W:$W,$A:$A)</f>
        <v>0</v>
      </c>
      <c r="C34" s="77" t="n">
        <f aca="false">COUNTIFS('Employee Data'!$W:$W,$A:$A,'Employee Data'!$BA:$BA,"Yes")</f>
        <v>0</v>
      </c>
      <c r="D34" s="78" t="n">
        <f aca="false">SUMIFS('Employee Data'!$AP:$AP,'Employee Data'!$W:$W,$A:$A,'Employee Data'!$BA:$BA,"Yes")</f>
        <v>0</v>
      </c>
      <c r="E34" s="78" t="n">
        <f aca="false">SUMIFS('Employee Data'!$AQ:$AQ,'Employee Data'!$W:$W,$A:$A,'Employee Data'!$BA:$BA,"Yes")</f>
        <v>0</v>
      </c>
      <c r="F34" s="78" t="n">
        <f aca="false">SUMIFS('Employee Data'!$AR:$AR,'Employee Data'!$W:$W,$A:$A)</f>
        <v>0</v>
      </c>
      <c r="G34" s="79" t="e">
        <f aca="false">H34/F34</f>
        <v>#DIV/0!</v>
      </c>
      <c r="H34" s="78" t="n">
        <f aca="false">SUMIFS('Employee Data'!$CQ:$CQ,'Employee Data'!$W:$W,$A:$A)</f>
        <v>0</v>
      </c>
      <c r="I34" s="78" t="n">
        <f aca="false">SUMIFS('Employee Data'!$CS:$CS,'Employee Data'!$W:$W,$A:$A)</f>
        <v>0</v>
      </c>
      <c r="J34" s="78" t="n">
        <f aca="false">SUMIFS('Employee Data'!$CW:$CW,'Employee Data'!$W:$W,$A:$A)</f>
        <v>0</v>
      </c>
      <c r="K34" s="78" t="n">
        <f aca="false">SUMIFS('Employee Data'!$BF:$BF,'Employee Data'!$W:$W,$A:$A,'Employee Data'!$BA:$BA,"Yes")</f>
        <v>0</v>
      </c>
      <c r="L34" s="78" t="n">
        <f aca="false">SUMIFS('Employee Data'!$BH:$BH,'Employee Data'!$W:$W,$A:$A)</f>
        <v>0</v>
      </c>
      <c r="M34" s="78" t="n">
        <f aca="false">SUMIFS('Employee Data'!$BI:$BI,'Employee Data'!$W:$W,$A:$A,'Employee Data'!$BA:$BA,"Yes")</f>
        <v>0</v>
      </c>
      <c r="N34" s="80" t="e">
        <f aca="false">O34/F34</f>
        <v>#DIV/0!</v>
      </c>
      <c r="O34" s="78" t="n">
        <f aca="false">SUMIFS('Employee Data'!$DJ:$DJ,'Employee Data'!$W:$W,$A:$A,'Employee Data'!$BA:$BA,"Yes")</f>
        <v>0</v>
      </c>
      <c r="P34" s="81" t="e">
        <f aca="false">Q34/F34</f>
        <v>#DIV/0!</v>
      </c>
      <c r="Q34" s="78" t="n">
        <f aca="false">SUMIFS('Employee Data'!$CU:$CU,'Employee Data'!$W:$W,$A:$A)</f>
        <v>0</v>
      </c>
      <c r="R34" s="81" t="e">
        <f aca="false">S34/F34</f>
        <v>#DIV/0!</v>
      </c>
      <c r="S34" s="78" t="n">
        <f aca="false">SUMIFS('Employee Data'!$CY:$CY,'Employee Data'!$W:$W,$A:$A)</f>
        <v>0</v>
      </c>
      <c r="T34" s="80" t="e">
        <f aca="false">U34/F34</f>
        <v>#DIV/0!</v>
      </c>
      <c r="U34" s="78" t="n">
        <f aca="false">SUMIFS('Employee Data'!$DL:$DL,'Employee Data'!$W:$W,$A:$A,'Employee Data'!$BA:$BA,"Yes")</f>
        <v>0</v>
      </c>
      <c r="V34" s="79" t="e">
        <f aca="false">W34/F34</f>
        <v>#DIV/0!</v>
      </c>
      <c r="W34" s="78" t="n">
        <f aca="false">SUMIFS('Employee Data'!$BN:$BN,'Employee Data'!$W:$W,$A:$A,'Employee Data'!$BA:$BA,"Yes")</f>
        <v>0</v>
      </c>
      <c r="X34" s="78" t="n">
        <f aca="false">SUMIFS('Employee Data'!$BO:$BO,'Employee Data'!$W:$W,$A:$A,'Employee Data'!$BA:$BA,"Yes")</f>
        <v>0</v>
      </c>
      <c r="Y34" s="78" t="n">
        <f aca="false">SUMIFS('Employee Data'!$BV:$BV,'Employee Data'!$W:$W,$A:$A,'Employee Data'!$BA:$BA,"Yes")</f>
        <v>0</v>
      </c>
      <c r="Z34" s="82"/>
      <c r="AA34" s="82"/>
      <c r="AB34" s="82"/>
      <c r="AC34" s="82"/>
      <c r="AD34" s="82"/>
      <c r="AE34" s="82"/>
      <c r="AF34" s="82"/>
    </row>
    <row r="35" s="83" customFormat="true" ht="12.75" hidden="true" customHeight="false" outlineLevel="1" collapsed="false">
      <c r="A35" s="76" t="s">
        <v>72</v>
      </c>
      <c r="B35" s="77" t="n">
        <f aca="false">COUNTIFS('Employee Data'!$W:$W,$A:$A)</f>
        <v>0</v>
      </c>
      <c r="C35" s="77" t="n">
        <f aca="false">COUNTIFS('Employee Data'!$W:$W,$A:$A,'Employee Data'!$BA:$BA,"Yes")</f>
        <v>0</v>
      </c>
      <c r="D35" s="78" t="n">
        <f aca="false">SUMIFS('Employee Data'!$AP:$AP,'Employee Data'!$W:$W,$A:$A,'Employee Data'!$BA:$BA,"Yes")</f>
        <v>0</v>
      </c>
      <c r="E35" s="78" t="n">
        <f aca="false">SUMIFS('Employee Data'!$AQ:$AQ,'Employee Data'!$W:$W,$A:$A,'Employee Data'!$BA:$BA,"Yes")</f>
        <v>0</v>
      </c>
      <c r="F35" s="78" t="n">
        <f aca="false">SUMIFS('Employee Data'!$AR:$AR,'Employee Data'!$W:$W,$A:$A)</f>
        <v>0</v>
      </c>
      <c r="G35" s="79" t="e">
        <f aca="false">H35/F35</f>
        <v>#DIV/0!</v>
      </c>
      <c r="H35" s="78" t="n">
        <f aca="false">SUMIFS('Employee Data'!$CQ:$CQ,'Employee Data'!$W:$W,$A:$A)</f>
        <v>0</v>
      </c>
      <c r="I35" s="78" t="n">
        <f aca="false">SUMIFS('Employee Data'!$CS:$CS,'Employee Data'!$W:$W,$A:$A)</f>
        <v>0</v>
      </c>
      <c r="J35" s="78" t="n">
        <f aca="false">SUMIFS('Employee Data'!$CW:$CW,'Employee Data'!$W:$W,$A:$A)</f>
        <v>0</v>
      </c>
      <c r="K35" s="78" t="n">
        <f aca="false">SUMIFS('Employee Data'!$BF:$BF,'Employee Data'!$W:$W,$A:$A,'Employee Data'!$BA:$BA,"Yes")</f>
        <v>0</v>
      </c>
      <c r="L35" s="78" t="n">
        <f aca="false">SUMIFS('Employee Data'!$BH:$BH,'Employee Data'!$W:$W,$A:$A)</f>
        <v>0</v>
      </c>
      <c r="M35" s="78" t="n">
        <f aca="false">SUMIFS('Employee Data'!$BI:$BI,'Employee Data'!$W:$W,$A:$A,'Employee Data'!$BA:$BA,"Yes")</f>
        <v>0</v>
      </c>
      <c r="N35" s="80" t="e">
        <f aca="false">O35/F35</f>
        <v>#DIV/0!</v>
      </c>
      <c r="O35" s="78" t="n">
        <f aca="false">SUMIFS('Employee Data'!$DJ:$DJ,'Employee Data'!$W:$W,$A:$A,'Employee Data'!$BA:$BA,"Yes")</f>
        <v>0</v>
      </c>
      <c r="P35" s="81" t="e">
        <f aca="false">Q35/F35</f>
        <v>#DIV/0!</v>
      </c>
      <c r="Q35" s="78" t="n">
        <f aca="false">SUMIFS('Employee Data'!$CU:$CU,'Employee Data'!$W:$W,$A:$A)</f>
        <v>0</v>
      </c>
      <c r="R35" s="81" t="e">
        <f aca="false">S35/F35</f>
        <v>#DIV/0!</v>
      </c>
      <c r="S35" s="78" t="n">
        <f aca="false">SUMIFS('Employee Data'!$CY:$CY,'Employee Data'!$W:$W,$A:$A)</f>
        <v>0</v>
      </c>
      <c r="T35" s="80" t="e">
        <f aca="false">U35/F35</f>
        <v>#DIV/0!</v>
      </c>
      <c r="U35" s="78" t="n">
        <f aca="false">SUMIFS('Employee Data'!$DL:$DL,'Employee Data'!$W:$W,$A:$A,'Employee Data'!$BA:$BA,"Yes")</f>
        <v>0</v>
      </c>
      <c r="V35" s="79" t="e">
        <f aca="false">W35/F35</f>
        <v>#DIV/0!</v>
      </c>
      <c r="W35" s="78" t="n">
        <f aca="false">SUMIFS('Employee Data'!$BN:$BN,'Employee Data'!$W:$W,$A:$A,'Employee Data'!$BA:$BA,"Yes")</f>
        <v>0</v>
      </c>
      <c r="X35" s="78" t="n">
        <f aca="false">SUMIFS('Employee Data'!$BO:$BO,'Employee Data'!$W:$W,$A:$A,'Employee Data'!$BA:$BA,"Yes")</f>
        <v>0</v>
      </c>
      <c r="Y35" s="78" t="n">
        <f aca="false">SUMIFS('Employee Data'!$BV:$BV,'Employee Data'!$W:$W,$A:$A,'Employee Data'!$BA:$BA,"Yes")</f>
        <v>0</v>
      </c>
      <c r="Z35" s="82"/>
      <c r="AA35" s="82"/>
      <c r="AB35" s="82"/>
      <c r="AC35" s="82"/>
      <c r="AD35" s="82"/>
      <c r="AE35" s="82"/>
      <c r="AF35" s="82"/>
    </row>
    <row r="36" s="83" customFormat="true" ht="12.75" hidden="true" customHeight="false" outlineLevel="1" collapsed="false">
      <c r="A36" s="76" t="s">
        <v>73</v>
      </c>
      <c r="B36" s="77" t="n">
        <f aca="false">COUNTIFS('Employee Data'!$W:$W,$A:$A)</f>
        <v>0</v>
      </c>
      <c r="C36" s="77" t="n">
        <f aca="false">COUNTIFS('Employee Data'!$W:$W,$A:$A,'Employee Data'!$BA:$BA,"Yes")</f>
        <v>0</v>
      </c>
      <c r="D36" s="78" t="n">
        <f aca="false">SUMIFS('Employee Data'!$AP:$AP,'Employee Data'!$W:$W,$A:$A,'Employee Data'!$BA:$BA,"Yes")</f>
        <v>0</v>
      </c>
      <c r="E36" s="78" t="n">
        <f aca="false">SUMIFS('Employee Data'!$AQ:$AQ,'Employee Data'!$W:$W,$A:$A,'Employee Data'!$BA:$BA,"Yes")</f>
        <v>0</v>
      </c>
      <c r="F36" s="78" t="n">
        <f aca="false">SUMIFS('Employee Data'!$AR:$AR,'Employee Data'!$W:$W,$A:$A)</f>
        <v>0</v>
      </c>
      <c r="G36" s="79" t="e">
        <f aca="false">H36/F36</f>
        <v>#DIV/0!</v>
      </c>
      <c r="H36" s="78" t="n">
        <f aca="false">SUMIFS('Employee Data'!$CQ:$CQ,'Employee Data'!$W:$W,$A:$A)</f>
        <v>0</v>
      </c>
      <c r="I36" s="78" t="n">
        <f aca="false">SUMIFS('Employee Data'!$CS:$CS,'Employee Data'!$W:$W,$A:$A)</f>
        <v>0</v>
      </c>
      <c r="J36" s="78" t="n">
        <f aca="false">SUMIFS('Employee Data'!$CW:$CW,'Employee Data'!$W:$W,$A:$A)</f>
        <v>0</v>
      </c>
      <c r="K36" s="78" t="n">
        <f aca="false">SUMIFS('Employee Data'!$BF:$BF,'Employee Data'!$W:$W,$A:$A,'Employee Data'!$BA:$BA,"Yes")</f>
        <v>0</v>
      </c>
      <c r="L36" s="78" t="n">
        <f aca="false">SUMIFS('Employee Data'!$BH:$BH,'Employee Data'!$W:$W,$A:$A)</f>
        <v>0</v>
      </c>
      <c r="M36" s="78" t="n">
        <f aca="false">SUMIFS('Employee Data'!$BI:$BI,'Employee Data'!$W:$W,$A:$A,'Employee Data'!$BA:$BA,"Yes")</f>
        <v>0</v>
      </c>
      <c r="N36" s="80" t="e">
        <f aca="false">O36/F36</f>
        <v>#DIV/0!</v>
      </c>
      <c r="O36" s="78" t="n">
        <f aca="false">SUMIFS('Employee Data'!$DJ:$DJ,'Employee Data'!$W:$W,$A:$A,'Employee Data'!$BA:$BA,"Yes")</f>
        <v>0</v>
      </c>
      <c r="P36" s="81" t="e">
        <f aca="false">Q36/F36</f>
        <v>#DIV/0!</v>
      </c>
      <c r="Q36" s="78" t="n">
        <f aca="false">SUMIFS('Employee Data'!$CU:$CU,'Employee Data'!$W:$W,$A:$A)</f>
        <v>0</v>
      </c>
      <c r="R36" s="81" t="e">
        <f aca="false">S36/F36</f>
        <v>#DIV/0!</v>
      </c>
      <c r="S36" s="78" t="n">
        <f aca="false">SUMIFS('Employee Data'!$CY:$CY,'Employee Data'!$W:$W,$A:$A)</f>
        <v>0</v>
      </c>
      <c r="T36" s="80" t="e">
        <f aca="false">U36/F36</f>
        <v>#DIV/0!</v>
      </c>
      <c r="U36" s="78" t="n">
        <f aca="false">SUMIFS('Employee Data'!$DL:$DL,'Employee Data'!$W:$W,$A:$A,'Employee Data'!$BA:$BA,"Yes")</f>
        <v>0</v>
      </c>
      <c r="V36" s="79" t="e">
        <f aca="false">W36/F36</f>
        <v>#DIV/0!</v>
      </c>
      <c r="W36" s="78" t="n">
        <f aca="false">SUMIFS('Employee Data'!$BN:$BN,'Employee Data'!$W:$W,$A:$A,'Employee Data'!$BA:$BA,"Yes")</f>
        <v>0</v>
      </c>
      <c r="X36" s="78" t="n">
        <f aca="false">SUMIFS('Employee Data'!$BO:$BO,'Employee Data'!$W:$W,$A:$A,'Employee Data'!$BA:$BA,"Yes")</f>
        <v>0</v>
      </c>
      <c r="Y36" s="78" t="n">
        <f aca="false">SUMIFS('Employee Data'!$BV:$BV,'Employee Data'!$W:$W,$A:$A,'Employee Data'!$BA:$BA,"Yes")</f>
        <v>0</v>
      </c>
      <c r="Z36" s="82"/>
      <c r="AA36" s="82"/>
      <c r="AB36" s="82"/>
      <c r="AC36" s="82"/>
      <c r="AD36" s="82"/>
      <c r="AE36" s="82"/>
      <c r="AF36" s="82"/>
    </row>
    <row r="37" s="75" customFormat="true" ht="15.75" hidden="true" customHeight="false" outlineLevel="1" collapsed="false">
      <c r="A37" s="68" t="s">
        <v>74</v>
      </c>
      <c r="B37" s="69" t="n">
        <f aca="false">COUNTIFS('Employee Data'!$V:$V,$A:$A)</f>
        <v>0</v>
      </c>
      <c r="C37" s="69" t="n">
        <f aca="false">COUNTIFS('Employee Data'!$V:$V,$A:$A,'Employee Data'!$BA:$BA,"Yes")</f>
        <v>0</v>
      </c>
      <c r="D37" s="70" t="n">
        <f aca="false">SUMIFS('Employee Data'!$AP:$AP,'Employee Data'!$V:$V,$A:$A)</f>
        <v>0</v>
      </c>
      <c r="E37" s="70" t="n">
        <f aca="false">SUMIFS('Employee Data'!$AQ:$AQ,'Employee Data'!$V:$V,$A:$A)</f>
        <v>0</v>
      </c>
      <c r="F37" s="70" t="n">
        <f aca="false">SUMIFS('Employee Data'!$AR:$AR,'Employee Data'!$V:$V,$A:$A)</f>
        <v>0</v>
      </c>
      <c r="G37" s="71" t="e">
        <f aca="false">H37/F37</f>
        <v>#DIV/0!</v>
      </c>
      <c r="H37" s="70" t="n">
        <f aca="false">SUMIFS('Employee Data'!$CQ:$CQ,'Employee Data'!$V:$V,$A:$A)</f>
        <v>0</v>
      </c>
      <c r="I37" s="70" t="n">
        <f aca="false">SUMIFS('Employee Data'!$CS:$CS,'Employee Data'!$V:$V,$A:$A)</f>
        <v>0</v>
      </c>
      <c r="J37" s="70" t="n">
        <f aca="false">SUMIFS('Employee Data'!$CW:$CW,'Employee Data'!$V:$V,$A:$A)</f>
        <v>0</v>
      </c>
      <c r="K37" s="70" t="n">
        <f aca="false">SUMIFS('Employee Data'!$BF:$BF,'Employee Data'!$V:$V,$A:$A,'Employee Data'!$BA:$BA,"Yes")</f>
        <v>0</v>
      </c>
      <c r="L37" s="70" t="n">
        <f aca="false">SUMIFS('Employee Data'!$BH:$BH,'Employee Data'!$V:$V,$A:$A)</f>
        <v>0</v>
      </c>
      <c r="M37" s="70" t="n">
        <f aca="false">SUMIFS('Employee Data'!$BJ:$BJ,'Employee Data'!$V:$V,$A:$A)</f>
        <v>0</v>
      </c>
      <c r="N37" s="72" t="e">
        <f aca="false">O37/F37</f>
        <v>#DIV/0!</v>
      </c>
      <c r="O37" s="70" t="n">
        <f aca="false">SUMIFS('Employee Data'!$DJ:$DJ,'Employee Data'!$V:$V,$A:$A)</f>
        <v>0</v>
      </c>
      <c r="P37" s="73" t="e">
        <f aca="false">Q37/F37</f>
        <v>#DIV/0!</v>
      </c>
      <c r="Q37" s="70" t="n">
        <f aca="false">SUMIFS('Employee Data'!$CU:$CU,'Employee Data'!$V:$V,$A:$A)</f>
        <v>0</v>
      </c>
      <c r="R37" s="73" t="e">
        <f aca="false">S37/F37</f>
        <v>#DIV/0!</v>
      </c>
      <c r="S37" s="70" t="n">
        <f aca="false">SUMIFS('Employee Data'!$CY:$CY,'Employee Data'!$V:$V,$A:$A)</f>
        <v>0</v>
      </c>
      <c r="T37" s="72" t="e">
        <f aca="false">U37/F37</f>
        <v>#DIV/0!</v>
      </c>
      <c r="U37" s="70" t="n">
        <f aca="false">SUMIFS('Employee Data'!$DL:$DL,'Employee Data'!$V:$V,$A:$A)</f>
        <v>0</v>
      </c>
      <c r="V37" s="71" t="e">
        <f aca="false">W37/F37</f>
        <v>#DIV/0!</v>
      </c>
      <c r="W37" s="70" t="n">
        <f aca="false">SUMIFS('Employee Data'!$BN:$BN,'Employee Data'!$V:$V,$A:$A)</f>
        <v>0</v>
      </c>
      <c r="X37" s="70" t="n">
        <f aca="false">SUMIFS('Employee Data'!$BO:$BO,'Employee Data'!$V:$V,$A:$A)</f>
        <v>0</v>
      </c>
      <c r="Y37" s="70" t="n">
        <f aca="false">SUMIFS('Employee Data'!$BV:$BV,'Employee Data'!$V:$V,$A:$A)</f>
        <v>0</v>
      </c>
      <c r="Z37" s="74"/>
      <c r="AA37" s="74"/>
      <c r="AB37" s="74"/>
      <c r="AC37" s="74"/>
      <c r="AD37" s="74"/>
      <c r="AE37" s="74"/>
      <c r="AF37" s="74"/>
    </row>
    <row r="38" s="83" customFormat="true" ht="12.75" hidden="true" customHeight="false" outlineLevel="1" collapsed="false">
      <c r="A38" s="76" t="s">
        <v>75</v>
      </c>
      <c r="B38" s="77" t="n">
        <f aca="false">COUNTIFS('Employee Data'!$W:$W,$A:$A)</f>
        <v>0</v>
      </c>
      <c r="C38" s="77" t="n">
        <f aca="false">COUNTIFS('Employee Data'!$W:$W,$A:$A,'Employee Data'!$BA:$BA,"Yes")</f>
        <v>0</v>
      </c>
      <c r="D38" s="78" t="n">
        <f aca="false">SUMIFS('Employee Data'!$AP:$AP,'Employee Data'!$W:$W,$A:$A)</f>
        <v>0</v>
      </c>
      <c r="E38" s="78" t="n">
        <f aca="false">SUMIFS('Employee Data'!$AQ:$AQ,'Employee Data'!$W:$W,$A:$A)</f>
        <v>0</v>
      </c>
      <c r="F38" s="78" t="n">
        <f aca="false">SUMIFS('Employee Data'!$AR:$AR,'Employee Data'!$W:$W,$A:$A)</f>
        <v>0</v>
      </c>
      <c r="G38" s="79" t="e">
        <f aca="false">H38/F38</f>
        <v>#DIV/0!</v>
      </c>
      <c r="H38" s="78" t="n">
        <f aca="false">SUMIFS('Employee Data'!$CQ:$CQ,'Employee Data'!$W:$W,$A:$A)</f>
        <v>0</v>
      </c>
      <c r="I38" s="78" t="n">
        <f aca="false">SUMIFS('Employee Data'!$CS:$CS,'Employee Data'!$W:$W,$A:$A)</f>
        <v>0</v>
      </c>
      <c r="J38" s="78" t="n">
        <f aca="false">SUMIFS('Employee Data'!$CW:$CW,'Employee Data'!$W:$W,$A:$A)</f>
        <v>0</v>
      </c>
      <c r="K38" s="78" t="n">
        <f aca="false">SUMIFS('Employee Data'!$BF:$BF,'Employee Data'!$W:$W,$A:$A)</f>
        <v>0</v>
      </c>
      <c r="L38" s="78" t="n">
        <f aca="false">SUMIFS('Employee Data'!$BH:$BH,'Employee Data'!$W:$W,$A:$A)</f>
        <v>0</v>
      </c>
      <c r="M38" s="78" t="n">
        <f aca="false">SUMIFS('Employee Data'!$BJ:$BJ,'Employee Data'!$W:$W,$A:$A)</f>
        <v>0</v>
      </c>
      <c r="N38" s="80" t="e">
        <f aca="false">O38/F38</f>
        <v>#DIV/0!</v>
      </c>
      <c r="O38" s="78" t="n">
        <f aca="false">SUMIFS('Employee Data'!$DJ:$DJ,'Employee Data'!$W:$W,$A:$A)</f>
        <v>0</v>
      </c>
      <c r="P38" s="81" t="e">
        <f aca="false">Q38/F38</f>
        <v>#DIV/0!</v>
      </c>
      <c r="Q38" s="78" t="n">
        <f aca="false">SUMIFS('Employee Data'!$CU:$CU,'Employee Data'!$W:$W,$A:$A)</f>
        <v>0</v>
      </c>
      <c r="R38" s="81" t="e">
        <f aca="false">S38/F38</f>
        <v>#DIV/0!</v>
      </c>
      <c r="S38" s="78" t="n">
        <f aca="false">SUMIFS('Employee Data'!$CY:$CY,'Employee Data'!$W:$W,$A:$A)</f>
        <v>0</v>
      </c>
      <c r="T38" s="80" t="e">
        <f aca="false">U38/F38</f>
        <v>#DIV/0!</v>
      </c>
      <c r="U38" s="78" t="n">
        <f aca="false">SUMIFS('Employee Data'!$DL:$DL,'Employee Data'!$W:$W,$A:$A)</f>
        <v>0</v>
      </c>
      <c r="V38" s="79" t="e">
        <f aca="false">W38/F38</f>
        <v>#DIV/0!</v>
      </c>
      <c r="W38" s="78" t="n">
        <f aca="false">SUMIFS('Employee Data'!$BN:$BN,'Employee Data'!$W:$W,$A:$A)</f>
        <v>0</v>
      </c>
      <c r="X38" s="78" t="n">
        <f aca="false">SUMIFS('Employee Data'!$BO:$BO,'Employee Data'!$W:$W,$A:$A)</f>
        <v>0</v>
      </c>
      <c r="Y38" s="78" t="n">
        <f aca="false">SUMIFS('Employee Data'!$BV:$BV,'Employee Data'!$W:$W,$A:$A)</f>
        <v>0</v>
      </c>
      <c r="Z38" s="82"/>
      <c r="AA38" s="82"/>
      <c r="AB38" s="82"/>
      <c r="AC38" s="82"/>
      <c r="AD38" s="82"/>
      <c r="AE38" s="82"/>
      <c r="AF38" s="82"/>
    </row>
    <row r="39" s="83" customFormat="true" ht="12.75" hidden="true" customHeight="false" outlineLevel="1" collapsed="false">
      <c r="A39" s="76" t="s">
        <v>76</v>
      </c>
      <c r="B39" s="77" t="n">
        <f aca="false">COUNTIFS('Employee Data'!$W:$W,$A:$A)</f>
        <v>0</v>
      </c>
      <c r="C39" s="77" t="n">
        <f aca="false">COUNTIFS('Employee Data'!$W:$W,$A:$A,'Employee Data'!$BA:$BA,"Yes")</f>
        <v>0</v>
      </c>
      <c r="D39" s="78" t="n">
        <f aca="false">SUMIFS('Employee Data'!$AP:$AP,'Employee Data'!$W:$W,$A:$A)</f>
        <v>0</v>
      </c>
      <c r="E39" s="78" t="n">
        <f aca="false">SUMIFS('Employee Data'!$AQ:$AQ,'Employee Data'!$W:$W,$A:$A)</f>
        <v>0</v>
      </c>
      <c r="F39" s="78" t="n">
        <f aca="false">SUMIFS('Employee Data'!$AR:$AR,'Employee Data'!$W:$W,$A:$A)</f>
        <v>0</v>
      </c>
      <c r="G39" s="79" t="e">
        <f aca="false">H39/F39</f>
        <v>#DIV/0!</v>
      </c>
      <c r="H39" s="78" t="n">
        <f aca="false">SUMIFS('Employee Data'!$CQ:$CQ,'Employee Data'!$W:$W,$A:$A)</f>
        <v>0</v>
      </c>
      <c r="I39" s="78" t="n">
        <f aca="false">SUMIFS('Employee Data'!$CS:$CS,'Employee Data'!$W:$W,$A:$A)</f>
        <v>0</v>
      </c>
      <c r="J39" s="78" t="n">
        <f aca="false">SUMIFS('Employee Data'!$CW:$CW,'Employee Data'!$W:$W,$A:$A)</f>
        <v>0</v>
      </c>
      <c r="K39" s="78" t="n">
        <f aca="false">SUMIFS('Employee Data'!$BF:$BF,'Employee Data'!$W:$W,$A:$A)</f>
        <v>0</v>
      </c>
      <c r="L39" s="78" t="n">
        <f aca="false">SUMIFS('Employee Data'!$BH:$BH,'Employee Data'!$W:$W,$A:$A)</f>
        <v>0</v>
      </c>
      <c r="M39" s="78" t="n">
        <f aca="false">SUMIFS('Employee Data'!$BJ:$BJ,'Employee Data'!$W:$W,$A:$A)</f>
        <v>0</v>
      </c>
      <c r="N39" s="80" t="e">
        <f aca="false">O39/F39</f>
        <v>#DIV/0!</v>
      </c>
      <c r="O39" s="78" t="n">
        <f aca="false">SUMIFS('Employee Data'!$DJ:$DJ,'Employee Data'!$W:$W,$A:$A)</f>
        <v>0</v>
      </c>
      <c r="P39" s="81" t="e">
        <f aca="false">Q39/F39</f>
        <v>#DIV/0!</v>
      </c>
      <c r="Q39" s="78" t="n">
        <f aca="false">SUMIFS('Employee Data'!$CU:$CU,'Employee Data'!$W:$W,$A:$A)</f>
        <v>0</v>
      </c>
      <c r="R39" s="81" t="e">
        <f aca="false">S39/F39</f>
        <v>#DIV/0!</v>
      </c>
      <c r="S39" s="78" t="n">
        <f aca="false">SUMIFS('Employee Data'!$CY:$CY,'Employee Data'!$W:$W,$A:$A)</f>
        <v>0</v>
      </c>
      <c r="T39" s="80" t="e">
        <f aca="false">U39/F39</f>
        <v>#DIV/0!</v>
      </c>
      <c r="U39" s="78" t="n">
        <f aca="false">SUMIFS('Employee Data'!$DL:$DL,'Employee Data'!$W:$W,$A:$A)</f>
        <v>0</v>
      </c>
      <c r="V39" s="79" t="e">
        <f aca="false">W39/F39</f>
        <v>#DIV/0!</v>
      </c>
      <c r="W39" s="78" t="n">
        <f aca="false">SUMIFS('Employee Data'!$BN:$BN,'Employee Data'!$W:$W,$A:$A)</f>
        <v>0</v>
      </c>
      <c r="X39" s="78" t="n">
        <f aca="false">SUMIFS('Employee Data'!$BO:$BO,'Employee Data'!$W:$W,$A:$A)</f>
        <v>0</v>
      </c>
      <c r="Y39" s="78" t="n">
        <f aca="false">SUMIFS('Employee Data'!$BV:$BV,'Employee Data'!$W:$W,$A:$A)</f>
        <v>0</v>
      </c>
      <c r="Z39" s="82"/>
      <c r="AA39" s="82"/>
      <c r="AB39" s="82"/>
      <c r="AC39" s="82"/>
      <c r="AD39" s="82"/>
      <c r="AE39" s="82"/>
      <c r="AF39" s="82"/>
    </row>
    <row r="40" s="83" customFormat="true" ht="12.75" hidden="true" customHeight="false" outlineLevel="1" collapsed="false">
      <c r="A40" s="76" t="s">
        <v>77</v>
      </c>
      <c r="B40" s="77" t="n">
        <f aca="false">COUNTIFS('Employee Data'!$W:$W,$A:$A)</f>
        <v>0</v>
      </c>
      <c r="C40" s="77" t="n">
        <f aca="false">COUNTIFS('Employee Data'!$W:$W,$A:$A,'Employee Data'!$BA:$BA,"Yes")</f>
        <v>0</v>
      </c>
      <c r="D40" s="78" t="n">
        <f aca="false">SUMIFS('Employee Data'!$AP:$AP,'Employee Data'!$W:$W,$A:$A)</f>
        <v>0</v>
      </c>
      <c r="E40" s="78" t="n">
        <f aca="false">SUMIFS('Employee Data'!$AQ:$AQ,'Employee Data'!$W:$W,$A:$A)</f>
        <v>0</v>
      </c>
      <c r="F40" s="78" t="n">
        <f aca="false">SUMIFS('Employee Data'!$AR:$AR,'Employee Data'!$W:$W,$A:$A)</f>
        <v>0</v>
      </c>
      <c r="G40" s="79" t="e">
        <f aca="false">H40/F40</f>
        <v>#DIV/0!</v>
      </c>
      <c r="H40" s="78" t="n">
        <f aca="false">SUMIFS('Employee Data'!$CQ:$CQ,'Employee Data'!$W:$W,$A:$A)</f>
        <v>0</v>
      </c>
      <c r="I40" s="78" t="n">
        <f aca="false">SUMIFS('Employee Data'!$CS:$CS,'Employee Data'!$W:$W,$A:$A)</f>
        <v>0</v>
      </c>
      <c r="J40" s="78" t="n">
        <f aca="false">SUMIFS('Employee Data'!$CW:$CW,'Employee Data'!$W:$W,$A:$A)</f>
        <v>0</v>
      </c>
      <c r="K40" s="78" t="n">
        <f aca="false">SUMIFS('Employee Data'!$BF:$BF,'Employee Data'!$W:$W,$A:$A)</f>
        <v>0</v>
      </c>
      <c r="L40" s="78" t="n">
        <f aca="false">SUMIFS('Employee Data'!$BH:$BH,'Employee Data'!$W:$W,$A:$A)</f>
        <v>0</v>
      </c>
      <c r="M40" s="78" t="n">
        <f aca="false">SUMIFS('Employee Data'!$BJ:$BJ,'Employee Data'!$W:$W,$A:$A)</f>
        <v>0</v>
      </c>
      <c r="N40" s="80" t="e">
        <f aca="false">O40/F40</f>
        <v>#DIV/0!</v>
      </c>
      <c r="O40" s="78" t="n">
        <f aca="false">SUMIFS('Employee Data'!$DJ:$DJ,'Employee Data'!$W:$W,$A:$A)</f>
        <v>0</v>
      </c>
      <c r="P40" s="81" t="e">
        <f aca="false">Q40/F40</f>
        <v>#DIV/0!</v>
      </c>
      <c r="Q40" s="78" t="n">
        <f aca="false">SUMIFS('Employee Data'!$CU:$CU,'Employee Data'!$W:$W,$A:$A)</f>
        <v>0</v>
      </c>
      <c r="R40" s="81" t="e">
        <f aca="false">S40/F40</f>
        <v>#DIV/0!</v>
      </c>
      <c r="S40" s="78" t="n">
        <f aca="false">SUMIFS('Employee Data'!$CY:$CY,'Employee Data'!$W:$W,$A:$A)</f>
        <v>0</v>
      </c>
      <c r="T40" s="80" t="e">
        <f aca="false">U40/F40</f>
        <v>#DIV/0!</v>
      </c>
      <c r="U40" s="78" t="n">
        <f aca="false">SUMIFS('Employee Data'!$DL:$DL,'Employee Data'!$W:$W,$A:$A)</f>
        <v>0</v>
      </c>
      <c r="V40" s="79" t="e">
        <f aca="false">W40/F40</f>
        <v>#DIV/0!</v>
      </c>
      <c r="W40" s="78" t="n">
        <f aca="false">SUMIFS('Employee Data'!$BN:$BN,'Employee Data'!$W:$W,$A:$A)</f>
        <v>0</v>
      </c>
      <c r="X40" s="78" t="n">
        <f aca="false">SUMIFS('Employee Data'!$BO:$BO,'Employee Data'!$W:$W,$A:$A)</f>
        <v>0</v>
      </c>
      <c r="Y40" s="78" t="n">
        <f aca="false">SUMIFS('Employee Data'!$BV:$BV,'Employee Data'!$W:$W,$A:$A)</f>
        <v>0</v>
      </c>
      <c r="Z40" s="82"/>
      <c r="AA40" s="82"/>
      <c r="AB40" s="82"/>
      <c r="AC40" s="82"/>
      <c r="AD40" s="82"/>
      <c r="AE40" s="82"/>
      <c r="AF40" s="82"/>
    </row>
    <row r="41" s="83" customFormat="true" ht="12.75" hidden="true" customHeight="false" outlineLevel="1" collapsed="false">
      <c r="A41" s="76" t="s">
        <v>78</v>
      </c>
      <c r="B41" s="77" t="n">
        <f aca="false">COUNTIFS('Employee Data'!$W:$W,$A:$A)</f>
        <v>0</v>
      </c>
      <c r="C41" s="77" t="n">
        <f aca="false">COUNTIFS('Employee Data'!$W:$W,$A:$A,'Employee Data'!$BA:$BA,"Yes")</f>
        <v>0</v>
      </c>
      <c r="D41" s="78" t="n">
        <f aca="false">SUMIFS('Employee Data'!$AP:$AP,'Employee Data'!$W:$W,$A:$A)</f>
        <v>0</v>
      </c>
      <c r="E41" s="78" t="n">
        <f aca="false">SUMIFS('Employee Data'!$AQ:$AQ,'Employee Data'!$W:$W,$A:$A)</f>
        <v>0</v>
      </c>
      <c r="F41" s="78" t="n">
        <f aca="false">SUMIFS('Employee Data'!$AR:$AR,'Employee Data'!$W:$W,$A:$A)</f>
        <v>0</v>
      </c>
      <c r="G41" s="79" t="e">
        <f aca="false">H41/F41</f>
        <v>#DIV/0!</v>
      </c>
      <c r="H41" s="78" t="n">
        <f aca="false">SUMIFS('Employee Data'!$CQ:$CQ,'Employee Data'!$W:$W,$A:$A)</f>
        <v>0</v>
      </c>
      <c r="I41" s="78" t="n">
        <f aca="false">SUMIFS('Employee Data'!$CS:$CS,'Employee Data'!$W:$W,$A:$A)</f>
        <v>0</v>
      </c>
      <c r="J41" s="78" t="n">
        <f aca="false">SUMIFS('Employee Data'!$CW:$CW,'Employee Data'!$W:$W,$A:$A)</f>
        <v>0</v>
      </c>
      <c r="K41" s="78" t="n">
        <f aca="false">SUMIFS('Employee Data'!$BF:$BF,'Employee Data'!$W:$W,$A:$A)</f>
        <v>0</v>
      </c>
      <c r="L41" s="78" t="n">
        <f aca="false">SUMIFS('Employee Data'!$BH:$BH,'Employee Data'!$W:$W,$A:$A)</f>
        <v>0</v>
      </c>
      <c r="M41" s="78" t="n">
        <f aca="false">SUMIFS('Employee Data'!$BJ:$BJ,'Employee Data'!$W:$W,$A:$A)</f>
        <v>0</v>
      </c>
      <c r="N41" s="80" t="e">
        <f aca="false">O41/F41</f>
        <v>#DIV/0!</v>
      </c>
      <c r="O41" s="78" t="n">
        <f aca="false">SUMIFS('Employee Data'!$DJ:$DJ,'Employee Data'!$W:$W,$A:$A)</f>
        <v>0</v>
      </c>
      <c r="P41" s="81" t="e">
        <f aca="false">Q41/F41</f>
        <v>#DIV/0!</v>
      </c>
      <c r="Q41" s="78" t="n">
        <f aca="false">SUMIFS('Employee Data'!$CU:$CU,'Employee Data'!$W:$W,$A:$A)</f>
        <v>0</v>
      </c>
      <c r="R41" s="81" t="e">
        <f aca="false">S41/F41</f>
        <v>#DIV/0!</v>
      </c>
      <c r="S41" s="78" t="n">
        <f aca="false">SUMIFS('Employee Data'!$CY:$CY,'Employee Data'!$W:$W,$A:$A)</f>
        <v>0</v>
      </c>
      <c r="T41" s="80" t="e">
        <f aca="false">U41/F41</f>
        <v>#DIV/0!</v>
      </c>
      <c r="U41" s="78" t="n">
        <f aca="false">SUMIFS('Employee Data'!$DL:$DL,'Employee Data'!$W:$W,$A:$A)</f>
        <v>0</v>
      </c>
      <c r="V41" s="79" t="e">
        <f aca="false">W41/F41</f>
        <v>#DIV/0!</v>
      </c>
      <c r="W41" s="78" t="n">
        <f aca="false">SUMIFS('Employee Data'!$BN:$BN,'Employee Data'!$W:$W,$A:$A)</f>
        <v>0</v>
      </c>
      <c r="X41" s="78" t="n">
        <f aca="false">SUMIFS('Employee Data'!$BO:$BO,'Employee Data'!$W:$W,$A:$A)</f>
        <v>0</v>
      </c>
      <c r="Y41" s="78" t="n">
        <f aca="false">SUMIFS('Employee Data'!$BV:$BV,'Employee Data'!$W:$W,$A:$A)</f>
        <v>0</v>
      </c>
      <c r="Z41" s="82"/>
      <c r="AA41" s="82"/>
      <c r="AB41" s="82"/>
      <c r="AC41" s="82"/>
      <c r="AD41" s="82"/>
      <c r="AE41" s="82"/>
      <c r="AF41" s="82"/>
    </row>
    <row r="42" s="83" customFormat="true" ht="12.75" hidden="true" customHeight="false" outlineLevel="1" collapsed="false">
      <c r="A42" s="76" t="s">
        <v>79</v>
      </c>
      <c r="B42" s="77" t="n">
        <f aca="false">COUNTIFS('Employee Data'!$W:$W,$A:$A)</f>
        <v>0</v>
      </c>
      <c r="C42" s="77" t="n">
        <f aca="false">COUNTIFS('Employee Data'!$W:$W,$A:$A,'Employee Data'!$BA:$BA,"Yes")</f>
        <v>0</v>
      </c>
      <c r="D42" s="78" t="n">
        <f aca="false">SUMIFS('Employee Data'!$AP:$AP,'Employee Data'!$W:$W,$A:$A)</f>
        <v>0</v>
      </c>
      <c r="E42" s="78" t="n">
        <f aca="false">SUMIFS('Employee Data'!$AQ:$AQ,'Employee Data'!$W:$W,$A:$A)</f>
        <v>0</v>
      </c>
      <c r="F42" s="78" t="n">
        <f aca="false">SUMIFS('Employee Data'!$AR:$AR,'Employee Data'!$W:$W,$A:$A)</f>
        <v>0</v>
      </c>
      <c r="G42" s="79" t="e">
        <f aca="false">H42/F42</f>
        <v>#DIV/0!</v>
      </c>
      <c r="H42" s="78" t="n">
        <f aca="false">SUMIFS('Employee Data'!$CQ:$CQ,'Employee Data'!$W:$W,$A:$A)</f>
        <v>0</v>
      </c>
      <c r="I42" s="78" t="n">
        <f aca="false">SUMIFS('Employee Data'!$CS:$CS,'Employee Data'!$W:$W,$A:$A)</f>
        <v>0</v>
      </c>
      <c r="J42" s="78" t="n">
        <f aca="false">SUMIFS('Employee Data'!$CW:$CW,'Employee Data'!$W:$W,$A:$A)</f>
        <v>0</v>
      </c>
      <c r="K42" s="78" t="n">
        <f aca="false">SUMIFS('Employee Data'!$BF:$BF,'Employee Data'!$W:$W,$A:$A)</f>
        <v>0</v>
      </c>
      <c r="L42" s="78" t="n">
        <f aca="false">SUMIFS('Employee Data'!$BH:$BH,'Employee Data'!$W:$W,$A:$A)</f>
        <v>0</v>
      </c>
      <c r="M42" s="78" t="n">
        <f aca="false">SUMIFS('Employee Data'!$BJ:$BJ,'Employee Data'!$W:$W,$A:$A)</f>
        <v>0</v>
      </c>
      <c r="N42" s="80" t="e">
        <f aca="false">O42/F42</f>
        <v>#DIV/0!</v>
      </c>
      <c r="O42" s="78" t="n">
        <f aca="false">SUMIFS('Employee Data'!$DJ:$DJ,'Employee Data'!$W:$W,$A:$A)</f>
        <v>0</v>
      </c>
      <c r="P42" s="81" t="e">
        <f aca="false">Q42/F42</f>
        <v>#DIV/0!</v>
      </c>
      <c r="Q42" s="78" t="n">
        <f aca="false">SUMIFS('Employee Data'!$CU:$CU,'Employee Data'!$W:$W,$A:$A)</f>
        <v>0</v>
      </c>
      <c r="R42" s="81" t="e">
        <f aca="false">S42/F42</f>
        <v>#DIV/0!</v>
      </c>
      <c r="S42" s="78" t="n">
        <f aca="false">SUMIFS('Employee Data'!$CY:$CY,'Employee Data'!$W:$W,$A:$A)</f>
        <v>0</v>
      </c>
      <c r="T42" s="80" t="e">
        <f aca="false">U42/F42</f>
        <v>#DIV/0!</v>
      </c>
      <c r="U42" s="78" t="n">
        <f aca="false">SUMIFS('Employee Data'!$DL:$DL,'Employee Data'!$W:$W,$A:$A)</f>
        <v>0</v>
      </c>
      <c r="V42" s="79" t="e">
        <f aca="false">W42/F42</f>
        <v>#DIV/0!</v>
      </c>
      <c r="W42" s="78" t="n">
        <f aca="false">SUMIFS('Employee Data'!$BN:$BN,'Employee Data'!$W:$W,$A:$A)</f>
        <v>0</v>
      </c>
      <c r="X42" s="78" t="n">
        <f aca="false">SUMIFS('Employee Data'!$BO:$BO,'Employee Data'!$W:$W,$A:$A)</f>
        <v>0</v>
      </c>
      <c r="Y42" s="78" t="n">
        <f aca="false">SUMIFS('Employee Data'!$BV:$BV,'Employee Data'!$W:$W,$A:$A)</f>
        <v>0</v>
      </c>
      <c r="Z42" s="82"/>
      <c r="AA42" s="82"/>
      <c r="AB42" s="82"/>
      <c r="AC42" s="82"/>
      <c r="AD42" s="82"/>
      <c r="AE42" s="82"/>
      <c r="AF42" s="82"/>
    </row>
    <row r="43" s="83" customFormat="true" ht="12.75" hidden="true" customHeight="false" outlineLevel="1" collapsed="false">
      <c r="A43" s="76" t="s">
        <v>80</v>
      </c>
      <c r="B43" s="77" t="n">
        <f aca="false">COUNTIFS('Employee Data'!$W:$W,$A:$A)</f>
        <v>0</v>
      </c>
      <c r="C43" s="77" t="n">
        <f aca="false">COUNTIFS('Employee Data'!$W:$W,$A:$A,'Employee Data'!$BA:$BA,"Yes")</f>
        <v>0</v>
      </c>
      <c r="D43" s="78" t="n">
        <f aca="false">SUMIFS('Employee Data'!$AP:$AP,'Employee Data'!$W:$W,$A:$A)</f>
        <v>0</v>
      </c>
      <c r="E43" s="78" t="n">
        <f aca="false">SUMIFS('Employee Data'!$AQ:$AQ,'Employee Data'!$W:$W,$A:$A)</f>
        <v>0</v>
      </c>
      <c r="F43" s="78" t="n">
        <f aca="false">SUMIFS('Employee Data'!$AR:$AR,'Employee Data'!$W:$W,$A:$A)</f>
        <v>0</v>
      </c>
      <c r="G43" s="79" t="e">
        <f aca="false">H43/F43</f>
        <v>#DIV/0!</v>
      </c>
      <c r="H43" s="78" t="n">
        <f aca="false">SUMIFS('Employee Data'!$CQ:$CQ,'Employee Data'!$W:$W,$A:$A)</f>
        <v>0</v>
      </c>
      <c r="I43" s="78" t="n">
        <f aca="false">SUMIFS('Employee Data'!$CS:$CS,'Employee Data'!$W:$W,$A:$A)</f>
        <v>0</v>
      </c>
      <c r="J43" s="78" t="n">
        <f aca="false">SUMIFS('Employee Data'!$CW:$CW,'Employee Data'!$W:$W,$A:$A)</f>
        <v>0</v>
      </c>
      <c r="K43" s="78" t="n">
        <f aca="false">SUMIFS('Employee Data'!$BF:$BF,'Employee Data'!$W:$W,$A:$A)</f>
        <v>0</v>
      </c>
      <c r="L43" s="78" t="n">
        <f aca="false">SUMIFS('Employee Data'!$BH:$BH,'Employee Data'!$W:$W,$A:$A)</f>
        <v>0</v>
      </c>
      <c r="M43" s="78" t="n">
        <f aca="false">SUMIFS('Employee Data'!$BJ:$BJ,'Employee Data'!$W:$W,$A:$A)</f>
        <v>0</v>
      </c>
      <c r="N43" s="80" t="e">
        <f aca="false">O43/F43</f>
        <v>#DIV/0!</v>
      </c>
      <c r="O43" s="78" t="n">
        <f aca="false">SUMIFS('Employee Data'!$DJ:$DJ,'Employee Data'!$W:$W,$A:$A)</f>
        <v>0</v>
      </c>
      <c r="P43" s="81" t="e">
        <f aca="false">Q43/F43</f>
        <v>#DIV/0!</v>
      </c>
      <c r="Q43" s="78" t="n">
        <f aca="false">SUMIFS('Employee Data'!$CU:$CU,'Employee Data'!$W:$W,$A:$A)</f>
        <v>0</v>
      </c>
      <c r="R43" s="81" t="e">
        <f aca="false">S43/F43</f>
        <v>#DIV/0!</v>
      </c>
      <c r="S43" s="78" t="n">
        <f aca="false">SUMIFS('Employee Data'!$CY:$CY,'Employee Data'!$W:$W,$A:$A)</f>
        <v>0</v>
      </c>
      <c r="T43" s="80" t="e">
        <f aca="false">U43/F43</f>
        <v>#DIV/0!</v>
      </c>
      <c r="U43" s="78" t="n">
        <f aca="false">SUMIFS('Employee Data'!$DL:$DL,'Employee Data'!$W:$W,$A:$A)</f>
        <v>0</v>
      </c>
      <c r="V43" s="79" t="e">
        <f aca="false">W43/F43</f>
        <v>#DIV/0!</v>
      </c>
      <c r="W43" s="78" t="n">
        <f aca="false">SUMIFS('Employee Data'!$BN:$BN,'Employee Data'!$W:$W,$A:$A)</f>
        <v>0</v>
      </c>
      <c r="X43" s="78" t="n">
        <f aca="false">SUMIFS('Employee Data'!$BO:$BO,'Employee Data'!$W:$W,$A:$A)</f>
        <v>0</v>
      </c>
      <c r="Y43" s="78" t="n">
        <f aca="false">SUMIFS('Employee Data'!$BV:$BV,'Employee Data'!$W:$W,$A:$A)</f>
        <v>0</v>
      </c>
      <c r="Z43" s="82"/>
      <c r="AA43" s="82"/>
      <c r="AB43" s="82"/>
      <c r="AC43" s="82"/>
      <c r="AD43" s="82"/>
      <c r="AE43" s="82"/>
      <c r="AF43" s="82"/>
    </row>
    <row r="44" s="83" customFormat="true" ht="12.75" hidden="true" customHeight="false" outlineLevel="1" collapsed="false">
      <c r="A44" s="76" t="s">
        <v>81</v>
      </c>
      <c r="B44" s="77" t="n">
        <f aca="false">COUNTIFS('Employee Data'!$W:$W,$A:$A)</f>
        <v>0</v>
      </c>
      <c r="C44" s="77" t="n">
        <f aca="false">COUNTIFS('Employee Data'!$W:$W,$A:$A,'Employee Data'!$BA:$BA,"Yes")</f>
        <v>0</v>
      </c>
      <c r="D44" s="78" t="n">
        <f aca="false">SUMIFS('Employee Data'!$AP:$AP,'Employee Data'!$W:$W,$A:$A)</f>
        <v>0</v>
      </c>
      <c r="E44" s="78" t="n">
        <f aca="false">SUMIFS('Employee Data'!$AQ:$AQ,'Employee Data'!$W:$W,$A:$A)</f>
        <v>0</v>
      </c>
      <c r="F44" s="78" t="n">
        <f aca="false">SUMIFS('Employee Data'!$AR:$AR,'Employee Data'!$W:$W,$A:$A)</f>
        <v>0</v>
      </c>
      <c r="G44" s="79" t="e">
        <f aca="false">H44/F44</f>
        <v>#DIV/0!</v>
      </c>
      <c r="H44" s="78" t="n">
        <f aca="false">SUMIFS('Employee Data'!$CQ:$CQ,'Employee Data'!$W:$W,$A:$A)</f>
        <v>0</v>
      </c>
      <c r="I44" s="78" t="n">
        <f aca="false">SUMIFS('Employee Data'!$CS:$CS,'Employee Data'!$W:$W,$A:$A)</f>
        <v>0</v>
      </c>
      <c r="J44" s="78" t="n">
        <f aca="false">SUMIFS('Employee Data'!$CW:$CW,'Employee Data'!$W:$W,$A:$A)</f>
        <v>0</v>
      </c>
      <c r="K44" s="78" t="n">
        <f aca="false">SUMIFS('Employee Data'!$BF:$BF,'Employee Data'!$W:$W,$A:$A)</f>
        <v>0</v>
      </c>
      <c r="L44" s="78" t="n">
        <f aca="false">SUMIFS('Employee Data'!$BH:$BH,'Employee Data'!$W:$W,$A:$A)</f>
        <v>0</v>
      </c>
      <c r="M44" s="78" t="n">
        <f aca="false">SUMIFS('Employee Data'!$BJ:$BJ,'Employee Data'!$W:$W,$A:$A)</f>
        <v>0</v>
      </c>
      <c r="N44" s="80" t="e">
        <f aca="false">O44/F44</f>
        <v>#DIV/0!</v>
      </c>
      <c r="O44" s="78" t="n">
        <f aca="false">SUMIFS('Employee Data'!$DJ:$DJ,'Employee Data'!$W:$W,$A:$A)</f>
        <v>0</v>
      </c>
      <c r="P44" s="81" t="e">
        <f aca="false">Q44/F44</f>
        <v>#DIV/0!</v>
      </c>
      <c r="Q44" s="78" t="n">
        <f aca="false">SUMIFS('Employee Data'!$CU:$CU,'Employee Data'!$W:$W,$A:$A)</f>
        <v>0</v>
      </c>
      <c r="R44" s="81" t="e">
        <f aca="false">S44/F44</f>
        <v>#DIV/0!</v>
      </c>
      <c r="S44" s="78" t="n">
        <f aca="false">SUMIFS('Employee Data'!$CY:$CY,'Employee Data'!$W:$W,$A:$A)</f>
        <v>0</v>
      </c>
      <c r="T44" s="80" t="e">
        <f aca="false">U44/F44</f>
        <v>#DIV/0!</v>
      </c>
      <c r="U44" s="78" t="n">
        <f aca="false">SUMIFS('Employee Data'!$DL:$DL,'Employee Data'!$W:$W,$A:$A)</f>
        <v>0</v>
      </c>
      <c r="V44" s="79" t="e">
        <f aca="false">W44/F44</f>
        <v>#DIV/0!</v>
      </c>
      <c r="W44" s="78" t="n">
        <f aca="false">SUMIFS('Employee Data'!$BN:$BN,'Employee Data'!$W:$W,$A:$A)</f>
        <v>0</v>
      </c>
      <c r="X44" s="78" t="n">
        <f aca="false">SUMIFS('Employee Data'!$BO:$BO,'Employee Data'!$W:$W,$A:$A)</f>
        <v>0</v>
      </c>
      <c r="Y44" s="78" t="n">
        <f aca="false">SUMIFS('Employee Data'!$BV:$BV,'Employee Data'!$W:$W,$A:$A)</f>
        <v>0</v>
      </c>
      <c r="Z44" s="82"/>
      <c r="AA44" s="82"/>
      <c r="AB44" s="82"/>
      <c r="AC44" s="82"/>
      <c r="AD44" s="82"/>
      <c r="AE44" s="82"/>
      <c r="AF44" s="82"/>
    </row>
    <row r="45" s="83" customFormat="true" ht="12.75" hidden="true" customHeight="false" outlineLevel="1" collapsed="false">
      <c r="A45" s="76" t="s">
        <v>82</v>
      </c>
      <c r="B45" s="77" t="n">
        <f aca="false">COUNTIFS('Employee Data'!$W:$W,$A:$A)</f>
        <v>0</v>
      </c>
      <c r="C45" s="77" t="n">
        <f aca="false">COUNTIFS('Employee Data'!$W:$W,$A:$A,'Employee Data'!$BA:$BA,"Yes")</f>
        <v>0</v>
      </c>
      <c r="D45" s="78" t="n">
        <f aca="false">SUMIFS('Employee Data'!$AP:$AP,'Employee Data'!$W:$W,$A:$A)</f>
        <v>0</v>
      </c>
      <c r="E45" s="78" t="n">
        <f aca="false">SUMIFS('Employee Data'!$AQ:$AQ,'Employee Data'!$W:$W,$A:$A)</f>
        <v>0</v>
      </c>
      <c r="F45" s="78" t="n">
        <f aca="false">SUMIFS('Employee Data'!$AR:$AR,'Employee Data'!$W:$W,$A:$A)</f>
        <v>0</v>
      </c>
      <c r="G45" s="79" t="e">
        <f aca="false">H45/F45</f>
        <v>#DIV/0!</v>
      </c>
      <c r="H45" s="78" t="n">
        <f aca="false">SUMIFS('Employee Data'!$CQ:$CQ,'Employee Data'!$W:$W,$A:$A)</f>
        <v>0</v>
      </c>
      <c r="I45" s="78" t="n">
        <f aca="false">SUMIFS('Employee Data'!$CS:$CS,'Employee Data'!$W:$W,$A:$A)</f>
        <v>0</v>
      </c>
      <c r="J45" s="78" t="n">
        <f aca="false">SUMIFS('Employee Data'!$CW:$CW,'Employee Data'!$W:$W,$A:$A)</f>
        <v>0</v>
      </c>
      <c r="K45" s="78" t="n">
        <f aca="false">SUMIFS('Employee Data'!$BF:$BF,'Employee Data'!$W:$W,$A:$A)</f>
        <v>0</v>
      </c>
      <c r="L45" s="78" t="n">
        <f aca="false">SUMIFS('Employee Data'!$BH:$BH,'Employee Data'!$W:$W,$A:$A)</f>
        <v>0</v>
      </c>
      <c r="M45" s="78" t="n">
        <f aca="false">SUMIFS('Employee Data'!$BJ:$BJ,'Employee Data'!$W:$W,$A:$A)</f>
        <v>0</v>
      </c>
      <c r="N45" s="80" t="e">
        <f aca="false">O45/F45</f>
        <v>#DIV/0!</v>
      </c>
      <c r="O45" s="78" t="n">
        <f aca="false">SUMIFS('Employee Data'!$DJ:$DJ,'Employee Data'!$W:$W,$A:$A)</f>
        <v>0</v>
      </c>
      <c r="P45" s="81" t="e">
        <f aca="false">Q45/F45</f>
        <v>#DIV/0!</v>
      </c>
      <c r="Q45" s="78" t="n">
        <f aca="false">SUMIFS('Employee Data'!$CU:$CU,'Employee Data'!$W:$W,$A:$A)</f>
        <v>0</v>
      </c>
      <c r="R45" s="81" t="e">
        <f aca="false">S45/F45</f>
        <v>#DIV/0!</v>
      </c>
      <c r="S45" s="78" t="n">
        <f aca="false">SUMIFS('Employee Data'!$CY:$CY,'Employee Data'!$W:$W,$A:$A)</f>
        <v>0</v>
      </c>
      <c r="T45" s="80" t="e">
        <f aca="false">U45/F45</f>
        <v>#DIV/0!</v>
      </c>
      <c r="U45" s="78" t="n">
        <f aca="false">SUMIFS('Employee Data'!$DL:$DL,'Employee Data'!$W:$W,$A:$A)</f>
        <v>0</v>
      </c>
      <c r="V45" s="79" t="e">
        <f aca="false">W45/F45</f>
        <v>#DIV/0!</v>
      </c>
      <c r="W45" s="78" t="n">
        <f aca="false">SUMIFS('Employee Data'!$BN:$BN,'Employee Data'!$W:$W,$A:$A)</f>
        <v>0</v>
      </c>
      <c r="X45" s="78" t="n">
        <f aca="false">SUMIFS('Employee Data'!$BO:$BO,'Employee Data'!$W:$W,$A:$A)</f>
        <v>0</v>
      </c>
      <c r="Y45" s="78" t="n">
        <f aca="false">SUMIFS('Employee Data'!$BV:$BV,'Employee Data'!$W:$W,$A:$A)</f>
        <v>0</v>
      </c>
      <c r="Z45" s="82"/>
      <c r="AA45" s="82"/>
      <c r="AB45" s="82"/>
      <c r="AC45" s="82"/>
      <c r="AD45" s="82"/>
      <c r="AE45" s="82"/>
      <c r="AF45" s="82"/>
    </row>
    <row r="46" s="75" customFormat="true" ht="15.75" hidden="true" customHeight="false" outlineLevel="1" collapsed="false">
      <c r="A46" s="68" t="s">
        <v>83</v>
      </c>
      <c r="B46" s="69" t="n">
        <f aca="false">COUNTIFS('Employee Data'!$V:$V,$A:$A)</f>
        <v>0</v>
      </c>
      <c r="C46" s="69" t="n">
        <f aca="false">COUNTIFS('Employee Data'!$V:$V,$A:$A,'Employee Data'!$BA:$BA,"Yes")</f>
        <v>0</v>
      </c>
      <c r="D46" s="70" t="n">
        <f aca="false">SUMIFS('Employee Data'!$AP:$AP,'Employee Data'!$V:$V,$A:$A)</f>
        <v>0</v>
      </c>
      <c r="E46" s="70" t="n">
        <f aca="false">SUMIFS('Employee Data'!$AQ:$AQ,'Employee Data'!$V:$V,$A:$A)</f>
        <v>0</v>
      </c>
      <c r="F46" s="70" t="n">
        <f aca="false">SUMIFS('Employee Data'!$AR:$AR,'Employee Data'!$V:$V,$A:$A)</f>
        <v>0</v>
      </c>
      <c r="G46" s="71" t="e">
        <f aca="false">H46/F46</f>
        <v>#DIV/0!</v>
      </c>
      <c r="H46" s="70" t="n">
        <f aca="false">SUMIFS('Employee Data'!$CQ:$CQ,'Employee Data'!$V:$V,$A:$A)</f>
        <v>0</v>
      </c>
      <c r="I46" s="70" t="n">
        <f aca="false">SUMIFS('Employee Data'!$CS:$CS,'Employee Data'!$V:$V,$A:$A)</f>
        <v>0</v>
      </c>
      <c r="J46" s="70" t="n">
        <f aca="false">SUMIFS('Employee Data'!$CW:$CW,'Employee Data'!$V:$V,$A:$A)</f>
        <v>0</v>
      </c>
      <c r="K46" s="70" t="n">
        <f aca="false">SUMIFS('Employee Data'!$BF:$BF,'Employee Data'!$V:$V,$A:$A,'Employee Data'!$BA:$BA,"Yes")</f>
        <v>0</v>
      </c>
      <c r="L46" s="70" t="n">
        <f aca="false">SUMIFS('Employee Data'!$BH:$BH,'Employee Data'!$V:$V,$A:$A)</f>
        <v>0</v>
      </c>
      <c r="M46" s="70" t="n">
        <f aca="false">SUMIFS('Employee Data'!$BJ:$BJ,'Employee Data'!$V:$V,$A:$A)</f>
        <v>0</v>
      </c>
      <c r="N46" s="72" t="e">
        <f aca="false">O46/F46</f>
        <v>#DIV/0!</v>
      </c>
      <c r="O46" s="70" t="n">
        <f aca="false">SUMIFS('Employee Data'!$DJ:$DJ,'Employee Data'!$V:$V,$A:$A)</f>
        <v>0</v>
      </c>
      <c r="P46" s="73" t="e">
        <f aca="false">Q46/F46</f>
        <v>#DIV/0!</v>
      </c>
      <c r="Q46" s="70" t="n">
        <f aca="false">SUMIFS('Employee Data'!$CU:$CU,'Employee Data'!$V:$V,$A:$A)</f>
        <v>0</v>
      </c>
      <c r="R46" s="73" t="e">
        <f aca="false">S46/F46</f>
        <v>#DIV/0!</v>
      </c>
      <c r="S46" s="70" t="n">
        <f aca="false">SUMIFS('Employee Data'!$CY:$CY,'Employee Data'!$V:$V,$A:$A)</f>
        <v>0</v>
      </c>
      <c r="T46" s="72" t="e">
        <f aca="false">U46/F46</f>
        <v>#DIV/0!</v>
      </c>
      <c r="U46" s="70" t="n">
        <f aca="false">SUMIFS('Employee Data'!$DL:$DL,'Employee Data'!$V:$V,$A:$A)</f>
        <v>0</v>
      </c>
      <c r="V46" s="71" t="e">
        <f aca="false">W46/F46</f>
        <v>#DIV/0!</v>
      </c>
      <c r="W46" s="70" t="n">
        <f aca="false">SUMIFS('Employee Data'!$BN:$BN,'Employee Data'!$V:$V,$A:$A)</f>
        <v>0</v>
      </c>
      <c r="X46" s="70" t="n">
        <f aca="false">SUMIFS('Employee Data'!$BO:$BO,'Employee Data'!$V:$V,$A:$A)</f>
        <v>0</v>
      </c>
      <c r="Y46" s="70" t="n">
        <f aca="false">SUMIFS('Employee Data'!$BV:$BV,'Employee Data'!$V:$V,$A:$A)</f>
        <v>0</v>
      </c>
      <c r="Z46" s="74"/>
      <c r="AA46" s="74"/>
      <c r="AB46" s="74"/>
      <c r="AC46" s="74"/>
      <c r="AD46" s="74"/>
      <c r="AE46" s="74"/>
      <c r="AF46" s="74"/>
    </row>
    <row r="47" s="83" customFormat="true" ht="12.75" hidden="true" customHeight="false" outlineLevel="1" collapsed="false">
      <c r="A47" s="76" t="s">
        <v>84</v>
      </c>
      <c r="B47" s="77" t="n">
        <f aca="false">COUNTIFS('Employee Data'!$W:$W,$A:$A)</f>
        <v>0</v>
      </c>
      <c r="C47" s="77" t="n">
        <f aca="false">COUNTIFS('Employee Data'!$W:$W,$A:$A,'Employee Data'!$BA:$BA,"Yes")</f>
        <v>0</v>
      </c>
      <c r="D47" s="78" t="n">
        <f aca="false">SUMIFS('Employee Data'!$AP:$AP,'Employee Data'!$W:$W,$A:$A)</f>
        <v>0</v>
      </c>
      <c r="E47" s="78" t="n">
        <f aca="false">SUMIFS('Employee Data'!$AQ:$AQ,'Employee Data'!$W:$W,$A:$A)</f>
        <v>0</v>
      </c>
      <c r="F47" s="78" t="n">
        <f aca="false">SUMIFS('Employee Data'!$AR:$AR,'Employee Data'!$W:$W,$A:$A)</f>
        <v>0</v>
      </c>
      <c r="G47" s="79" t="e">
        <f aca="false">H47/F47</f>
        <v>#DIV/0!</v>
      </c>
      <c r="H47" s="78" t="n">
        <f aca="false">SUMIFS('Employee Data'!$CQ:$CQ,'Employee Data'!$W:$W,$A:$A)</f>
        <v>0</v>
      </c>
      <c r="I47" s="78" t="n">
        <f aca="false">SUMIFS('Employee Data'!$CS:$CS,'Employee Data'!$W:$W,$A:$A)</f>
        <v>0</v>
      </c>
      <c r="J47" s="78" t="n">
        <f aca="false">SUMIFS('Employee Data'!$CW:$CW,'Employee Data'!$W:$W,$A:$A)</f>
        <v>0</v>
      </c>
      <c r="K47" s="78" t="n">
        <f aca="false">SUMIFS('Employee Data'!$BF:$BF,'Employee Data'!$W:$W,$A:$A)</f>
        <v>0</v>
      </c>
      <c r="L47" s="78" t="n">
        <f aca="false">SUMIFS('Employee Data'!$BH:$BH,'Employee Data'!$W:$W,$A:$A)</f>
        <v>0</v>
      </c>
      <c r="M47" s="78" t="n">
        <f aca="false">SUMIFS('Employee Data'!$BJ:$BJ,'Employee Data'!$W:$W,$A:$A)</f>
        <v>0</v>
      </c>
      <c r="N47" s="80" t="e">
        <f aca="false">O47/F47</f>
        <v>#DIV/0!</v>
      </c>
      <c r="O47" s="78" t="n">
        <f aca="false">SUMIFS('Employee Data'!$DJ:$DJ,'Employee Data'!$W:$W,$A:$A)</f>
        <v>0</v>
      </c>
      <c r="P47" s="81" t="e">
        <f aca="false">Q47/F47</f>
        <v>#DIV/0!</v>
      </c>
      <c r="Q47" s="78" t="n">
        <f aca="false">SUMIFS('Employee Data'!$CU:$CU,'Employee Data'!$W:$W,$A:$A)</f>
        <v>0</v>
      </c>
      <c r="R47" s="81" t="e">
        <f aca="false">S47/F47</f>
        <v>#DIV/0!</v>
      </c>
      <c r="S47" s="78" t="n">
        <f aca="false">SUMIFS('Employee Data'!$CY:$CY,'Employee Data'!$W:$W,$A:$A)</f>
        <v>0</v>
      </c>
      <c r="T47" s="80" t="e">
        <f aca="false">U47/F47</f>
        <v>#DIV/0!</v>
      </c>
      <c r="U47" s="78" t="n">
        <f aca="false">SUMIFS('Employee Data'!$DL:$DL,'Employee Data'!$W:$W,$A:$A)</f>
        <v>0</v>
      </c>
      <c r="V47" s="79" t="e">
        <f aca="false">W47/F47</f>
        <v>#DIV/0!</v>
      </c>
      <c r="W47" s="78" t="n">
        <f aca="false">SUMIFS('Employee Data'!$BN:$BN,'Employee Data'!$W:$W,$A:$A)</f>
        <v>0</v>
      </c>
      <c r="X47" s="78" t="n">
        <f aca="false">SUMIFS('Employee Data'!$BO:$BO,'Employee Data'!$W:$W,$A:$A)</f>
        <v>0</v>
      </c>
      <c r="Y47" s="78" t="n">
        <f aca="false">SUMIFS('Employee Data'!$BV:$BV,'Employee Data'!$W:$W,$A:$A)</f>
        <v>0</v>
      </c>
      <c r="Z47" s="82"/>
      <c r="AA47" s="82"/>
      <c r="AB47" s="82"/>
      <c r="AC47" s="82"/>
      <c r="AD47" s="82"/>
      <c r="AE47" s="82"/>
      <c r="AF47" s="82"/>
    </row>
    <row r="48" s="83" customFormat="true" ht="12.75" hidden="true" customHeight="false" outlineLevel="1" collapsed="false">
      <c r="A48" s="76" t="s">
        <v>85</v>
      </c>
      <c r="B48" s="77" t="n">
        <f aca="false">COUNTIFS('Employee Data'!$W:$W,$A:$A)</f>
        <v>0</v>
      </c>
      <c r="C48" s="77" t="n">
        <f aca="false">COUNTIFS('Employee Data'!$W:$W,$A:$A,'Employee Data'!$BA:$BA,"Yes")</f>
        <v>0</v>
      </c>
      <c r="D48" s="78" t="n">
        <f aca="false">SUMIFS('Employee Data'!$AP:$AP,'Employee Data'!$W:$W,$A:$A)</f>
        <v>0</v>
      </c>
      <c r="E48" s="78" t="n">
        <f aca="false">SUMIFS('Employee Data'!$AQ:$AQ,'Employee Data'!$W:$W,$A:$A)</f>
        <v>0</v>
      </c>
      <c r="F48" s="78" t="n">
        <f aca="false">SUMIFS('Employee Data'!$AR:$AR,'Employee Data'!$W:$W,$A:$A)</f>
        <v>0</v>
      </c>
      <c r="G48" s="79" t="e">
        <f aca="false">H48/F48</f>
        <v>#DIV/0!</v>
      </c>
      <c r="H48" s="78" t="n">
        <f aca="false">SUMIFS('Employee Data'!$CQ:$CQ,'Employee Data'!$W:$W,$A:$A)</f>
        <v>0</v>
      </c>
      <c r="I48" s="78" t="n">
        <f aca="false">SUMIFS('Employee Data'!$CS:$CS,'Employee Data'!$W:$W,$A:$A)</f>
        <v>0</v>
      </c>
      <c r="J48" s="78" t="n">
        <f aca="false">SUMIFS('Employee Data'!$CW:$CW,'Employee Data'!$W:$W,$A:$A)</f>
        <v>0</v>
      </c>
      <c r="K48" s="78" t="n">
        <f aca="false">SUMIFS('Employee Data'!$BF:$BF,'Employee Data'!$W:$W,$A:$A)</f>
        <v>0</v>
      </c>
      <c r="L48" s="78" t="n">
        <f aca="false">SUMIFS('Employee Data'!$BH:$BH,'Employee Data'!$W:$W,$A:$A)</f>
        <v>0</v>
      </c>
      <c r="M48" s="78" t="n">
        <f aca="false">SUMIFS('Employee Data'!$BJ:$BJ,'Employee Data'!$W:$W,$A:$A)</f>
        <v>0</v>
      </c>
      <c r="N48" s="80" t="e">
        <f aca="false">O48/F48</f>
        <v>#DIV/0!</v>
      </c>
      <c r="O48" s="78" t="n">
        <f aca="false">SUMIFS('Employee Data'!$DJ:$DJ,'Employee Data'!$W:$W,$A:$A)</f>
        <v>0</v>
      </c>
      <c r="P48" s="81" t="e">
        <f aca="false">Q48/F48</f>
        <v>#DIV/0!</v>
      </c>
      <c r="Q48" s="78" t="n">
        <f aca="false">SUMIFS('Employee Data'!$CU:$CU,'Employee Data'!$W:$W,$A:$A)</f>
        <v>0</v>
      </c>
      <c r="R48" s="81" t="e">
        <f aca="false">S48/F48</f>
        <v>#DIV/0!</v>
      </c>
      <c r="S48" s="78" t="n">
        <f aca="false">SUMIFS('Employee Data'!$CY:$CY,'Employee Data'!$W:$W,$A:$A)</f>
        <v>0</v>
      </c>
      <c r="T48" s="80" t="e">
        <f aca="false">U48/F48</f>
        <v>#DIV/0!</v>
      </c>
      <c r="U48" s="78" t="n">
        <f aca="false">SUMIFS('Employee Data'!$DL:$DL,'Employee Data'!$W:$W,$A:$A)</f>
        <v>0</v>
      </c>
      <c r="V48" s="79" t="e">
        <f aca="false">W48/F48</f>
        <v>#DIV/0!</v>
      </c>
      <c r="W48" s="78" t="n">
        <f aca="false">SUMIFS('Employee Data'!$BN:$BN,'Employee Data'!$W:$W,$A:$A)</f>
        <v>0</v>
      </c>
      <c r="X48" s="78" t="n">
        <f aca="false">SUMIFS('Employee Data'!$BO:$BO,'Employee Data'!$W:$W,$A:$A)</f>
        <v>0</v>
      </c>
      <c r="Y48" s="78" t="n">
        <f aca="false">SUMIFS('Employee Data'!$BV:$BV,'Employee Data'!$W:$W,$A:$A)</f>
        <v>0</v>
      </c>
      <c r="Z48" s="82"/>
      <c r="AA48" s="82"/>
      <c r="AB48" s="82"/>
      <c r="AC48" s="82"/>
      <c r="AD48" s="82"/>
      <c r="AE48" s="82"/>
      <c r="AF48" s="82"/>
    </row>
    <row r="49" s="83" customFormat="true" ht="12.75" hidden="true" customHeight="false" outlineLevel="1" collapsed="false">
      <c r="A49" s="76" t="s">
        <v>86</v>
      </c>
      <c r="B49" s="77" t="n">
        <f aca="false">COUNTIFS('Employee Data'!$W:$W,$A:$A)</f>
        <v>0</v>
      </c>
      <c r="C49" s="77" t="n">
        <f aca="false">COUNTIFS('Employee Data'!$W:$W,$A:$A,'Employee Data'!$BA:$BA,"Yes")</f>
        <v>0</v>
      </c>
      <c r="D49" s="78" t="n">
        <f aca="false">SUMIFS('Employee Data'!$AP:$AP,'Employee Data'!$W:$W,$A:$A)</f>
        <v>0</v>
      </c>
      <c r="E49" s="78" t="n">
        <f aca="false">SUMIFS('Employee Data'!$AQ:$AQ,'Employee Data'!$W:$W,$A:$A)</f>
        <v>0</v>
      </c>
      <c r="F49" s="78" t="n">
        <f aca="false">SUMIFS('Employee Data'!$AR:$AR,'Employee Data'!$W:$W,$A:$A)</f>
        <v>0</v>
      </c>
      <c r="G49" s="79" t="e">
        <f aca="false">H49/F49</f>
        <v>#DIV/0!</v>
      </c>
      <c r="H49" s="78" t="n">
        <f aca="false">SUMIFS('Employee Data'!$CQ:$CQ,'Employee Data'!$W:$W,$A:$A)</f>
        <v>0</v>
      </c>
      <c r="I49" s="78" t="n">
        <f aca="false">SUMIFS('Employee Data'!$CS:$CS,'Employee Data'!$W:$W,$A:$A)</f>
        <v>0</v>
      </c>
      <c r="J49" s="78" t="n">
        <f aca="false">SUMIFS('Employee Data'!$CW:$CW,'Employee Data'!$W:$W,$A:$A)</f>
        <v>0</v>
      </c>
      <c r="K49" s="78" t="n">
        <f aca="false">SUMIFS('Employee Data'!$BF:$BF,'Employee Data'!$W:$W,$A:$A)</f>
        <v>0</v>
      </c>
      <c r="L49" s="78" t="n">
        <f aca="false">SUMIFS('Employee Data'!$BH:$BH,'Employee Data'!$W:$W,$A:$A)</f>
        <v>0</v>
      </c>
      <c r="M49" s="78" t="n">
        <f aca="false">SUMIFS('Employee Data'!$BJ:$BJ,'Employee Data'!$W:$W,$A:$A)</f>
        <v>0</v>
      </c>
      <c r="N49" s="80" t="e">
        <f aca="false">O49/F49</f>
        <v>#DIV/0!</v>
      </c>
      <c r="O49" s="78" t="n">
        <f aca="false">SUMIFS('Employee Data'!$DJ:$DJ,'Employee Data'!$W:$W,$A:$A)</f>
        <v>0</v>
      </c>
      <c r="P49" s="81" t="e">
        <f aca="false">Q49/F49</f>
        <v>#DIV/0!</v>
      </c>
      <c r="Q49" s="78" t="n">
        <f aca="false">SUMIFS('Employee Data'!$CU:$CU,'Employee Data'!$W:$W,$A:$A)</f>
        <v>0</v>
      </c>
      <c r="R49" s="81" t="e">
        <f aca="false">S49/F49</f>
        <v>#DIV/0!</v>
      </c>
      <c r="S49" s="78" t="n">
        <f aca="false">SUMIFS('Employee Data'!$CY:$CY,'Employee Data'!$W:$W,$A:$A)</f>
        <v>0</v>
      </c>
      <c r="T49" s="80" t="e">
        <f aca="false">U49/F49</f>
        <v>#DIV/0!</v>
      </c>
      <c r="U49" s="78" t="n">
        <f aca="false">SUMIFS('Employee Data'!$DL:$DL,'Employee Data'!$W:$W,$A:$A)</f>
        <v>0</v>
      </c>
      <c r="V49" s="79" t="e">
        <f aca="false">W49/F49</f>
        <v>#DIV/0!</v>
      </c>
      <c r="W49" s="78" t="n">
        <f aca="false">SUMIFS('Employee Data'!$BN:$BN,'Employee Data'!$W:$W,$A:$A)</f>
        <v>0</v>
      </c>
      <c r="X49" s="78" t="n">
        <f aca="false">SUMIFS('Employee Data'!$BO:$BO,'Employee Data'!$W:$W,$A:$A)</f>
        <v>0</v>
      </c>
      <c r="Y49" s="78" t="n">
        <f aca="false">SUMIFS('Employee Data'!$BV:$BV,'Employee Data'!$W:$W,$A:$A)</f>
        <v>0</v>
      </c>
      <c r="Z49" s="82"/>
      <c r="AA49" s="82"/>
      <c r="AB49" s="82"/>
      <c r="AC49" s="82"/>
      <c r="AD49" s="82"/>
      <c r="AE49" s="82"/>
      <c r="AF49" s="82"/>
    </row>
    <row r="50" s="83" customFormat="true" ht="12.75" hidden="true" customHeight="false" outlineLevel="1" collapsed="false">
      <c r="A50" s="76" t="s">
        <v>87</v>
      </c>
      <c r="B50" s="77" t="n">
        <f aca="false">COUNTIFS('Employee Data'!$W:$W,$A:$A)</f>
        <v>0</v>
      </c>
      <c r="C50" s="77" t="n">
        <f aca="false">COUNTIFS('Employee Data'!$W:$W,$A:$A,'Employee Data'!$BA:$BA,"Yes")</f>
        <v>0</v>
      </c>
      <c r="D50" s="78" t="n">
        <f aca="false">SUMIFS('Employee Data'!$AP:$AP,'Employee Data'!$W:$W,$A:$A)</f>
        <v>0</v>
      </c>
      <c r="E50" s="78" t="n">
        <f aca="false">SUMIFS('Employee Data'!$AQ:$AQ,'Employee Data'!$W:$W,$A:$A)</f>
        <v>0</v>
      </c>
      <c r="F50" s="78" t="n">
        <f aca="false">SUMIFS('Employee Data'!$AR:$AR,'Employee Data'!$W:$W,$A:$A)</f>
        <v>0</v>
      </c>
      <c r="G50" s="79" t="e">
        <f aca="false">H50/F50</f>
        <v>#DIV/0!</v>
      </c>
      <c r="H50" s="78" t="n">
        <f aca="false">SUMIFS('Employee Data'!$CQ:$CQ,'Employee Data'!$W:$W,$A:$A)</f>
        <v>0</v>
      </c>
      <c r="I50" s="78" t="n">
        <f aca="false">SUMIFS('Employee Data'!$CS:$CS,'Employee Data'!$W:$W,$A:$A)</f>
        <v>0</v>
      </c>
      <c r="J50" s="78" t="n">
        <f aca="false">SUMIFS('Employee Data'!$CW:$CW,'Employee Data'!$W:$W,$A:$A)</f>
        <v>0</v>
      </c>
      <c r="K50" s="78" t="n">
        <f aca="false">SUMIFS('Employee Data'!$BF:$BF,'Employee Data'!$W:$W,$A:$A)</f>
        <v>0</v>
      </c>
      <c r="L50" s="78" t="n">
        <f aca="false">SUMIFS('Employee Data'!$BH:$BH,'Employee Data'!$W:$W,$A:$A)</f>
        <v>0</v>
      </c>
      <c r="M50" s="78" t="n">
        <f aca="false">SUMIFS('Employee Data'!$BJ:$BJ,'Employee Data'!$W:$W,$A:$A)</f>
        <v>0</v>
      </c>
      <c r="N50" s="80" t="e">
        <f aca="false">O50/F50</f>
        <v>#DIV/0!</v>
      </c>
      <c r="O50" s="78" t="n">
        <f aca="false">SUMIFS('Employee Data'!$DJ:$DJ,'Employee Data'!$W:$W,$A:$A)</f>
        <v>0</v>
      </c>
      <c r="P50" s="81" t="e">
        <f aca="false">Q50/F50</f>
        <v>#DIV/0!</v>
      </c>
      <c r="Q50" s="78" t="n">
        <f aca="false">SUMIFS('Employee Data'!$CU:$CU,'Employee Data'!$W:$W,$A:$A)</f>
        <v>0</v>
      </c>
      <c r="R50" s="81" t="e">
        <f aca="false">S50/F50</f>
        <v>#DIV/0!</v>
      </c>
      <c r="S50" s="78" t="n">
        <f aca="false">SUMIFS('Employee Data'!$CY:$CY,'Employee Data'!$W:$W,$A:$A)</f>
        <v>0</v>
      </c>
      <c r="T50" s="80" t="e">
        <f aca="false">U50/F50</f>
        <v>#DIV/0!</v>
      </c>
      <c r="U50" s="78" t="n">
        <f aca="false">SUMIFS('Employee Data'!$DL:$DL,'Employee Data'!$W:$W,$A:$A)</f>
        <v>0</v>
      </c>
      <c r="V50" s="79" t="e">
        <f aca="false">W50/F50</f>
        <v>#DIV/0!</v>
      </c>
      <c r="W50" s="78" t="n">
        <f aca="false">SUMIFS('Employee Data'!$BN:$BN,'Employee Data'!$W:$W,$A:$A)</f>
        <v>0</v>
      </c>
      <c r="X50" s="78" t="n">
        <f aca="false">SUMIFS('Employee Data'!$BO:$BO,'Employee Data'!$W:$W,$A:$A)</f>
        <v>0</v>
      </c>
      <c r="Y50" s="78" t="n">
        <f aca="false">SUMIFS('Employee Data'!$BV:$BV,'Employee Data'!$W:$W,$A:$A)</f>
        <v>0</v>
      </c>
      <c r="Z50" s="82"/>
      <c r="AA50" s="82"/>
      <c r="AB50" s="82"/>
      <c r="AC50" s="82"/>
      <c r="AD50" s="82"/>
      <c r="AE50" s="82"/>
      <c r="AF50" s="82"/>
    </row>
    <row r="51" s="83" customFormat="true" ht="12.75" hidden="true" customHeight="false" outlineLevel="1" collapsed="false">
      <c r="A51" s="76" t="s">
        <v>88</v>
      </c>
      <c r="B51" s="77" t="n">
        <f aca="false">COUNTIFS('Employee Data'!$W:$W,$A:$A)</f>
        <v>0</v>
      </c>
      <c r="C51" s="77" t="n">
        <f aca="false">COUNTIFS('Employee Data'!$W:$W,$A:$A,'Employee Data'!$BA:$BA,"Yes")</f>
        <v>0</v>
      </c>
      <c r="D51" s="78" t="n">
        <f aca="false">SUMIFS('Employee Data'!$AP:$AP,'Employee Data'!$W:$W,$A:$A)</f>
        <v>0</v>
      </c>
      <c r="E51" s="78" t="n">
        <f aca="false">SUMIFS('Employee Data'!$AQ:$AQ,'Employee Data'!$W:$W,$A:$A)</f>
        <v>0</v>
      </c>
      <c r="F51" s="78" t="n">
        <f aca="false">SUMIFS('Employee Data'!$AR:$AR,'Employee Data'!$W:$W,$A:$A)</f>
        <v>0</v>
      </c>
      <c r="G51" s="79" t="e">
        <f aca="false">H51/F51</f>
        <v>#DIV/0!</v>
      </c>
      <c r="H51" s="78" t="n">
        <f aca="false">SUMIFS('Employee Data'!$CQ:$CQ,'Employee Data'!$W:$W,$A:$A)</f>
        <v>0</v>
      </c>
      <c r="I51" s="78" t="n">
        <f aca="false">SUMIFS('Employee Data'!$CS:$CS,'Employee Data'!$W:$W,$A:$A)</f>
        <v>0</v>
      </c>
      <c r="J51" s="78" t="n">
        <f aca="false">SUMIFS('Employee Data'!$CW:$CW,'Employee Data'!$W:$W,$A:$A)</f>
        <v>0</v>
      </c>
      <c r="K51" s="78" t="n">
        <f aca="false">SUMIFS('Employee Data'!$BF:$BF,'Employee Data'!$W:$W,$A:$A)</f>
        <v>0</v>
      </c>
      <c r="L51" s="78" t="n">
        <f aca="false">SUMIFS('Employee Data'!$BH:$BH,'Employee Data'!$W:$W,$A:$A)</f>
        <v>0</v>
      </c>
      <c r="M51" s="78" t="n">
        <f aca="false">SUMIFS('Employee Data'!$BJ:$BJ,'Employee Data'!$W:$W,$A:$A)</f>
        <v>0</v>
      </c>
      <c r="N51" s="80" t="e">
        <f aca="false">O51/F51</f>
        <v>#DIV/0!</v>
      </c>
      <c r="O51" s="78" t="n">
        <f aca="false">SUMIFS('Employee Data'!$DJ:$DJ,'Employee Data'!$W:$W,$A:$A)</f>
        <v>0</v>
      </c>
      <c r="P51" s="81" t="e">
        <f aca="false">Q51/F51</f>
        <v>#DIV/0!</v>
      </c>
      <c r="Q51" s="78" t="n">
        <f aca="false">SUMIFS('Employee Data'!$CU:$CU,'Employee Data'!$W:$W,$A:$A)</f>
        <v>0</v>
      </c>
      <c r="R51" s="81" t="e">
        <f aca="false">S51/F51</f>
        <v>#DIV/0!</v>
      </c>
      <c r="S51" s="78" t="n">
        <f aca="false">SUMIFS('Employee Data'!$CY:$CY,'Employee Data'!$W:$W,$A:$A)</f>
        <v>0</v>
      </c>
      <c r="T51" s="80" t="e">
        <f aca="false">U51/F51</f>
        <v>#DIV/0!</v>
      </c>
      <c r="U51" s="78" t="n">
        <f aca="false">SUMIFS('Employee Data'!$DL:$DL,'Employee Data'!$W:$W,$A:$A)</f>
        <v>0</v>
      </c>
      <c r="V51" s="79" t="e">
        <f aca="false">W51/F51</f>
        <v>#DIV/0!</v>
      </c>
      <c r="W51" s="78" t="n">
        <f aca="false">SUMIFS('Employee Data'!$BN:$BN,'Employee Data'!$W:$W,$A:$A)</f>
        <v>0</v>
      </c>
      <c r="X51" s="78" t="n">
        <f aca="false">SUMIFS('Employee Data'!$BO:$BO,'Employee Data'!$W:$W,$A:$A)</f>
        <v>0</v>
      </c>
      <c r="Y51" s="78" t="n">
        <f aca="false">SUMIFS('Employee Data'!$BV:$BV,'Employee Data'!$W:$W,$A:$A)</f>
        <v>0</v>
      </c>
      <c r="Z51" s="82"/>
      <c r="AA51" s="82"/>
      <c r="AB51" s="82"/>
      <c r="AC51" s="82"/>
      <c r="AD51" s="82"/>
      <c r="AE51" s="82"/>
      <c r="AF51" s="82"/>
    </row>
    <row r="52" s="83" customFormat="true" ht="12.75" hidden="true" customHeight="false" outlineLevel="1" collapsed="false">
      <c r="A52" s="76" t="s">
        <v>89</v>
      </c>
      <c r="B52" s="77" t="n">
        <f aca="false">COUNTIFS('Employee Data'!$W:$W,$A:$A)</f>
        <v>0</v>
      </c>
      <c r="C52" s="77" t="n">
        <f aca="false">COUNTIFS('Employee Data'!$W:$W,$A:$A,'Employee Data'!$BA:$BA,"Yes")</f>
        <v>0</v>
      </c>
      <c r="D52" s="78" t="n">
        <f aca="false">SUMIFS('Employee Data'!$AP:$AP,'Employee Data'!$W:$W,$A:$A)</f>
        <v>0</v>
      </c>
      <c r="E52" s="78" t="n">
        <f aca="false">SUMIFS('Employee Data'!$AQ:$AQ,'Employee Data'!$W:$W,$A:$A)</f>
        <v>0</v>
      </c>
      <c r="F52" s="78" t="n">
        <f aca="false">SUMIFS('Employee Data'!$AR:$AR,'Employee Data'!$W:$W,$A:$A)</f>
        <v>0</v>
      </c>
      <c r="G52" s="79" t="e">
        <f aca="false">H52/F52</f>
        <v>#DIV/0!</v>
      </c>
      <c r="H52" s="78" t="n">
        <f aca="false">SUMIFS('Employee Data'!$CQ:$CQ,'Employee Data'!$W:$W,$A:$A)</f>
        <v>0</v>
      </c>
      <c r="I52" s="78" t="n">
        <f aca="false">SUMIFS('Employee Data'!$CS:$CS,'Employee Data'!$W:$W,$A:$A)</f>
        <v>0</v>
      </c>
      <c r="J52" s="78" t="n">
        <f aca="false">SUMIFS('Employee Data'!$CW:$CW,'Employee Data'!$W:$W,$A:$A)</f>
        <v>0</v>
      </c>
      <c r="K52" s="78" t="n">
        <f aca="false">SUMIFS('Employee Data'!$BF:$BF,'Employee Data'!$W:$W,$A:$A)</f>
        <v>0</v>
      </c>
      <c r="L52" s="78" t="n">
        <f aca="false">SUMIFS('Employee Data'!$BH:$BH,'Employee Data'!$W:$W,$A:$A)</f>
        <v>0</v>
      </c>
      <c r="M52" s="78" t="n">
        <f aca="false">SUMIFS('Employee Data'!$BJ:$BJ,'Employee Data'!$W:$W,$A:$A)</f>
        <v>0</v>
      </c>
      <c r="N52" s="80" t="e">
        <f aca="false">O52/F52</f>
        <v>#DIV/0!</v>
      </c>
      <c r="O52" s="78" t="n">
        <f aca="false">SUMIFS('Employee Data'!$DJ:$DJ,'Employee Data'!$W:$W,$A:$A)</f>
        <v>0</v>
      </c>
      <c r="P52" s="81" t="e">
        <f aca="false">Q52/F52</f>
        <v>#DIV/0!</v>
      </c>
      <c r="Q52" s="78" t="n">
        <f aca="false">SUMIFS('Employee Data'!$CU:$CU,'Employee Data'!$W:$W,$A:$A)</f>
        <v>0</v>
      </c>
      <c r="R52" s="81" t="e">
        <f aca="false">S52/F52</f>
        <v>#DIV/0!</v>
      </c>
      <c r="S52" s="78" t="n">
        <f aca="false">SUMIFS('Employee Data'!$CY:$CY,'Employee Data'!$W:$W,$A:$A)</f>
        <v>0</v>
      </c>
      <c r="T52" s="80" t="e">
        <f aca="false">U52/F52</f>
        <v>#DIV/0!</v>
      </c>
      <c r="U52" s="78" t="n">
        <f aca="false">SUMIFS('Employee Data'!$DL:$DL,'Employee Data'!$W:$W,$A:$A)</f>
        <v>0</v>
      </c>
      <c r="V52" s="79" t="e">
        <f aca="false">W52/F52</f>
        <v>#DIV/0!</v>
      </c>
      <c r="W52" s="78" t="n">
        <f aca="false">SUMIFS('Employee Data'!$BN:$BN,'Employee Data'!$W:$W,$A:$A)</f>
        <v>0</v>
      </c>
      <c r="X52" s="78" t="n">
        <f aca="false">SUMIFS('Employee Data'!$BO:$BO,'Employee Data'!$W:$W,$A:$A)</f>
        <v>0</v>
      </c>
      <c r="Y52" s="78" t="n">
        <f aca="false">SUMIFS('Employee Data'!$BV:$BV,'Employee Data'!$W:$W,$A:$A)</f>
        <v>0</v>
      </c>
      <c r="Z52" s="82"/>
      <c r="AA52" s="82"/>
      <c r="AB52" s="82"/>
      <c r="AC52" s="82"/>
      <c r="AD52" s="82"/>
      <c r="AE52" s="82"/>
      <c r="AF52" s="82"/>
    </row>
    <row r="53" s="83" customFormat="true" ht="12.75" hidden="true" customHeight="false" outlineLevel="1" collapsed="false">
      <c r="A53" s="76" t="s">
        <v>90</v>
      </c>
      <c r="B53" s="77" t="n">
        <f aca="false">COUNTIFS('Employee Data'!$W:$W,$A:$A)</f>
        <v>0</v>
      </c>
      <c r="C53" s="77" t="n">
        <f aca="false">COUNTIFS('Employee Data'!$W:$W,$A:$A,'Employee Data'!$BA:$BA,"Yes")</f>
        <v>0</v>
      </c>
      <c r="D53" s="78" t="n">
        <f aca="false">SUMIFS('Employee Data'!$AP:$AP,'Employee Data'!$W:$W,$A:$A)</f>
        <v>0</v>
      </c>
      <c r="E53" s="78" t="n">
        <f aca="false">SUMIFS('Employee Data'!$AQ:$AQ,'Employee Data'!$W:$W,$A:$A)</f>
        <v>0</v>
      </c>
      <c r="F53" s="78" t="n">
        <f aca="false">SUMIFS('Employee Data'!$AR:$AR,'Employee Data'!$W:$W,$A:$A)</f>
        <v>0</v>
      </c>
      <c r="G53" s="79" t="e">
        <f aca="false">H53/F53</f>
        <v>#DIV/0!</v>
      </c>
      <c r="H53" s="78" t="n">
        <f aca="false">SUMIFS('Employee Data'!$CQ:$CQ,'Employee Data'!$W:$W,$A:$A)</f>
        <v>0</v>
      </c>
      <c r="I53" s="78" t="n">
        <f aca="false">SUMIFS('Employee Data'!$CS:$CS,'Employee Data'!$W:$W,$A:$A)</f>
        <v>0</v>
      </c>
      <c r="J53" s="78" t="n">
        <f aca="false">SUMIFS('Employee Data'!$CW:$CW,'Employee Data'!$W:$W,$A:$A)</f>
        <v>0</v>
      </c>
      <c r="K53" s="78" t="n">
        <f aca="false">SUMIFS('Employee Data'!$BF:$BF,'Employee Data'!$W:$W,$A:$A)</f>
        <v>0</v>
      </c>
      <c r="L53" s="78" t="n">
        <f aca="false">SUMIFS('Employee Data'!$BH:$BH,'Employee Data'!$W:$W,$A:$A)</f>
        <v>0</v>
      </c>
      <c r="M53" s="78" t="n">
        <f aca="false">SUMIFS('Employee Data'!$BJ:$BJ,'Employee Data'!$W:$W,$A:$A)</f>
        <v>0</v>
      </c>
      <c r="N53" s="80" t="e">
        <f aca="false">O53/F53</f>
        <v>#DIV/0!</v>
      </c>
      <c r="O53" s="78" t="n">
        <f aca="false">SUMIFS('Employee Data'!$DJ:$DJ,'Employee Data'!$W:$W,$A:$A)</f>
        <v>0</v>
      </c>
      <c r="P53" s="81" t="e">
        <f aca="false">Q53/F53</f>
        <v>#DIV/0!</v>
      </c>
      <c r="Q53" s="78" t="n">
        <f aca="false">SUMIFS('Employee Data'!$CU:$CU,'Employee Data'!$W:$W,$A:$A)</f>
        <v>0</v>
      </c>
      <c r="R53" s="81" t="e">
        <f aca="false">S53/F53</f>
        <v>#DIV/0!</v>
      </c>
      <c r="S53" s="78" t="n">
        <f aca="false">SUMIFS('Employee Data'!$CY:$CY,'Employee Data'!$W:$W,$A:$A)</f>
        <v>0</v>
      </c>
      <c r="T53" s="80" t="e">
        <f aca="false">U53/F53</f>
        <v>#DIV/0!</v>
      </c>
      <c r="U53" s="78" t="n">
        <f aca="false">SUMIFS('Employee Data'!$DL:$DL,'Employee Data'!$W:$W,$A:$A)</f>
        <v>0</v>
      </c>
      <c r="V53" s="79" t="e">
        <f aca="false">W53/F53</f>
        <v>#DIV/0!</v>
      </c>
      <c r="W53" s="78" t="n">
        <f aca="false">SUMIFS('Employee Data'!$BN:$BN,'Employee Data'!$W:$W,$A:$A)</f>
        <v>0</v>
      </c>
      <c r="X53" s="78" t="n">
        <f aca="false">SUMIFS('Employee Data'!$BO:$BO,'Employee Data'!$W:$W,$A:$A)</f>
        <v>0</v>
      </c>
      <c r="Y53" s="78" t="n">
        <f aca="false">SUMIFS('Employee Data'!$BV:$BV,'Employee Data'!$W:$W,$A:$A)</f>
        <v>0</v>
      </c>
      <c r="Z53" s="82"/>
      <c r="AA53" s="82"/>
      <c r="AB53" s="82"/>
      <c r="AC53" s="82"/>
      <c r="AD53" s="82"/>
      <c r="AE53" s="82"/>
      <c r="AF53" s="82"/>
    </row>
    <row r="54" s="83" customFormat="true" ht="12.75" hidden="true" customHeight="false" outlineLevel="1" collapsed="false">
      <c r="A54" s="76" t="s">
        <v>91</v>
      </c>
      <c r="B54" s="77" t="n">
        <f aca="false">COUNTIFS('Employee Data'!$W:$W,$A:$A)</f>
        <v>0</v>
      </c>
      <c r="C54" s="77" t="n">
        <f aca="false">COUNTIFS('Employee Data'!$W:$W,$A:$A,'Employee Data'!$BA:$BA,"Yes")</f>
        <v>0</v>
      </c>
      <c r="D54" s="78" t="n">
        <f aca="false">SUMIFS('Employee Data'!$AP:$AP,'Employee Data'!$W:$W,$A:$A)</f>
        <v>0</v>
      </c>
      <c r="E54" s="78" t="n">
        <f aca="false">SUMIFS('Employee Data'!$AQ:$AQ,'Employee Data'!$W:$W,$A:$A)</f>
        <v>0</v>
      </c>
      <c r="F54" s="78" t="n">
        <f aca="false">SUMIFS('Employee Data'!$AR:$AR,'Employee Data'!$W:$W,$A:$A)</f>
        <v>0</v>
      </c>
      <c r="G54" s="79" t="e">
        <f aca="false">H54/F54</f>
        <v>#DIV/0!</v>
      </c>
      <c r="H54" s="78" t="n">
        <f aca="false">SUMIFS('Employee Data'!$CQ:$CQ,'Employee Data'!$W:$W,$A:$A)</f>
        <v>0</v>
      </c>
      <c r="I54" s="78" t="n">
        <f aca="false">SUMIFS('Employee Data'!$CS:$CS,'Employee Data'!$W:$W,$A:$A)</f>
        <v>0</v>
      </c>
      <c r="J54" s="78" t="n">
        <f aca="false">SUMIFS('Employee Data'!$CW:$CW,'Employee Data'!$W:$W,$A:$A)</f>
        <v>0</v>
      </c>
      <c r="K54" s="78" t="n">
        <f aca="false">SUMIFS('Employee Data'!$BF:$BF,'Employee Data'!$W:$W,$A:$A)</f>
        <v>0</v>
      </c>
      <c r="L54" s="78" t="n">
        <f aca="false">SUMIFS('Employee Data'!$BH:$BH,'Employee Data'!$W:$W,$A:$A)</f>
        <v>0</v>
      </c>
      <c r="M54" s="78" t="n">
        <f aca="false">SUMIFS('Employee Data'!$BJ:$BJ,'Employee Data'!$W:$W,$A:$A)</f>
        <v>0</v>
      </c>
      <c r="N54" s="80" t="e">
        <f aca="false">O54/F54</f>
        <v>#DIV/0!</v>
      </c>
      <c r="O54" s="78" t="n">
        <f aca="false">SUMIFS('Employee Data'!$DJ:$DJ,'Employee Data'!$W:$W,$A:$A)</f>
        <v>0</v>
      </c>
      <c r="P54" s="81" t="e">
        <f aca="false">Q54/F54</f>
        <v>#DIV/0!</v>
      </c>
      <c r="Q54" s="78" t="n">
        <f aca="false">SUMIFS('Employee Data'!$CU:$CU,'Employee Data'!$W:$W,$A:$A)</f>
        <v>0</v>
      </c>
      <c r="R54" s="81" t="e">
        <f aca="false">S54/F54</f>
        <v>#DIV/0!</v>
      </c>
      <c r="S54" s="78" t="n">
        <f aca="false">SUMIFS('Employee Data'!$CY:$CY,'Employee Data'!$W:$W,$A:$A)</f>
        <v>0</v>
      </c>
      <c r="T54" s="80" t="e">
        <f aca="false">U54/F54</f>
        <v>#DIV/0!</v>
      </c>
      <c r="U54" s="78" t="n">
        <f aca="false">SUMIFS('Employee Data'!$DL:$DL,'Employee Data'!$W:$W,$A:$A)</f>
        <v>0</v>
      </c>
      <c r="V54" s="79" t="e">
        <f aca="false">W54/F54</f>
        <v>#DIV/0!</v>
      </c>
      <c r="W54" s="78" t="n">
        <f aca="false">SUMIFS('Employee Data'!$BN:$BN,'Employee Data'!$W:$W,$A:$A)</f>
        <v>0</v>
      </c>
      <c r="X54" s="78" t="n">
        <f aca="false">SUMIFS('Employee Data'!$BO:$BO,'Employee Data'!$W:$W,$A:$A)</f>
        <v>0</v>
      </c>
      <c r="Y54" s="78" t="n">
        <f aca="false">SUMIFS('Employee Data'!$BV:$BV,'Employee Data'!$W:$W,$A:$A)</f>
        <v>0</v>
      </c>
      <c r="Z54" s="82"/>
      <c r="AA54" s="82"/>
      <c r="AB54" s="82"/>
      <c r="AC54" s="82"/>
      <c r="AD54" s="82"/>
      <c r="AE54" s="82"/>
      <c r="AF54" s="82"/>
    </row>
    <row r="55" s="75" customFormat="true" ht="15.75" hidden="true" customHeight="false" outlineLevel="1" collapsed="false">
      <c r="A55" s="85" t="s">
        <v>92</v>
      </c>
      <c r="B55" s="86" t="n">
        <f aca="false">COUNTIFS('Employee Data'!$V:$V,$A:$A)</f>
        <v>0</v>
      </c>
      <c r="C55" s="86" t="n">
        <f aca="false">COUNTIFS('Employee Data'!$V:$V,$A:$A,'Employee Data'!$BA:$BA,"Yes")</f>
        <v>0</v>
      </c>
      <c r="D55" s="87" t="n">
        <f aca="false">SUMIFS('Employee Data'!$AP:$AP,'Employee Data'!$V:$V,$A:$A)</f>
        <v>0</v>
      </c>
      <c r="E55" s="87" t="n">
        <f aca="false">SUMIFS('Employee Data'!$AQ:$AQ,'Employee Data'!$V:$V,$A:$A)</f>
        <v>0</v>
      </c>
      <c r="F55" s="87" t="n">
        <f aca="false">SUMIFS('Employee Data'!$AR:$AR,'Employee Data'!$V:$V,$A:$A)</f>
        <v>0</v>
      </c>
      <c r="G55" s="88" t="e">
        <f aca="false">H55/F55</f>
        <v>#DIV/0!</v>
      </c>
      <c r="H55" s="87" t="n">
        <f aca="false">SUMIFS('Employee Data'!$CQ:$CQ,'Employee Data'!$V:$V,$A:$A)</f>
        <v>0</v>
      </c>
      <c r="I55" s="87" t="n">
        <f aca="false">SUMIFS('Employee Data'!$CS:$CS,'Employee Data'!$V:$V,$A:$A)</f>
        <v>0</v>
      </c>
      <c r="J55" s="87" t="n">
        <f aca="false">SUMIFS('Employee Data'!$CW:$CW,'Employee Data'!$V:$V,$A:$A)</f>
        <v>0</v>
      </c>
      <c r="K55" s="87" t="n">
        <f aca="false">SUMIFS('Employee Data'!$BF:$BF,'Employee Data'!$V:$V,$A:$A,'Employee Data'!$BA:$BA,"Yes")</f>
        <v>0</v>
      </c>
      <c r="L55" s="87" t="n">
        <f aca="false">SUMIFS('Employee Data'!$BH:$BH,'Employee Data'!$V:$V,$A:$A)</f>
        <v>0</v>
      </c>
      <c r="M55" s="87" t="n">
        <f aca="false">SUMIFS('Employee Data'!$BJ:$BJ,'Employee Data'!$V:$V,$A:$A)</f>
        <v>0</v>
      </c>
      <c r="N55" s="89" t="e">
        <f aca="false">O55/F55</f>
        <v>#DIV/0!</v>
      </c>
      <c r="O55" s="87" t="n">
        <f aca="false">SUMIFS('Employee Data'!$DJ:$DJ,'Employee Data'!$V:$V,$A:$A)</f>
        <v>0</v>
      </c>
      <c r="P55" s="90" t="e">
        <f aca="false">Q55/F55</f>
        <v>#DIV/0!</v>
      </c>
      <c r="Q55" s="87" t="n">
        <f aca="false">SUMIFS('Employee Data'!$CU:$CU,'Employee Data'!$V:$V,$A:$A)</f>
        <v>0</v>
      </c>
      <c r="R55" s="90" t="e">
        <f aca="false">S55/F55</f>
        <v>#DIV/0!</v>
      </c>
      <c r="S55" s="87" t="n">
        <f aca="false">SUMIFS('Employee Data'!$CY:$CY,'Employee Data'!$V:$V,$A:$A)</f>
        <v>0</v>
      </c>
      <c r="T55" s="89" t="e">
        <f aca="false">U55/F55</f>
        <v>#DIV/0!</v>
      </c>
      <c r="U55" s="87" t="n">
        <f aca="false">SUMIFS('Employee Data'!$DL:$DL,'Employee Data'!$V:$V,$A:$A)</f>
        <v>0</v>
      </c>
      <c r="V55" s="88" t="e">
        <f aca="false">W55/F55</f>
        <v>#DIV/0!</v>
      </c>
      <c r="W55" s="87" t="n">
        <f aca="false">SUMIFS('Employee Data'!$BN:$BN,'Employee Data'!$V:$V,$A:$A)</f>
        <v>0</v>
      </c>
      <c r="X55" s="87" t="n">
        <f aca="false">SUMIFS('Employee Data'!$BO:$BO,'Employee Data'!$V:$V,$A:$A)</f>
        <v>0</v>
      </c>
      <c r="Y55" s="87" t="n">
        <f aca="false">SUMIFS('Employee Data'!$BV:$BV,'Employee Data'!$V:$V,$A:$A)</f>
        <v>0</v>
      </c>
      <c r="Z55" s="74"/>
      <c r="AA55" s="74"/>
      <c r="AB55" s="74"/>
      <c r="AC55" s="74"/>
      <c r="AD55" s="74"/>
      <c r="AE55" s="74"/>
      <c r="AF55" s="74"/>
    </row>
    <row r="56" s="83" customFormat="true" ht="12.75" hidden="true" customHeight="false" outlineLevel="1" collapsed="false">
      <c r="A56" s="76" t="s">
        <v>93</v>
      </c>
      <c r="B56" s="77" t="n">
        <f aca="false">COUNTIFS('Employee Data'!$W:$W,$A:$A)</f>
        <v>0</v>
      </c>
      <c r="C56" s="77" t="n">
        <f aca="false">COUNTIFS('Employee Data'!$W:$W,$A:$A,'Employee Data'!$BA:$BA,"Yes")</f>
        <v>0</v>
      </c>
      <c r="D56" s="78" t="n">
        <f aca="false">SUMIFS('Employee Data'!$AP:$AP,'Employee Data'!$W:$W,$A:$A,'Employee Data'!$BA:$BA,"Yes")</f>
        <v>0</v>
      </c>
      <c r="E56" s="78" t="n">
        <f aca="false">SUMIFS('Employee Data'!$AQ:$AQ,'Employee Data'!$W:$W,$A:$A,'Employee Data'!$BA:$BA,"Yes")</f>
        <v>0</v>
      </c>
      <c r="F56" s="78" t="n">
        <f aca="false">SUMIFS('Employee Data'!$AR:$AR,'Employee Data'!$W:$W,$A:$A)</f>
        <v>0</v>
      </c>
      <c r="G56" s="79" t="e">
        <f aca="false">H56/F56</f>
        <v>#DIV/0!</v>
      </c>
      <c r="H56" s="78" t="n">
        <f aca="false">SUMIFS('Employee Data'!$CQ:$CQ,'Employee Data'!$W:$W,$A:$A)</f>
        <v>0</v>
      </c>
      <c r="I56" s="78" t="n">
        <f aca="false">SUMIFS('Employee Data'!$CS:$CS,'Employee Data'!$W:$W,$A:$A)</f>
        <v>0</v>
      </c>
      <c r="J56" s="78" t="n">
        <f aca="false">SUMIFS('Employee Data'!$CW:$CW,'Employee Data'!$W:$W,$A:$A)</f>
        <v>0</v>
      </c>
      <c r="K56" s="78" t="n">
        <f aca="false">SUMIFS('Employee Data'!$BF:$BF,'Employee Data'!$W:$W,$A:$A,'Employee Data'!$BA:$BA,"Yes")</f>
        <v>0</v>
      </c>
      <c r="L56" s="78" t="n">
        <f aca="false">SUMIFS('Employee Data'!$BH:$BH,'Employee Data'!$W:$W,$A:$A)</f>
        <v>0</v>
      </c>
      <c r="M56" s="78" t="n">
        <f aca="false">SUMIFS('Employee Data'!$BI:$BI,'Employee Data'!$W:$W,$A:$A,'Employee Data'!$BA:$BA,"Yes")</f>
        <v>0</v>
      </c>
      <c r="N56" s="80" t="e">
        <f aca="false">O56/F56</f>
        <v>#DIV/0!</v>
      </c>
      <c r="O56" s="78" t="n">
        <f aca="false">SUMIFS('Employee Data'!$DJ:$DJ,'Employee Data'!$W:$W,$A:$A,'Employee Data'!$BA:$BA,"Yes")</f>
        <v>0</v>
      </c>
      <c r="P56" s="81" t="e">
        <f aca="false">Q56/F56</f>
        <v>#DIV/0!</v>
      </c>
      <c r="Q56" s="78" t="n">
        <f aca="false">SUMIFS('Employee Data'!$CU:$CU,'Employee Data'!$W:$W,$A:$A)</f>
        <v>0</v>
      </c>
      <c r="R56" s="81" t="e">
        <f aca="false">S56/F56</f>
        <v>#DIV/0!</v>
      </c>
      <c r="S56" s="78" t="n">
        <f aca="false">SUMIFS('Employee Data'!$CY:$CY,'Employee Data'!$W:$W,$A:$A)</f>
        <v>0</v>
      </c>
      <c r="T56" s="80" t="e">
        <f aca="false">U56/F56</f>
        <v>#DIV/0!</v>
      </c>
      <c r="U56" s="78" t="n">
        <f aca="false">SUMIFS('Employee Data'!$DL:$DL,'Employee Data'!$W:$W,$A:$A,'Employee Data'!$BA:$BA,"Yes")</f>
        <v>0</v>
      </c>
      <c r="V56" s="79" t="e">
        <f aca="false">W56/F56</f>
        <v>#DIV/0!</v>
      </c>
      <c r="W56" s="78" t="n">
        <f aca="false">SUMIFS('Employee Data'!$BN:$BN,'Employee Data'!$W:$W,$A:$A,'Employee Data'!$BA:$BA,"Yes")</f>
        <v>0</v>
      </c>
      <c r="X56" s="78" t="n">
        <f aca="false">SUMIFS('Employee Data'!$BO:$BO,'Employee Data'!$W:$W,$A:$A,'Employee Data'!$BA:$BA,"Yes")</f>
        <v>0</v>
      </c>
      <c r="Y56" s="78" t="n">
        <f aca="false">SUMIFS('Employee Data'!$BV:$BV,'Employee Data'!$W:$W,$A:$A,'Employee Data'!$BA:$BA,"Yes")</f>
        <v>0</v>
      </c>
      <c r="Z56" s="82"/>
      <c r="AA56" s="82"/>
      <c r="AB56" s="82"/>
      <c r="AC56" s="82"/>
      <c r="AD56" s="82"/>
      <c r="AE56" s="82"/>
      <c r="AF56" s="82"/>
    </row>
    <row r="57" s="83" customFormat="true" ht="12.75" hidden="true" customHeight="false" outlineLevel="1" collapsed="false">
      <c r="A57" s="76" t="s">
        <v>94</v>
      </c>
      <c r="B57" s="77" t="n">
        <f aca="false">COUNTIFS('Employee Data'!$W:$W,$A:$A)</f>
        <v>0</v>
      </c>
      <c r="C57" s="77" t="n">
        <f aca="false">COUNTIFS('Employee Data'!$W:$W,$A:$A,'Employee Data'!$BA:$BA,"Yes")</f>
        <v>0</v>
      </c>
      <c r="D57" s="78" t="n">
        <f aca="false">SUMIFS('Employee Data'!$AP:$AP,'Employee Data'!$W:$W,$A:$A)</f>
        <v>0</v>
      </c>
      <c r="E57" s="78" t="n">
        <f aca="false">SUMIFS('Employee Data'!$AQ:$AQ,'Employee Data'!$W:$W,$A:$A)</f>
        <v>0</v>
      </c>
      <c r="F57" s="78" t="n">
        <f aca="false">SUMIFS('Employee Data'!$AR:$AR,'Employee Data'!$W:$W,$A:$A)</f>
        <v>0</v>
      </c>
      <c r="G57" s="79" t="e">
        <f aca="false">H57/F57</f>
        <v>#DIV/0!</v>
      </c>
      <c r="H57" s="78" t="n">
        <f aca="false">SUMIFS('Employee Data'!$CQ:$CQ,'Employee Data'!$W:$W,$A:$A)</f>
        <v>0</v>
      </c>
      <c r="I57" s="78" t="n">
        <f aca="false">SUMIFS('Employee Data'!$CS:$CS,'Employee Data'!$W:$W,$A:$A)</f>
        <v>0</v>
      </c>
      <c r="J57" s="78" t="n">
        <f aca="false">SUMIFS('Employee Data'!$CW:$CW,'Employee Data'!$W:$W,$A:$A)</f>
        <v>0</v>
      </c>
      <c r="K57" s="78" t="n">
        <f aca="false">SUMIFS('Employee Data'!$BF:$BF,'Employee Data'!$W:$W,$A:$A)</f>
        <v>0</v>
      </c>
      <c r="L57" s="78" t="n">
        <f aca="false">SUMIFS('Employee Data'!$BH:$BH,'Employee Data'!$W:$W,$A:$A)</f>
        <v>0</v>
      </c>
      <c r="M57" s="78" t="n">
        <f aca="false">SUMIFS('Employee Data'!$BJ:$BJ,'Employee Data'!$W:$W,$A:$A)</f>
        <v>0</v>
      </c>
      <c r="N57" s="80" t="e">
        <f aca="false">O57/F57</f>
        <v>#DIV/0!</v>
      </c>
      <c r="O57" s="78" t="n">
        <f aca="false">SUMIFS('Employee Data'!$DJ:$DJ,'Employee Data'!$W:$W,$A:$A)</f>
        <v>0</v>
      </c>
      <c r="P57" s="81" t="e">
        <f aca="false">Q57/F57</f>
        <v>#DIV/0!</v>
      </c>
      <c r="Q57" s="78" t="n">
        <f aca="false">SUMIFS('Employee Data'!$CU:$CU,'Employee Data'!$W:$W,$A:$A)</f>
        <v>0</v>
      </c>
      <c r="R57" s="81" t="e">
        <f aca="false">S57/F57</f>
        <v>#DIV/0!</v>
      </c>
      <c r="S57" s="78" t="n">
        <f aca="false">SUMIFS('Employee Data'!$CY:$CY,'Employee Data'!$W:$W,$A:$A)</f>
        <v>0</v>
      </c>
      <c r="T57" s="80" t="e">
        <f aca="false">U57/F57</f>
        <v>#DIV/0!</v>
      </c>
      <c r="U57" s="78" t="n">
        <f aca="false">SUMIFS('Employee Data'!$DL:$DL,'Employee Data'!$W:$W,$A:$A)</f>
        <v>0</v>
      </c>
      <c r="V57" s="79" t="e">
        <f aca="false">W57/F57</f>
        <v>#DIV/0!</v>
      </c>
      <c r="W57" s="78" t="n">
        <f aca="false">SUMIFS('Employee Data'!$BN:$BN,'Employee Data'!$W:$W,$A:$A)</f>
        <v>0</v>
      </c>
      <c r="X57" s="78" t="n">
        <f aca="false">SUMIFS('Employee Data'!$BO:$BO,'Employee Data'!$W:$W,$A:$A)</f>
        <v>0</v>
      </c>
      <c r="Y57" s="78" t="n">
        <f aca="false">SUMIFS('Employee Data'!$BV:$BV,'Employee Data'!$W:$W,$A:$A)</f>
        <v>0</v>
      </c>
      <c r="Z57" s="82"/>
      <c r="AA57" s="82"/>
      <c r="AB57" s="82"/>
      <c r="AC57" s="82"/>
      <c r="AD57" s="82"/>
      <c r="AE57" s="82"/>
      <c r="AF57" s="82"/>
    </row>
    <row r="58" s="83" customFormat="true" ht="12.75" hidden="true" customHeight="false" outlineLevel="1" collapsed="false">
      <c r="A58" s="76" t="s">
        <v>95</v>
      </c>
      <c r="B58" s="77" t="n">
        <f aca="false">COUNTIFS('Employee Data'!$W:$W,$A:$A)</f>
        <v>0</v>
      </c>
      <c r="C58" s="77" t="n">
        <f aca="false">COUNTIFS('Employee Data'!$W:$W,$A:$A,'Employee Data'!$BA:$BA,"Yes")</f>
        <v>0</v>
      </c>
      <c r="D58" s="78" t="n">
        <f aca="false">SUMIFS('Employee Data'!$AP:$AP,'Employee Data'!$W:$W,$A:$A,'Employee Data'!$BA:$BA,"Yes")</f>
        <v>0</v>
      </c>
      <c r="E58" s="78" t="n">
        <f aca="false">SUMIFS('Employee Data'!$AQ:$AQ,'Employee Data'!$W:$W,$A:$A,'Employee Data'!$BA:$BA,"Yes")</f>
        <v>0</v>
      </c>
      <c r="F58" s="78" t="n">
        <f aca="false">SUMIFS('Employee Data'!$AR:$AR,'Employee Data'!$W:$W,$A:$A)</f>
        <v>0</v>
      </c>
      <c r="G58" s="79" t="e">
        <f aca="false">H58/F58</f>
        <v>#DIV/0!</v>
      </c>
      <c r="H58" s="78" t="n">
        <f aca="false">SUMIFS('Employee Data'!$CQ:$CQ,'Employee Data'!$W:$W,$A:$A)</f>
        <v>0</v>
      </c>
      <c r="I58" s="78" t="n">
        <f aca="false">SUMIFS('Employee Data'!$CS:$CS,'Employee Data'!$W:$W,$A:$A)</f>
        <v>0</v>
      </c>
      <c r="J58" s="78" t="n">
        <f aca="false">SUMIFS('Employee Data'!$CW:$CW,'Employee Data'!$W:$W,$A:$A)</f>
        <v>0</v>
      </c>
      <c r="K58" s="78" t="n">
        <f aca="false">SUMIFS('Employee Data'!$BF:$BF,'Employee Data'!$W:$W,$A:$A,'Employee Data'!$BA:$BA,"Yes")</f>
        <v>0</v>
      </c>
      <c r="L58" s="78" t="n">
        <f aca="false">SUMIFS('Employee Data'!$BH:$BH,'Employee Data'!$W:$W,$A:$A)</f>
        <v>0</v>
      </c>
      <c r="M58" s="78" t="n">
        <f aca="false">SUMIFS('Employee Data'!$BI:$BI,'Employee Data'!$W:$W,$A:$A,'Employee Data'!$BA:$BA,"Yes")</f>
        <v>0</v>
      </c>
      <c r="N58" s="80" t="e">
        <f aca="false">O58/F58</f>
        <v>#DIV/0!</v>
      </c>
      <c r="O58" s="78" t="n">
        <f aca="false">SUMIFS('Employee Data'!$DJ:$DJ,'Employee Data'!$W:$W,$A:$A,'Employee Data'!$BA:$BA,"Yes")</f>
        <v>0</v>
      </c>
      <c r="P58" s="81" t="e">
        <f aca="false">Q58/F58</f>
        <v>#DIV/0!</v>
      </c>
      <c r="Q58" s="78" t="n">
        <f aca="false">SUMIFS('Employee Data'!$CU:$CU,'Employee Data'!$W:$W,$A:$A)</f>
        <v>0</v>
      </c>
      <c r="R58" s="81" t="e">
        <f aca="false">S58/F58</f>
        <v>#DIV/0!</v>
      </c>
      <c r="S58" s="78" t="n">
        <f aca="false">SUMIFS('Employee Data'!$CY:$CY,'Employee Data'!$W:$W,$A:$A)</f>
        <v>0</v>
      </c>
      <c r="T58" s="80" t="e">
        <f aca="false">U58/F58</f>
        <v>#DIV/0!</v>
      </c>
      <c r="U58" s="78" t="n">
        <f aca="false">SUMIFS('Employee Data'!$DL:$DL,'Employee Data'!$W:$W,$A:$A,'Employee Data'!$BA:$BA,"Yes")</f>
        <v>0</v>
      </c>
      <c r="V58" s="79" t="e">
        <f aca="false">W58/F58</f>
        <v>#DIV/0!</v>
      </c>
      <c r="W58" s="78" t="n">
        <f aca="false">SUMIFS('Employee Data'!$BN:$BN,'Employee Data'!$W:$W,$A:$A,'Employee Data'!$BA:$BA,"Yes")</f>
        <v>0</v>
      </c>
      <c r="X58" s="78" t="n">
        <f aca="false">SUMIFS('Employee Data'!$BO:$BO,'Employee Data'!$W:$W,$A:$A,'Employee Data'!$BA:$BA,"Yes")</f>
        <v>0</v>
      </c>
      <c r="Y58" s="78" t="n">
        <f aca="false">SUMIFS('Employee Data'!$BV:$BV,'Employee Data'!$W:$W,$A:$A,'Employee Data'!$BA:$BA,"Yes")</f>
        <v>0</v>
      </c>
      <c r="Z58" s="82"/>
      <c r="AA58" s="82"/>
      <c r="AB58" s="82"/>
      <c r="AC58" s="82"/>
      <c r="AD58" s="82"/>
      <c r="AE58" s="82"/>
      <c r="AF58" s="82"/>
    </row>
    <row r="59" s="83" customFormat="true" ht="12.75" hidden="true" customHeight="false" outlineLevel="1" collapsed="false">
      <c r="A59" s="76" t="s">
        <v>96</v>
      </c>
      <c r="B59" s="77" t="n">
        <f aca="false">COUNTIFS('Employee Data'!$W:$W,$A:$A)</f>
        <v>0</v>
      </c>
      <c r="C59" s="77" t="n">
        <f aca="false">COUNTIFS('Employee Data'!$W:$W,$A:$A,'Employee Data'!$BA:$BA,"Yes")</f>
        <v>0</v>
      </c>
      <c r="D59" s="78" t="n">
        <f aca="false">SUMIFS('Employee Data'!$AP:$AP,'Employee Data'!$W:$W,$A:$A,'Employee Data'!$BA:$BA,"Yes")</f>
        <v>0</v>
      </c>
      <c r="E59" s="78" t="n">
        <f aca="false">SUMIFS('Employee Data'!$AQ:$AQ,'Employee Data'!$W:$W,$A:$A,'Employee Data'!$BA:$BA,"Yes")</f>
        <v>0</v>
      </c>
      <c r="F59" s="78" t="n">
        <f aca="false">SUMIFS('Employee Data'!$AR:$AR,'Employee Data'!$W:$W,$A:$A)</f>
        <v>0</v>
      </c>
      <c r="G59" s="79" t="e">
        <f aca="false">H59/F59</f>
        <v>#DIV/0!</v>
      </c>
      <c r="H59" s="78" t="n">
        <f aca="false">SUMIFS('Employee Data'!$CQ:$CQ,'Employee Data'!$W:$W,$A:$A)</f>
        <v>0</v>
      </c>
      <c r="I59" s="78" t="n">
        <f aca="false">SUMIFS('Employee Data'!$CS:$CS,'Employee Data'!$W:$W,$A:$A)</f>
        <v>0</v>
      </c>
      <c r="J59" s="78" t="n">
        <f aca="false">SUMIFS('Employee Data'!$CW:$CW,'Employee Data'!$W:$W,$A:$A)</f>
        <v>0</v>
      </c>
      <c r="K59" s="78" t="n">
        <f aca="false">SUMIFS('Employee Data'!$BF:$BF,'Employee Data'!$W:$W,$A:$A,'Employee Data'!$BA:$BA,"Yes")</f>
        <v>0</v>
      </c>
      <c r="L59" s="78" t="n">
        <f aca="false">SUMIFS('Employee Data'!$BH:$BH,'Employee Data'!$W:$W,$A:$A)</f>
        <v>0</v>
      </c>
      <c r="M59" s="78" t="n">
        <f aca="false">SUMIFS('Employee Data'!$BI:$BI,'Employee Data'!$W:$W,$A:$A,'Employee Data'!$BA:$BA,"Yes")</f>
        <v>0</v>
      </c>
      <c r="N59" s="80" t="e">
        <f aca="false">O59/F59</f>
        <v>#DIV/0!</v>
      </c>
      <c r="O59" s="78" t="n">
        <f aca="false">SUMIFS('Employee Data'!$DJ:$DJ,'Employee Data'!$W:$W,$A:$A,'Employee Data'!$BA:$BA,"Yes")</f>
        <v>0</v>
      </c>
      <c r="P59" s="81" t="e">
        <f aca="false">Q59/F59</f>
        <v>#DIV/0!</v>
      </c>
      <c r="Q59" s="78" t="n">
        <f aca="false">SUMIFS('Employee Data'!$CU:$CU,'Employee Data'!$W:$W,$A:$A)</f>
        <v>0</v>
      </c>
      <c r="R59" s="81" t="e">
        <f aca="false">S59/F59</f>
        <v>#DIV/0!</v>
      </c>
      <c r="S59" s="78" t="n">
        <f aca="false">SUMIFS('Employee Data'!$CY:$CY,'Employee Data'!$W:$W,$A:$A)</f>
        <v>0</v>
      </c>
      <c r="T59" s="80" t="e">
        <f aca="false">U59/F59</f>
        <v>#DIV/0!</v>
      </c>
      <c r="U59" s="78" t="n">
        <f aca="false">SUMIFS('Employee Data'!$DL:$DL,'Employee Data'!$W:$W,$A:$A,'Employee Data'!$BA:$BA,"Yes")</f>
        <v>0</v>
      </c>
      <c r="V59" s="79" t="e">
        <f aca="false">W59/F59</f>
        <v>#DIV/0!</v>
      </c>
      <c r="W59" s="78" t="n">
        <f aca="false">SUMIFS('Employee Data'!$BN:$BN,'Employee Data'!$W:$W,$A:$A,'Employee Data'!$BA:$BA,"Yes")</f>
        <v>0</v>
      </c>
      <c r="X59" s="78" t="n">
        <f aca="false">SUMIFS('Employee Data'!$BO:$BO,'Employee Data'!$W:$W,$A:$A,'Employee Data'!$BA:$BA,"Yes")</f>
        <v>0</v>
      </c>
      <c r="Y59" s="78" t="n">
        <f aca="false">SUMIFS('Employee Data'!$BV:$BV,'Employee Data'!$W:$W,$A:$A,'Employee Data'!$BA:$BA,"Yes")</f>
        <v>0</v>
      </c>
      <c r="Z59" s="82"/>
      <c r="AA59" s="82"/>
      <c r="AB59" s="82"/>
      <c r="AC59" s="82"/>
      <c r="AD59" s="82"/>
      <c r="AE59" s="82"/>
      <c r="AF59" s="82"/>
    </row>
    <row r="60" s="75" customFormat="true" ht="15.75" hidden="true" customHeight="false" outlineLevel="1" collapsed="false">
      <c r="A60" s="68" t="s">
        <v>97</v>
      </c>
      <c r="B60" s="69" t="n">
        <f aca="false">COUNTIFS('Employee Data'!$V:$V,$A:$A)</f>
        <v>0</v>
      </c>
      <c r="C60" s="69" t="n">
        <f aca="false">COUNTIFS('Employee Data'!$V:$V,$A:$A,'Employee Data'!$BA:$BA,"Yes")</f>
        <v>0</v>
      </c>
      <c r="D60" s="70" t="n">
        <f aca="false">SUMIFS('Employee Data'!$AP:$AP,'Employee Data'!$V:$V,$A:$A)</f>
        <v>0</v>
      </c>
      <c r="E60" s="70" t="n">
        <f aca="false">SUMIFS('Employee Data'!$AQ:$AQ,'Employee Data'!$V:$V,$A:$A)</f>
        <v>0</v>
      </c>
      <c r="F60" s="70" t="n">
        <f aca="false">SUMIFS('Employee Data'!$AR:$AR,'Employee Data'!$V:$V,$A:$A)</f>
        <v>0</v>
      </c>
      <c r="G60" s="71" t="e">
        <f aca="false">H60/F60</f>
        <v>#DIV/0!</v>
      </c>
      <c r="H60" s="70" t="n">
        <f aca="false">SUMIFS('Employee Data'!$CQ:$CQ,'Employee Data'!$V:$V,$A:$A)</f>
        <v>0</v>
      </c>
      <c r="I60" s="70" t="n">
        <f aca="false">SUMIFS('Employee Data'!$CS:$CS,'Employee Data'!$V:$V,$A:$A)</f>
        <v>0</v>
      </c>
      <c r="J60" s="70" t="n">
        <f aca="false">SUMIFS('Employee Data'!$CW:$CW,'Employee Data'!$V:$V,$A:$A)</f>
        <v>0</v>
      </c>
      <c r="K60" s="70" t="n">
        <f aca="false">SUMIFS('Employee Data'!$BF:$BF,'Employee Data'!$V:$V,$A:$A,'Employee Data'!$BA:$BA,"Yes")</f>
        <v>0</v>
      </c>
      <c r="L60" s="70" t="n">
        <f aca="false">SUMIFS('Employee Data'!$BH:$BH,'Employee Data'!$V:$V,$A:$A)</f>
        <v>0</v>
      </c>
      <c r="M60" s="70" t="n">
        <f aca="false">SUMIFS('Employee Data'!$BJ:$BJ,'Employee Data'!$V:$V,$A:$A)</f>
        <v>0</v>
      </c>
      <c r="N60" s="72" t="e">
        <f aca="false">O60/F60</f>
        <v>#DIV/0!</v>
      </c>
      <c r="O60" s="70" t="n">
        <f aca="false">SUMIFS('Employee Data'!$DJ:$DJ,'Employee Data'!$V:$V,$A:$A)</f>
        <v>0</v>
      </c>
      <c r="P60" s="73" t="e">
        <f aca="false">Q60/F60</f>
        <v>#DIV/0!</v>
      </c>
      <c r="Q60" s="70" t="n">
        <f aca="false">SUMIFS('Employee Data'!$CU:$CU,'Employee Data'!$V:$V,$A:$A)</f>
        <v>0</v>
      </c>
      <c r="R60" s="73" t="e">
        <f aca="false">S60/F60</f>
        <v>#DIV/0!</v>
      </c>
      <c r="S60" s="70" t="n">
        <f aca="false">SUMIFS('Employee Data'!$CY:$CY,'Employee Data'!$V:$V,$A:$A)</f>
        <v>0</v>
      </c>
      <c r="T60" s="72" t="e">
        <f aca="false">U60/F60</f>
        <v>#DIV/0!</v>
      </c>
      <c r="U60" s="70" t="n">
        <f aca="false">SUMIFS('Employee Data'!$DL:$DL,'Employee Data'!$V:$V,$A:$A)</f>
        <v>0</v>
      </c>
      <c r="V60" s="71" t="e">
        <f aca="false">W60/F60</f>
        <v>#DIV/0!</v>
      </c>
      <c r="W60" s="70" t="n">
        <f aca="false">SUMIFS('Employee Data'!$BN:$BN,'Employee Data'!$V:$V,$A:$A)</f>
        <v>0</v>
      </c>
      <c r="X60" s="70" t="n">
        <f aca="false">SUMIFS('Employee Data'!$BO:$BO,'Employee Data'!$V:$V,$A:$A)</f>
        <v>0</v>
      </c>
      <c r="Y60" s="70" t="n">
        <f aca="false">SUMIFS('Employee Data'!$BV:$BV,'Employee Data'!$V:$V,$A:$A)</f>
        <v>0</v>
      </c>
      <c r="Z60" s="74"/>
      <c r="AA60" s="74"/>
      <c r="AB60" s="74"/>
      <c r="AC60" s="74"/>
      <c r="AD60" s="74"/>
      <c r="AE60" s="74"/>
      <c r="AF60" s="74"/>
    </row>
    <row r="61" s="83" customFormat="true" ht="12.75" hidden="true" customHeight="false" outlineLevel="1" collapsed="false">
      <c r="A61" s="76" t="s">
        <v>98</v>
      </c>
      <c r="B61" s="77" t="n">
        <f aca="false">COUNTIFS('Employee Data'!$W:$W,$A:$A)</f>
        <v>0</v>
      </c>
      <c r="C61" s="77" t="n">
        <f aca="false">COUNTIFS('Employee Data'!$W:$W,$A:$A,'Employee Data'!$BA:$BA,"Yes")</f>
        <v>0</v>
      </c>
      <c r="D61" s="78" t="n">
        <f aca="false">SUMIFS('Employee Data'!$AP:$AP,'Employee Data'!$W:$W,$A:$A,'Employee Data'!$BA:$BA,"Yes")</f>
        <v>0</v>
      </c>
      <c r="E61" s="78" t="n">
        <f aca="false">SUMIFS('Employee Data'!$AQ:$AQ,'Employee Data'!$W:$W,$A:$A,'Employee Data'!$BA:$BA,"Yes")</f>
        <v>0</v>
      </c>
      <c r="F61" s="78" t="n">
        <f aca="false">SUMIFS('Employee Data'!$AR:$AR,'Employee Data'!$W:$W,$A:$A)</f>
        <v>0</v>
      </c>
      <c r="G61" s="79" t="e">
        <f aca="false">H61/F61</f>
        <v>#DIV/0!</v>
      </c>
      <c r="H61" s="78" t="n">
        <f aca="false">SUMIFS('Employee Data'!$CQ:$CQ,'Employee Data'!$W:$W,$A:$A)</f>
        <v>0</v>
      </c>
      <c r="I61" s="78" t="n">
        <f aca="false">SUMIFS('Employee Data'!$CS:$CS,'Employee Data'!$W:$W,$A:$A)</f>
        <v>0</v>
      </c>
      <c r="J61" s="78" t="n">
        <f aca="false">SUMIFS('Employee Data'!$CW:$CW,'Employee Data'!$W:$W,$A:$A)</f>
        <v>0</v>
      </c>
      <c r="K61" s="78" t="n">
        <f aca="false">SUMIFS('Employee Data'!$BF:$BF,'Employee Data'!$W:$W,$A:$A,'Employee Data'!$BA:$BA,"Yes")</f>
        <v>0</v>
      </c>
      <c r="L61" s="78" t="n">
        <f aca="false">SUMIFS('Employee Data'!$BH:$BH,'Employee Data'!$W:$W,$A:$A)</f>
        <v>0</v>
      </c>
      <c r="M61" s="78" t="n">
        <f aca="false">SUMIFS('Employee Data'!$BI:$BI,'Employee Data'!$W:$W,$A:$A,'Employee Data'!$BA:$BA,"Yes")</f>
        <v>0</v>
      </c>
      <c r="N61" s="80" t="e">
        <f aca="false">O61/F61</f>
        <v>#DIV/0!</v>
      </c>
      <c r="O61" s="78" t="n">
        <f aca="false">SUMIFS('Employee Data'!$DJ:$DJ,'Employee Data'!$W:$W,$A:$A,'Employee Data'!$BA:$BA,"Yes")</f>
        <v>0</v>
      </c>
      <c r="P61" s="81" t="e">
        <f aca="false">Q61/F61</f>
        <v>#DIV/0!</v>
      </c>
      <c r="Q61" s="78" t="n">
        <f aca="false">SUMIFS('Employee Data'!$CU:$CU,'Employee Data'!$W:$W,$A:$A)</f>
        <v>0</v>
      </c>
      <c r="R61" s="81" t="e">
        <f aca="false">S61/F61</f>
        <v>#DIV/0!</v>
      </c>
      <c r="S61" s="78" t="n">
        <f aca="false">SUMIFS('Employee Data'!$CY:$CY,'Employee Data'!$W:$W,$A:$A)</f>
        <v>0</v>
      </c>
      <c r="T61" s="80" t="e">
        <f aca="false">U61/F61</f>
        <v>#DIV/0!</v>
      </c>
      <c r="U61" s="78" t="n">
        <f aca="false">SUMIFS('Employee Data'!$DL:$DL,'Employee Data'!$W:$W,$A:$A,'Employee Data'!$BA:$BA,"Yes")</f>
        <v>0</v>
      </c>
      <c r="V61" s="79" t="e">
        <f aca="false">W61/F61</f>
        <v>#DIV/0!</v>
      </c>
      <c r="W61" s="78" t="n">
        <f aca="false">SUMIFS('Employee Data'!$BN:$BN,'Employee Data'!$W:$W,$A:$A,'Employee Data'!$BA:$BA,"Yes")</f>
        <v>0</v>
      </c>
      <c r="X61" s="78" t="n">
        <f aca="false">SUMIFS('Employee Data'!$BO:$BO,'Employee Data'!$W:$W,$A:$A,'Employee Data'!$BA:$BA,"Yes")</f>
        <v>0</v>
      </c>
      <c r="Y61" s="78" t="n">
        <f aca="false">SUMIFS('Employee Data'!$BV:$BV,'Employee Data'!$W:$W,$A:$A,'Employee Data'!$BA:$BA,"Yes")</f>
        <v>0</v>
      </c>
      <c r="Z61" s="82"/>
      <c r="AA61" s="82"/>
      <c r="AB61" s="82"/>
      <c r="AC61" s="82"/>
      <c r="AD61" s="82"/>
      <c r="AE61" s="82"/>
      <c r="AF61" s="82"/>
    </row>
    <row r="62" s="83" customFormat="true" ht="12.75" hidden="true" customHeight="false" outlineLevel="1" collapsed="false">
      <c r="A62" s="76" t="s">
        <v>99</v>
      </c>
      <c r="B62" s="77" t="n">
        <f aca="false">COUNTIFS('Employee Data'!$W:$W,$A:$A)</f>
        <v>0</v>
      </c>
      <c r="C62" s="77" t="n">
        <f aca="false">COUNTIFS('Employee Data'!$W:$W,$A:$A,'Employee Data'!$BA:$BA,"Yes")</f>
        <v>0</v>
      </c>
      <c r="D62" s="78" t="n">
        <f aca="false">SUMIFS('Employee Data'!$AP:$AP,'Employee Data'!$W:$W,$A:$A,'Employee Data'!$BA:$BA,"Yes")</f>
        <v>0</v>
      </c>
      <c r="E62" s="78" t="n">
        <f aca="false">SUMIFS('Employee Data'!$AQ:$AQ,'Employee Data'!$W:$W,$A:$A,'Employee Data'!$BA:$BA,"Yes")</f>
        <v>0</v>
      </c>
      <c r="F62" s="78" t="n">
        <f aca="false">SUMIFS('Employee Data'!$AR:$AR,'Employee Data'!$W:$W,$A:$A)</f>
        <v>0</v>
      </c>
      <c r="G62" s="79" t="e">
        <f aca="false">H62/F62</f>
        <v>#DIV/0!</v>
      </c>
      <c r="H62" s="78" t="n">
        <f aca="false">SUMIFS('Employee Data'!$CQ:$CQ,'Employee Data'!$W:$W,$A:$A)</f>
        <v>0</v>
      </c>
      <c r="I62" s="78" t="n">
        <f aca="false">SUMIFS('Employee Data'!$CS:$CS,'Employee Data'!$W:$W,$A:$A)</f>
        <v>0</v>
      </c>
      <c r="J62" s="78" t="n">
        <f aca="false">SUMIFS('Employee Data'!$CW:$CW,'Employee Data'!$W:$W,$A:$A)</f>
        <v>0</v>
      </c>
      <c r="K62" s="78" t="n">
        <f aca="false">SUMIFS('Employee Data'!$BF:$BF,'Employee Data'!$W:$W,$A:$A,'Employee Data'!$BA:$BA,"Yes")</f>
        <v>0</v>
      </c>
      <c r="L62" s="78" t="n">
        <f aca="false">SUMIFS('Employee Data'!$BH:$BH,'Employee Data'!$W:$W,$A:$A)</f>
        <v>0</v>
      </c>
      <c r="M62" s="78" t="n">
        <f aca="false">SUMIFS('Employee Data'!$BI:$BI,'Employee Data'!$W:$W,$A:$A,'Employee Data'!$BA:$BA,"Yes")</f>
        <v>0</v>
      </c>
      <c r="N62" s="80" t="e">
        <f aca="false">O62/F62</f>
        <v>#DIV/0!</v>
      </c>
      <c r="O62" s="78" t="n">
        <f aca="false">SUMIFS('Employee Data'!$DJ:$DJ,'Employee Data'!$W:$W,$A:$A,'Employee Data'!$BA:$BA,"Yes")</f>
        <v>0</v>
      </c>
      <c r="P62" s="81" t="e">
        <f aca="false">Q62/F62</f>
        <v>#DIV/0!</v>
      </c>
      <c r="Q62" s="78" t="n">
        <f aca="false">SUMIFS('Employee Data'!$CU:$CU,'Employee Data'!$W:$W,$A:$A)</f>
        <v>0</v>
      </c>
      <c r="R62" s="81" t="e">
        <f aca="false">S62/F62</f>
        <v>#DIV/0!</v>
      </c>
      <c r="S62" s="78" t="n">
        <f aca="false">SUMIFS('Employee Data'!$CY:$CY,'Employee Data'!$W:$W,$A:$A)</f>
        <v>0</v>
      </c>
      <c r="T62" s="80" t="e">
        <f aca="false">U62/F62</f>
        <v>#DIV/0!</v>
      </c>
      <c r="U62" s="78" t="n">
        <f aca="false">SUMIFS('Employee Data'!$DL:$DL,'Employee Data'!$W:$W,$A:$A,'Employee Data'!$BA:$BA,"Yes")</f>
        <v>0</v>
      </c>
      <c r="V62" s="79" t="e">
        <f aca="false">W62/F62</f>
        <v>#DIV/0!</v>
      </c>
      <c r="W62" s="78" t="n">
        <f aca="false">SUMIFS('Employee Data'!$BN:$BN,'Employee Data'!$W:$W,$A:$A,'Employee Data'!$BA:$BA,"Yes")</f>
        <v>0</v>
      </c>
      <c r="X62" s="78" t="n">
        <f aca="false">SUMIFS('Employee Data'!$BO:$BO,'Employee Data'!$W:$W,$A:$A,'Employee Data'!$BA:$BA,"Yes")</f>
        <v>0</v>
      </c>
      <c r="Y62" s="78" t="n">
        <f aca="false">SUMIFS('Employee Data'!$BV:$BV,'Employee Data'!$W:$W,$A:$A,'Employee Data'!$BA:$BA,"Yes")</f>
        <v>0</v>
      </c>
      <c r="Z62" s="82"/>
      <c r="AA62" s="82"/>
      <c r="AB62" s="82"/>
      <c r="AC62" s="82"/>
      <c r="AD62" s="82"/>
      <c r="AE62" s="82"/>
      <c r="AF62" s="82"/>
    </row>
    <row r="63" s="83" customFormat="true" ht="12.75" hidden="true" customHeight="false" outlineLevel="1" collapsed="false">
      <c r="A63" s="76" t="s">
        <v>100</v>
      </c>
      <c r="B63" s="77" t="n">
        <f aca="false">COUNTIFS('Employee Data'!$W:$W,$A:$A)</f>
        <v>0</v>
      </c>
      <c r="C63" s="77" t="n">
        <f aca="false">COUNTIFS('Employee Data'!$W:$W,$A:$A,'Employee Data'!$BA:$BA,"Yes")</f>
        <v>0</v>
      </c>
      <c r="D63" s="78" t="n">
        <f aca="false">SUMIFS('Employee Data'!$AP:$AP,'Employee Data'!$W:$W,$A:$A,'Employee Data'!$BA:$BA,"Yes")</f>
        <v>0</v>
      </c>
      <c r="E63" s="78" t="n">
        <f aca="false">SUMIFS('Employee Data'!$AQ:$AQ,'Employee Data'!$W:$W,$A:$A,'Employee Data'!$BA:$BA,"Yes")</f>
        <v>0</v>
      </c>
      <c r="F63" s="78" t="n">
        <f aca="false">SUMIFS('Employee Data'!$AR:$AR,'Employee Data'!$W:$W,$A:$A)</f>
        <v>0</v>
      </c>
      <c r="G63" s="79" t="e">
        <f aca="false">H63/F63</f>
        <v>#DIV/0!</v>
      </c>
      <c r="H63" s="78" t="n">
        <f aca="false">SUMIFS('Employee Data'!$CQ:$CQ,'Employee Data'!$W:$W,$A:$A)</f>
        <v>0</v>
      </c>
      <c r="I63" s="78" t="n">
        <f aca="false">SUMIFS('Employee Data'!$CS:$CS,'Employee Data'!$W:$W,$A:$A)</f>
        <v>0</v>
      </c>
      <c r="J63" s="78" t="n">
        <f aca="false">SUMIFS('Employee Data'!$CW:$CW,'Employee Data'!$W:$W,$A:$A)</f>
        <v>0</v>
      </c>
      <c r="K63" s="78" t="n">
        <f aca="false">SUMIFS('Employee Data'!$BF:$BF,'Employee Data'!$W:$W,$A:$A,'Employee Data'!$BA:$BA,"Yes")</f>
        <v>0</v>
      </c>
      <c r="L63" s="78" t="n">
        <f aca="false">SUMIFS('Employee Data'!$BH:$BH,'Employee Data'!$W:$W,$A:$A)</f>
        <v>0</v>
      </c>
      <c r="M63" s="78" t="n">
        <f aca="false">SUMIFS('Employee Data'!$BI:$BI,'Employee Data'!$W:$W,$A:$A,'Employee Data'!$BA:$BA,"Yes")</f>
        <v>0</v>
      </c>
      <c r="N63" s="80" t="e">
        <f aca="false">O63/F63</f>
        <v>#DIV/0!</v>
      </c>
      <c r="O63" s="78" t="n">
        <f aca="false">SUMIFS('Employee Data'!$DJ:$DJ,'Employee Data'!$W:$W,$A:$A,'Employee Data'!$BA:$BA,"Yes")</f>
        <v>0</v>
      </c>
      <c r="P63" s="81" t="e">
        <f aca="false">Q63/F63</f>
        <v>#DIV/0!</v>
      </c>
      <c r="Q63" s="78" t="n">
        <f aca="false">SUMIFS('Employee Data'!$CU:$CU,'Employee Data'!$W:$W,$A:$A)</f>
        <v>0</v>
      </c>
      <c r="R63" s="81" t="e">
        <f aca="false">S63/F63</f>
        <v>#DIV/0!</v>
      </c>
      <c r="S63" s="78" t="n">
        <f aca="false">SUMIFS('Employee Data'!$CY:$CY,'Employee Data'!$W:$W,$A:$A)</f>
        <v>0</v>
      </c>
      <c r="T63" s="80" t="e">
        <f aca="false">U63/F63</f>
        <v>#DIV/0!</v>
      </c>
      <c r="U63" s="78" t="n">
        <f aca="false">SUMIFS('Employee Data'!$DL:$DL,'Employee Data'!$W:$W,$A:$A,'Employee Data'!$BA:$BA,"Yes")</f>
        <v>0</v>
      </c>
      <c r="V63" s="79" t="e">
        <f aca="false">W63/F63</f>
        <v>#DIV/0!</v>
      </c>
      <c r="W63" s="78" t="n">
        <f aca="false">SUMIFS('Employee Data'!$BN:$BN,'Employee Data'!$W:$W,$A:$A,'Employee Data'!$BA:$BA,"Yes")</f>
        <v>0</v>
      </c>
      <c r="X63" s="78" t="n">
        <f aca="false">SUMIFS('Employee Data'!$BO:$BO,'Employee Data'!$W:$W,$A:$A,'Employee Data'!$BA:$BA,"Yes")</f>
        <v>0</v>
      </c>
      <c r="Y63" s="78" t="n">
        <f aca="false">SUMIFS('Employee Data'!$BV:$BV,'Employee Data'!$W:$W,$A:$A,'Employee Data'!$BA:$BA,"Yes")</f>
        <v>0</v>
      </c>
      <c r="Z63" s="82"/>
      <c r="AA63" s="82"/>
      <c r="AB63" s="82"/>
      <c r="AC63" s="82"/>
      <c r="AD63" s="82"/>
      <c r="AE63" s="82"/>
      <c r="AF63" s="82"/>
    </row>
    <row r="64" s="83" customFormat="true" ht="12.75" hidden="true" customHeight="false" outlineLevel="1" collapsed="false">
      <c r="A64" s="76" t="s">
        <v>101</v>
      </c>
      <c r="B64" s="77" t="n">
        <f aca="false">COUNTIFS('Employee Data'!$W:$W,$A:$A)</f>
        <v>0</v>
      </c>
      <c r="C64" s="77" t="n">
        <f aca="false">COUNTIFS('Employee Data'!$W:$W,$A:$A,'Employee Data'!$BA:$BA,"Yes")</f>
        <v>0</v>
      </c>
      <c r="D64" s="78" t="n">
        <f aca="false">SUMIFS('Employee Data'!$AP:$AP,'Employee Data'!$W:$W,$A:$A,'Employee Data'!$BA:$BA,"Yes")</f>
        <v>0</v>
      </c>
      <c r="E64" s="78" t="n">
        <f aca="false">SUMIFS('Employee Data'!$AQ:$AQ,'Employee Data'!$W:$W,$A:$A,'Employee Data'!$BA:$BA,"Yes")</f>
        <v>0</v>
      </c>
      <c r="F64" s="78" t="n">
        <f aca="false">SUMIFS('Employee Data'!$AR:$AR,'Employee Data'!$W:$W,$A:$A)</f>
        <v>0</v>
      </c>
      <c r="G64" s="79" t="e">
        <f aca="false">H64/F64</f>
        <v>#DIV/0!</v>
      </c>
      <c r="H64" s="78" t="n">
        <f aca="false">SUMIFS('Employee Data'!$CQ:$CQ,'Employee Data'!$W:$W,$A:$A)</f>
        <v>0</v>
      </c>
      <c r="I64" s="78" t="n">
        <f aca="false">SUMIFS('Employee Data'!$CS:$CS,'Employee Data'!$W:$W,$A:$A)</f>
        <v>0</v>
      </c>
      <c r="J64" s="78" t="n">
        <f aca="false">SUMIFS('Employee Data'!$CW:$CW,'Employee Data'!$W:$W,$A:$A)</f>
        <v>0</v>
      </c>
      <c r="K64" s="78" t="n">
        <f aca="false">SUMIFS('Employee Data'!$BF:$BF,'Employee Data'!$W:$W,$A:$A,'Employee Data'!$BA:$BA,"Yes")</f>
        <v>0</v>
      </c>
      <c r="L64" s="78" t="n">
        <f aca="false">SUMIFS('Employee Data'!$BH:$BH,'Employee Data'!$W:$W,$A:$A)</f>
        <v>0</v>
      </c>
      <c r="M64" s="78" t="n">
        <f aca="false">SUMIFS('Employee Data'!$BI:$BI,'Employee Data'!$W:$W,$A:$A,'Employee Data'!$BA:$BA,"Yes")</f>
        <v>0</v>
      </c>
      <c r="N64" s="80" t="e">
        <f aca="false">O64/F64</f>
        <v>#DIV/0!</v>
      </c>
      <c r="O64" s="78" t="n">
        <f aca="false">SUMIFS('Employee Data'!$DJ:$DJ,'Employee Data'!$W:$W,$A:$A,'Employee Data'!$BA:$BA,"Yes")</f>
        <v>0</v>
      </c>
      <c r="P64" s="81" t="e">
        <f aca="false">Q64/F64</f>
        <v>#DIV/0!</v>
      </c>
      <c r="Q64" s="78" t="n">
        <f aca="false">SUMIFS('Employee Data'!$CU:$CU,'Employee Data'!$W:$W,$A:$A)</f>
        <v>0</v>
      </c>
      <c r="R64" s="81" t="e">
        <f aca="false">S64/F64</f>
        <v>#DIV/0!</v>
      </c>
      <c r="S64" s="78" t="n">
        <f aca="false">SUMIFS('Employee Data'!$CY:$CY,'Employee Data'!$W:$W,$A:$A)</f>
        <v>0</v>
      </c>
      <c r="T64" s="80" t="e">
        <f aca="false">U64/F64</f>
        <v>#DIV/0!</v>
      </c>
      <c r="U64" s="78" t="n">
        <f aca="false">SUMIFS('Employee Data'!$DL:$DL,'Employee Data'!$W:$W,$A:$A,'Employee Data'!$BA:$BA,"Yes")</f>
        <v>0</v>
      </c>
      <c r="V64" s="79" t="e">
        <f aca="false">W64/F64</f>
        <v>#DIV/0!</v>
      </c>
      <c r="W64" s="78" t="n">
        <f aca="false">SUMIFS('Employee Data'!$BN:$BN,'Employee Data'!$W:$W,$A:$A,'Employee Data'!$BA:$BA,"Yes")</f>
        <v>0</v>
      </c>
      <c r="X64" s="78" t="n">
        <f aca="false">SUMIFS('Employee Data'!$BO:$BO,'Employee Data'!$W:$W,$A:$A,'Employee Data'!$BA:$BA,"Yes")</f>
        <v>0</v>
      </c>
      <c r="Y64" s="78" t="n">
        <f aca="false">SUMIFS('Employee Data'!$BV:$BV,'Employee Data'!$W:$W,$A:$A,'Employee Data'!$BA:$BA,"Yes")</f>
        <v>0</v>
      </c>
      <c r="Z64" s="82"/>
      <c r="AA64" s="82"/>
      <c r="AB64" s="82"/>
      <c r="AC64" s="82"/>
      <c r="AD64" s="82"/>
      <c r="AE64" s="82"/>
      <c r="AF64" s="82"/>
    </row>
    <row r="65" s="83" customFormat="true" ht="12.75" hidden="true" customHeight="false" outlineLevel="1" collapsed="false">
      <c r="A65" s="76" t="s">
        <v>102</v>
      </c>
      <c r="B65" s="77" t="n">
        <f aca="false">COUNTIFS('Employee Data'!$W:$W,$A:$A)</f>
        <v>0</v>
      </c>
      <c r="C65" s="77" t="n">
        <f aca="false">COUNTIFS('Employee Data'!$W:$W,$A:$A,'Employee Data'!$BA:$BA,"Yes")</f>
        <v>0</v>
      </c>
      <c r="D65" s="78" t="n">
        <f aca="false">SUMIFS('Employee Data'!$AP:$AP,'Employee Data'!$W:$W,$A:$A,'Employee Data'!$BA:$BA,"Yes")</f>
        <v>0</v>
      </c>
      <c r="E65" s="78" t="n">
        <f aca="false">SUMIFS('Employee Data'!$AQ:$AQ,'Employee Data'!$W:$W,$A:$A,'Employee Data'!$BA:$BA,"Yes")</f>
        <v>0</v>
      </c>
      <c r="F65" s="78" t="n">
        <f aca="false">SUMIFS('Employee Data'!$AR:$AR,'Employee Data'!$W:$W,$A:$A)</f>
        <v>0</v>
      </c>
      <c r="G65" s="79" t="e">
        <f aca="false">H65/F65</f>
        <v>#DIV/0!</v>
      </c>
      <c r="H65" s="78" t="n">
        <f aca="false">SUMIFS('Employee Data'!$CQ:$CQ,'Employee Data'!$W:$W,$A:$A)</f>
        <v>0</v>
      </c>
      <c r="I65" s="78" t="n">
        <f aca="false">SUMIFS('Employee Data'!$CS:$CS,'Employee Data'!$W:$W,$A:$A)</f>
        <v>0</v>
      </c>
      <c r="J65" s="78" t="n">
        <f aca="false">SUMIFS('Employee Data'!$CW:$CW,'Employee Data'!$W:$W,$A:$A)</f>
        <v>0</v>
      </c>
      <c r="K65" s="78" t="n">
        <f aca="false">SUMIFS('Employee Data'!$BF:$BF,'Employee Data'!$W:$W,$A:$A,'Employee Data'!$BA:$BA,"Yes")</f>
        <v>0</v>
      </c>
      <c r="L65" s="78" t="n">
        <f aca="false">SUMIFS('Employee Data'!$BH:$BH,'Employee Data'!$W:$W,$A:$A)</f>
        <v>0</v>
      </c>
      <c r="M65" s="78" t="n">
        <f aca="false">SUMIFS('Employee Data'!$BI:$BI,'Employee Data'!$W:$W,$A:$A,'Employee Data'!$BA:$BA,"Yes")</f>
        <v>0</v>
      </c>
      <c r="N65" s="80" t="e">
        <f aca="false">O65/F65</f>
        <v>#DIV/0!</v>
      </c>
      <c r="O65" s="78" t="n">
        <f aca="false">SUMIFS('Employee Data'!$DJ:$DJ,'Employee Data'!$W:$W,$A:$A,'Employee Data'!$BA:$BA,"Yes")</f>
        <v>0</v>
      </c>
      <c r="P65" s="81" t="e">
        <f aca="false">Q65/F65</f>
        <v>#DIV/0!</v>
      </c>
      <c r="Q65" s="78" t="n">
        <f aca="false">SUMIFS('Employee Data'!$CU:$CU,'Employee Data'!$W:$W,$A:$A)</f>
        <v>0</v>
      </c>
      <c r="R65" s="81" t="e">
        <f aca="false">S65/F65</f>
        <v>#DIV/0!</v>
      </c>
      <c r="S65" s="78" t="n">
        <f aca="false">SUMIFS('Employee Data'!$CY:$CY,'Employee Data'!$W:$W,$A:$A)</f>
        <v>0</v>
      </c>
      <c r="T65" s="80" t="e">
        <f aca="false">U65/F65</f>
        <v>#DIV/0!</v>
      </c>
      <c r="U65" s="78" t="n">
        <f aca="false">SUMIFS('Employee Data'!$DL:$DL,'Employee Data'!$W:$W,$A:$A,'Employee Data'!$BA:$BA,"Yes")</f>
        <v>0</v>
      </c>
      <c r="V65" s="79" t="e">
        <f aca="false">W65/F65</f>
        <v>#DIV/0!</v>
      </c>
      <c r="W65" s="78" t="n">
        <f aca="false">SUMIFS('Employee Data'!$BN:$BN,'Employee Data'!$W:$W,$A:$A,'Employee Data'!$BA:$BA,"Yes")</f>
        <v>0</v>
      </c>
      <c r="X65" s="78" t="n">
        <f aca="false">SUMIFS('Employee Data'!$BO:$BO,'Employee Data'!$W:$W,$A:$A,'Employee Data'!$BA:$BA,"Yes")</f>
        <v>0</v>
      </c>
      <c r="Y65" s="78" t="n">
        <f aca="false">SUMIFS('Employee Data'!$BV:$BV,'Employee Data'!$W:$W,$A:$A,'Employee Data'!$BA:$BA,"Yes")</f>
        <v>0</v>
      </c>
      <c r="Z65" s="82"/>
      <c r="AA65" s="82"/>
      <c r="AB65" s="82"/>
      <c r="AC65" s="82"/>
      <c r="AD65" s="82"/>
      <c r="AE65" s="82"/>
      <c r="AF65" s="82"/>
    </row>
    <row r="66" s="83" customFormat="true" ht="12.75" hidden="true" customHeight="false" outlineLevel="1" collapsed="false">
      <c r="A66" s="76" t="s">
        <v>103</v>
      </c>
      <c r="B66" s="77" t="n">
        <f aca="false">COUNTIFS('Employee Data'!$W:$W,$A:$A)</f>
        <v>0</v>
      </c>
      <c r="C66" s="77" t="n">
        <f aca="false">COUNTIFS('Employee Data'!$W:$W,$A:$A,'Employee Data'!$BA:$BA,"Yes")</f>
        <v>0</v>
      </c>
      <c r="D66" s="78" t="n">
        <f aca="false">SUMIFS('Employee Data'!$AP:$AP,'Employee Data'!$W:$W,$A:$A,'Employee Data'!$BA:$BA,"Yes")</f>
        <v>0</v>
      </c>
      <c r="E66" s="78" t="n">
        <f aca="false">SUMIFS('Employee Data'!$AQ:$AQ,'Employee Data'!$W:$W,$A:$A,'Employee Data'!$BA:$BA,"Yes")</f>
        <v>0</v>
      </c>
      <c r="F66" s="78" t="n">
        <f aca="false">SUMIFS('Employee Data'!$AR:$AR,'Employee Data'!$W:$W,$A:$A)</f>
        <v>0</v>
      </c>
      <c r="G66" s="79" t="e">
        <f aca="false">H66/F66</f>
        <v>#DIV/0!</v>
      </c>
      <c r="H66" s="78" t="n">
        <f aca="false">SUMIFS('Employee Data'!$CQ:$CQ,'Employee Data'!$W:$W,$A:$A)</f>
        <v>0</v>
      </c>
      <c r="I66" s="78" t="n">
        <f aca="false">SUMIFS('Employee Data'!$CS:$CS,'Employee Data'!$W:$W,$A:$A)</f>
        <v>0</v>
      </c>
      <c r="J66" s="78" t="n">
        <f aca="false">SUMIFS('Employee Data'!$CW:$CW,'Employee Data'!$W:$W,$A:$A)</f>
        <v>0</v>
      </c>
      <c r="K66" s="78" t="n">
        <f aca="false">SUMIFS('Employee Data'!$BF:$BF,'Employee Data'!$W:$W,$A:$A,'Employee Data'!$BA:$BA,"Yes")</f>
        <v>0</v>
      </c>
      <c r="L66" s="78" t="n">
        <f aca="false">SUMIFS('Employee Data'!$BH:$BH,'Employee Data'!$W:$W,$A:$A)</f>
        <v>0</v>
      </c>
      <c r="M66" s="78" t="n">
        <f aca="false">SUMIFS('Employee Data'!$BI:$BI,'Employee Data'!$W:$W,$A:$A,'Employee Data'!$BA:$BA,"Yes")</f>
        <v>0</v>
      </c>
      <c r="N66" s="80" t="e">
        <f aca="false">O66/F66</f>
        <v>#DIV/0!</v>
      </c>
      <c r="O66" s="78" t="n">
        <f aca="false">SUMIFS('Employee Data'!$DJ:$DJ,'Employee Data'!$W:$W,$A:$A,'Employee Data'!$BA:$BA,"Yes")</f>
        <v>0</v>
      </c>
      <c r="P66" s="81" t="e">
        <f aca="false">Q66/F66</f>
        <v>#DIV/0!</v>
      </c>
      <c r="Q66" s="78" t="n">
        <f aca="false">SUMIFS('Employee Data'!$CU:$CU,'Employee Data'!$W:$W,$A:$A)</f>
        <v>0</v>
      </c>
      <c r="R66" s="81" t="e">
        <f aca="false">S66/F66</f>
        <v>#DIV/0!</v>
      </c>
      <c r="S66" s="78" t="n">
        <f aca="false">SUMIFS('Employee Data'!$CY:$CY,'Employee Data'!$W:$W,$A:$A)</f>
        <v>0</v>
      </c>
      <c r="T66" s="80" t="e">
        <f aca="false">U66/F66</f>
        <v>#DIV/0!</v>
      </c>
      <c r="U66" s="78" t="n">
        <f aca="false">SUMIFS('Employee Data'!$DL:$DL,'Employee Data'!$W:$W,$A:$A,'Employee Data'!$BA:$BA,"Yes")</f>
        <v>0</v>
      </c>
      <c r="V66" s="79" t="e">
        <f aca="false">W66/F66</f>
        <v>#DIV/0!</v>
      </c>
      <c r="W66" s="78" t="n">
        <f aca="false">SUMIFS('Employee Data'!$BN:$BN,'Employee Data'!$W:$W,$A:$A,'Employee Data'!$BA:$BA,"Yes")</f>
        <v>0</v>
      </c>
      <c r="X66" s="78" t="n">
        <f aca="false">SUMIFS('Employee Data'!$BO:$BO,'Employee Data'!$W:$W,$A:$A,'Employee Data'!$BA:$BA,"Yes")</f>
        <v>0</v>
      </c>
      <c r="Y66" s="78" t="n">
        <f aca="false">SUMIFS('Employee Data'!$BV:$BV,'Employee Data'!$W:$W,$A:$A,'Employee Data'!$BA:$BA,"Yes")</f>
        <v>0</v>
      </c>
      <c r="Z66" s="82"/>
      <c r="AA66" s="82"/>
      <c r="AB66" s="82"/>
      <c r="AC66" s="82"/>
      <c r="AD66" s="82"/>
      <c r="AE66" s="82"/>
      <c r="AF66" s="82"/>
    </row>
    <row r="67" s="75" customFormat="true" ht="15.75" hidden="true" customHeight="false" outlineLevel="1" collapsed="false">
      <c r="A67" s="68" t="s">
        <v>104</v>
      </c>
      <c r="B67" s="69" t="n">
        <f aca="false">COUNTIFS('Employee Data'!$V:$V,$A:$A)</f>
        <v>0</v>
      </c>
      <c r="C67" s="69" t="n">
        <f aca="false">COUNTIFS('Employee Data'!$V:$V,$A:$A,'Employee Data'!$BA:$BA,"Yes")</f>
        <v>0</v>
      </c>
      <c r="D67" s="70" t="n">
        <f aca="false">SUMIFS('Employee Data'!$AP:$AP,'Employee Data'!$V:$V,$A:$A)</f>
        <v>0</v>
      </c>
      <c r="E67" s="70" t="n">
        <f aca="false">SUMIFS('Employee Data'!$AQ:$AQ,'Employee Data'!$V:$V,$A:$A)</f>
        <v>0</v>
      </c>
      <c r="F67" s="70" t="n">
        <f aca="false">SUMIFS('Employee Data'!$AR:$AR,'Employee Data'!$V:$V,$A:$A)</f>
        <v>0</v>
      </c>
      <c r="G67" s="71" t="e">
        <f aca="false">H67/F67</f>
        <v>#DIV/0!</v>
      </c>
      <c r="H67" s="70" t="n">
        <f aca="false">SUMIFS('Employee Data'!$CQ:$CQ,'Employee Data'!$V:$V,$A:$A)</f>
        <v>0</v>
      </c>
      <c r="I67" s="70" t="n">
        <f aca="false">SUMIFS('Employee Data'!$CS:$CS,'Employee Data'!$V:$V,$A:$A)</f>
        <v>0</v>
      </c>
      <c r="J67" s="70" t="n">
        <f aca="false">SUMIFS('Employee Data'!$CW:$CW,'Employee Data'!$V:$V,$A:$A)</f>
        <v>0</v>
      </c>
      <c r="K67" s="70" t="n">
        <f aca="false">SUMIFS('Employee Data'!$BF:$BF,'Employee Data'!$V:$V,$A:$A,'Employee Data'!$BA:$BA,"Yes")</f>
        <v>0</v>
      </c>
      <c r="L67" s="70" t="n">
        <f aca="false">SUMIFS('Employee Data'!$BH:$BH,'Employee Data'!$V:$V,$A:$A)</f>
        <v>0</v>
      </c>
      <c r="M67" s="70" t="n">
        <f aca="false">SUMIFS('Employee Data'!$BJ:$BJ,'Employee Data'!$V:$V,$A:$A)</f>
        <v>0</v>
      </c>
      <c r="N67" s="72" t="e">
        <f aca="false">O67/F67</f>
        <v>#DIV/0!</v>
      </c>
      <c r="O67" s="70" t="n">
        <f aca="false">SUMIFS('Employee Data'!$DJ:$DJ,'Employee Data'!$V:$V,$A:$A)</f>
        <v>0</v>
      </c>
      <c r="P67" s="73" t="e">
        <f aca="false">Q67/F67</f>
        <v>#DIV/0!</v>
      </c>
      <c r="Q67" s="70" t="n">
        <f aca="false">SUMIFS('Employee Data'!$CU:$CU,'Employee Data'!$V:$V,$A:$A)</f>
        <v>0</v>
      </c>
      <c r="R67" s="73" t="e">
        <f aca="false">S67/F67</f>
        <v>#DIV/0!</v>
      </c>
      <c r="S67" s="70" t="n">
        <f aca="false">SUMIFS('Employee Data'!$CY:$CY,'Employee Data'!$V:$V,$A:$A)</f>
        <v>0</v>
      </c>
      <c r="T67" s="72" t="e">
        <f aca="false">U67/F67</f>
        <v>#DIV/0!</v>
      </c>
      <c r="U67" s="70" t="n">
        <f aca="false">SUMIFS('Employee Data'!$DL:$DL,'Employee Data'!$V:$V,$A:$A)</f>
        <v>0</v>
      </c>
      <c r="V67" s="71" t="e">
        <f aca="false">W67/F67</f>
        <v>#DIV/0!</v>
      </c>
      <c r="W67" s="70" t="n">
        <f aca="false">SUMIFS('Employee Data'!$BN:$BN,'Employee Data'!$V:$V,$A:$A)</f>
        <v>0</v>
      </c>
      <c r="X67" s="70" t="n">
        <f aca="false">SUMIFS('Employee Data'!$BO:$BO,'Employee Data'!$V:$V,$A:$A)</f>
        <v>0</v>
      </c>
      <c r="Y67" s="70" t="n">
        <f aca="false">SUMIFS('Employee Data'!$BV:$BV,'Employee Data'!$V:$V,$A:$A)</f>
        <v>0</v>
      </c>
      <c r="Z67" s="74"/>
      <c r="AA67" s="74"/>
      <c r="AB67" s="74"/>
      <c r="AC67" s="74"/>
      <c r="AD67" s="74"/>
      <c r="AE67" s="74"/>
      <c r="AF67" s="74"/>
    </row>
    <row r="68" s="75" customFormat="true" ht="15.75" hidden="true" customHeight="false" outlineLevel="1" collapsed="false">
      <c r="A68" s="68" t="s">
        <v>105</v>
      </c>
      <c r="B68" s="69" t="n">
        <f aca="false">COUNTIFS('Employee Data'!$V:$V,$A:$A)</f>
        <v>0</v>
      </c>
      <c r="C68" s="69" t="n">
        <f aca="false">COUNTIFS('Employee Data'!$V:$V,$A:$A,'Employee Data'!$BA:$BA,"Yes")</f>
        <v>0</v>
      </c>
      <c r="D68" s="70" t="n">
        <f aca="false">SUMIFS('Employee Data'!$AP:$AP,'Employee Data'!$V:$V,$A:$A)</f>
        <v>0</v>
      </c>
      <c r="E68" s="70" t="n">
        <f aca="false">SUMIFS('Employee Data'!$AQ:$AQ,'Employee Data'!$V:$V,$A:$A)</f>
        <v>0</v>
      </c>
      <c r="F68" s="70" t="n">
        <f aca="false">SUMIFS('Employee Data'!$AR:$AR,'Employee Data'!$V:$V,$A:$A)</f>
        <v>0</v>
      </c>
      <c r="G68" s="71" t="e">
        <f aca="false">H68/F68</f>
        <v>#DIV/0!</v>
      </c>
      <c r="H68" s="70" t="n">
        <f aca="false">SUMIFS('Employee Data'!$CQ:$CQ,'Employee Data'!$V:$V,$A:$A)</f>
        <v>0</v>
      </c>
      <c r="I68" s="70" t="n">
        <f aca="false">SUMIFS('Employee Data'!$CS:$CS,'Employee Data'!$V:$V,$A:$A)</f>
        <v>0</v>
      </c>
      <c r="J68" s="70" t="n">
        <f aca="false">SUMIFS('Employee Data'!$CW:$CW,'Employee Data'!$V:$V,$A:$A)</f>
        <v>0</v>
      </c>
      <c r="K68" s="70" t="n">
        <f aca="false">SUMIFS('Employee Data'!$BF:$BF,'Employee Data'!$V:$V,$A:$A,'Employee Data'!$BA:$BA,"Yes")</f>
        <v>0</v>
      </c>
      <c r="L68" s="70" t="n">
        <f aca="false">SUMIFS('Employee Data'!$BH:$BH,'Employee Data'!$V:$V,$A:$A)</f>
        <v>0</v>
      </c>
      <c r="M68" s="70" t="n">
        <f aca="false">SUMIFS('Employee Data'!$BJ:$BJ,'Employee Data'!$V:$V,$A:$A)</f>
        <v>0</v>
      </c>
      <c r="N68" s="72" t="e">
        <f aca="false">O68/F68</f>
        <v>#DIV/0!</v>
      </c>
      <c r="O68" s="70" t="n">
        <f aca="false">SUMIFS('Employee Data'!$DJ:$DJ,'Employee Data'!$V:$V,$A:$A)</f>
        <v>0</v>
      </c>
      <c r="P68" s="73" t="e">
        <f aca="false">Q68/F68</f>
        <v>#DIV/0!</v>
      </c>
      <c r="Q68" s="70" t="n">
        <f aca="false">SUMIFS('Employee Data'!$CU:$CU,'Employee Data'!$V:$V,$A:$A)</f>
        <v>0</v>
      </c>
      <c r="R68" s="73" t="e">
        <f aca="false">S68/F68</f>
        <v>#DIV/0!</v>
      </c>
      <c r="S68" s="70" t="n">
        <f aca="false">SUMIFS('Employee Data'!$CY:$CY,'Employee Data'!$V:$V,$A:$A)</f>
        <v>0</v>
      </c>
      <c r="T68" s="72" t="e">
        <f aca="false">U68/F68</f>
        <v>#DIV/0!</v>
      </c>
      <c r="U68" s="70" t="n">
        <f aca="false">SUMIFS('Employee Data'!$DL:$DL,'Employee Data'!$V:$V,$A:$A)</f>
        <v>0</v>
      </c>
      <c r="V68" s="71" t="e">
        <f aca="false">W68/F68</f>
        <v>#DIV/0!</v>
      </c>
      <c r="W68" s="70" t="n">
        <f aca="false">SUMIFS('Employee Data'!$BN:$BN,'Employee Data'!$V:$V,$A:$A)</f>
        <v>0</v>
      </c>
      <c r="X68" s="70" t="n">
        <f aca="false">SUMIFS('Employee Data'!$BO:$BO,'Employee Data'!$V:$V,$A:$A)</f>
        <v>0</v>
      </c>
      <c r="Y68" s="70" t="n">
        <f aca="false">SUMIFS('Employee Data'!$BV:$BV,'Employee Data'!$V:$V,$A:$A)</f>
        <v>0</v>
      </c>
      <c r="Z68" s="74"/>
      <c r="AA68" s="74"/>
      <c r="AB68" s="74"/>
      <c r="AC68" s="74"/>
      <c r="AD68" s="74"/>
      <c r="AE68" s="74"/>
      <c r="AF68" s="74"/>
    </row>
    <row r="69" s="75" customFormat="true" ht="15.75" hidden="true" customHeight="false" outlineLevel="1" collapsed="false">
      <c r="A69" s="68" t="s">
        <v>106</v>
      </c>
      <c r="B69" s="69" t="n">
        <f aca="false">COUNTIFS('Employee Data'!$V:$V,$A:$A)</f>
        <v>0</v>
      </c>
      <c r="C69" s="69" t="n">
        <f aca="false">COUNTIFS('Employee Data'!$V:$V,$A:$A,'Employee Data'!$BA:$BA,"Yes")</f>
        <v>0</v>
      </c>
      <c r="D69" s="70" t="n">
        <f aca="false">SUMIFS('Employee Data'!$AP:$AP,'Employee Data'!$V:$V,$A:$A)</f>
        <v>0</v>
      </c>
      <c r="E69" s="70" t="n">
        <f aca="false">SUMIFS('Employee Data'!$AQ:$AQ,'Employee Data'!$V:$V,$A:$A)</f>
        <v>0</v>
      </c>
      <c r="F69" s="70" t="n">
        <f aca="false">SUMIFS('Employee Data'!$AR:$AR,'Employee Data'!$V:$V,$A:$A)</f>
        <v>0</v>
      </c>
      <c r="G69" s="71" t="e">
        <f aca="false">H69/F69</f>
        <v>#DIV/0!</v>
      </c>
      <c r="H69" s="70" t="n">
        <f aca="false">SUMIFS('Employee Data'!$CQ:$CQ,'Employee Data'!$V:$V,$A:$A)</f>
        <v>0</v>
      </c>
      <c r="I69" s="70" t="n">
        <f aca="false">SUMIFS('Employee Data'!$CS:$CS,'Employee Data'!$V:$V,$A:$A)</f>
        <v>0</v>
      </c>
      <c r="J69" s="70" t="n">
        <f aca="false">SUMIFS('Employee Data'!$CW:$CW,'Employee Data'!$V:$V,$A:$A)</f>
        <v>0</v>
      </c>
      <c r="K69" s="70" t="n">
        <f aca="false">SUMIFS('Employee Data'!$BF:$BF,'Employee Data'!$V:$V,$A:$A,'Employee Data'!$BA:$BA,"Yes")</f>
        <v>0</v>
      </c>
      <c r="L69" s="70" t="n">
        <f aca="false">SUMIFS('Employee Data'!$BH:$BH,'Employee Data'!$V:$V,$A:$A)</f>
        <v>0</v>
      </c>
      <c r="M69" s="70" t="n">
        <f aca="false">SUMIFS('Employee Data'!$BJ:$BJ,'Employee Data'!$V:$V,$A:$A)</f>
        <v>0</v>
      </c>
      <c r="N69" s="72" t="e">
        <f aca="false">O69/F69</f>
        <v>#DIV/0!</v>
      </c>
      <c r="O69" s="70" t="n">
        <f aca="false">SUMIFS('Employee Data'!$DJ:$DJ,'Employee Data'!$V:$V,$A:$A)</f>
        <v>0</v>
      </c>
      <c r="P69" s="73" t="e">
        <f aca="false">Q69/F69</f>
        <v>#DIV/0!</v>
      </c>
      <c r="Q69" s="70" t="n">
        <f aca="false">SUMIFS('Employee Data'!$CU:$CU,'Employee Data'!$V:$V,$A:$A)</f>
        <v>0</v>
      </c>
      <c r="R69" s="73" t="e">
        <f aca="false">S69/F69</f>
        <v>#DIV/0!</v>
      </c>
      <c r="S69" s="70" t="n">
        <f aca="false">SUMIFS('Employee Data'!$CY:$CY,'Employee Data'!$V:$V,$A:$A)</f>
        <v>0</v>
      </c>
      <c r="T69" s="72" t="e">
        <f aca="false">U69/F69</f>
        <v>#DIV/0!</v>
      </c>
      <c r="U69" s="70" t="n">
        <f aca="false">SUMIFS('Employee Data'!$DL:$DL,'Employee Data'!$V:$V,$A:$A)</f>
        <v>0</v>
      </c>
      <c r="V69" s="71" t="e">
        <f aca="false">W69/F69</f>
        <v>#DIV/0!</v>
      </c>
      <c r="W69" s="70" t="n">
        <f aca="false">SUMIFS('Employee Data'!$BN:$BN,'Employee Data'!$V:$V,$A:$A)</f>
        <v>0</v>
      </c>
      <c r="X69" s="70" t="n">
        <f aca="false">SUMIFS('Employee Data'!$BO:$BO,'Employee Data'!$V:$V,$A:$A)</f>
        <v>0</v>
      </c>
      <c r="Y69" s="70" t="n">
        <f aca="false">SUMIFS('Employee Data'!$BV:$BV,'Employee Data'!$V:$V,$A:$A)</f>
        <v>0</v>
      </c>
      <c r="Z69" s="74"/>
      <c r="AA69" s="74"/>
      <c r="AB69" s="74"/>
      <c r="AC69" s="74"/>
      <c r="AD69" s="74"/>
      <c r="AE69" s="74"/>
      <c r="AF69" s="74"/>
    </row>
    <row r="70" customFormat="false" ht="15" hidden="true" customHeight="false" outlineLevel="1" collapsed="false">
      <c r="A70" s="76" t="s">
        <v>107</v>
      </c>
      <c r="B70" s="77" t="n">
        <f aca="false">COUNTIFS('Employee Data'!$W:$W,$A:$A)</f>
        <v>0</v>
      </c>
      <c r="C70" s="77" t="n">
        <f aca="false">COUNTIFS('Employee Data'!$W:$W,$A:$A,'Employee Data'!$BA:$BA,"Yes")</f>
        <v>0</v>
      </c>
      <c r="D70" s="78" t="n">
        <f aca="false">SUMIFS('Employee Data'!$AP:$AP,'Employee Data'!$W:$W,$A:$A,'Employee Data'!$BA:$BA,"Yes")</f>
        <v>0</v>
      </c>
      <c r="E70" s="78" t="n">
        <f aca="false">SUMIFS('Employee Data'!$AQ:$AQ,'Employee Data'!$W:$W,$A:$A,'Employee Data'!$BA:$BA,"Yes")</f>
        <v>0</v>
      </c>
      <c r="F70" s="78" t="n">
        <f aca="false">SUMIFS('Employee Data'!$AR:$AR,'Employee Data'!$W:$W,$A:$A)</f>
        <v>0</v>
      </c>
      <c r="G70" s="79" t="e">
        <f aca="false">H70/F70</f>
        <v>#DIV/0!</v>
      </c>
      <c r="H70" s="78" t="n">
        <f aca="false">SUMIFS('Employee Data'!$CQ:$CQ,'Employee Data'!$W:$W,$A:$A)</f>
        <v>0</v>
      </c>
      <c r="I70" s="78" t="n">
        <f aca="false">SUMIFS('Employee Data'!$CS:$CS,'Employee Data'!$W:$W,$A:$A)</f>
        <v>0</v>
      </c>
      <c r="J70" s="78" t="n">
        <f aca="false">SUMIFS('Employee Data'!$CW:$CW,'Employee Data'!$W:$W,$A:$A)</f>
        <v>0</v>
      </c>
      <c r="K70" s="78" t="n">
        <f aca="false">SUMIFS('Employee Data'!$BF:$BF,'Employee Data'!$W:$W,$A:$A,'Employee Data'!$BA:$BA,"Yes")</f>
        <v>0</v>
      </c>
      <c r="L70" s="78" t="n">
        <f aca="false">SUMIFS('Employee Data'!$BH:$BH,'Employee Data'!$W:$W,$A:$A)</f>
        <v>0</v>
      </c>
      <c r="M70" s="78" t="n">
        <f aca="false">SUMIFS('Employee Data'!$BI:$BI,'Employee Data'!$W:$W,$A:$A,'Employee Data'!$BA:$BA,"Yes")</f>
        <v>0</v>
      </c>
      <c r="N70" s="80" t="e">
        <f aca="false">O70/F70</f>
        <v>#DIV/0!</v>
      </c>
      <c r="O70" s="78" t="n">
        <f aca="false">SUMIFS('Employee Data'!$DJ:$DJ,'Employee Data'!$W:$W,$A:$A,'Employee Data'!$BA:$BA,"Yes")</f>
        <v>0</v>
      </c>
      <c r="P70" s="81" t="e">
        <f aca="false">Q70/F70</f>
        <v>#DIV/0!</v>
      </c>
      <c r="Q70" s="78" t="n">
        <f aca="false">SUMIFS('Employee Data'!$CU:$CU,'Employee Data'!$W:$W,$A:$A)</f>
        <v>0</v>
      </c>
      <c r="R70" s="81" t="e">
        <f aca="false">S70/F70</f>
        <v>#DIV/0!</v>
      </c>
      <c r="S70" s="78" t="n">
        <f aca="false">SUMIFS('Employee Data'!$CY:$CY,'Employee Data'!$W:$W,$A:$A)</f>
        <v>0</v>
      </c>
      <c r="T70" s="80" t="e">
        <f aca="false">U70/F70</f>
        <v>#DIV/0!</v>
      </c>
      <c r="U70" s="78" t="n">
        <f aca="false">SUMIFS('Employee Data'!$DL:$DL,'Employee Data'!$W:$W,$A:$A,'Employee Data'!$BA:$BA,"Yes")</f>
        <v>0</v>
      </c>
      <c r="V70" s="79" t="e">
        <f aca="false">W70/F70</f>
        <v>#DIV/0!</v>
      </c>
      <c r="W70" s="78" t="n">
        <f aca="false">SUMIFS('Employee Data'!$BN:$BN,'Employee Data'!$W:$W,$A:$A,'Employee Data'!$BA:$BA,"Yes")</f>
        <v>0</v>
      </c>
      <c r="X70" s="78" t="n">
        <f aca="false">SUMIFS('Employee Data'!$BO:$BO,'Employee Data'!$W:$W,$A:$A,'Employee Data'!$BA:$BA,"Yes")</f>
        <v>0</v>
      </c>
      <c r="Y70" s="78" t="n">
        <f aca="false">SUMIFS('Employee Data'!$BV:$BV,'Employee Data'!$W:$W,$A:$A,'Employee Data'!$BA:$BA,"Yes")</f>
        <v>0</v>
      </c>
      <c r="Z70" s="5"/>
      <c r="AA70" s="5"/>
    </row>
    <row r="71" customFormat="false" ht="15" hidden="true" customHeight="false" outlineLevel="1" collapsed="false">
      <c r="A71" s="76" t="s">
        <v>108</v>
      </c>
      <c r="B71" s="77" t="n">
        <f aca="false">COUNTIFS('Employee Data'!$W:$W,$A:$A)</f>
        <v>0</v>
      </c>
      <c r="C71" s="77" t="n">
        <f aca="false">COUNTIFS('Employee Data'!$W:$W,$A:$A,'Employee Data'!$BA:$BA,"Yes")</f>
        <v>0</v>
      </c>
      <c r="D71" s="78" t="n">
        <f aca="false">SUMIFS('Employee Data'!$AP:$AP,'Employee Data'!$W:$W,$A:$A,'Employee Data'!$BA:$BA,"Yes")</f>
        <v>0</v>
      </c>
      <c r="E71" s="78" t="n">
        <f aca="false">SUMIFS('Employee Data'!$AQ:$AQ,'Employee Data'!$W:$W,$A:$A,'Employee Data'!$BA:$BA,"Yes")</f>
        <v>0</v>
      </c>
      <c r="F71" s="78" t="n">
        <f aca="false">SUMIFS('Employee Data'!$AR:$AR,'Employee Data'!$W:$W,$A:$A)</f>
        <v>0</v>
      </c>
      <c r="G71" s="79" t="e">
        <f aca="false">H71/F71</f>
        <v>#DIV/0!</v>
      </c>
      <c r="H71" s="78" t="n">
        <f aca="false">SUMIFS('Employee Data'!$CQ:$CQ,'Employee Data'!$W:$W,$A:$A)</f>
        <v>0</v>
      </c>
      <c r="I71" s="78" t="n">
        <f aca="false">SUMIFS('Employee Data'!$CS:$CS,'Employee Data'!$W:$W,$A:$A)</f>
        <v>0</v>
      </c>
      <c r="J71" s="78" t="n">
        <f aca="false">SUMIFS('Employee Data'!$CW:$CW,'Employee Data'!$W:$W,$A:$A)</f>
        <v>0</v>
      </c>
      <c r="K71" s="78" t="n">
        <f aca="false">SUMIFS('Employee Data'!$BF:$BF,'Employee Data'!$W:$W,$A:$A,'Employee Data'!$BA:$BA,"Yes")</f>
        <v>0</v>
      </c>
      <c r="L71" s="78" t="n">
        <f aca="false">SUMIFS('Employee Data'!$BH:$BH,'Employee Data'!$W:$W,$A:$A)</f>
        <v>0</v>
      </c>
      <c r="M71" s="78" t="n">
        <f aca="false">SUMIFS('Employee Data'!$BI:$BI,'Employee Data'!$W:$W,$A:$A,'Employee Data'!$BA:$BA,"Yes")</f>
        <v>0</v>
      </c>
      <c r="N71" s="80" t="e">
        <f aca="false">O71/F71</f>
        <v>#DIV/0!</v>
      </c>
      <c r="O71" s="78" t="n">
        <f aca="false">SUMIFS('Employee Data'!$DJ:$DJ,'Employee Data'!$W:$W,$A:$A,'Employee Data'!$BA:$BA,"Yes")</f>
        <v>0</v>
      </c>
      <c r="P71" s="81" t="e">
        <f aca="false">Q71/F71</f>
        <v>#DIV/0!</v>
      </c>
      <c r="Q71" s="78" t="n">
        <f aca="false">SUMIFS('Employee Data'!$CU:$CU,'Employee Data'!$W:$W,$A:$A)</f>
        <v>0</v>
      </c>
      <c r="R71" s="81" t="e">
        <f aca="false">S71/F71</f>
        <v>#DIV/0!</v>
      </c>
      <c r="S71" s="78" t="n">
        <f aca="false">SUMIFS('Employee Data'!$CY:$CY,'Employee Data'!$W:$W,$A:$A)</f>
        <v>0</v>
      </c>
      <c r="T71" s="80" t="e">
        <f aca="false">U71/F71</f>
        <v>#DIV/0!</v>
      </c>
      <c r="U71" s="78" t="n">
        <f aca="false">SUMIFS('Employee Data'!$DL:$DL,'Employee Data'!$W:$W,$A:$A,'Employee Data'!$BA:$BA,"Yes")</f>
        <v>0</v>
      </c>
      <c r="V71" s="79" t="e">
        <f aca="false">W71/F71</f>
        <v>#DIV/0!</v>
      </c>
      <c r="W71" s="78" t="n">
        <f aca="false">SUMIFS('Employee Data'!$BN:$BN,'Employee Data'!$W:$W,$A:$A,'Employee Data'!$BA:$BA,"Yes")</f>
        <v>0</v>
      </c>
      <c r="X71" s="78" t="n">
        <f aca="false">SUMIFS('Employee Data'!$BO:$BO,'Employee Data'!$W:$W,$A:$A,'Employee Data'!$BA:$BA,"Yes")</f>
        <v>0</v>
      </c>
      <c r="Y71" s="78" t="n">
        <f aca="false">SUMIFS('Employee Data'!$BV:$BV,'Employee Data'!$W:$W,$A:$A,'Employee Data'!$BA:$BA,"Yes")</f>
        <v>0</v>
      </c>
      <c r="Z71" s="5"/>
      <c r="AA71" s="5"/>
    </row>
    <row r="72" customFormat="false" ht="15" hidden="true" customHeight="false" outlineLevel="1" collapsed="false">
      <c r="A72" s="76" t="s">
        <v>109</v>
      </c>
      <c r="B72" s="77" t="n">
        <f aca="false">COUNTIFS('Employee Data'!$W:$W,$A:$A)</f>
        <v>0</v>
      </c>
      <c r="C72" s="77" t="n">
        <f aca="false">COUNTIFS('Employee Data'!$W:$W,$A:$A,'Employee Data'!$BA:$BA,"Yes")</f>
        <v>0</v>
      </c>
      <c r="D72" s="78" t="n">
        <f aca="false">SUMIFS('Employee Data'!$AP:$AP,'Employee Data'!$W:$W,$A:$A,'Employee Data'!$BA:$BA,"Yes")</f>
        <v>0</v>
      </c>
      <c r="E72" s="78" t="n">
        <f aca="false">SUMIFS('Employee Data'!$AQ:$AQ,'Employee Data'!$W:$W,$A:$A,'Employee Data'!$BA:$BA,"Yes")</f>
        <v>0</v>
      </c>
      <c r="F72" s="78" t="n">
        <f aca="false">SUMIFS('Employee Data'!$AR:$AR,'Employee Data'!$W:$W,$A:$A)</f>
        <v>0</v>
      </c>
      <c r="G72" s="79" t="e">
        <f aca="false">H72/F72</f>
        <v>#DIV/0!</v>
      </c>
      <c r="H72" s="78" t="n">
        <f aca="false">SUMIFS('Employee Data'!$CQ:$CQ,'Employee Data'!$W:$W,$A:$A)</f>
        <v>0</v>
      </c>
      <c r="I72" s="78" t="n">
        <f aca="false">SUMIFS('Employee Data'!$CS:$CS,'Employee Data'!$W:$W,$A:$A)</f>
        <v>0</v>
      </c>
      <c r="J72" s="78" t="n">
        <f aca="false">SUMIFS('Employee Data'!$CW:$CW,'Employee Data'!$W:$W,$A:$A)</f>
        <v>0</v>
      </c>
      <c r="K72" s="78" t="n">
        <f aca="false">SUMIFS('Employee Data'!$BF:$BF,'Employee Data'!$W:$W,$A:$A,'Employee Data'!$BA:$BA,"Yes")</f>
        <v>0</v>
      </c>
      <c r="L72" s="78" t="n">
        <f aca="false">SUMIFS('Employee Data'!$BH:$BH,'Employee Data'!$W:$W,$A:$A)</f>
        <v>0</v>
      </c>
      <c r="M72" s="78" t="n">
        <f aca="false">SUMIFS('Employee Data'!$BI:$BI,'Employee Data'!$W:$W,$A:$A,'Employee Data'!$BA:$BA,"Yes")</f>
        <v>0</v>
      </c>
      <c r="N72" s="80" t="e">
        <f aca="false">O72/F72</f>
        <v>#DIV/0!</v>
      </c>
      <c r="O72" s="78" t="n">
        <f aca="false">SUMIFS('Employee Data'!$DJ:$DJ,'Employee Data'!$W:$W,$A:$A,'Employee Data'!$BA:$BA,"Yes")</f>
        <v>0</v>
      </c>
      <c r="P72" s="81" t="e">
        <f aca="false">Q72/F72</f>
        <v>#DIV/0!</v>
      </c>
      <c r="Q72" s="78" t="n">
        <f aca="false">SUMIFS('Employee Data'!$CU:$CU,'Employee Data'!$W:$W,$A:$A)</f>
        <v>0</v>
      </c>
      <c r="R72" s="81" t="e">
        <f aca="false">S72/F72</f>
        <v>#DIV/0!</v>
      </c>
      <c r="S72" s="78" t="n">
        <f aca="false">SUMIFS('Employee Data'!$CY:$CY,'Employee Data'!$W:$W,$A:$A)</f>
        <v>0</v>
      </c>
      <c r="T72" s="80" t="e">
        <f aca="false">U72/F72</f>
        <v>#DIV/0!</v>
      </c>
      <c r="U72" s="78" t="n">
        <f aca="false">SUMIFS('Employee Data'!$DL:$DL,'Employee Data'!$W:$W,$A:$A,'Employee Data'!$BA:$BA,"Yes")</f>
        <v>0</v>
      </c>
      <c r="V72" s="79" t="e">
        <f aca="false">W72/F72</f>
        <v>#DIV/0!</v>
      </c>
      <c r="W72" s="78" t="n">
        <f aca="false">SUMIFS('Employee Data'!$BN:$BN,'Employee Data'!$W:$W,$A:$A,'Employee Data'!$BA:$BA,"Yes")</f>
        <v>0</v>
      </c>
      <c r="X72" s="78" t="n">
        <f aca="false">SUMIFS('Employee Data'!$BO:$BO,'Employee Data'!$W:$W,$A:$A,'Employee Data'!$BA:$BA,"Yes")</f>
        <v>0</v>
      </c>
      <c r="Y72" s="78" t="n">
        <f aca="false">SUMIFS('Employee Data'!$BV:$BV,'Employee Data'!$W:$W,$A:$A,'Employee Data'!$BA:$BA,"Yes")</f>
        <v>0</v>
      </c>
      <c r="Z72" s="5"/>
      <c r="AA72" s="5"/>
    </row>
    <row r="73" customFormat="false" ht="15" hidden="true" customHeight="false" outlineLevel="1" collapsed="false">
      <c r="A73" s="76" t="s">
        <v>110</v>
      </c>
      <c r="B73" s="77" t="n">
        <f aca="false">COUNTIFS('Employee Data'!$W:$W,$A:$A)</f>
        <v>0</v>
      </c>
      <c r="C73" s="77" t="n">
        <f aca="false">COUNTIFS('Employee Data'!$W:$W,$A:$A,'Employee Data'!$BA:$BA,"Yes")</f>
        <v>0</v>
      </c>
      <c r="D73" s="78" t="n">
        <f aca="false">SUMIFS('Employee Data'!$AP:$AP,'Employee Data'!$W:$W,$A:$A,'Employee Data'!$BA:$BA,"Yes")</f>
        <v>0</v>
      </c>
      <c r="E73" s="78" t="n">
        <f aca="false">SUMIFS('Employee Data'!$AQ:$AQ,'Employee Data'!$W:$W,$A:$A,'Employee Data'!$BA:$BA,"Yes")</f>
        <v>0</v>
      </c>
      <c r="F73" s="78" t="n">
        <f aca="false">SUMIFS('Employee Data'!$AR:$AR,'Employee Data'!$W:$W,$A:$A)</f>
        <v>0</v>
      </c>
      <c r="G73" s="79" t="e">
        <f aca="false">H73/F73</f>
        <v>#DIV/0!</v>
      </c>
      <c r="H73" s="78" t="n">
        <f aca="false">SUMIFS('Employee Data'!$CQ:$CQ,'Employee Data'!$W:$W,$A:$A)</f>
        <v>0</v>
      </c>
      <c r="I73" s="78" t="n">
        <f aca="false">SUMIFS('Employee Data'!$CS:$CS,'Employee Data'!$W:$W,$A:$A)</f>
        <v>0</v>
      </c>
      <c r="J73" s="78" t="n">
        <f aca="false">SUMIFS('Employee Data'!$CW:$CW,'Employee Data'!$W:$W,$A:$A)</f>
        <v>0</v>
      </c>
      <c r="K73" s="78" t="n">
        <f aca="false">SUMIFS('Employee Data'!$BF:$BF,'Employee Data'!$W:$W,$A:$A,'Employee Data'!$BA:$BA,"Yes")</f>
        <v>0</v>
      </c>
      <c r="L73" s="78" t="n">
        <f aca="false">SUMIFS('Employee Data'!$BH:$BH,'Employee Data'!$W:$W,$A:$A)</f>
        <v>0</v>
      </c>
      <c r="M73" s="78" t="n">
        <f aca="false">SUMIFS('Employee Data'!$BI:$BI,'Employee Data'!$W:$W,$A:$A,'Employee Data'!$BA:$BA,"Yes")</f>
        <v>0</v>
      </c>
      <c r="N73" s="80" t="e">
        <f aca="false">O73/F73</f>
        <v>#DIV/0!</v>
      </c>
      <c r="O73" s="78" t="n">
        <f aca="false">SUMIFS('Employee Data'!$DJ:$DJ,'Employee Data'!$W:$W,$A:$A,'Employee Data'!$BA:$BA,"Yes")</f>
        <v>0</v>
      </c>
      <c r="P73" s="81" t="e">
        <f aca="false">Q73/F73</f>
        <v>#DIV/0!</v>
      </c>
      <c r="Q73" s="78" t="n">
        <f aca="false">SUMIFS('Employee Data'!$CU:$CU,'Employee Data'!$W:$W,$A:$A)</f>
        <v>0</v>
      </c>
      <c r="R73" s="81" t="e">
        <f aca="false">S73/F73</f>
        <v>#DIV/0!</v>
      </c>
      <c r="S73" s="78" t="n">
        <f aca="false">SUMIFS('Employee Data'!$CY:$CY,'Employee Data'!$W:$W,$A:$A)</f>
        <v>0</v>
      </c>
      <c r="T73" s="80" t="e">
        <f aca="false">U73/F73</f>
        <v>#DIV/0!</v>
      </c>
      <c r="U73" s="78" t="n">
        <f aca="false">SUMIFS('Employee Data'!$DL:$DL,'Employee Data'!$W:$W,$A:$A,'Employee Data'!$BA:$BA,"Yes")</f>
        <v>0</v>
      </c>
      <c r="V73" s="79" t="e">
        <f aca="false">W73/F73</f>
        <v>#DIV/0!</v>
      </c>
      <c r="W73" s="78" t="n">
        <f aca="false">SUMIFS('Employee Data'!$BN:$BN,'Employee Data'!$W:$W,$A:$A,'Employee Data'!$BA:$BA,"Yes")</f>
        <v>0</v>
      </c>
      <c r="X73" s="78" t="n">
        <f aca="false">SUMIFS('Employee Data'!$BO:$BO,'Employee Data'!$W:$W,$A:$A,'Employee Data'!$BA:$BA,"Yes")</f>
        <v>0</v>
      </c>
      <c r="Y73" s="78" t="n">
        <f aca="false">SUMIFS('Employee Data'!$BV:$BV,'Employee Data'!$W:$W,$A:$A,'Employee Data'!$BA:$BA,"Yes")</f>
        <v>0</v>
      </c>
      <c r="Z73" s="5"/>
      <c r="AA73" s="5"/>
    </row>
    <row r="74" customFormat="false" ht="15" hidden="true" customHeight="false" outlineLevel="1" collapsed="false">
      <c r="A74" s="76" t="s">
        <v>111</v>
      </c>
      <c r="B74" s="77" t="n">
        <f aca="false">COUNTIFS('Employee Data'!$W:$W,$A:$A)</f>
        <v>0</v>
      </c>
      <c r="C74" s="77" t="n">
        <f aca="false">COUNTIFS('Employee Data'!$W:$W,$A:$A,'Employee Data'!$BA:$BA,"Yes")</f>
        <v>0</v>
      </c>
      <c r="D74" s="78" t="n">
        <f aca="false">SUMIFS('Employee Data'!$AP:$AP,'Employee Data'!$W:$W,$A:$A,'Employee Data'!$BA:$BA,"Yes")</f>
        <v>0</v>
      </c>
      <c r="E74" s="78" t="n">
        <f aca="false">SUMIFS('Employee Data'!$AQ:$AQ,'Employee Data'!$W:$W,$A:$A,'Employee Data'!$BA:$BA,"Yes")</f>
        <v>0</v>
      </c>
      <c r="F74" s="78" t="n">
        <f aca="false">SUMIFS('Employee Data'!$AR:$AR,'Employee Data'!$W:$W,$A:$A)</f>
        <v>0</v>
      </c>
      <c r="G74" s="79" t="e">
        <f aca="false">H74/F74</f>
        <v>#DIV/0!</v>
      </c>
      <c r="H74" s="78" t="n">
        <f aca="false">SUMIFS('Employee Data'!$CQ:$CQ,'Employee Data'!$W:$W,$A:$A)</f>
        <v>0</v>
      </c>
      <c r="I74" s="78" t="n">
        <f aca="false">SUMIFS('Employee Data'!$CS:$CS,'Employee Data'!$W:$W,$A:$A)</f>
        <v>0</v>
      </c>
      <c r="J74" s="78" t="n">
        <f aca="false">SUMIFS('Employee Data'!$CW:$CW,'Employee Data'!$W:$W,$A:$A)</f>
        <v>0</v>
      </c>
      <c r="K74" s="78" t="n">
        <f aca="false">SUMIFS('Employee Data'!$BF:$BF,'Employee Data'!$W:$W,$A:$A,'Employee Data'!$BA:$BA,"Yes")</f>
        <v>0</v>
      </c>
      <c r="L74" s="78" t="n">
        <f aca="false">SUMIFS('Employee Data'!$BH:$BH,'Employee Data'!$W:$W,$A:$A)</f>
        <v>0</v>
      </c>
      <c r="M74" s="78" t="n">
        <f aca="false">SUMIFS('Employee Data'!$BI:$BI,'Employee Data'!$W:$W,$A:$A,'Employee Data'!$BA:$BA,"Yes")</f>
        <v>0</v>
      </c>
      <c r="N74" s="80" t="e">
        <f aca="false">O74/F74</f>
        <v>#DIV/0!</v>
      </c>
      <c r="O74" s="78" t="n">
        <f aca="false">SUMIFS('Employee Data'!$DJ:$DJ,'Employee Data'!$W:$W,$A:$A,'Employee Data'!$BA:$BA,"Yes")</f>
        <v>0</v>
      </c>
      <c r="P74" s="81" t="e">
        <f aca="false">Q74/F74</f>
        <v>#DIV/0!</v>
      </c>
      <c r="Q74" s="78" t="n">
        <f aca="false">SUMIFS('Employee Data'!$CU:$CU,'Employee Data'!$W:$W,$A:$A)</f>
        <v>0</v>
      </c>
      <c r="R74" s="81" t="e">
        <f aca="false">S74/F74</f>
        <v>#DIV/0!</v>
      </c>
      <c r="S74" s="78" t="n">
        <f aca="false">SUMIFS('Employee Data'!$CY:$CY,'Employee Data'!$W:$W,$A:$A)</f>
        <v>0</v>
      </c>
      <c r="T74" s="80" t="e">
        <f aca="false">U74/F74</f>
        <v>#DIV/0!</v>
      </c>
      <c r="U74" s="78" t="n">
        <f aca="false">SUMIFS('Employee Data'!$DL:$DL,'Employee Data'!$W:$W,$A:$A,'Employee Data'!$BA:$BA,"Yes")</f>
        <v>0</v>
      </c>
      <c r="V74" s="79" t="e">
        <f aca="false">W74/F74</f>
        <v>#DIV/0!</v>
      </c>
      <c r="W74" s="78" t="n">
        <f aca="false">SUMIFS('Employee Data'!$BN:$BN,'Employee Data'!$W:$W,$A:$A,'Employee Data'!$BA:$BA,"Yes")</f>
        <v>0</v>
      </c>
      <c r="X74" s="78" t="n">
        <f aca="false">SUMIFS('Employee Data'!$BO:$BO,'Employee Data'!$W:$W,$A:$A,'Employee Data'!$BA:$BA,"Yes")</f>
        <v>0</v>
      </c>
      <c r="Y74" s="78" t="n">
        <f aca="false">SUMIFS('Employee Data'!$BV:$BV,'Employee Data'!$W:$W,$A:$A,'Employee Data'!$BA:$BA,"Yes")</f>
        <v>0</v>
      </c>
      <c r="Z74" s="5"/>
      <c r="AA74" s="5"/>
    </row>
    <row r="75" customFormat="false" ht="15" hidden="true" customHeight="false" outlineLevel="1" collapsed="false">
      <c r="A75" s="76" t="s">
        <v>112</v>
      </c>
      <c r="B75" s="77" t="n">
        <f aca="false">COUNTIFS('Employee Data'!$W:$W,$A:$A)</f>
        <v>0</v>
      </c>
      <c r="C75" s="77" t="n">
        <f aca="false">COUNTIFS('Employee Data'!$W:$W,$A:$A,'Employee Data'!$BA:$BA,"Yes")</f>
        <v>0</v>
      </c>
      <c r="D75" s="78" t="n">
        <f aca="false">SUMIFS('Employee Data'!$AP:$AP,'Employee Data'!$W:$W,$A:$A,'Employee Data'!$BA:$BA,"Yes")</f>
        <v>0</v>
      </c>
      <c r="E75" s="78" t="n">
        <f aca="false">SUMIFS('Employee Data'!$AQ:$AQ,'Employee Data'!$W:$W,$A:$A,'Employee Data'!$BA:$BA,"Yes")</f>
        <v>0</v>
      </c>
      <c r="F75" s="78" t="n">
        <f aca="false">SUMIFS('Employee Data'!$AR:$AR,'Employee Data'!$W:$W,$A:$A)</f>
        <v>0</v>
      </c>
      <c r="G75" s="79" t="e">
        <f aca="false">H75/F75</f>
        <v>#DIV/0!</v>
      </c>
      <c r="H75" s="78" t="n">
        <f aca="false">SUMIFS('Employee Data'!$CQ:$CQ,'Employee Data'!$W:$W,$A:$A)</f>
        <v>0</v>
      </c>
      <c r="I75" s="78" t="n">
        <f aca="false">SUMIFS('Employee Data'!$CS:$CS,'Employee Data'!$W:$W,$A:$A)</f>
        <v>0</v>
      </c>
      <c r="J75" s="78" t="n">
        <f aca="false">SUMIFS('Employee Data'!$CW:$CW,'Employee Data'!$W:$W,$A:$A)</f>
        <v>0</v>
      </c>
      <c r="K75" s="78" t="n">
        <f aca="false">SUMIFS('Employee Data'!$BF:$BF,'Employee Data'!$W:$W,$A:$A,'Employee Data'!$BA:$BA,"Yes")</f>
        <v>0</v>
      </c>
      <c r="L75" s="78" t="n">
        <f aca="false">SUMIFS('Employee Data'!$BH:$BH,'Employee Data'!$W:$W,$A:$A)</f>
        <v>0</v>
      </c>
      <c r="M75" s="78" t="n">
        <f aca="false">SUMIFS('Employee Data'!$BI:$BI,'Employee Data'!$W:$W,$A:$A,'Employee Data'!$BA:$BA,"Yes")</f>
        <v>0</v>
      </c>
      <c r="N75" s="80" t="e">
        <f aca="false">O75/F75</f>
        <v>#DIV/0!</v>
      </c>
      <c r="O75" s="78" t="n">
        <f aca="false">SUMIFS('Employee Data'!$DJ:$DJ,'Employee Data'!$W:$W,$A:$A,'Employee Data'!$BA:$BA,"Yes")</f>
        <v>0</v>
      </c>
      <c r="P75" s="81" t="e">
        <f aca="false">Q75/F75</f>
        <v>#DIV/0!</v>
      </c>
      <c r="Q75" s="78" t="n">
        <f aca="false">SUMIFS('Employee Data'!$CU:$CU,'Employee Data'!$W:$W,$A:$A)</f>
        <v>0</v>
      </c>
      <c r="R75" s="81" t="e">
        <f aca="false">S75/F75</f>
        <v>#DIV/0!</v>
      </c>
      <c r="S75" s="78" t="n">
        <f aca="false">SUMIFS('Employee Data'!$CY:$CY,'Employee Data'!$W:$W,$A:$A)</f>
        <v>0</v>
      </c>
      <c r="T75" s="80" t="e">
        <f aca="false">U75/F75</f>
        <v>#DIV/0!</v>
      </c>
      <c r="U75" s="78" t="n">
        <f aca="false">SUMIFS('Employee Data'!$DL:$DL,'Employee Data'!$W:$W,$A:$A,'Employee Data'!$BA:$BA,"Yes")</f>
        <v>0</v>
      </c>
      <c r="V75" s="79" t="e">
        <f aca="false">W75/F75</f>
        <v>#DIV/0!</v>
      </c>
      <c r="W75" s="78" t="n">
        <f aca="false">SUMIFS('Employee Data'!$BN:$BN,'Employee Data'!$W:$W,$A:$A,'Employee Data'!$BA:$BA,"Yes")</f>
        <v>0</v>
      </c>
      <c r="X75" s="78" t="n">
        <f aca="false">SUMIFS('Employee Data'!$BO:$BO,'Employee Data'!$W:$W,$A:$A,'Employee Data'!$BA:$BA,"Yes")</f>
        <v>0</v>
      </c>
      <c r="Y75" s="78" t="n">
        <f aca="false">SUMIFS('Employee Data'!$BV:$BV,'Employee Data'!$W:$W,$A:$A,'Employee Data'!$BA:$BA,"Yes")</f>
        <v>0</v>
      </c>
      <c r="Z75" s="5"/>
      <c r="AA75" s="5"/>
    </row>
    <row r="76" customFormat="false" ht="15" hidden="true" customHeight="false" outlineLevel="1" collapsed="false">
      <c r="A76" s="76" t="s">
        <v>113</v>
      </c>
      <c r="B76" s="77" t="n">
        <f aca="false">COUNTIFS('Employee Data'!$W:$W,$A:$A)</f>
        <v>0</v>
      </c>
      <c r="C76" s="77" t="n">
        <f aca="false">COUNTIFS('Employee Data'!$W:$W,$A:$A,'Employee Data'!$BA:$BA,"Yes")</f>
        <v>0</v>
      </c>
      <c r="D76" s="78" t="n">
        <f aca="false">SUMIFS('Employee Data'!$AP:$AP,'Employee Data'!$W:$W,$A:$A,'Employee Data'!$BA:$BA,"Yes")</f>
        <v>0</v>
      </c>
      <c r="E76" s="78" t="n">
        <f aca="false">SUMIFS('Employee Data'!$AQ:$AQ,'Employee Data'!$W:$W,$A:$A,'Employee Data'!$BA:$BA,"Yes")</f>
        <v>0</v>
      </c>
      <c r="F76" s="78" t="n">
        <f aca="false">SUMIFS('Employee Data'!$AR:$AR,'Employee Data'!$W:$W,$A:$A)</f>
        <v>0</v>
      </c>
      <c r="G76" s="79" t="e">
        <f aca="false">H76/F76</f>
        <v>#DIV/0!</v>
      </c>
      <c r="H76" s="78" t="n">
        <f aca="false">SUMIFS('Employee Data'!$CQ:$CQ,'Employee Data'!$W:$W,$A:$A)</f>
        <v>0</v>
      </c>
      <c r="I76" s="78" t="n">
        <f aca="false">SUMIFS('Employee Data'!$CS:$CS,'Employee Data'!$W:$W,$A:$A)</f>
        <v>0</v>
      </c>
      <c r="J76" s="78" t="n">
        <f aca="false">SUMIFS('Employee Data'!$CW:$CW,'Employee Data'!$W:$W,$A:$A)</f>
        <v>0</v>
      </c>
      <c r="K76" s="78" t="n">
        <f aca="false">SUMIFS('Employee Data'!$BF:$BF,'Employee Data'!$W:$W,$A:$A,'Employee Data'!$BA:$BA,"Yes")</f>
        <v>0</v>
      </c>
      <c r="L76" s="78" t="n">
        <f aca="false">SUMIFS('Employee Data'!$BH:$BH,'Employee Data'!$W:$W,$A:$A)</f>
        <v>0</v>
      </c>
      <c r="M76" s="78" t="n">
        <f aca="false">SUMIFS('Employee Data'!$BI:$BI,'Employee Data'!$W:$W,$A:$A,'Employee Data'!$BA:$BA,"Yes")</f>
        <v>0</v>
      </c>
      <c r="N76" s="80" t="e">
        <f aca="false">O76/F76</f>
        <v>#DIV/0!</v>
      </c>
      <c r="O76" s="78" t="n">
        <f aca="false">SUMIFS('Employee Data'!$DJ:$DJ,'Employee Data'!$W:$W,$A:$A,'Employee Data'!$BA:$BA,"Yes")</f>
        <v>0</v>
      </c>
      <c r="P76" s="81" t="e">
        <f aca="false">Q76/F76</f>
        <v>#DIV/0!</v>
      </c>
      <c r="Q76" s="78" t="n">
        <f aca="false">SUMIFS('Employee Data'!$CU:$CU,'Employee Data'!$W:$W,$A:$A)</f>
        <v>0</v>
      </c>
      <c r="R76" s="81" t="e">
        <f aca="false">S76/F76</f>
        <v>#DIV/0!</v>
      </c>
      <c r="S76" s="78" t="n">
        <f aca="false">SUMIFS('Employee Data'!$CY:$CY,'Employee Data'!$W:$W,$A:$A)</f>
        <v>0</v>
      </c>
      <c r="T76" s="80" t="e">
        <f aca="false">U76/F76</f>
        <v>#DIV/0!</v>
      </c>
      <c r="U76" s="78" t="n">
        <f aca="false">SUMIFS('Employee Data'!$DL:$DL,'Employee Data'!$W:$W,$A:$A,'Employee Data'!$BA:$BA,"Yes")</f>
        <v>0</v>
      </c>
      <c r="V76" s="79" t="e">
        <f aca="false">W76/F76</f>
        <v>#DIV/0!</v>
      </c>
      <c r="W76" s="78" t="n">
        <f aca="false">SUMIFS('Employee Data'!$BN:$BN,'Employee Data'!$W:$W,$A:$A,'Employee Data'!$BA:$BA,"Yes")</f>
        <v>0</v>
      </c>
      <c r="X76" s="78" t="n">
        <f aca="false">SUMIFS('Employee Data'!$BO:$BO,'Employee Data'!$W:$W,$A:$A,'Employee Data'!$BA:$BA,"Yes")</f>
        <v>0</v>
      </c>
      <c r="Y76" s="78" t="n">
        <f aca="false">SUMIFS('Employee Data'!$BV:$BV,'Employee Data'!$W:$W,$A:$A,'Employee Data'!$BA:$BA,"Yes")</f>
        <v>0</v>
      </c>
      <c r="Z76" s="5"/>
      <c r="AA76" s="5"/>
    </row>
    <row r="77" customFormat="false" ht="15" hidden="true" customHeight="false" outlineLevel="1" collapsed="false">
      <c r="A77" s="76" t="s">
        <v>114</v>
      </c>
      <c r="B77" s="77" t="n">
        <f aca="false">COUNTIFS('Employee Data'!$W:$W,$A:$A)</f>
        <v>0</v>
      </c>
      <c r="C77" s="77" t="n">
        <f aca="false">COUNTIFS('Employee Data'!$W:$W,$A:$A,'Employee Data'!$BA:$BA,"Yes")</f>
        <v>0</v>
      </c>
      <c r="D77" s="78" t="n">
        <f aca="false">SUMIFS('Employee Data'!$AP:$AP,'Employee Data'!$W:$W,$A:$A,'Employee Data'!$BA:$BA,"Yes")</f>
        <v>0</v>
      </c>
      <c r="E77" s="78" t="n">
        <f aca="false">SUMIFS('Employee Data'!$AQ:$AQ,'Employee Data'!$W:$W,$A:$A,'Employee Data'!$BA:$BA,"Yes")</f>
        <v>0</v>
      </c>
      <c r="F77" s="78" t="n">
        <f aca="false">SUMIFS('Employee Data'!$AR:$AR,'Employee Data'!$W:$W,$A:$A)</f>
        <v>0</v>
      </c>
      <c r="G77" s="79" t="e">
        <f aca="false">H77/F77</f>
        <v>#DIV/0!</v>
      </c>
      <c r="H77" s="78" t="n">
        <f aca="false">SUMIFS('Employee Data'!$CQ:$CQ,'Employee Data'!$W:$W,$A:$A)</f>
        <v>0</v>
      </c>
      <c r="I77" s="78" t="n">
        <f aca="false">SUMIFS('Employee Data'!$CS:$CS,'Employee Data'!$W:$W,$A:$A)</f>
        <v>0</v>
      </c>
      <c r="J77" s="78" t="n">
        <f aca="false">SUMIFS('Employee Data'!$CW:$CW,'Employee Data'!$W:$W,$A:$A)</f>
        <v>0</v>
      </c>
      <c r="K77" s="78" t="n">
        <f aca="false">SUMIFS('Employee Data'!$BF:$BF,'Employee Data'!$W:$W,$A:$A,'Employee Data'!$BA:$BA,"Yes")</f>
        <v>0</v>
      </c>
      <c r="L77" s="78" t="n">
        <f aca="false">SUMIFS('Employee Data'!$BH:$BH,'Employee Data'!$W:$W,$A:$A)</f>
        <v>0</v>
      </c>
      <c r="M77" s="78" t="n">
        <f aca="false">SUMIFS('Employee Data'!$BI:$BI,'Employee Data'!$W:$W,$A:$A,'Employee Data'!$BA:$BA,"Yes")</f>
        <v>0</v>
      </c>
      <c r="N77" s="80" t="e">
        <f aca="false">O77/F77</f>
        <v>#DIV/0!</v>
      </c>
      <c r="O77" s="78" t="n">
        <f aca="false">SUMIFS('Employee Data'!$DJ:$DJ,'Employee Data'!$W:$W,$A:$A,'Employee Data'!$BA:$BA,"Yes")</f>
        <v>0</v>
      </c>
      <c r="P77" s="81" t="e">
        <f aca="false">Q77/F77</f>
        <v>#DIV/0!</v>
      </c>
      <c r="Q77" s="78" t="n">
        <f aca="false">SUMIFS('Employee Data'!$CU:$CU,'Employee Data'!$W:$W,$A:$A)</f>
        <v>0</v>
      </c>
      <c r="R77" s="81" t="e">
        <f aca="false">S77/F77</f>
        <v>#DIV/0!</v>
      </c>
      <c r="S77" s="78" t="n">
        <f aca="false">SUMIFS('Employee Data'!$CY:$CY,'Employee Data'!$W:$W,$A:$A)</f>
        <v>0</v>
      </c>
      <c r="T77" s="80" t="e">
        <f aca="false">U77/F77</f>
        <v>#DIV/0!</v>
      </c>
      <c r="U77" s="78" t="n">
        <f aca="false">SUMIFS('Employee Data'!$DL:$DL,'Employee Data'!$W:$W,$A:$A,'Employee Data'!$BA:$BA,"Yes")</f>
        <v>0</v>
      </c>
      <c r="V77" s="79" t="e">
        <f aca="false">W77/F77</f>
        <v>#DIV/0!</v>
      </c>
      <c r="W77" s="78" t="n">
        <f aca="false">SUMIFS('Employee Data'!$BN:$BN,'Employee Data'!$W:$W,$A:$A,'Employee Data'!$BA:$BA,"Yes")</f>
        <v>0</v>
      </c>
      <c r="X77" s="78" t="n">
        <f aca="false">SUMIFS('Employee Data'!$BO:$BO,'Employee Data'!$W:$W,$A:$A,'Employee Data'!$BA:$BA,"Yes")</f>
        <v>0</v>
      </c>
      <c r="Y77" s="78" t="n">
        <f aca="false">SUMIFS('Employee Data'!$BV:$BV,'Employee Data'!$W:$W,$A:$A,'Employee Data'!$BA:$BA,"Yes")</f>
        <v>0</v>
      </c>
      <c r="Z77" s="5"/>
      <c r="AA77" s="5"/>
    </row>
    <row r="78" s="75" customFormat="true" ht="15.75" hidden="true" customHeight="false" outlineLevel="1" collapsed="false">
      <c r="A78" s="68" t="s">
        <v>115</v>
      </c>
      <c r="B78" s="91" t="n">
        <f aca="false">COUNTIFS('Employee Data'!$V:$V,$A:$A)</f>
        <v>0</v>
      </c>
      <c r="C78" s="91" t="n">
        <f aca="false">COUNTIFS('Employee Data'!$V:$V,$A:$A,'Employee Data'!$BA:$BA,"Yes")</f>
        <v>0</v>
      </c>
      <c r="D78" s="92" t="n">
        <f aca="false">SUMIFS('Employee Data'!$AP:$AP,'Employee Data'!$V:$V,$A:$A)</f>
        <v>0</v>
      </c>
      <c r="E78" s="92" t="n">
        <f aca="false">SUMIFS('Employee Data'!$AQ:$AQ,'Employee Data'!$V:$V,$A:$A)</f>
        <v>0</v>
      </c>
      <c r="F78" s="92" t="n">
        <f aca="false">SUMIFS('Employee Data'!$AR:$AR,'Employee Data'!$V:$V,$A:$A)</f>
        <v>0</v>
      </c>
      <c r="G78" s="93" t="e">
        <f aca="false">H78/F78</f>
        <v>#DIV/0!</v>
      </c>
      <c r="H78" s="92" t="n">
        <f aca="false">SUMIFS('Employee Data'!$CQ:$CQ,'Employee Data'!$V:$V,$A:$A)</f>
        <v>0</v>
      </c>
      <c r="I78" s="92" t="n">
        <f aca="false">SUMIFS('Employee Data'!$CS:$CS,'Employee Data'!$V:$V,$A:$A)</f>
        <v>0</v>
      </c>
      <c r="J78" s="92" t="n">
        <f aca="false">SUMIFS('Employee Data'!$CW:$CW,'Employee Data'!$V:$V,$A:$A)</f>
        <v>0</v>
      </c>
      <c r="K78" s="92" t="n">
        <f aca="false">SUMIFS('Employee Data'!$BF:$BF,'Employee Data'!$V:$V,$A:$A,'Employee Data'!$BA:$BA,"Yes")</f>
        <v>0</v>
      </c>
      <c r="L78" s="92" t="n">
        <f aca="false">SUMIFS('Employee Data'!$BH:$BH,'Employee Data'!$V:$V,$A:$A)</f>
        <v>0</v>
      </c>
      <c r="M78" s="92" t="n">
        <f aca="false">SUMIFS('Employee Data'!$BJ:$BJ,'Employee Data'!$V:$V,$A:$A)</f>
        <v>0</v>
      </c>
      <c r="N78" s="94" t="e">
        <f aca="false">O78/F78</f>
        <v>#DIV/0!</v>
      </c>
      <c r="O78" s="92" t="n">
        <f aca="false">SUMIFS('Employee Data'!$DJ:$DJ,'Employee Data'!$V:$V,$A:$A)</f>
        <v>0</v>
      </c>
      <c r="P78" s="95" t="e">
        <f aca="false">Q78/F78</f>
        <v>#DIV/0!</v>
      </c>
      <c r="Q78" s="92" t="n">
        <f aca="false">SUMIFS('Employee Data'!$CU:$CU,'Employee Data'!$V:$V,$A:$A)</f>
        <v>0</v>
      </c>
      <c r="R78" s="95" t="e">
        <f aca="false">S78/F78</f>
        <v>#DIV/0!</v>
      </c>
      <c r="S78" s="92" t="n">
        <f aca="false">SUMIFS('Employee Data'!$CY:$CY,'Employee Data'!$V:$V,$A:$A)</f>
        <v>0</v>
      </c>
      <c r="T78" s="94" t="e">
        <f aca="false">U78/F78</f>
        <v>#DIV/0!</v>
      </c>
      <c r="U78" s="92" t="n">
        <f aca="false">SUMIFS('Employee Data'!$DL:$DL,'Employee Data'!$V:$V,$A:$A)</f>
        <v>0</v>
      </c>
      <c r="V78" s="93" t="e">
        <f aca="false">W78/F78</f>
        <v>#DIV/0!</v>
      </c>
      <c r="W78" s="92" t="n">
        <f aca="false">SUMIFS('Employee Data'!$BN:$BN,'Employee Data'!$V:$V,$A:$A)</f>
        <v>0</v>
      </c>
      <c r="X78" s="92" t="n">
        <f aca="false">SUMIFS('Employee Data'!$BO:$BO,'Employee Data'!$V:$V,$A:$A)</f>
        <v>0</v>
      </c>
      <c r="Y78" s="92" t="n">
        <f aca="false">SUMIFS('Employee Data'!$BV:$BV,'Employee Data'!$V:$V,$A:$A)</f>
        <v>0</v>
      </c>
      <c r="Z78" s="74"/>
      <c r="AA78" s="74"/>
      <c r="AB78" s="74"/>
      <c r="AC78" s="74"/>
      <c r="AD78" s="74"/>
      <c r="AE78" s="74"/>
      <c r="AF78" s="74"/>
    </row>
    <row r="79" customFormat="false" ht="15.75" hidden="true" customHeight="false" outlineLevel="1" collapsed="false">
      <c r="A79" s="96" t="s">
        <v>116</v>
      </c>
      <c r="B79" s="97" t="n">
        <f aca="false">B13+B21+B29+B37+B46+B55+B60+B67+B68+B69+B78</f>
        <v>105</v>
      </c>
      <c r="C79" s="97" t="n">
        <f aca="false">C13+C21+C29+C37+C46+C55+C60+C67+C68+C69+C78</f>
        <v>56</v>
      </c>
      <c r="D79" s="98" t="n">
        <f aca="false">D13+D21+D29+D37+D46+D55+D60+D67+D68+D69+D78</f>
        <v>11592182</v>
      </c>
      <c r="E79" s="98" t="n">
        <f aca="false">E13+E21+E29+E37+E46+E55+E60+E67+E68+E69+E78</f>
        <v>11438811</v>
      </c>
      <c r="F79" s="98" t="n">
        <f aca="false">F13+F21+F29+F37+F46+F55+F60+F67+F68+F69+F78</f>
        <v>6951800</v>
      </c>
      <c r="G79" s="99" t="n">
        <f aca="false">H79/F79</f>
        <v>0.0325013665525475</v>
      </c>
      <c r="H79" s="98" t="n">
        <f aca="false">H13+H21+H29+H37+H46+H55+H60+H67+H68+H69+H78</f>
        <v>225943</v>
      </c>
      <c r="I79" s="98" t="n">
        <f aca="false">I13+I21+I29+I37+I46+I55+I60+I67+I68+I69+I78</f>
        <v>0</v>
      </c>
      <c r="J79" s="98" t="n">
        <f aca="false">J13+J21+J29+J37+J46+J55+J60+J67+J68+J69+J78</f>
        <v>59617</v>
      </c>
      <c r="K79" s="98" t="n">
        <f aca="false">K13+K21+K29+K37+K46+K55+K60+K67+K68+K69+K78</f>
        <v>147881</v>
      </c>
      <c r="L79" s="100" t="n">
        <f aca="false">L13+L21+L29+L37+L46+L55+L60+L67+L68+L69+L78</f>
        <v>0</v>
      </c>
      <c r="M79" s="98" t="n">
        <f aca="false">M13+M21+M29+M37+M46+M55+M60+M67+M68+M69+M78</f>
        <v>18445</v>
      </c>
      <c r="N79" s="99" t="n">
        <f aca="false">O79/F79</f>
        <v>0.0325013665525475</v>
      </c>
      <c r="O79" s="98" t="n">
        <f aca="false">O13+O21+O29+O37+O46+O55+O60+O67+O68+O69+O78</f>
        <v>225943</v>
      </c>
      <c r="P79" s="101" t="n">
        <f aca="false">Q79/F79</f>
        <v>0</v>
      </c>
      <c r="Q79" s="98" t="n">
        <f aca="false">Q13+Q21+Q29+Q37+Q46+Q55+Q60+Q67+Q68+Q69+Q78</f>
        <v>0</v>
      </c>
      <c r="R79" s="101" t="n">
        <f aca="false">S79/F79</f>
        <v>0.0160515262234242</v>
      </c>
      <c r="S79" s="98" t="n">
        <f aca="false">S13+S21+S29+S37+S46+S55+S60+S67+S68+S69+S78</f>
        <v>111587</v>
      </c>
      <c r="T79" s="101" t="n">
        <f aca="false">U79/F79</f>
        <v>0.0160515262234242</v>
      </c>
      <c r="U79" s="100" t="n">
        <f aca="false">U13+U21+U29+U37+U46+U55+U60+U67+U68+U69+U78</f>
        <v>111587</v>
      </c>
      <c r="V79" s="101" t="n">
        <f aca="false">W79/F79</f>
        <v>0.0458990477286458</v>
      </c>
      <c r="W79" s="98" t="n">
        <f aca="false">W13+W21+W29+W37+W46+W55+W60+W67+W68+W69+W78</f>
        <v>319081</v>
      </c>
      <c r="X79" s="98" t="n">
        <f aca="false">X13+X21+X29+X37+X46+X55+X60+X67+X68+X69+X78</f>
        <v>11911263</v>
      </c>
      <c r="Y79" s="98" t="n">
        <f aca="false">Y13+Y21+Y29+Y37+Y46+Y55+Y60+Y67+Y68+Y69+Y78</f>
        <v>11754708.9157895</v>
      </c>
      <c r="Z79" s="5"/>
      <c r="AA79" s="5"/>
    </row>
    <row r="80" customFormat="false" ht="15" hidden="false" customHeight="false" outlineLevel="0" collapsed="false">
      <c r="Z80" s="5"/>
      <c r="AA80" s="5"/>
    </row>
    <row r="81" customFormat="false" ht="15" hidden="false" customHeight="false" outlineLevel="0" collapsed="false">
      <c r="G81" s="102"/>
      <c r="Z81" s="5"/>
      <c r="AA81" s="5"/>
    </row>
    <row r="82" customFormat="false" ht="15" hidden="false" customHeight="false" outlineLevel="0" collapsed="false">
      <c r="Z82" s="5"/>
      <c r="AA82" s="5"/>
    </row>
    <row r="83" customFormat="false" ht="15" hidden="false" customHeight="false" outlineLevel="0" collapsed="false">
      <c r="Z83" s="5"/>
      <c r="AA83" s="5"/>
    </row>
    <row r="84" customFormat="false" ht="15" hidden="false" customHeight="false" outlineLevel="0" collapsed="false">
      <c r="Z84" s="5"/>
      <c r="AA84" s="5"/>
    </row>
    <row r="85" customFormat="false" ht="15" hidden="false" customHeight="false" outlineLevel="0" collapsed="false">
      <c r="Z85" s="5"/>
      <c r="AA85" s="5"/>
    </row>
    <row r="86" customFormat="false" ht="18.75" hidden="false" customHeight="false" outlineLevel="0" collapsed="false">
      <c r="A86" s="103"/>
      <c r="B86" s="11"/>
      <c r="C86" s="11"/>
      <c r="D86" s="11"/>
      <c r="E86" s="11"/>
      <c r="F86" s="11"/>
      <c r="G86" s="104"/>
      <c r="H86" s="11"/>
      <c r="I86" s="11"/>
      <c r="J86" s="105"/>
      <c r="K86" s="11"/>
      <c r="L86" s="106"/>
      <c r="M86" s="104"/>
      <c r="N86" s="107"/>
      <c r="O86" s="5"/>
      <c r="P86" s="6"/>
      <c r="Q86" s="5"/>
      <c r="R86" s="6"/>
      <c r="S86" s="5"/>
      <c r="T86" s="5"/>
      <c r="U86" s="5"/>
      <c r="W86" s="5"/>
      <c r="X86" s="5"/>
      <c r="Y86" s="5"/>
      <c r="Z86" s="5"/>
      <c r="AA86" s="5"/>
    </row>
    <row r="87" customFormat="false" ht="15" hidden="false" customHeight="false" outlineLevel="0" collapsed="false">
      <c r="A87" s="11"/>
      <c r="B87" s="11"/>
      <c r="C87" s="11"/>
      <c r="D87" s="11"/>
      <c r="E87" s="11"/>
      <c r="F87" s="11"/>
      <c r="G87" s="104"/>
      <c r="H87" s="11"/>
      <c r="I87" s="11"/>
      <c r="J87" s="11"/>
      <c r="K87" s="11"/>
      <c r="L87" s="11"/>
      <c r="M87" s="104"/>
      <c r="N87" s="107"/>
      <c r="O87" s="5"/>
      <c r="P87" s="6"/>
      <c r="Q87" s="5"/>
      <c r="R87" s="6"/>
      <c r="S87" s="5"/>
      <c r="T87" s="5"/>
      <c r="U87" s="5"/>
      <c r="W87" s="5"/>
      <c r="X87" s="5"/>
      <c r="Y87" s="5"/>
      <c r="Z87" s="5"/>
      <c r="AA87" s="5"/>
    </row>
    <row r="88" customFormat="false" ht="15" hidden="false" customHeight="false" outlineLevel="0" collapsed="false">
      <c r="A88" s="11"/>
      <c r="B88" s="11"/>
      <c r="C88" s="11"/>
      <c r="D88" s="11"/>
      <c r="E88" s="11"/>
      <c r="F88" s="11"/>
      <c r="G88" s="104"/>
      <c r="H88" s="11"/>
      <c r="I88" s="11"/>
      <c r="J88" s="11"/>
      <c r="K88" s="11"/>
      <c r="L88" s="11"/>
      <c r="M88" s="104"/>
      <c r="N88" s="107"/>
      <c r="O88" s="5"/>
      <c r="P88" s="6"/>
      <c r="Q88" s="5"/>
      <c r="R88" s="6"/>
      <c r="S88" s="5"/>
      <c r="T88" s="5"/>
      <c r="U88" s="5"/>
      <c r="W88" s="5"/>
      <c r="X88" s="5"/>
      <c r="Y88" s="5"/>
      <c r="Z88" s="5"/>
      <c r="AA88" s="5"/>
    </row>
    <row r="89" s="116" customFormat="true" ht="18.75" hidden="false" customHeight="false" outlineLevel="0" collapsed="false">
      <c r="A89" s="108" t="s">
        <v>117</v>
      </c>
      <c r="B89" s="109"/>
      <c r="C89" s="109"/>
      <c r="D89" s="109"/>
      <c r="E89" s="109"/>
      <c r="F89" s="109"/>
      <c r="G89" s="110"/>
      <c r="H89" s="109"/>
      <c r="I89" s="108" t="s">
        <v>118</v>
      </c>
      <c r="J89" s="111"/>
      <c r="K89" s="112"/>
      <c r="L89" s="113"/>
      <c r="M89" s="114"/>
      <c r="N89" s="115"/>
      <c r="P89" s="117"/>
      <c r="Q89" s="113"/>
      <c r="R89" s="117"/>
      <c r="S89" s="113"/>
      <c r="U89" s="113"/>
      <c r="V89" s="117"/>
    </row>
    <row r="90" customFormat="false" ht="15" hidden="false" customHeight="false" outlineLevel="0" collapsed="false">
      <c r="A90" s="11"/>
      <c r="B90" s="11"/>
      <c r="C90" s="11"/>
      <c r="D90" s="11"/>
      <c r="E90" s="11"/>
      <c r="F90" s="11"/>
      <c r="G90" s="104"/>
      <c r="H90" s="11"/>
      <c r="I90" s="11"/>
      <c r="J90" s="11"/>
      <c r="K90" s="11"/>
      <c r="L90" s="11"/>
      <c r="M90" s="104"/>
      <c r="N90" s="107"/>
      <c r="O90" s="5"/>
      <c r="P90" s="6"/>
      <c r="Q90" s="5"/>
      <c r="R90" s="6"/>
      <c r="S90" s="5"/>
      <c r="T90" s="5"/>
      <c r="U90" s="5"/>
      <c r="W90" s="5"/>
      <c r="X90" s="5"/>
      <c r="Y90" s="5"/>
      <c r="Z90" s="5"/>
      <c r="AA90" s="5"/>
    </row>
    <row r="91" customFormat="false" ht="18.75" hidden="false" customHeight="false" outlineLevel="0" collapsed="false">
      <c r="A91" s="103"/>
      <c r="B91" s="11"/>
      <c r="C91" s="11"/>
      <c r="D91" s="11"/>
      <c r="E91" s="11"/>
      <c r="F91" s="11"/>
      <c r="G91" s="104"/>
      <c r="H91" s="11"/>
      <c r="I91" s="11"/>
      <c r="J91" s="11"/>
      <c r="K91" s="11"/>
      <c r="L91" s="106"/>
      <c r="M91" s="118"/>
      <c r="N91" s="107"/>
      <c r="O91" s="5"/>
      <c r="P91" s="6"/>
      <c r="Q91" s="5"/>
      <c r="R91" s="6"/>
      <c r="S91" s="5"/>
      <c r="T91" s="5"/>
      <c r="U91" s="5"/>
      <c r="W91" s="5"/>
      <c r="X91" s="5"/>
      <c r="Y91" s="5"/>
      <c r="Z91" s="5"/>
      <c r="AA91" s="5"/>
    </row>
    <row r="92" customFormat="false" ht="15" hidden="false" customHeight="false" outlineLevel="0" collapsed="false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04"/>
      <c r="M92" s="107"/>
      <c r="N92" s="11"/>
      <c r="O92" s="11"/>
      <c r="P92" s="104"/>
      <c r="Q92" s="11"/>
      <c r="R92" s="104"/>
      <c r="S92" s="11"/>
      <c r="T92" s="11"/>
      <c r="U92" s="11"/>
      <c r="V92" s="104"/>
      <c r="W92" s="11"/>
      <c r="X92" s="104"/>
      <c r="Y92" s="11"/>
      <c r="Z92" s="5"/>
      <c r="AA92" s="5"/>
      <c r="AB92" s="107"/>
      <c r="AC92" s="11"/>
      <c r="AD92" s="11"/>
      <c r="AE92" s="104"/>
      <c r="AF92" s="11"/>
      <c r="AG92" s="119"/>
      <c r="AH92" s="120"/>
    </row>
    <row r="93" customFormat="false" ht="15" hidden="false" customHeight="false" outlineLevel="0" collapsed="false">
      <c r="Z93" s="5"/>
      <c r="AA93" s="5"/>
    </row>
    <row r="94" customFormat="false" ht="15" hidden="false" customHeight="false" outlineLevel="0" collapsed="false">
      <c r="Z94" s="5"/>
      <c r="AA94" s="5"/>
    </row>
    <row r="95" customFormat="false" ht="15" hidden="false" customHeight="false" outlineLevel="0" collapsed="false">
      <c r="Z95" s="5"/>
      <c r="AA95" s="5"/>
    </row>
    <row r="96" customFormat="false" ht="15" hidden="false" customHeight="false" outlineLevel="0" collapsed="false">
      <c r="Z96" s="5"/>
      <c r="AA96" s="5"/>
    </row>
    <row r="97" customFormat="false" ht="15" hidden="false" customHeight="false" outlineLevel="0" collapsed="false">
      <c r="Z97" s="5"/>
      <c r="AA97" s="5"/>
    </row>
    <row r="98" customFormat="false" ht="15" hidden="false" customHeight="false" outlineLevel="0" collapsed="false">
      <c r="Z98" s="5"/>
      <c r="AA98" s="5"/>
    </row>
    <row r="99" customFormat="false" ht="15" hidden="false" customHeight="false" outlineLevel="0" collapsed="false">
      <c r="Z99" s="5"/>
      <c r="AA99" s="5"/>
    </row>
    <row r="100" customFormat="false" ht="15" hidden="false" customHeight="false" outlineLevel="0" collapsed="false">
      <c r="Z100" s="5"/>
      <c r="AA100" s="5"/>
    </row>
    <row r="101" customFormat="false" ht="15" hidden="false" customHeight="false" outlineLevel="0" collapsed="false">
      <c r="Z101" s="5"/>
      <c r="AA101" s="5"/>
    </row>
    <row r="102" customFormat="false" ht="15" hidden="false" customHeight="false" outlineLevel="0" collapsed="false">
      <c r="Z102" s="5"/>
      <c r="AA102" s="5"/>
    </row>
    <row r="103" customFormat="false" ht="15" hidden="false" customHeight="false" outlineLevel="0" collapsed="false">
      <c r="Z103" s="5"/>
      <c r="AA103" s="5"/>
    </row>
    <row r="104" customFormat="false" ht="15" hidden="false" customHeight="false" outlineLevel="0" collapsed="false">
      <c r="Z104" s="5"/>
      <c r="AA104" s="5"/>
    </row>
    <row r="105" customFormat="false" ht="15" hidden="false" customHeight="false" outlineLevel="0" collapsed="false">
      <c r="Z105" s="5"/>
      <c r="AA105" s="5"/>
    </row>
    <row r="106" customFormat="false" ht="15" hidden="false" customHeight="false" outlineLevel="0" collapsed="false">
      <c r="Z106" s="5"/>
      <c r="AA106" s="5"/>
    </row>
    <row r="107" customFormat="false" ht="15" hidden="false" customHeight="false" outlineLevel="0" collapsed="false">
      <c r="Z107" s="5"/>
      <c r="AA107" s="5"/>
    </row>
    <row r="108" customFormat="false" ht="15" hidden="false" customHeight="false" outlineLevel="0" collapsed="false">
      <c r="Z108" s="5"/>
      <c r="AA108" s="5"/>
    </row>
  </sheetData>
  <mergeCells count="5">
    <mergeCell ref="D6:E8"/>
    <mergeCell ref="G11:H11"/>
    <mergeCell ref="J11:O11"/>
    <mergeCell ref="P11:U11"/>
    <mergeCell ref="V11:Y11"/>
  </mergeCells>
  <conditionalFormatting sqref="G89:H89">
    <cfRule type="cellIs" priority="2" operator="greaterThan" aboveAverage="0" equalAverage="0" bottom="0" percent="0" rank="0" text="" dxfId="8">
      <formula>0.02</formula>
    </cfRule>
  </conditionalFormatting>
  <conditionalFormatting sqref="D9">
    <cfRule type="cellIs" priority="3" operator="greaterThan" aboveAverage="0" equalAverage="0" bottom="0" percent="0" rank="0" text="" dxfId="9">
      <formula>0.03255</formula>
    </cfRule>
  </conditionalFormatting>
  <conditionalFormatting sqref="B9">
    <cfRule type="cellIs" priority="4" operator="greaterThan" aboveAverage="0" equalAverage="0" bottom="0" percent="0" rank="0" text="" dxfId="10">
      <formula>0.03252</formula>
    </cfRule>
  </conditionalFormatting>
  <conditionalFormatting sqref="B4:B8">
    <cfRule type="cellIs" priority="5" operator="greaterThan" aboveAverage="0" equalAverage="0" bottom="0" percent="0" rank="0" text="" dxfId="11">
      <formula>0.0355</formula>
    </cfRule>
  </conditionalFormatting>
  <conditionalFormatting sqref="X92:Y92 G86:H88 G90:H91">
    <cfRule type="cellIs" priority="6" operator="greaterThan" aboveAverage="0" equalAverage="0" bottom="0" percent="0" rank="0" text="" dxfId="12">
      <formula>0.02</formula>
    </cfRule>
  </conditionalFormatting>
  <conditionalFormatting sqref="AH92">
    <cfRule type="cellIs" priority="7" operator="between" aboveAverage="0" equalAverage="0" bottom="0" percent="0" rank="0" text="" dxfId="13">
      <formula>0.1</formula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50"/>
    <pageSetUpPr fitToPage="true"/>
  </sheetPr>
  <dimension ref="A1:JC121"/>
  <sheetViews>
    <sheetView showFormulas="false" showGridLines="false" showRowColHeaders="true" showZeros="true" rightToLeft="false" tabSelected="false" showOutlineSymbols="true" defaultGridColor="true" view="normal" topLeftCell="K6" colorId="64" zoomScale="75" zoomScaleNormal="75" zoomScalePageLayoutView="100" workbookViewId="0">
      <pane xSplit="0" ySplit="11" topLeftCell="N120" activePane="bottomLeft" state="frozen"/>
      <selection pane="topLeft" activeCell="K6" activeCellId="0" sqref="K6"/>
      <selection pane="bottomLeft" activeCell="P121" activeCellId="1" sqref="M14 P121"/>
    </sheetView>
  </sheetViews>
  <sheetFormatPr defaultColWidth="9.42578125" defaultRowHeight="12" zeroHeight="false" outlineLevelRow="1" outlineLevelCol="2"/>
  <cols>
    <col collapsed="false" customWidth="false" hidden="false" outlineLevel="1" max="1" min="1" style="121" width="9.42"/>
    <col collapsed="false" customWidth="true" hidden="false" outlineLevel="1" max="4" min="2" style="121" width="11.57"/>
    <col collapsed="false" customWidth="true" hidden="false" outlineLevel="0" max="5" min="5" style="121" width="14"/>
    <col collapsed="false" customWidth="true" hidden="false" outlineLevel="0" max="6" min="6" style="4" width="13"/>
    <col collapsed="false" customWidth="true" hidden="false" outlineLevel="1" max="9" min="7" style="4" width="11.57"/>
    <col collapsed="false" customWidth="true" hidden="false" outlineLevel="0" max="10" min="10" style="4" width="32.42"/>
    <col collapsed="false" customWidth="true" hidden="false" outlineLevel="1" max="13" min="11" style="4" width="11.57"/>
    <col collapsed="false" customWidth="true" hidden="false" outlineLevel="0" max="14" min="14" style="4" width="11"/>
    <col collapsed="false" customWidth="true" hidden="false" outlineLevel="1" max="15" min="15" style="4" width="11.57"/>
    <col collapsed="false" customWidth="true" hidden="false" outlineLevel="1" max="16" min="16" style="122" width="11.57"/>
    <col collapsed="false" customWidth="true" hidden="false" outlineLevel="1" max="17" min="17" style="4" width="27.15"/>
    <col collapsed="false" customWidth="true" hidden="false" outlineLevel="1" max="18" min="18" style="4" width="11.57"/>
    <col collapsed="false" customWidth="true" hidden="false" outlineLevel="0" max="19" min="19" style="4" width="16"/>
    <col collapsed="false" customWidth="true" hidden="false" outlineLevel="1" max="20" min="20" style="4" width="11.57"/>
    <col collapsed="false" customWidth="true" hidden="false" outlineLevel="1" max="21" min="21" style="4" width="39.42"/>
    <col collapsed="false" customWidth="true" hidden="false" outlineLevel="1" max="22" min="22" style="4" width="28.42"/>
    <col collapsed="false" customWidth="true" hidden="false" outlineLevel="1" max="23" min="23" style="4" width="31.15"/>
    <col collapsed="false" customWidth="true" hidden="false" outlineLevel="1" max="24" min="24" style="4" width="20"/>
    <col collapsed="false" customWidth="true" hidden="false" outlineLevel="1" max="25" min="25" style="4" width="34.57"/>
    <col collapsed="false" customWidth="true" hidden="false" outlineLevel="1" max="26" min="26" style="4" width="20"/>
    <col collapsed="false" customWidth="true" hidden="false" outlineLevel="1" max="28" min="27" style="4" width="39.42"/>
    <col collapsed="false" customWidth="true" hidden="false" outlineLevel="1" max="29" min="29" style="4" width="42.86"/>
    <col collapsed="false" customWidth="true" hidden="false" outlineLevel="1" max="30" min="30" style="4" width="45.14"/>
    <col collapsed="false" customWidth="true" hidden="false" outlineLevel="1" max="33" min="31" style="123" width="11.57"/>
    <col collapsed="false" customWidth="true" hidden="false" outlineLevel="1" max="34" min="34" style="4" width="37"/>
    <col collapsed="false" customWidth="true" hidden="false" outlineLevel="1" max="35" min="35" style="4" width="11.57"/>
    <col collapsed="false" customWidth="true" hidden="false" outlineLevel="1" max="36" min="36" style="123" width="11.57"/>
    <col collapsed="false" customWidth="true" hidden="false" outlineLevel="1" max="38" min="37" style="4" width="11.57"/>
    <col collapsed="false" customWidth="true" hidden="false" outlineLevel="0" max="39" min="39" style="4" width="10.57"/>
    <col collapsed="false" customWidth="true" hidden="false" outlineLevel="0" max="40" min="40" style="4" width="8.57"/>
    <col collapsed="false" customWidth="true" hidden="false" outlineLevel="0" max="41" min="41" style="4" width="35.57"/>
    <col collapsed="false" customWidth="true" hidden="false" outlineLevel="1" max="42" min="42" style="124" width="17.57"/>
    <col collapsed="false" customWidth="true" hidden="false" outlineLevel="1" max="44" min="43" style="124" width="13.15"/>
    <col collapsed="false" customWidth="true" hidden="false" outlineLevel="0" max="45" min="45" style="4" width="9.86"/>
    <col collapsed="false" customWidth="true" hidden="false" outlineLevel="0" max="46" min="46" style="4" width="11.57"/>
    <col collapsed="false" customWidth="true" hidden="false" outlineLevel="1" max="47" min="47" style="4" width="24.14"/>
    <col collapsed="false" customWidth="true" hidden="false" outlineLevel="1" max="48" min="48" style="125" width="11.57"/>
    <col collapsed="false" customWidth="true" hidden="false" outlineLevel="0" max="49" min="49" style="126" width="11.57"/>
    <col collapsed="false" customWidth="true" hidden="false" outlineLevel="0" max="50" min="50" style="127" width="11.57"/>
    <col collapsed="false" customWidth="true" hidden="false" outlineLevel="0" max="51" min="51" style="128" width="13.15"/>
    <col collapsed="false" customWidth="true" hidden="false" outlineLevel="0" max="52" min="52" style="129" width="11.57"/>
    <col collapsed="false" customWidth="true" hidden="false" outlineLevel="0" max="53" min="53" style="121" width="10.42"/>
    <col collapsed="false" customWidth="true" hidden="false" outlineLevel="0" max="54" min="54" style="130" width="10.42"/>
    <col collapsed="false" customWidth="true" hidden="false" outlineLevel="0" max="55" min="55" style="126" width="11.14"/>
    <col collapsed="false" customWidth="true" hidden="false" outlineLevel="0" max="56" min="56" style="131" width="11.14"/>
    <col collapsed="false" customWidth="true" hidden="false" outlineLevel="0" max="57" min="57" style="130" width="10.42"/>
    <col collapsed="false" customWidth="true" hidden="false" outlineLevel="0" max="58" min="58" style="121" width="13.86"/>
    <col collapsed="false" customWidth="true" hidden="false" outlineLevel="0" max="60" min="59" style="121" width="10.42"/>
    <col collapsed="false" customWidth="true" hidden="false" outlineLevel="0" max="61" min="61" style="130" width="10.42"/>
    <col collapsed="false" customWidth="true" hidden="false" outlineLevel="0" max="62" min="62" style="121" width="14.57"/>
    <col collapsed="false" customWidth="true" hidden="false" outlineLevel="0" max="63" min="63" style="4" width="10.85"/>
    <col collapsed="false" customWidth="true" hidden="false" outlineLevel="0" max="64" min="64" style="121" width="30.57"/>
    <col collapsed="false" customWidth="true" hidden="false" outlineLevel="0" max="65" min="65" style="122" width="10.85"/>
    <col collapsed="false" customWidth="true" hidden="false" outlineLevel="0" max="66" min="66" style="132" width="10.85"/>
    <col collapsed="false" customWidth="true" hidden="false" outlineLevel="0" max="67" min="67" style="133" width="10.85"/>
    <col collapsed="false" customWidth="true" hidden="false" outlineLevel="1" max="69" min="68" style="4" width="10.85"/>
    <col collapsed="false" customWidth="true" hidden="false" outlineLevel="0" max="70" min="70" style="122" width="10.42"/>
    <col collapsed="false" customWidth="true" hidden="false" outlineLevel="1" max="71" min="71" style="4" width="10.85"/>
    <col collapsed="false" customWidth="true" hidden="false" outlineLevel="1" max="72" min="72" style="122" width="15.57"/>
    <col collapsed="false" customWidth="true" hidden="false" outlineLevel="1" max="73" min="73" style="4" width="11.57"/>
    <col collapsed="false" customWidth="true" hidden="false" outlineLevel="1" max="74" min="74" style="4" width="12.86"/>
    <col collapsed="false" customWidth="true" hidden="false" outlineLevel="1" max="78" min="75" style="4" width="11.57"/>
    <col collapsed="false" customWidth="true" hidden="false" outlineLevel="1" max="79" min="79" style="134" width="11.57"/>
    <col collapsed="false" customWidth="true" hidden="false" outlineLevel="0" max="80" min="80" style="134" width="33.86"/>
    <col collapsed="false" customWidth="true" hidden="false" outlineLevel="1" max="81" min="81" style="134" width="12.57"/>
    <col collapsed="false" customWidth="true" hidden="false" outlineLevel="0" max="83" min="82" style="122" width="11.85"/>
    <col collapsed="false" customWidth="true" hidden="false" outlineLevel="1" max="84" min="84" style="122" width="11.85"/>
    <col collapsed="false" customWidth="true" hidden="false" outlineLevel="0" max="86" min="85" style="135" width="11.85"/>
    <col collapsed="false" customWidth="true" hidden="false" outlineLevel="0" max="87" min="87" style="136" width="11.85"/>
    <col collapsed="false" customWidth="true" hidden="false" outlineLevel="0" max="88" min="88" style="137" width="11.43"/>
    <col collapsed="false" customWidth="true" hidden="false" outlineLevel="0" max="89" min="89" style="121" width="11"/>
    <col collapsed="false" customWidth="true" hidden="false" outlineLevel="0" max="90" min="90" style="121" width="12.42"/>
    <col collapsed="false" customWidth="true" hidden="false" outlineLevel="0" max="91" min="91" style="138" width="24.14"/>
    <col collapsed="false" customWidth="true" hidden="false" outlineLevel="2" max="92" min="92" style="138" width="11.57"/>
    <col collapsed="false" customWidth="true" hidden="false" outlineLevel="2" max="93" min="93" style="138" width="18.57"/>
    <col collapsed="false" customWidth="true" hidden="false" outlineLevel="2" max="94" min="94" style="138" width="14.86"/>
    <col collapsed="false" customWidth="true" hidden="false" outlineLevel="2" max="95" min="95" style="138" width="13.42"/>
    <col collapsed="false" customWidth="true" hidden="false" outlineLevel="2" max="106" min="96" style="139" width="11.57"/>
    <col collapsed="false" customWidth="true" hidden="false" outlineLevel="2" max="110" min="107" style="140" width="11.57"/>
    <col collapsed="false" customWidth="true" hidden="false" outlineLevel="2" max="111" min="111" style="139" width="14.57"/>
    <col collapsed="false" customWidth="true" hidden="false" outlineLevel="2" max="112" min="112" style="139" width="15.14"/>
    <col collapsed="false" customWidth="true" hidden="false" outlineLevel="2" max="113" min="113" style="140" width="12.57"/>
    <col collapsed="false" customWidth="true" hidden="false" outlineLevel="2" max="116" min="114" style="140" width="11.57"/>
    <col collapsed="false" customWidth="true" hidden="false" outlineLevel="2" max="117" min="117" style="138" width="32.57"/>
    <col collapsed="false" customWidth="true" hidden="false" outlineLevel="2" max="118" min="118" style="138" width="34.42"/>
    <col collapsed="false" customWidth="true" hidden="false" outlineLevel="2" max="119" min="119" style="138" width="44.85"/>
    <col collapsed="false" customWidth="false" hidden="false" outlineLevel="2" max="127" min="120" style="138" width="9.42"/>
    <col collapsed="false" customWidth="false" hidden="false" outlineLevel="0" max="175" min="128" style="141" width="9.42"/>
    <col collapsed="false" customWidth="false" hidden="false" outlineLevel="0" max="176" min="176" style="142" width="9.42"/>
    <col collapsed="false" customWidth="false" hidden="false" outlineLevel="0" max="16384" min="177" style="121" width="9.42"/>
  </cols>
  <sheetData>
    <row r="1" s="160" customFormat="true" ht="48" hidden="true" customHeight="false" outlineLevel="1" collapsed="false">
      <c r="A1" s="143" t="s">
        <v>119</v>
      </c>
      <c r="B1" s="144" t="s">
        <v>120</v>
      </c>
      <c r="C1" s="144" t="s">
        <v>120</v>
      </c>
      <c r="D1" s="144" t="s">
        <v>120</v>
      </c>
      <c r="E1" s="144" t="s">
        <v>120</v>
      </c>
      <c r="F1" s="145" t="s">
        <v>120</v>
      </c>
      <c r="G1" s="145" t="s">
        <v>120</v>
      </c>
      <c r="H1" s="145" t="s">
        <v>120</v>
      </c>
      <c r="I1" s="145" t="s">
        <v>120</v>
      </c>
      <c r="J1" s="145" t="s">
        <v>120</v>
      </c>
      <c r="K1" s="145" t="s">
        <v>120</v>
      </c>
      <c r="L1" s="145" t="s">
        <v>120</v>
      </c>
      <c r="M1" s="145" t="s">
        <v>120</v>
      </c>
      <c r="N1" s="145" t="s">
        <v>120</v>
      </c>
      <c r="O1" s="145" t="s">
        <v>120</v>
      </c>
      <c r="P1" s="146" t="s">
        <v>121</v>
      </c>
      <c r="Q1" s="145" t="s">
        <v>120</v>
      </c>
      <c r="R1" s="145" t="s">
        <v>120</v>
      </c>
      <c r="S1" s="145" t="s">
        <v>120</v>
      </c>
      <c r="T1" s="145" t="s">
        <v>120</v>
      </c>
      <c r="U1" s="145" t="s">
        <v>120</v>
      </c>
      <c r="V1" s="145" t="s">
        <v>120</v>
      </c>
      <c r="W1" s="145" t="s">
        <v>120</v>
      </c>
      <c r="X1" s="145" t="s">
        <v>120</v>
      </c>
      <c r="Y1" s="145" t="s">
        <v>120</v>
      </c>
      <c r="Z1" s="145" t="s">
        <v>120</v>
      </c>
      <c r="AA1" s="145" t="s">
        <v>120</v>
      </c>
      <c r="AB1" s="145" t="s">
        <v>120</v>
      </c>
      <c r="AC1" s="147" t="s">
        <v>120</v>
      </c>
      <c r="AD1" s="147" t="s">
        <v>120</v>
      </c>
      <c r="AE1" s="148" t="s">
        <v>122</v>
      </c>
      <c r="AF1" s="148" t="s">
        <v>122</v>
      </c>
      <c r="AG1" s="148" t="s">
        <v>122</v>
      </c>
      <c r="AH1" s="145" t="s">
        <v>120</v>
      </c>
      <c r="AI1" s="145" t="s">
        <v>120</v>
      </c>
      <c r="AJ1" s="145" t="s">
        <v>120</v>
      </c>
      <c r="AK1" s="145" t="s">
        <v>120</v>
      </c>
      <c r="AL1" s="148" t="s">
        <v>123</v>
      </c>
      <c r="AM1" s="145" t="s">
        <v>120</v>
      </c>
      <c r="AN1" s="145" t="s">
        <v>120</v>
      </c>
      <c r="AO1" s="145" t="s">
        <v>120</v>
      </c>
      <c r="AP1" s="145" t="s">
        <v>120</v>
      </c>
      <c r="AQ1" s="148" t="s">
        <v>123</v>
      </c>
      <c r="AR1" s="148" t="s">
        <v>123</v>
      </c>
      <c r="AS1" s="145" t="s">
        <v>120</v>
      </c>
      <c r="AT1" s="145" t="s">
        <v>120</v>
      </c>
      <c r="AU1" s="145" t="s">
        <v>120</v>
      </c>
      <c r="AV1" s="145" t="s">
        <v>120</v>
      </c>
      <c r="AW1" s="145" t="s">
        <v>120</v>
      </c>
      <c r="AX1" s="145" t="s">
        <v>120</v>
      </c>
      <c r="AY1" s="145" t="s">
        <v>120</v>
      </c>
      <c r="AZ1" s="146" t="s">
        <v>123</v>
      </c>
      <c r="BA1" s="149" t="s">
        <v>123</v>
      </c>
      <c r="BB1" s="144" t="s">
        <v>120</v>
      </c>
      <c r="BC1" s="146" t="s">
        <v>123</v>
      </c>
      <c r="BD1" s="150" t="s">
        <v>123</v>
      </c>
      <c r="BE1" s="151" t="s">
        <v>123</v>
      </c>
      <c r="BF1" s="151" t="s">
        <v>123</v>
      </c>
      <c r="BG1" s="144" t="s">
        <v>124</v>
      </c>
      <c r="BH1" s="151" t="s">
        <v>123</v>
      </c>
      <c r="BI1" s="152" t="s">
        <v>123</v>
      </c>
      <c r="BJ1" s="151" t="s">
        <v>123</v>
      </c>
      <c r="BK1" s="153" t="s">
        <v>123</v>
      </c>
      <c r="BL1" s="154" t="s">
        <v>125</v>
      </c>
      <c r="BM1" s="153" t="s">
        <v>123</v>
      </c>
      <c r="BN1" s="153" t="s">
        <v>123</v>
      </c>
      <c r="BO1" s="153" t="s">
        <v>123</v>
      </c>
      <c r="BP1" s="153" t="s">
        <v>123</v>
      </c>
      <c r="BQ1" s="153" t="s">
        <v>123</v>
      </c>
      <c r="BR1" s="153" t="s">
        <v>123</v>
      </c>
      <c r="BS1" s="153" t="s">
        <v>123</v>
      </c>
      <c r="BT1" s="153" t="s">
        <v>123</v>
      </c>
      <c r="BU1" s="153" t="s">
        <v>123</v>
      </c>
      <c r="BV1" s="153" t="s">
        <v>123</v>
      </c>
      <c r="BW1" s="153" t="s">
        <v>123</v>
      </c>
      <c r="BX1" s="147" t="s">
        <v>120</v>
      </c>
      <c r="BY1" s="153" t="s">
        <v>123</v>
      </c>
      <c r="BZ1" s="145" t="s">
        <v>120</v>
      </c>
      <c r="CA1" s="145" t="s">
        <v>120</v>
      </c>
      <c r="CB1" s="145" t="s">
        <v>120</v>
      </c>
      <c r="CC1" s="153" t="s">
        <v>123</v>
      </c>
      <c r="CD1" s="145" t="s">
        <v>120</v>
      </c>
      <c r="CE1" s="145" t="s">
        <v>120</v>
      </c>
      <c r="CF1" s="148" t="s">
        <v>122</v>
      </c>
      <c r="CG1" s="155" t="s">
        <v>120</v>
      </c>
      <c r="CH1" s="155" t="s">
        <v>120</v>
      </c>
      <c r="CI1" s="145" t="s">
        <v>120</v>
      </c>
      <c r="CJ1" s="151" t="s">
        <v>123</v>
      </c>
      <c r="CK1" s="151" t="s">
        <v>123</v>
      </c>
      <c r="CL1" s="151" t="s">
        <v>123</v>
      </c>
      <c r="CM1" s="156" t="s">
        <v>125</v>
      </c>
      <c r="CN1" s="156" t="s">
        <v>125</v>
      </c>
      <c r="CO1" s="157" t="s">
        <v>120</v>
      </c>
      <c r="CP1" s="158" t="s">
        <v>123</v>
      </c>
      <c r="CQ1" s="158" t="s">
        <v>123</v>
      </c>
      <c r="CR1" s="158" t="s">
        <v>123</v>
      </c>
      <c r="CS1" s="158" t="s">
        <v>123</v>
      </c>
      <c r="CT1" s="158" t="s">
        <v>123</v>
      </c>
      <c r="CU1" s="158" t="s">
        <v>123</v>
      </c>
      <c r="CV1" s="158" t="s">
        <v>123</v>
      </c>
      <c r="CW1" s="158" t="s">
        <v>123</v>
      </c>
      <c r="CX1" s="158" t="s">
        <v>123</v>
      </c>
      <c r="CY1" s="158" t="s">
        <v>123</v>
      </c>
      <c r="CZ1" s="158" t="s">
        <v>123</v>
      </c>
      <c r="DA1" s="158" t="s">
        <v>123</v>
      </c>
      <c r="DB1" s="158" t="s">
        <v>123</v>
      </c>
      <c r="DC1" s="158" t="s">
        <v>123</v>
      </c>
      <c r="DD1" s="158" t="s">
        <v>123</v>
      </c>
      <c r="DE1" s="158" t="s">
        <v>123</v>
      </c>
      <c r="DF1" s="158" t="s">
        <v>123</v>
      </c>
      <c r="DG1" s="158" t="s">
        <v>123</v>
      </c>
      <c r="DH1" s="158" t="s">
        <v>123</v>
      </c>
      <c r="DI1" s="158" t="s">
        <v>123</v>
      </c>
      <c r="DJ1" s="158" t="s">
        <v>123</v>
      </c>
      <c r="DK1" s="158" t="s">
        <v>123</v>
      </c>
      <c r="DL1" s="158" t="s">
        <v>123</v>
      </c>
      <c r="DM1" s="157" t="s">
        <v>120</v>
      </c>
      <c r="DN1" s="157" t="s">
        <v>120</v>
      </c>
      <c r="DO1" s="157" t="s">
        <v>120</v>
      </c>
      <c r="DP1" s="157" t="s">
        <v>120</v>
      </c>
      <c r="DQ1" s="157" t="s">
        <v>120</v>
      </c>
      <c r="DR1" s="157" t="s">
        <v>120</v>
      </c>
      <c r="DS1" s="157" t="s">
        <v>120</v>
      </c>
      <c r="DT1" s="159"/>
      <c r="DU1" s="159"/>
      <c r="DV1" s="159"/>
      <c r="DW1" s="159"/>
    </row>
    <row r="2" s="160" customFormat="true" ht="48" hidden="true" customHeight="false" outlineLevel="1" collapsed="false">
      <c r="A2" s="143" t="s">
        <v>126</v>
      </c>
      <c r="B2" s="144" t="s">
        <v>127</v>
      </c>
      <c r="C2" s="144" t="s">
        <v>127</v>
      </c>
      <c r="D2" s="144" t="s">
        <v>127</v>
      </c>
      <c r="E2" s="144" t="s">
        <v>127</v>
      </c>
      <c r="F2" s="145" t="s">
        <v>127</v>
      </c>
      <c r="G2" s="145" t="s">
        <v>127</v>
      </c>
      <c r="H2" s="145" t="s">
        <v>128</v>
      </c>
      <c r="I2" s="145" t="s">
        <v>127</v>
      </c>
      <c r="J2" s="145" t="s">
        <v>127</v>
      </c>
      <c r="K2" s="145" t="s">
        <v>127</v>
      </c>
      <c r="L2" s="145" t="s">
        <v>127</v>
      </c>
      <c r="M2" s="145" t="s">
        <v>127</v>
      </c>
      <c r="N2" s="145" t="s">
        <v>127</v>
      </c>
      <c r="O2" s="145" t="s">
        <v>127</v>
      </c>
      <c r="P2" s="146"/>
      <c r="Q2" s="145" t="s">
        <v>127</v>
      </c>
      <c r="R2" s="145" t="s">
        <v>127</v>
      </c>
      <c r="S2" s="145" t="s">
        <v>127</v>
      </c>
      <c r="T2" s="145" t="s">
        <v>127</v>
      </c>
      <c r="U2" s="145" t="s">
        <v>127</v>
      </c>
      <c r="V2" s="145" t="s">
        <v>129</v>
      </c>
      <c r="W2" s="145" t="s">
        <v>129</v>
      </c>
      <c r="X2" s="145" t="s">
        <v>130</v>
      </c>
      <c r="Y2" s="145" t="s">
        <v>130</v>
      </c>
      <c r="Z2" s="145" t="s">
        <v>130</v>
      </c>
      <c r="AA2" s="145" t="s">
        <v>130</v>
      </c>
      <c r="AB2" s="145" t="s">
        <v>130</v>
      </c>
      <c r="AC2" s="147" t="s">
        <v>130</v>
      </c>
      <c r="AD2" s="147" t="s">
        <v>130</v>
      </c>
      <c r="AE2" s="148"/>
      <c r="AF2" s="148"/>
      <c r="AG2" s="148"/>
      <c r="AH2" s="145" t="s">
        <v>131</v>
      </c>
      <c r="AI2" s="145" t="s">
        <v>131</v>
      </c>
      <c r="AJ2" s="145" t="s">
        <v>131</v>
      </c>
      <c r="AK2" s="145" t="s">
        <v>131</v>
      </c>
      <c r="AL2" s="148"/>
      <c r="AM2" s="145" t="s">
        <v>128</v>
      </c>
      <c r="AN2" s="145" t="s">
        <v>128</v>
      </c>
      <c r="AO2" s="145" t="s">
        <v>132</v>
      </c>
      <c r="AP2" s="145" t="s">
        <v>127</v>
      </c>
      <c r="AQ2" s="148"/>
      <c r="AR2" s="148"/>
      <c r="AS2" s="145" t="s">
        <v>133</v>
      </c>
      <c r="AT2" s="145" t="s">
        <v>134</v>
      </c>
      <c r="AU2" s="145" t="s">
        <v>134</v>
      </c>
      <c r="AV2" s="145" t="s">
        <v>134</v>
      </c>
      <c r="AW2" s="145" t="s">
        <v>134</v>
      </c>
      <c r="AX2" s="145" t="s">
        <v>134</v>
      </c>
      <c r="AY2" s="145" t="s">
        <v>134</v>
      </c>
      <c r="AZ2" s="146"/>
      <c r="BA2" s="149" t="s">
        <v>135</v>
      </c>
      <c r="BB2" s="144" t="s">
        <v>134</v>
      </c>
      <c r="BC2" s="146"/>
      <c r="BD2" s="150"/>
      <c r="BE2" s="151"/>
      <c r="BF2" s="151"/>
      <c r="BG2" s="144" t="s">
        <v>136</v>
      </c>
      <c r="BH2" s="151"/>
      <c r="BI2" s="151"/>
      <c r="BJ2" s="151"/>
      <c r="BK2" s="153"/>
      <c r="BL2" s="154" t="s">
        <v>137</v>
      </c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47" t="s">
        <v>138</v>
      </c>
      <c r="BY2" s="153"/>
      <c r="BZ2" s="145" t="s">
        <v>134</v>
      </c>
      <c r="CA2" s="145" t="s">
        <v>134</v>
      </c>
      <c r="CB2" s="145" t="s">
        <v>134</v>
      </c>
      <c r="CC2" s="153"/>
      <c r="CD2" s="145" t="s">
        <v>128</v>
      </c>
      <c r="CE2" s="145" t="s">
        <v>128</v>
      </c>
      <c r="CF2" s="148"/>
      <c r="CG2" s="155" t="s">
        <v>139</v>
      </c>
      <c r="CH2" s="155" t="s">
        <v>139</v>
      </c>
      <c r="CI2" s="145" t="s">
        <v>139</v>
      </c>
      <c r="CJ2" s="151"/>
      <c r="CK2" s="151"/>
      <c r="CL2" s="151"/>
      <c r="CM2" s="156" t="s">
        <v>137</v>
      </c>
      <c r="CN2" s="156" t="s">
        <v>137</v>
      </c>
      <c r="CO2" s="157" t="s">
        <v>134</v>
      </c>
      <c r="CP2" s="158"/>
      <c r="CQ2" s="158"/>
      <c r="CR2" s="158"/>
      <c r="CS2" s="158"/>
      <c r="CT2" s="158"/>
      <c r="CU2" s="158"/>
      <c r="CV2" s="158"/>
      <c r="CW2" s="158"/>
      <c r="CX2" s="158"/>
      <c r="CY2" s="158"/>
      <c r="CZ2" s="158"/>
      <c r="DA2" s="158"/>
      <c r="DB2" s="158"/>
      <c r="DC2" s="158"/>
      <c r="DD2" s="158"/>
      <c r="DE2" s="158"/>
      <c r="DF2" s="158"/>
      <c r="DG2" s="158"/>
      <c r="DH2" s="158"/>
      <c r="DI2" s="158"/>
      <c r="DJ2" s="158"/>
      <c r="DK2" s="158"/>
      <c r="DL2" s="158"/>
      <c r="DM2" s="157"/>
      <c r="DN2" s="157"/>
      <c r="DO2" s="157"/>
      <c r="DP2" s="157"/>
      <c r="DQ2" s="157"/>
      <c r="DR2" s="157"/>
      <c r="DS2" s="157"/>
      <c r="DT2" s="159"/>
      <c r="DU2" s="159"/>
      <c r="DV2" s="159"/>
      <c r="DW2" s="159"/>
    </row>
    <row r="3" s="160" customFormat="true" ht="24" hidden="true" customHeight="false" outlineLevel="1" collapsed="false">
      <c r="A3" s="160" t="s">
        <v>140</v>
      </c>
      <c r="B3" s="161" t="s">
        <v>141</v>
      </c>
      <c r="C3" s="161" t="s">
        <v>142</v>
      </c>
      <c r="D3" s="161" t="s">
        <v>141</v>
      </c>
      <c r="E3" s="161" t="s">
        <v>142</v>
      </c>
      <c r="F3" s="162" t="s">
        <v>142</v>
      </c>
      <c r="G3" s="162" t="s">
        <v>141</v>
      </c>
      <c r="H3" s="162" t="s">
        <v>141</v>
      </c>
      <c r="I3" s="162" t="s">
        <v>141</v>
      </c>
      <c r="J3" s="162" t="s">
        <v>142</v>
      </c>
      <c r="K3" s="162" t="s">
        <v>141</v>
      </c>
      <c r="L3" s="162" t="s">
        <v>141</v>
      </c>
      <c r="M3" s="162" t="s">
        <v>141</v>
      </c>
      <c r="N3" s="162" t="s">
        <v>142</v>
      </c>
      <c r="O3" s="162" t="s">
        <v>141</v>
      </c>
      <c r="P3" s="162" t="s">
        <v>141</v>
      </c>
      <c r="Q3" s="162" t="s">
        <v>141</v>
      </c>
      <c r="R3" s="162" t="s">
        <v>141</v>
      </c>
      <c r="S3" s="162" t="s">
        <v>142</v>
      </c>
      <c r="T3" s="162" t="s">
        <v>141</v>
      </c>
      <c r="U3" s="162" t="s">
        <v>141</v>
      </c>
      <c r="V3" s="162" t="s">
        <v>141</v>
      </c>
      <c r="W3" s="162" t="s">
        <v>141</v>
      </c>
      <c r="X3" s="162" t="s">
        <v>141</v>
      </c>
      <c r="Y3" s="162" t="s">
        <v>141</v>
      </c>
      <c r="Z3" s="162" t="s">
        <v>141</v>
      </c>
      <c r="AA3" s="162" t="s">
        <v>141</v>
      </c>
      <c r="AB3" s="162" t="s">
        <v>141</v>
      </c>
      <c r="AC3" s="162" t="s">
        <v>141</v>
      </c>
      <c r="AD3" s="162" t="s">
        <v>141</v>
      </c>
      <c r="AE3" s="162" t="s">
        <v>141</v>
      </c>
      <c r="AF3" s="162" t="s">
        <v>141</v>
      </c>
      <c r="AG3" s="162" t="s">
        <v>141</v>
      </c>
      <c r="AH3" s="162" t="s">
        <v>141</v>
      </c>
      <c r="AI3" s="162" t="s">
        <v>141</v>
      </c>
      <c r="AJ3" s="162" t="s">
        <v>141</v>
      </c>
      <c r="AK3" s="162" t="s">
        <v>141</v>
      </c>
      <c r="AL3" s="162" t="s">
        <v>141</v>
      </c>
      <c r="AM3" s="162" t="s">
        <v>142</v>
      </c>
      <c r="AN3" s="162" t="s">
        <v>142</v>
      </c>
      <c r="AO3" s="162" t="s">
        <v>142</v>
      </c>
      <c r="AP3" s="162" t="s">
        <v>141</v>
      </c>
      <c r="AQ3" s="162" t="s">
        <v>141</v>
      </c>
      <c r="AR3" s="162" t="s">
        <v>141</v>
      </c>
      <c r="AS3" s="162" t="s">
        <v>142</v>
      </c>
      <c r="AT3" s="162" t="s">
        <v>142</v>
      </c>
      <c r="AU3" s="162" t="s">
        <v>141</v>
      </c>
      <c r="AV3" s="162" t="s">
        <v>141</v>
      </c>
      <c r="AW3" s="162" t="s">
        <v>142</v>
      </c>
      <c r="AX3" s="162" t="s">
        <v>142</v>
      </c>
      <c r="AY3" s="162" t="s">
        <v>142</v>
      </c>
      <c r="AZ3" s="162" t="s">
        <v>142</v>
      </c>
      <c r="BA3" s="161" t="s">
        <v>142</v>
      </c>
      <c r="BB3" s="161" t="s">
        <v>142</v>
      </c>
      <c r="BC3" s="162" t="s">
        <v>142</v>
      </c>
      <c r="BD3" s="162" t="s">
        <v>142</v>
      </c>
      <c r="BE3" s="161" t="s">
        <v>142</v>
      </c>
      <c r="BF3" s="161" t="s">
        <v>142</v>
      </c>
      <c r="BG3" s="161" t="s">
        <v>141</v>
      </c>
      <c r="BH3" s="161" t="s">
        <v>141</v>
      </c>
      <c r="BI3" s="161" t="s">
        <v>142</v>
      </c>
      <c r="BJ3" s="161" t="s">
        <v>142</v>
      </c>
      <c r="BK3" s="162" t="s">
        <v>142</v>
      </c>
      <c r="BL3" s="161" t="s">
        <v>142</v>
      </c>
      <c r="BM3" s="162" t="s">
        <v>142</v>
      </c>
      <c r="BN3" s="162" t="s">
        <v>142</v>
      </c>
      <c r="BO3" s="162" t="s">
        <v>142</v>
      </c>
      <c r="BP3" s="162" t="s">
        <v>141</v>
      </c>
      <c r="BQ3" s="162" t="s">
        <v>141</v>
      </c>
      <c r="BR3" s="162" t="s">
        <v>142</v>
      </c>
      <c r="BS3" s="162" t="s">
        <v>142</v>
      </c>
      <c r="BT3" s="162" t="s">
        <v>141</v>
      </c>
      <c r="BU3" s="162" t="s">
        <v>141</v>
      </c>
      <c r="BV3" s="162" t="s">
        <v>141</v>
      </c>
      <c r="BW3" s="162" t="s">
        <v>141</v>
      </c>
      <c r="BX3" s="162" t="s">
        <v>141</v>
      </c>
      <c r="BY3" s="162" t="s">
        <v>141</v>
      </c>
      <c r="BZ3" s="162" t="s">
        <v>142</v>
      </c>
      <c r="CA3" s="162" t="s">
        <v>141</v>
      </c>
      <c r="CB3" s="162" t="s">
        <v>142</v>
      </c>
      <c r="CC3" s="162" t="s">
        <v>141</v>
      </c>
      <c r="CD3" s="162" t="s">
        <v>142</v>
      </c>
      <c r="CE3" s="162" t="s">
        <v>142</v>
      </c>
      <c r="CF3" s="162" t="s">
        <v>142</v>
      </c>
      <c r="CG3" s="163" t="s">
        <v>142</v>
      </c>
      <c r="CH3" s="163" t="s">
        <v>142</v>
      </c>
      <c r="CI3" s="162" t="s">
        <v>142</v>
      </c>
      <c r="CJ3" s="161" t="s">
        <v>142</v>
      </c>
      <c r="CK3" s="161" t="s">
        <v>142</v>
      </c>
      <c r="CL3" s="161" t="s">
        <v>142</v>
      </c>
      <c r="CM3" s="164" t="s">
        <v>142</v>
      </c>
      <c r="CN3" s="164" t="s">
        <v>141</v>
      </c>
      <c r="CO3" s="164" t="s">
        <v>141</v>
      </c>
      <c r="CP3" s="164" t="s">
        <v>141</v>
      </c>
      <c r="CQ3" s="164" t="s">
        <v>141</v>
      </c>
      <c r="CR3" s="164" t="s">
        <v>141</v>
      </c>
      <c r="CS3" s="164" t="s">
        <v>141</v>
      </c>
      <c r="CT3" s="164" t="s">
        <v>141</v>
      </c>
      <c r="CU3" s="164" t="s">
        <v>141</v>
      </c>
      <c r="CV3" s="164" t="s">
        <v>141</v>
      </c>
      <c r="CW3" s="164" t="s">
        <v>141</v>
      </c>
      <c r="CX3" s="164" t="s">
        <v>141</v>
      </c>
      <c r="CY3" s="164" t="s">
        <v>141</v>
      </c>
      <c r="CZ3" s="164" t="s">
        <v>141</v>
      </c>
      <c r="DA3" s="164" t="s">
        <v>141</v>
      </c>
      <c r="DB3" s="164" t="s">
        <v>141</v>
      </c>
      <c r="DC3" s="164" t="s">
        <v>141</v>
      </c>
      <c r="DD3" s="164" t="s">
        <v>141</v>
      </c>
      <c r="DE3" s="164" t="s">
        <v>141</v>
      </c>
      <c r="DF3" s="164" t="s">
        <v>141</v>
      </c>
      <c r="DG3" s="164" t="s">
        <v>141</v>
      </c>
      <c r="DH3" s="164" t="s">
        <v>141</v>
      </c>
      <c r="DI3" s="164" t="s">
        <v>141</v>
      </c>
      <c r="DJ3" s="164" t="s">
        <v>141</v>
      </c>
      <c r="DK3" s="164" t="s">
        <v>141</v>
      </c>
      <c r="DL3" s="164" t="s">
        <v>141</v>
      </c>
      <c r="DM3" s="164" t="s">
        <v>141</v>
      </c>
      <c r="DN3" s="164" t="s">
        <v>141</v>
      </c>
      <c r="DO3" s="164" t="s">
        <v>141</v>
      </c>
      <c r="DP3" s="164" t="s">
        <v>141</v>
      </c>
      <c r="DQ3" s="164" t="s">
        <v>141</v>
      </c>
      <c r="DR3" s="164" t="s">
        <v>141</v>
      </c>
      <c r="DS3" s="164" t="s">
        <v>141</v>
      </c>
      <c r="DT3" s="159"/>
      <c r="DU3" s="159"/>
      <c r="DV3" s="159"/>
      <c r="DW3" s="159"/>
    </row>
    <row r="4" s="160" customFormat="true" ht="24" hidden="true" customHeight="false" outlineLevel="1" collapsed="false">
      <c r="A4" s="160" t="s">
        <v>143</v>
      </c>
      <c r="B4" s="161" t="s">
        <v>144</v>
      </c>
      <c r="C4" s="161" t="s">
        <v>144</v>
      </c>
      <c r="D4" s="161" t="s">
        <v>144</v>
      </c>
      <c r="E4" s="161" t="s">
        <v>144</v>
      </c>
      <c r="F4" s="162" t="s">
        <v>144</v>
      </c>
      <c r="G4" s="162" t="s">
        <v>144</v>
      </c>
      <c r="H4" s="162" t="s">
        <v>144</v>
      </c>
      <c r="I4" s="162" t="s">
        <v>144</v>
      </c>
      <c r="J4" s="162" t="s">
        <v>144</v>
      </c>
      <c r="K4" s="162" t="s">
        <v>144</v>
      </c>
      <c r="L4" s="162" t="s">
        <v>144</v>
      </c>
      <c r="M4" s="162" t="s">
        <v>144</v>
      </c>
      <c r="N4" s="162" t="s">
        <v>144</v>
      </c>
      <c r="O4" s="162" t="s">
        <v>144</v>
      </c>
      <c r="P4" s="162" t="s">
        <v>144</v>
      </c>
      <c r="Q4" s="162" t="s">
        <v>144</v>
      </c>
      <c r="R4" s="162" t="s">
        <v>144</v>
      </c>
      <c r="S4" s="162" t="s">
        <v>144</v>
      </c>
      <c r="T4" s="162" t="s">
        <v>144</v>
      </c>
      <c r="U4" s="162" t="s">
        <v>144</v>
      </c>
      <c r="V4" s="162" t="s">
        <v>144</v>
      </c>
      <c r="W4" s="162" t="s">
        <v>144</v>
      </c>
      <c r="X4" s="162" t="s">
        <v>144</v>
      </c>
      <c r="Y4" s="162" t="s">
        <v>144</v>
      </c>
      <c r="Z4" s="162" t="s">
        <v>144</v>
      </c>
      <c r="AA4" s="162" t="s">
        <v>144</v>
      </c>
      <c r="AB4" s="162" t="s">
        <v>144</v>
      </c>
      <c r="AC4" s="162" t="s">
        <v>144</v>
      </c>
      <c r="AD4" s="162" t="s">
        <v>144</v>
      </c>
      <c r="AE4" s="162" t="s">
        <v>144</v>
      </c>
      <c r="AF4" s="162" t="s">
        <v>144</v>
      </c>
      <c r="AG4" s="162" t="s">
        <v>144</v>
      </c>
      <c r="AH4" s="162" t="s">
        <v>144</v>
      </c>
      <c r="AI4" s="162" t="s">
        <v>144</v>
      </c>
      <c r="AJ4" s="162" t="s">
        <v>144</v>
      </c>
      <c r="AK4" s="162" t="s">
        <v>144</v>
      </c>
      <c r="AL4" s="162" t="s">
        <v>144</v>
      </c>
      <c r="AM4" s="162" t="s">
        <v>144</v>
      </c>
      <c r="AN4" s="162" t="s">
        <v>144</v>
      </c>
      <c r="AO4" s="162" t="s">
        <v>144</v>
      </c>
      <c r="AP4" s="162" t="s">
        <v>144</v>
      </c>
      <c r="AQ4" s="162" t="s">
        <v>144</v>
      </c>
      <c r="AR4" s="162" t="s">
        <v>144</v>
      </c>
      <c r="AS4" s="162" t="s">
        <v>144</v>
      </c>
      <c r="AT4" s="162" t="s">
        <v>144</v>
      </c>
      <c r="AU4" s="162" t="s">
        <v>144</v>
      </c>
      <c r="AV4" s="162" t="s">
        <v>144</v>
      </c>
      <c r="AW4" s="162" t="s">
        <v>144</v>
      </c>
      <c r="AX4" s="162" t="s">
        <v>144</v>
      </c>
      <c r="AY4" s="162" t="s">
        <v>144</v>
      </c>
      <c r="AZ4" s="165" t="s">
        <v>144</v>
      </c>
      <c r="BA4" s="166" t="s">
        <v>145</v>
      </c>
      <c r="BB4" s="166" t="s">
        <v>145</v>
      </c>
      <c r="BC4" s="162" t="s">
        <v>144</v>
      </c>
      <c r="BD4" s="167" t="s">
        <v>144</v>
      </c>
      <c r="BE4" s="166" t="s">
        <v>145</v>
      </c>
      <c r="BF4" s="166" t="s">
        <v>145</v>
      </c>
      <c r="BG4" s="166" t="s">
        <v>145</v>
      </c>
      <c r="BH4" s="166" t="s">
        <v>145</v>
      </c>
      <c r="BI4" s="166" t="s">
        <v>145</v>
      </c>
      <c r="BJ4" s="166" t="s">
        <v>145</v>
      </c>
      <c r="BK4" s="168" t="s">
        <v>144</v>
      </c>
      <c r="BL4" s="166" t="s">
        <v>145</v>
      </c>
      <c r="BM4" s="168" t="s">
        <v>144</v>
      </c>
      <c r="BN4" s="168" t="s">
        <v>144</v>
      </c>
      <c r="BO4" s="168" t="s">
        <v>144</v>
      </c>
      <c r="BP4" s="168" t="s">
        <v>144</v>
      </c>
      <c r="BQ4" s="168" t="s">
        <v>144</v>
      </c>
      <c r="BR4" s="168" t="s">
        <v>144</v>
      </c>
      <c r="BS4" s="168" t="s">
        <v>144</v>
      </c>
      <c r="BT4" s="168" t="s">
        <v>144</v>
      </c>
      <c r="BU4" s="168" t="s">
        <v>144</v>
      </c>
      <c r="BV4" s="168" t="s">
        <v>144</v>
      </c>
      <c r="BW4" s="168" t="s">
        <v>144</v>
      </c>
      <c r="BX4" s="168" t="s">
        <v>144</v>
      </c>
      <c r="BY4" s="168" t="s">
        <v>144</v>
      </c>
      <c r="BZ4" s="168" t="s">
        <v>144</v>
      </c>
      <c r="CA4" s="168" t="s">
        <v>144</v>
      </c>
      <c r="CB4" s="168" t="s">
        <v>144</v>
      </c>
      <c r="CC4" s="168" t="s">
        <v>144</v>
      </c>
      <c r="CD4" s="168" t="s">
        <v>144</v>
      </c>
      <c r="CE4" s="168" t="s">
        <v>144</v>
      </c>
      <c r="CF4" s="168" t="s">
        <v>144</v>
      </c>
      <c r="CG4" s="163" t="s">
        <v>144</v>
      </c>
      <c r="CH4" s="163" t="s">
        <v>144</v>
      </c>
      <c r="CI4" s="168" t="s">
        <v>144</v>
      </c>
      <c r="CJ4" s="166" t="s">
        <v>145</v>
      </c>
      <c r="CK4" s="166" t="s">
        <v>145</v>
      </c>
      <c r="CL4" s="166" t="s">
        <v>145</v>
      </c>
      <c r="CM4" s="169" t="s">
        <v>145</v>
      </c>
      <c r="CN4" s="159" t="s">
        <v>144</v>
      </c>
      <c r="CO4" s="159" t="s">
        <v>144</v>
      </c>
      <c r="CP4" s="159" t="s">
        <v>144</v>
      </c>
      <c r="CQ4" s="159" t="s">
        <v>144</v>
      </c>
      <c r="CR4" s="159" t="s">
        <v>144</v>
      </c>
      <c r="CS4" s="159" t="s">
        <v>144</v>
      </c>
      <c r="CT4" s="159" t="s">
        <v>144</v>
      </c>
      <c r="CU4" s="159" t="s">
        <v>144</v>
      </c>
      <c r="CV4" s="159" t="s">
        <v>144</v>
      </c>
      <c r="CW4" s="159" t="s">
        <v>144</v>
      </c>
      <c r="CX4" s="159" t="s">
        <v>144</v>
      </c>
      <c r="CY4" s="159" t="s">
        <v>144</v>
      </c>
      <c r="CZ4" s="159" t="s">
        <v>144</v>
      </c>
      <c r="DA4" s="159" t="s">
        <v>144</v>
      </c>
      <c r="DB4" s="159" t="s">
        <v>144</v>
      </c>
      <c r="DC4" s="159" t="s">
        <v>144</v>
      </c>
      <c r="DD4" s="159" t="s">
        <v>144</v>
      </c>
      <c r="DE4" s="159" t="s">
        <v>144</v>
      </c>
      <c r="DF4" s="159" t="s">
        <v>144</v>
      </c>
      <c r="DG4" s="159" t="s">
        <v>144</v>
      </c>
      <c r="DH4" s="159" t="s">
        <v>144</v>
      </c>
      <c r="DI4" s="159" t="s">
        <v>144</v>
      </c>
      <c r="DJ4" s="159" t="s">
        <v>144</v>
      </c>
      <c r="DK4" s="159" t="s">
        <v>144</v>
      </c>
      <c r="DL4" s="159" t="s">
        <v>144</v>
      </c>
      <c r="DM4" s="159" t="s">
        <v>144</v>
      </c>
      <c r="DN4" s="159" t="s">
        <v>144</v>
      </c>
      <c r="DO4" s="159" t="s">
        <v>144</v>
      </c>
      <c r="DP4" s="159" t="s">
        <v>144</v>
      </c>
      <c r="DQ4" s="159" t="s">
        <v>144</v>
      </c>
      <c r="DR4" s="159" t="s">
        <v>144</v>
      </c>
      <c r="DS4" s="159" t="s">
        <v>144</v>
      </c>
      <c r="DT4" s="159"/>
      <c r="DU4" s="159"/>
      <c r="DV4" s="159"/>
      <c r="DW4" s="159"/>
    </row>
    <row r="5" s="141" customFormat="true" ht="19.5" hidden="true" customHeight="true" outlineLevel="1" collapsed="false"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1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2"/>
      <c r="AF5" s="172"/>
      <c r="AG5" s="172"/>
      <c r="AH5" s="170"/>
      <c r="AI5" s="170"/>
      <c r="AJ5" s="172"/>
      <c r="AK5" s="170"/>
      <c r="AL5" s="170"/>
      <c r="AM5" s="170"/>
      <c r="AN5" s="170"/>
      <c r="AO5" s="170"/>
      <c r="AP5" s="173"/>
      <c r="AQ5" s="173"/>
      <c r="AR5" s="173"/>
      <c r="AS5" s="170"/>
      <c r="AT5" s="170"/>
      <c r="AU5" s="170"/>
      <c r="AV5" s="174"/>
      <c r="AW5" s="175"/>
      <c r="AX5" s="176"/>
      <c r="AY5" s="177"/>
      <c r="AZ5" s="178"/>
      <c r="BB5" s="179"/>
      <c r="BC5" s="175"/>
      <c r="BD5" s="180"/>
      <c r="BE5" s="179"/>
      <c r="BI5" s="179"/>
      <c r="BK5" s="170"/>
      <c r="BM5" s="171"/>
      <c r="BN5" s="181"/>
      <c r="BO5" s="182"/>
      <c r="BP5" s="170"/>
      <c r="BQ5" s="170"/>
      <c r="BR5" s="171"/>
      <c r="BS5" s="170"/>
      <c r="BT5" s="171"/>
      <c r="BU5" s="170"/>
      <c r="BV5" s="170"/>
      <c r="BW5" s="170"/>
      <c r="BX5" s="170"/>
      <c r="BY5" s="170"/>
      <c r="BZ5" s="170"/>
      <c r="CA5" s="183"/>
      <c r="CB5" s="183"/>
      <c r="CC5" s="183"/>
      <c r="CD5" s="171"/>
      <c r="CE5" s="171"/>
      <c r="CF5" s="171"/>
      <c r="CG5" s="184"/>
      <c r="CH5" s="184"/>
      <c r="CI5" s="185"/>
      <c r="CJ5" s="186"/>
      <c r="CM5" s="187"/>
      <c r="CN5" s="187"/>
      <c r="CO5" s="187"/>
      <c r="CP5" s="187"/>
      <c r="CQ5" s="187"/>
      <c r="CR5" s="188"/>
      <c r="CS5" s="188"/>
      <c r="CT5" s="188"/>
      <c r="CU5" s="188"/>
      <c r="CV5" s="188"/>
      <c r="CW5" s="188"/>
      <c r="CX5" s="188"/>
      <c r="CY5" s="188"/>
      <c r="CZ5" s="188"/>
      <c r="DA5" s="188"/>
      <c r="DB5" s="188"/>
      <c r="DC5" s="189"/>
      <c r="DD5" s="189"/>
      <c r="DE5" s="189"/>
      <c r="DF5" s="189"/>
      <c r="DG5" s="188"/>
      <c r="DH5" s="188"/>
      <c r="DI5" s="189"/>
      <c r="DJ5" s="189"/>
      <c r="DK5" s="189"/>
      <c r="DL5" s="189"/>
      <c r="DM5" s="187"/>
      <c r="DN5" s="187"/>
      <c r="DO5" s="187"/>
      <c r="DP5" s="187"/>
      <c r="DQ5" s="187"/>
      <c r="DR5" s="187"/>
      <c r="DS5" s="187"/>
      <c r="DT5" s="187"/>
      <c r="DU5" s="187"/>
      <c r="DV5" s="187"/>
      <c r="DW5" s="187"/>
    </row>
    <row r="6" s="141" customFormat="true" ht="19.5" hidden="true" customHeight="true" outlineLevel="1" collapsed="false"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1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2"/>
      <c r="AF6" s="172"/>
      <c r="AG6" s="172"/>
      <c r="AH6" s="170"/>
      <c r="AI6" s="170"/>
      <c r="AJ6" s="172"/>
      <c r="AK6" s="170"/>
      <c r="AL6" s="170"/>
      <c r="AM6" s="170"/>
      <c r="AN6" s="170"/>
      <c r="AO6" s="170"/>
      <c r="AP6" s="173"/>
      <c r="AQ6" s="173"/>
      <c r="AR6" s="173"/>
      <c r="AS6" s="170"/>
      <c r="AT6" s="170"/>
      <c r="AU6" s="170"/>
      <c r="AV6" s="174"/>
      <c r="AW6" s="175"/>
      <c r="AX6" s="176"/>
      <c r="AY6" s="177"/>
      <c r="AZ6" s="178"/>
      <c r="BB6" s="179"/>
      <c r="BC6" s="175"/>
      <c r="BD6" s="180"/>
      <c r="BE6" s="179"/>
      <c r="BI6" s="179"/>
      <c r="BK6" s="170"/>
      <c r="BM6" s="171"/>
      <c r="BN6" s="181"/>
      <c r="BO6" s="182"/>
      <c r="BP6" s="170"/>
      <c r="BQ6" s="170"/>
      <c r="BR6" s="171"/>
      <c r="BS6" s="170"/>
      <c r="BT6" s="171"/>
      <c r="BU6" s="170"/>
      <c r="BV6" s="170"/>
      <c r="BW6" s="170"/>
      <c r="BX6" s="170"/>
      <c r="BY6" s="170"/>
      <c r="BZ6" s="170"/>
      <c r="CA6" s="183"/>
      <c r="CB6" s="183"/>
      <c r="CC6" s="183"/>
      <c r="CD6" s="171"/>
      <c r="CE6" s="171"/>
      <c r="CF6" s="171"/>
      <c r="CG6" s="184"/>
      <c r="CH6" s="184"/>
      <c r="CI6" s="185"/>
      <c r="CJ6" s="186"/>
      <c r="CM6" s="187"/>
      <c r="CN6" s="187"/>
      <c r="CO6" s="187"/>
      <c r="CP6" s="187"/>
      <c r="CQ6" s="187"/>
      <c r="CR6" s="188"/>
      <c r="CS6" s="188"/>
      <c r="CT6" s="188"/>
      <c r="CU6" s="188"/>
      <c r="CV6" s="188"/>
      <c r="CW6" s="188"/>
      <c r="CX6" s="188"/>
      <c r="CY6" s="188"/>
      <c r="CZ6" s="188"/>
      <c r="DA6" s="188"/>
      <c r="DB6" s="188"/>
      <c r="DC6" s="189"/>
      <c r="DD6" s="189"/>
      <c r="DE6" s="189"/>
      <c r="DF6" s="189"/>
      <c r="DG6" s="188"/>
      <c r="DH6" s="188"/>
      <c r="DI6" s="189"/>
      <c r="DJ6" s="189"/>
      <c r="DK6" s="189"/>
      <c r="DL6" s="189"/>
      <c r="DM6" s="187"/>
      <c r="DN6" s="187"/>
      <c r="DO6" s="187"/>
      <c r="DP6" s="187"/>
      <c r="DQ6" s="187"/>
      <c r="DR6" s="187"/>
      <c r="DS6" s="187"/>
      <c r="DT6" s="187"/>
      <c r="DU6" s="187"/>
      <c r="DV6" s="187"/>
      <c r="DW6" s="187"/>
    </row>
    <row r="7" s="197" customFormat="true" ht="36" hidden="false" customHeight="true" outlineLevel="0" collapsed="false">
      <c r="A7" s="141"/>
      <c r="B7" s="141"/>
      <c r="C7" s="190"/>
      <c r="D7" s="141"/>
      <c r="E7" s="190" t="s">
        <v>146</v>
      </c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1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2"/>
      <c r="AF7" s="172"/>
      <c r="AG7" s="172"/>
      <c r="AH7" s="170"/>
      <c r="AI7" s="170"/>
      <c r="AJ7" s="172"/>
      <c r="AK7" s="170"/>
      <c r="AL7" s="170"/>
      <c r="AM7" s="170"/>
      <c r="AN7" s="170"/>
      <c r="AO7" s="170"/>
      <c r="AP7" s="173"/>
      <c r="AQ7" s="173"/>
      <c r="AR7" s="173"/>
      <c r="AS7" s="170"/>
      <c r="AT7" s="170"/>
      <c r="AU7" s="170"/>
      <c r="AV7" s="174"/>
      <c r="AW7" s="175"/>
      <c r="AX7" s="176"/>
      <c r="AY7" s="177" t="s">
        <v>18</v>
      </c>
      <c r="AZ7" s="178"/>
      <c r="BA7" s="141"/>
      <c r="BB7" s="170"/>
      <c r="BC7" s="175"/>
      <c r="BD7" s="191"/>
      <c r="BE7" s="192" t="s">
        <v>11</v>
      </c>
      <c r="BF7" s="192" t="s">
        <v>12</v>
      </c>
      <c r="BG7" s="170"/>
      <c r="BH7" s="170"/>
      <c r="BI7" s="193" t="s">
        <v>147</v>
      </c>
      <c r="BJ7" s="193" t="s">
        <v>148</v>
      </c>
      <c r="BK7" s="170"/>
      <c r="BL7" s="170"/>
      <c r="BM7" s="171"/>
      <c r="BN7" s="181"/>
      <c r="BO7" s="182"/>
      <c r="BP7" s="170"/>
      <c r="BQ7" s="170"/>
      <c r="BR7" s="171"/>
      <c r="BS7" s="170"/>
      <c r="BT7" s="171"/>
      <c r="BU7" s="170"/>
      <c r="BV7" s="170"/>
      <c r="BW7" s="170"/>
      <c r="BX7" s="170"/>
      <c r="BY7" s="170"/>
      <c r="BZ7" s="170"/>
      <c r="CA7" s="183"/>
      <c r="CB7" s="183"/>
      <c r="CC7" s="183"/>
      <c r="CD7" s="171"/>
      <c r="CE7" s="171"/>
      <c r="CF7" s="171"/>
      <c r="CG7" s="184"/>
      <c r="CH7" s="184"/>
      <c r="CI7" s="185"/>
      <c r="CJ7" s="194"/>
      <c r="CK7" s="170"/>
      <c r="CL7" s="170"/>
      <c r="CM7" s="195"/>
      <c r="CN7" s="187"/>
      <c r="CO7" s="187"/>
      <c r="CP7" s="187"/>
      <c r="CQ7" s="187"/>
      <c r="CR7" s="188"/>
      <c r="CS7" s="188"/>
      <c r="CT7" s="188"/>
      <c r="CU7" s="188"/>
      <c r="CV7" s="188"/>
      <c r="CW7" s="188"/>
      <c r="CX7" s="188"/>
      <c r="CY7" s="188"/>
      <c r="CZ7" s="188"/>
      <c r="DA7" s="188"/>
      <c r="DB7" s="188"/>
      <c r="DC7" s="189"/>
      <c r="DD7" s="189"/>
      <c r="DE7" s="189"/>
      <c r="DF7" s="189"/>
      <c r="DG7" s="188"/>
      <c r="DH7" s="188"/>
      <c r="DI7" s="189"/>
      <c r="DJ7" s="189"/>
      <c r="DK7" s="189"/>
      <c r="DL7" s="189"/>
      <c r="DM7" s="187"/>
      <c r="DN7" s="187"/>
      <c r="DO7" s="187"/>
      <c r="DP7" s="187"/>
      <c r="DQ7" s="187"/>
      <c r="DR7" s="187"/>
      <c r="DS7" s="187"/>
      <c r="DT7" s="187"/>
      <c r="DU7" s="187"/>
      <c r="DV7" s="187"/>
      <c r="DW7" s="187"/>
      <c r="DX7" s="141"/>
      <c r="DY7" s="141"/>
      <c r="DZ7" s="141"/>
      <c r="EA7" s="141"/>
      <c r="EB7" s="141"/>
      <c r="EC7" s="141"/>
      <c r="ED7" s="141"/>
      <c r="EE7" s="141"/>
      <c r="EF7" s="141"/>
      <c r="EG7" s="141"/>
      <c r="EH7" s="141"/>
      <c r="EI7" s="141"/>
      <c r="EJ7" s="141"/>
      <c r="EK7" s="141"/>
      <c r="EL7" s="141"/>
      <c r="EM7" s="141"/>
      <c r="EN7" s="141"/>
      <c r="EO7" s="141"/>
      <c r="EP7" s="141"/>
      <c r="EQ7" s="141"/>
      <c r="ER7" s="141"/>
      <c r="ES7" s="141"/>
      <c r="ET7" s="141"/>
      <c r="EU7" s="141"/>
      <c r="EV7" s="141"/>
      <c r="EW7" s="141"/>
      <c r="EX7" s="141"/>
      <c r="EY7" s="141"/>
      <c r="EZ7" s="141"/>
      <c r="FA7" s="141"/>
      <c r="FB7" s="141"/>
      <c r="FC7" s="141"/>
      <c r="FD7" s="141"/>
      <c r="FE7" s="141"/>
      <c r="FF7" s="141"/>
      <c r="FG7" s="141"/>
      <c r="FH7" s="141"/>
      <c r="FI7" s="141"/>
      <c r="FJ7" s="141"/>
      <c r="FK7" s="141"/>
      <c r="FL7" s="141"/>
      <c r="FM7" s="141"/>
      <c r="FN7" s="141"/>
      <c r="FO7" s="141"/>
      <c r="FP7" s="141"/>
      <c r="FQ7" s="141"/>
      <c r="FR7" s="141"/>
      <c r="FS7" s="141"/>
      <c r="FT7" s="196"/>
    </row>
    <row r="8" s="221" customFormat="true" ht="19.5" hidden="false" customHeight="true" outlineLevel="0" collapsed="false">
      <c r="A8" s="198"/>
      <c r="B8" s="198"/>
      <c r="C8" s="198"/>
      <c r="D8" s="198"/>
      <c r="E8" s="198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  <c r="AD8" s="199"/>
      <c r="AE8" s="200"/>
      <c r="AF8" s="200"/>
      <c r="AG8" s="200"/>
      <c r="AH8" s="199"/>
      <c r="AI8" s="199"/>
      <c r="AJ8" s="200"/>
      <c r="AK8" s="199"/>
      <c r="AL8" s="29"/>
      <c r="AM8" s="199"/>
      <c r="AN8" s="29"/>
      <c r="AO8" s="199"/>
      <c r="AP8" s="201"/>
      <c r="AQ8" s="201"/>
      <c r="AR8" s="201"/>
      <c r="AS8" s="199"/>
      <c r="AT8" s="199"/>
      <c r="AU8" s="29"/>
      <c r="AV8" s="202"/>
      <c r="AW8" s="203"/>
      <c r="AX8" s="204"/>
      <c r="AY8" s="205"/>
      <c r="AZ8" s="205"/>
      <c r="BA8" s="198"/>
      <c r="BB8" s="206"/>
      <c r="BC8" s="207"/>
      <c r="BD8" s="208" t="s">
        <v>14</v>
      </c>
      <c r="BE8" s="209" t="n">
        <f aca="false">CR10</f>
        <v>0</v>
      </c>
      <c r="BF8" s="210" t="n">
        <f aca="false">CS10</f>
        <v>0</v>
      </c>
      <c r="BG8" s="29"/>
      <c r="BH8" s="29"/>
      <c r="BI8" s="211" t="n">
        <f aca="false">CT10</f>
        <v>0</v>
      </c>
      <c r="BJ8" s="212" t="n">
        <f aca="false">CU10</f>
        <v>0</v>
      </c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03"/>
      <c r="BV8" s="213"/>
      <c r="BW8" s="29"/>
      <c r="BX8" s="29"/>
      <c r="BY8" s="29"/>
      <c r="BZ8" s="29"/>
      <c r="CA8" s="29"/>
      <c r="CB8" s="29"/>
      <c r="CC8" s="29"/>
      <c r="CD8" s="29"/>
      <c r="CE8" s="203"/>
      <c r="CF8" s="203"/>
      <c r="CG8" s="214"/>
      <c r="CH8" s="215"/>
      <c r="CI8" s="29"/>
      <c r="CJ8" s="29"/>
      <c r="CK8" s="29"/>
      <c r="CL8" s="213"/>
      <c r="CM8" s="216"/>
      <c r="CN8" s="217"/>
      <c r="CO8" s="217"/>
      <c r="CP8" s="217"/>
      <c r="CQ8" s="217"/>
      <c r="CR8" s="217"/>
      <c r="CS8" s="217"/>
      <c r="CT8" s="217"/>
      <c r="CU8" s="217"/>
      <c r="CV8" s="217"/>
      <c r="CW8" s="217"/>
      <c r="CX8" s="217"/>
      <c r="CY8" s="217"/>
      <c r="CZ8" s="217"/>
      <c r="DA8" s="217"/>
      <c r="DB8" s="217"/>
      <c r="DC8" s="217"/>
      <c r="DD8" s="217"/>
      <c r="DE8" s="217"/>
      <c r="DF8" s="217"/>
      <c r="DG8" s="217"/>
      <c r="DH8" s="217"/>
      <c r="DI8" s="217"/>
      <c r="DJ8" s="217"/>
      <c r="DK8" s="217"/>
      <c r="DL8" s="217"/>
      <c r="DM8" s="217"/>
      <c r="DN8" s="217"/>
      <c r="DO8" s="217"/>
      <c r="DP8" s="217"/>
      <c r="DQ8" s="217"/>
      <c r="DR8" s="217"/>
      <c r="DS8" s="217"/>
      <c r="DT8" s="217"/>
      <c r="DU8" s="217"/>
      <c r="DV8" s="217"/>
      <c r="DW8" s="217"/>
      <c r="DX8" s="218"/>
      <c r="DY8" s="218"/>
      <c r="DZ8" s="218"/>
      <c r="EA8" s="218"/>
      <c r="EB8" s="218"/>
      <c r="EC8" s="218"/>
      <c r="ED8" s="218"/>
      <c r="EE8" s="218"/>
      <c r="EF8" s="218"/>
      <c r="EG8" s="218"/>
      <c r="EH8" s="218"/>
      <c r="EI8" s="218"/>
      <c r="EJ8" s="218"/>
      <c r="EK8" s="218"/>
      <c r="EL8" s="218"/>
      <c r="EM8" s="218"/>
      <c r="EN8" s="218"/>
      <c r="EO8" s="218"/>
      <c r="EP8" s="218"/>
      <c r="EQ8" s="218"/>
      <c r="ER8" s="218"/>
      <c r="ES8" s="218"/>
      <c r="ET8" s="218"/>
      <c r="EU8" s="218"/>
      <c r="EV8" s="218"/>
      <c r="EW8" s="218"/>
      <c r="EX8" s="218"/>
      <c r="EY8" s="218"/>
      <c r="EZ8" s="218"/>
      <c r="FA8" s="218"/>
      <c r="FB8" s="218"/>
      <c r="FC8" s="218"/>
      <c r="FD8" s="218"/>
      <c r="FE8" s="218"/>
      <c r="FF8" s="218"/>
      <c r="FG8" s="218"/>
      <c r="FH8" s="218"/>
      <c r="FI8" s="218"/>
      <c r="FJ8" s="218"/>
      <c r="FK8" s="218"/>
      <c r="FL8" s="218"/>
      <c r="FM8" s="218"/>
      <c r="FN8" s="218"/>
      <c r="FO8" s="218"/>
      <c r="FP8" s="218"/>
      <c r="FQ8" s="218"/>
      <c r="FR8" s="218"/>
      <c r="FS8" s="218"/>
      <c r="FT8" s="219"/>
      <c r="FU8" s="220"/>
      <c r="FV8" s="220"/>
      <c r="FW8" s="220"/>
      <c r="FX8" s="220"/>
      <c r="FY8" s="220"/>
      <c r="FZ8" s="220"/>
      <c r="GA8" s="220"/>
      <c r="GB8" s="220"/>
      <c r="GC8" s="220"/>
      <c r="GD8" s="220"/>
      <c r="GE8" s="220"/>
      <c r="GF8" s="220"/>
      <c r="GG8" s="220"/>
      <c r="GH8" s="220"/>
      <c r="GI8" s="220"/>
      <c r="GJ8" s="220"/>
      <c r="GK8" s="220"/>
      <c r="GL8" s="220"/>
      <c r="GM8" s="220"/>
      <c r="GN8" s="220"/>
      <c r="GO8" s="220"/>
      <c r="GP8" s="220"/>
      <c r="GQ8" s="220"/>
      <c r="GR8" s="220"/>
      <c r="GS8" s="220"/>
      <c r="GT8" s="220"/>
      <c r="GU8" s="220"/>
      <c r="GV8" s="220"/>
      <c r="GW8" s="220"/>
      <c r="GX8" s="220"/>
      <c r="GY8" s="220"/>
      <c r="GZ8" s="220"/>
      <c r="HA8" s="220"/>
      <c r="HB8" s="220"/>
      <c r="HC8" s="220"/>
      <c r="HD8" s="220"/>
      <c r="HE8" s="220"/>
      <c r="HF8" s="220"/>
      <c r="HG8" s="220"/>
      <c r="HH8" s="220"/>
      <c r="HI8" s="220"/>
      <c r="HJ8" s="220"/>
      <c r="HK8" s="220"/>
      <c r="HL8" s="220"/>
      <c r="HM8" s="220"/>
      <c r="HN8" s="220"/>
      <c r="HO8" s="220"/>
      <c r="HP8" s="220"/>
      <c r="HQ8" s="220"/>
      <c r="HR8" s="220"/>
      <c r="HS8" s="220"/>
      <c r="HT8" s="220"/>
      <c r="HU8" s="220"/>
      <c r="HV8" s="220"/>
      <c r="HW8" s="220"/>
      <c r="HX8" s="220"/>
      <c r="HY8" s="220"/>
      <c r="HZ8" s="220"/>
      <c r="IA8" s="220"/>
      <c r="IB8" s="220"/>
      <c r="IC8" s="220"/>
      <c r="ID8" s="220"/>
      <c r="IE8" s="220"/>
      <c r="IF8" s="220"/>
      <c r="IG8" s="220"/>
      <c r="IH8" s="220"/>
      <c r="II8" s="220"/>
      <c r="IJ8" s="220"/>
      <c r="IK8" s="220"/>
      <c r="IL8" s="220"/>
      <c r="IM8" s="220"/>
      <c r="IN8" s="220"/>
      <c r="IO8" s="220"/>
      <c r="IP8" s="220"/>
      <c r="IQ8" s="220"/>
      <c r="IR8" s="220"/>
      <c r="IS8" s="220"/>
      <c r="IT8" s="220"/>
      <c r="IU8" s="220"/>
      <c r="IV8" s="220"/>
      <c r="IW8" s="220"/>
      <c r="IX8" s="220"/>
      <c r="IY8" s="220"/>
      <c r="IZ8" s="220"/>
      <c r="JA8" s="220"/>
      <c r="JB8" s="220"/>
      <c r="JC8" s="220"/>
    </row>
    <row r="9" s="221" customFormat="true" ht="18.75" hidden="false" customHeight="true" outlineLevel="0" collapsed="false">
      <c r="A9" s="198"/>
      <c r="B9" s="198"/>
      <c r="C9" s="198"/>
      <c r="D9" s="198"/>
      <c r="E9" s="198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199"/>
      <c r="AB9" s="199"/>
      <c r="AC9" s="199"/>
      <c r="AD9" s="199"/>
      <c r="AE9" s="200"/>
      <c r="AF9" s="200"/>
      <c r="AG9" s="200"/>
      <c r="AH9" s="199"/>
      <c r="AI9" s="199"/>
      <c r="AJ9" s="200"/>
      <c r="AK9" s="199"/>
      <c r="AL9" s="29"/>
      <c r="AM9" s="199"/>
      <c r="AN9" s="29"/>
      <c r="AO9" s="199"/>
      <c r="AP9" s="222" t="s">
        <v>149</v>
      </c>
      <c r="AQ9" s="222" t="s">
        <v>29</v>
      </c>
      <c r="AR9" s="222" t="s">
        <v>30</v>
      </c>
      <c r="AS9" s="199"/>
      <c r="AT9" s="199"/>
      <c r="AU9" s="29"/>
      <c r="AV9" s="202"/>
      <c r="AW9" s="203"/>
      <c r="AX9" s="204"/>
      <c r="AY9" s="222" t="s">
        <v>150</v>
      </c>
      <c r="AZ9" s="205"/>
      <c r="BA9" s="198"/>
      <c r="BB9" s="223"/>
      <c r="BC9" s="224"/>
      <c r="BD9" s="225" t="s">
        <v>151</v>
      </c>
      <c r="BE9" s="209" t="n">
        <f aca="false">CV10</f>
        <v>0.00857576455018844</v>
      </c>
      <c r="BF9" s="210" t="n">
        <f aca="false">CW10</f>
        <v>59617</v>
      </c>
      <c r="BG9" s="29"/>
      <c r="BH9" s="203"/>
      <c r="BI9" s="211" t="n">
        <f aca="false">CX10</f>
        <v>0.0160515262234242</v>
      </c>
      <c r="BJ9" s="212" t="n">
        <f aca="false">CY10</f>
        <v>111587</v>
      </c>
      <c r="BK9" s="29"/>
      <c r="BL9" s="226"/>
      <c r="BM9" s="222" t="s">
        <v>152</v>
      </c>
      <c r="BN9" s="222" t="s">
        <v>153</v>
      </c>
      <c r="BO9" s="222" t="s">
        <v>48</v>
      </c>
      <c r="BP9" s="226"/>
      <c r="BQ9" s="226"/>
      <c r="BR9" s="226"/>
      <c r="BS9" s="226"/>
      <c r="BT9" s="226"/>
      <c r="BU9" s="29"/>
      <c r="BV9" s="227" t="s">
        <v>49</v>
      </c>
      <c r="BW9" s="29"/>
      <c r="BX9" s="29"/>
      <c r="BY9" s="29"/>
      <c r="BZ9" s="29"/>
      <c r="CA9" s="29"/>
      <c r="CB9" s="29"/>
      <c r="CC9" s="29"/>
      <c r="CD9" s="29"/>
      <c r="CE9" s="203"/>
      <c r="CF9" s="203"/>
      <c r="CG9" s="214"/>
      <c r="CH9" s="215"/>
      <c r="CI9" s="29"/>
      <c r="CJ9" s="29"/>
      <c r="CK9" s="29"/>
      <c r="CL9" s="222" t="s">
        <v>154</v>
      </c>
      <c r="CM9" s="216"/>
      <c r="CN9" s="217"/>
      <c r="CO9" s="217"/>
      <c r="CP9" s="228" t="s">
        <v>155</v>
      </c>
      <c r="CQ9" s="228" t="s">
        <v>156</v>
      </c>
      <c r="CR9" s="229" t="s">
        <v>157</v>
      </c>
      <c r="CS9" s="229" t="s">
        <v>158</v>
      </c>
      <c r="CT9" s="230" t="s">
        <v>40</v>
      </c>
      <c r="CU9" s="230" t="s">
        <v>41</v>
      </c>
      <c r="CV9" s="229" t="s">
        <v>159</v>
      </c>
      <c r="CW9" s="229" t="s">
        <v>160</v>
      </c>
      <c r="CX9" s="230" t="s">
        <v>42</v>
      </c>
      <c r="CY9" s="230" t="s">
        <v>43</v>
      </c>
      <c r="CZ9" s="231"/>
      <c r="DA9" s="231"/>
      <c r="DB9" s="231"/>
      <c r="DC9" s="229" t="s">
        <v>161</v>
      </c>
      <c r="DD9" s="229" t="s">
        <v>162</v>
      </c>
      <c r="DE9" s="229" t="s">
        <v>163</v>
      </c>
      <c r="DF9" s="229" t="s">
        <v>164</v>
      </c>
      <c r="DG9" s="232" t="s">
        <v>165</v>
      </c>
      <c r="DH9" s="232" t="s">
        <v>166</v>
      </c>
      <c r="DI9" s="232" t="s">
        <v>167</v>
      </c>
      <c r="DJ9" s="232" t="s">
        <v>168</v>
      </c>
      <c r="DK9" s="230" t="s">
        <v>169</v>
      </c>
      <c r="DL9" s="230" t="s">
        <v>170</v>
      </c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8"/>
      <c r="DY9" s="218"/>
      <c r="DZ9" s="218"/>
      <c r="EA9" s="218"/>
      <c r="EB9" s="218"/>
      <c r="EC9" s="218"/>
      <c r="ED9" s="218"/>
      <c r="EE9" s="218"/>
      <c r="EF9" s="218"/>
      <c r="EG9" s="218"/>
      <c r="EH9" s="218"/>
      <c r="EI9" s="218"/>
      <c r="EJ9" s="218"/>
      <c r="EK9" s="218"/>
      <c r="EL9" s="218"/>
      <c r="EM9" s="218"/>
      <c r="EN9" s="218"/>
      <c r="EO9" s="218"/>
      <c r="EP9" s="218"/>
      <c r="EQ9" s="218"/>
      <c r="ER9" s="218"/>
      <c r="ES9" s="218"/>
      <c r="ET9" s="218"/>
      <c r="EU9" s="218"/>
      <c r="EV9" s="218"/>
      <c r="EW9" s="218"/>
      <c r="EX9" s="218"/>
      <c r="EY9" s="218"/>
      <c r="EZ9" s="218"/>
      <c r="FA9" s="218"/>
      <c r="FB9" s="218"/>
      <c r="FC9" s="218"/>
      <c r="FD9" s="218"/>
      <c r="FE9" s="218"/>
      <c r="FF9" s="218"/>
      <c r="FG9" s="218"/>
      <c r="FH9" s="218"/>
      <c r="FI9" s="218"/>
      <c r="FJ9" s="218"/>
      <c r="FK9" s="218"/>
      <c r="FL9" s="218"/>
      <c r="FM9" s="218"/>
      <c r="FN9" s="218"/>
      <c r="FO9" s="218"/>
      <c r="FP9" s="218"/>
      <c r="FQ9" s="218"/>
      <c r="FR9" s="218"/>
      <c r="FS9" s="218"/>
      <c r="FT9" s="219"/>
      <c r="FU9" s="220"/>
      <c r="FV9" s="220"/>
      <c r="FW9" s="220"/>
      <c r="FX9" s="220"/>
      <c r="FY9" s="220"/>
      <c r="FZ9" s="220"/>
      <c r="GA9" s="220"/>
      <c r="GB9" s="220"/>
      <c r="GC9" s="220"/>
      <c r="GD9" s="220"/>
      <c r="GE9" s="220"/>
      <c r="GF9" s="220"/>
      <c r="GG9" s="220"/>
      <c r="GH9" s="220"/>
      <c r="GI9" s="220"/>
      <c r="GJ9" s="220"/>
      <c r="GK9" s="220"/>
      <c r="GL9" s="220"/>
      <c r="GM9" s="220"/>
      <c r="GN9" s="220"/>
      <c r="GO9" s="220"/>
      <c r="GP9" s="220"/>
      <c r="GQ9" s="220"/>
      <c r="GR9" s="220"/>
      <c r="GS9" s="220"/>
      <c r="GT9" s="220"/>
      <c r="GU9" s="220"/>
      <c r="GV9" s="220"/>
      <c r="GW9" s="220"/>
      <c r="GX9" s="220"/>
      <c r="GY9" s="220"/>
      <c r="GZ9" s="220"/>
      <c r="HA9" s="220"/>
      <c r="HB9" s="220"/>
      <c r="HC9" s="220"/>
      <c r="HD9" s="220"/>
      <c r="HE9" s="220"/>
      <c r="HF9" s="220"/>
      <c r="HG9" s="220"/>
      <c r="HH9" s="220"/>
      <c r="HI9" s="220"/>
      <c r="HJ9" s="220"/>
      <c r="HK9" s="220"/>
      <c r="HL9" s="220"/>
      <c r="HM9" s="220"/>
      <c r="HN9" s="220"/>
      <c r="HO9" s="220"/>
      <c r="HP9" s="220"/>
      <c r="HQ9" s="220"/>
      <c r="HR9" s="220"/>
      <c r="HS9" s="220"/>
      <c r="HT9" s="220"/>
      <c r="HU9" s="220"/>
      <c r="HV9" s="220"/>
      <c r="HW9" s="220"/>
      <c r="HX9" s="220"/>
      <c r="HY9" s="220"/>
      <c r="HZ9" s="220"/>
      <c r="IA9" s="220"/>
      <c r="IB9" s="220"/>
      <c r="IC9" s="220"/>
      <c r="ID9" s="220"/>
      <c r="IE9" s="220"/>
      <c r="IF9" s="220"/>
      <c r="IG9" s="220"/>
      <c r="IH9" s="220"/>
      <c r="II9" s="220"/>
      <c r="IJ9" s="220"/>
      <c r="IK9" s="220"/>
      <c r="IL9" s="220"/>
      <c r="IM9" s="220"/>
      <c r="IN9" s="220"/>
      <c r="IO9" s="220"/>
      <c r="IP9" s="220"/>
      <c r="IQ9" s="220"/>
      <c r="IR9" s="220"/>
      <c r="IS9" s="220"/>
      <c r="IT9" s="220"/>
      <c r="IU9" s="220"/>
      <c r="IV9" s="220"/>
      <c r="IW9" s="220"/>
      <c r="IX9" s="220"/>
      <c r="IY9" s="220"/>
      <c r="IZ9" s="220"/>
      <c r="JA9" s="220"/>
      <c r="JB9" s="220"/>
      <c r="JC9" s="220"/>
    </row>
    <row r="10" s="221" customFormat="true" ht="19.5" hidden="false" customHeight="true" outlineLevel="0" collapsed="false">
      <c r="A10" s="198"/>
      <c r="B10" s="198"/>
      <c r="C10" s="198"/>
      <c r="D10" s="198"/>
      <c r="E10" s="198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200"/>
      <c r="AF10" s="200"/>
      <c r="AG10" s="200"/>
      <c r="AH10" s="199"/>
      <c r="AI10" s="199"/>
      <c r="AJ10" s="200"/>
      <c r="AK10" s="199"/>
      <c r="AL10" s="29"/>
      <c r="AM10" s="199"/>
      <c r="AN10" s="29"/>
      <c r="AO10" s="199"/>
      <c r="AP10" s="213" t="n">
        <f aca="false">SUM($AP$17:$AP$122)</f>
        <v>11592182</v>
      </c>
      <c r="AQ10" s="233" t="n">
        <f aca="false">SUM($AQ$17:$AQ$122)</f>
        <v>11438811</v>
      </c>
      <c r="AR10" s="233" t="n">
        <f aca="false">SUM($AR$17:$AR$122)</f>
        <v>6951800</v>
      </c>
      <c r="AS10" s="199"/>
      <c r="AT10" s="199"/>
      <c r="AU10" s="29"/>
      <c r="AV10" s="202"/>
      <c r="AW10" s="203"/>
      <c r="AX10" s="204"/>
      <c r="AY10" s="233" t="n">
        <f aca="false">SUM($AY$17:$AY$122)</f>
        <v>11592182</v>
      </c>
      <c r="AZ10" s="205"/>
      <c r="BA10" s="198"/>
      <c r="BB10" s="223"/>
      <c r="BC10" s="224"/>
      <c r="BD10" s="225" t="s">
        <v>16</v>
      </c>
      <c r="BE10" s="209" t="n">
        <f aca="false">DC10</f>
        <v>0.0212723323455796</v>
      </c>
      <c r="BF10" s="210" t="n">
        <f aca="false">DD10</f>
        <v>147881</v>
      </c>
      <c r="BG10" s="234"/>
      <c r="BH10" s="203"/>
      <c r="BI10" s="235"/>
      <c r="BJ10" s="235"/>
      <c r="BK10" s="226"/>
      <c r="BL10" s="226"/>
      <c r="BM10" s="236" t="n">
        <f aca="false">BN10/AR10</f>
        <v>0.0106632814522857</v>
      </c>
      <c r="BN10" s="237" t="n">
        <f aca="false">SUM($BN$17:$BN$25)</f>
        <v>74129</v>
      </c>
      <c r="BO10" s="237" t="n">
        <f aca="false">SUM($BO$17:$BO$25)</f>
        <v>1508529</v>
      </c>
      <c r="BP10" s="226"/>
      <c r="BQ10" s="226"/>
      <c r="BR10" s="226"/>
      <c r="BS10" s="226"/>
      <c r="BT10" s="226"/>
      <c r="BU10" s="29"/>
      <c r="BV10" s="237" t="n">
        <f aca="false">SUM($BV$17:$BV$122)</f>
        <v>11754708.9157895</v>
      </c>
      <c r="BW10" s="29"/>
      <c r="BX10" s="29"/>
      <c r="BY10" s="29"/>
      <c r="BZ10" s="29"/>
      <c r="CA10" s="29"/>
      <c r="CB10" s="29"/>
      <c r="CC10" s="29"/>
      <c r="CD10" s="29"/>
      <c r="CE10" s="203"/>
      <c r="CF10" s="203"/>
      <c r="CG10" s="214"/>
      <c r="CH10" s="215"/>
      <c r="CI10" s="29"/>
      <c r="CJ10" s="29"/>
      <c r="CK10" s="29"/>
      <c r="CL10" s="213" t="n">
        <f aca="false">SUM($CK$17:$CK$25)</f>
        <v>16500</v>
      </c>
      <c r="CM10" s="216"/>
      <c r="CN10" s="217"/>
      <c r="CO10" s="217"/>
      <c r="CP10" s="238" t="n">
        <f aca="false">CQ10/AR10</f>
        <v>0.0325013665525475</v>
      </c>
      <c r="CQ10" s="239" t="n">
        <f aca="false">SUM($CQ$17:$CQ$122)</f>
        <v>225943</v>
      </c>
      <c r="CR10" s="240" t="n">
        <f aca="false">$CS$10/$AR$10</f>
        <v>0</v>
      </c>
      <c r="CS10" s="239" t="n">
        <f aca="false">SUM($CS$17:$CS$122)</f>
        <v>0</v>
      </c>
      <c r="CT10" s="240" t="n">
        <f aca="false">$CU$10/$AR$10</f>
        <v>0</v>
      </c>
      <c r="CU10" s="239" t="n">
        <f aca="false">SUM($CU$17:$CU$122)</f>
        <v>0</v>
      </c>
      <c r="CV10" s="240" t="n">
        <f aca="false">$CW$10/$AR$10</f>
        <v>0.00857576455018844</v>
      </c>
      <c r="CW10" s="239" t="n">
        <f aca="false">SUM($CW$17:$CW$122)</f>
        <v>59617</v>
      </c>
      <c r="CX10" s="240" t="n">
        <f aca="false">$CY$10/$AR$10</f>
        <v>0.0160515262234242</v>
      </c>
      <c r="CY10" s="239" t="n">
        <f aca="false">SUM($CY$17:$CY$122)</f>
        <v>111587</v>
      </c>
      <c r="CZ10" s="241"/>
      <c r="DA10" s="242"/>
      <c r="DB10" s="242"/>
      <c r="DC10" s="240" t="n">
        <f aca="false">$DD$10/$AR$10</f>
        <v>0.0212723323455796</v>
      </c>
      <c r="DD10" s="239" t="n">
        <f aca="false">SUM($DD$17:$DD$122)</f>
        <v>147881</v>
      </c>
      <c r="DE10" s="240" t="n">
        <f aca="false">$DF$10/$AR$10</f>
        <v>0.00265326965677954</v>
      </c>
      <c r="DF10" s="239" t="n">
        <f aca="false">SUM($DF$17:$DF$122)</f>
        <v>18445</v>
      </c>
      <c r="DG10" s="240" t="n">
        <f aca="false">$DH$10/$AR$10</f>
        <v>0</v>
      </c>
      <c r="DH10" s="243" t="n">
        <f aca="false">SUM($DH$17:$DH$122)</f>
        <v>0</v>
      </c>
      <c r="DI10" s="240" t="n">
        <f aca="false">$DJ$10/$AP$10</f>
        <v>0.0194909810767291</v>
      </c>
      <c r="DJ10" s="239" t="n">
        <f aca="false">SUM($DJ$17:$DJ$122)</f>
        <v>225943</v>
      </c>
      <c r="DK10" s="240" t="n">
        <f aca="false">$DL$10/$AR$10</f>
        <v>0.0160515262234242</v>
      </c>
      <c r="DL10" s="239" t="n">
        <f aca="false">SUM($DL$17:$DL$122)</f>
        <v>111587</v>
      </c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9"/>
      <c r="FU10" s="220"/>
      <c r="FV10" s="220"/>
      <c r="FW10" s="220"/>
      <c r="FX10" s="220"/>
      <c r="FY10" s="220"/>
      <c r="FZ10" s="220"/>
      <c r="GA10" s="220"/>
      <c r="GB10" s="220"/>
      <c r="GC10" s="220"/>
      <c r="GD10" s="220"/>
      <c r="GE10" s="220"/>
      <c r="GF10" s="220"/>
      <c r="GG10" s="220"/>
      <c r="GH10" s="220"/>
      <c r="GI10" s="220"/>
      <c r="GJ10" s="220"/>
      <c r="GK10" s="220"/>
      <c r="GL10" s="220"/>
      <c r="GM10" s="220"/>
      <c r="GN10" s="220"/>
      <c r="GO10" s="220"/>
      <c r="GP10" s="220"/>
      <c r="GQ10" s="220"/>
      <c r="GR10" s="220"/>
      <c r="GS10" s="220"/>
      <c r="GT10" s="220"/>
      <c r="GU10" s="220"/>
      <c r="GV10" s="220"/>
      <c r="GW10" s="220"/>
      <c r="GX10" s="220"/>
      <c r="GY10" s="220"/>
      <c r="GZ10" s="220"/>
      <c r="HA10" s="220"/>
      <c r="HB10" s="220"/>
      <c r="HC10" s="220"/>
      <c r="HD10" s="220"/>
      <c r="HE10" s="220"/>
      <c r="HF10" s="220"/>
      <c r="HG10" s="220"/>
      <c r="HH10" s="220"/>
      <c r="HI10" s="220"/>
      <c r="HJ10" s="220"/>
      <c r="HK10" s="220"/>
      <c r="HL10" s="220"/>
      <c r="HM10" s="220"/>
      <c r="HN10" s="220"/>
      <c r="HO10" s="220"/>
      <c r="HP10" s="220"/>
      <c r="HQ10" s="220"/>
      <c r="HR10" s="220"/>
      <c r="HS10" s="220"/>
      <c r="HT10" s="220"/>
      <c r="HU10" s="220"/>
      <c r="HV10" s="220"/>
      <c r="HW10" s="220"/>
      <c r="HX10" s="220"/>
      <c r="HY10" s="220"/>
      <c r="HZ10" s="220"/>
      <c r="IA10" s="220"/>
      <c r="IB10" s="220"/>
      <c r="IC10" s="220"/>
      <c r="ID10" s="220"/>
      <c r="IE10" s="220"/>
      <c r="IF10" s="220"/>
      <c r="IG10" s="220"/>
      <c r="IH10" s="220"/>
      <c r="II10" s="220"/>
      <c r="IJ10" s="220"/>
      <c r="IK10" s="220"/>
      <c r="IL10" s="220"/>
      <c r="IM10" s="220"/>
      <c r="IN10" s="220"/>
      <c r="IO10" s="220"/>
      <c r="IP10" s="220"/>
      <c r="IQ10" s="220"/>
      <c r="IR10" s="220"/>
      <c r="IS10" s="220"/>
      <c r="IT10" s="220"/>
      <c r="IU10" s="220"/>
      <c r="IV10" s="220"/>
      <c r="IW10" s="220"/>
      <c r="IX10" s="220"/>
      <c r="IY10" s="220"/>
      <c r="IZ10" s="220"/>
      <c r="JA10" s="220"/>
      <c r="JB10" s="220"/>
      <c r="JC10" s="220"/>
    </row>
    <row r="11" s="221" customFormat="true" ht="19.5" hidden="false" customHeight="true" outlineLevel="0" collapsed="false">
      <c r="A11" s="198"/>
      <c r="B11" s="198"/>
      <c r="C11" s="198"/>
      <c r="D11" s="198"/>
      <c r="E11" s="198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200"/>
      <c r="AF11" s="200"/>
      <c r="AG11" s="200"/>
      <c r="AH11" s="199"/>
      <c r="AI11" s="199"/>
      <c r="AJ11" s="200"/>
      <c r="AK11" s="199"/>
      <c r="AL11" s="29"/>
      <c r="AM11" s="199"/>
      <c r="AN11" s="29"/>
      <c r="AO11" s="199"/>
      <c r="AP11" s="201"/>
      <c r="AQ11" s="201"/>
      <c r="AR11" s="201"/>
      <c r="AS11" s="199"/>
      <c r="AT11" s="199"/>
      <c r="AU11" s="29"/>
      <c r="AV11" s="202"/>
      <c r="AW11" s="203"/>
      <c r="AX11" s="204"/>
      <c r="AY11" s="205"/>
      <c r="AZ11" s="205"/>
      <c r="BA11" s="198"/>
      <c r="BB11" s="223"/>
      <c r="BC11" s="224"/>
      <c r="BD11" s="225" t="s">
        <v>17</v>
      </c>
      <c r="BE11" s="209" t="n">
        <f aca="false">DE10</f>
        <v>0.00265326965677954</v>
      </c>
      <c r="BF11" s="210" t="n">
        <f aca="false">DF10</f>
        <v>18445</v>
      </c>
      <c r="BG11" s="234"/>
      <c r="BH11" s="203"/>
      <c r="BI11" s="235"/>
      <c r="BJ11" s="235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03"/>
      <c r="BV11" s="244"/>
      <c r="BW11" s="29"/>
      <c r="BX11" s="29"/>
      <c r="BY11" s="29"/>
      <c r="BZ11" s="29"/>
      <c r="CA11" s="29"/>
      <c r="CB11" s="29"/>
      <c r="CC11" s="29"/>
      <c r="CD11" s="29"/>
      <c r="CE11" s="203"/>
      <c r="CF11" s="203"/>
      <c r="CG11" s="214"/>
      <c r="CH11" s="215"/>
      <c r="CI11" s="29"/>
      <c r="CJ11" s="29"/>
      <c r="CK11" s="29"/>
      <c r="CL11" s="29"/>
      <c r="CM11" s="216"/>
      <c r="CN11" s="217"/>
      <c r="CO11" s="217"/>
      <c r="CP11" s="217"/>
      <c r="CQ11" s="245"/>
      <c r="CR11" s="217"/>
      <c r="CS11" s="217"/>
      <c r="CT11" s="217"/>
      <c r="CU11" s="217"/>
      <c r="CV11" s="217"/>
      <c r="CW11" s="217"/>
      <c r="CX11" s="217"/>
      <c r="CY11" s="217"/>
      <c r="CZ11" s="217"/>
      <c r="DA11" s="217"/>
      <c r="DB11" s="217"/>
      <c r="DC11" s="217"/>
      <c r="DD11" s="217"/>
      <c r="DE11" s="217"/>
      <c r="DF11" s="217"/>
      <c r="DG11" s="217"/>
      <c r="DH11" s="217"/>
      <c r="DI11" s="217"/>
      <c r="DJ11" s="217"/>
      <c r="DK11" s="217"/>
      <c r="DL11" s="217"/>
      <c r="DM11" s="217"/>
      <c r="DN11" s="217"/>
      <c r="DO11" s="217"/>
      <c r="DP11" s="217"/>
      <c r="DQ11" s="217"/>
      <c r="DR11" s="217"/>
      <c r="DS11" s="217"/>
      <c r="DT11" s="217"/>
      <c r="DU11" s="217"/>
      <c r="DV11" s="217"/>
      <c r="DW11" s="217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9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/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/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</row>
    <row r="12" s="221" customFormat="true" ht="19.5" hidden="false" customHeight="true" outlineLevel="0" collapsed="false">
      <c r="A12" s="198"/>
      <c r="B12" s="198"/>
      <c r="C12" s="198"/>
      <c r="D12" s="198"/>
      <c r="E12" s="198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200"/>
      <c r="AF12" s="200"/>
      <c r="AG12" s="200"/>
      <c r="AH12" s="199"/>
      <c r="AI12" s="199"/>
      <c r="AJ12" s="200"/>
      <c r="AK12" s="199"/>
      <c r="AL12" s="29"/>
      <c r="AM12" s="199"/>
      <c r="AN12" s="29"/>
      <c r="AO12" s="199"/>
      <c r="AP12" s="199"/>
      <c r="AQ12" s="199"/>
      <c r="AR12" s="199"/>
      <c r="AS12" s="199"/>
      <c r="AT12" s="199"/>
      <c r="AU12" s="29"/>
      <c r="AV12" s="202"/>
      <c r="AW12" s="203"/>
      <c r="AX12" s="204"/>
      <c r="AY12" s="204"/>
      <c r="AZ12" s="204"/>
      <c r="BA12" s="198"/>
      <c r="BB12" s="246" t="s">
        <v>171</v>
      </c>
      <c r="BC12" s="246"/>
      <c r="BD12" s="246" t="s">
        <v>171</v>
      </c>
      <c r="BE12" s="247" t="n">
        <f aca="false">DG10</f>
        <v>0</v>
      </c>
      <c r="BF12" s="210" t="n">
        <f aca="false">DH10</f>
        <v>0</v>
      </c>
      <c r="BG12" s="234"/>
      <c r="BH12" s="203"/>
      <c r="BI12" s="235"/>
      <c r="BJ12" s="235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03"/>
      <c r="BV12" s="226"/>
      <c r="BW12" s="29"/>
      <c r="BX12" s="29"/>
      <c r="BY12" s="29"/>
      <c r="BZ12" s="29"/>
      <c r="CA12" s="29"/>
      <c r="CB12" s="29"/>
      <c r="CC12" s="29"/>
      <c r="CD12" s="29"/>
      <c r="CE12" s="203"/>
      <c r="CF12" s="203"/>
      <c r="CG12" s="214"/>
      <c r="CH12" s="215"/>
      <c r="CI12" s="29"/>
      <c r="CJ12" s="29"/>
      <c r="CK12" s="29"/>
      <c r="CL12" s="29"/>
      <c r="CM12" s="216"/>
      <c r="CN12" s="217"/>
      <c r="CO12" s="217"/>
      <c r="CP12" s="217"/>
      <c r="CQ12" s="217"/>
      <c r="CR12" s="248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18"/>
      <c r="EL12" s="218"/>
      <c r="EM12" s="218"/>
      <c r="EN12" s="218"/>
      <c r="EO12" s="218"/>
      <c r="EP12" s="218"/>
      <c r="EQ12" s="218"/>
      <c r="ER12" s="218"/>
      <c r="ES12" s="218"/>
      <c r="ET12" s="218"/>
      <c r="EU12" s="218"/>
      <c r="EV12" s="218"/>
      <c r="EW12" s="218"/>
      <c r="EX12" s="218"/>
      <c r="EY12" s="218"/>
      <c r="EZ12" s="218"/>
      <c r="FA12" s="218"/>
      <c r="FB12" s="218"/>
      <c r="FC12" s="218"/>
      <c r="FD12" s="218"/>
      <c r="FE12" s="218"/>
      <c r="FF12" s="218"/>
      <c r="FG12" s="218"/>
      <c r="FH12" s="218"/>
      <c r="FI12" s="218"/>
      <c r="FJ12" s="218"/>
      <c r="FK12" s="218"/>
      <c r="FL12" s="218"/>
      <c r="FM12" s="218"/>
      <c r="FN12" s="218"/>
      <c r="FO12" s="218"/>
      <c r="FP12" s="218"/>
      <c r="FQ12" s="218"/>
      <c r="FR12" s="218"/>
      <c r="FS12" s="218"/>
      <c r="FT12" s="219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</row>
    <row r="13" s="264" customFormat="true" ht="19.5" hidden="false" customHeight="true" outlineLevel="0" collapsed="false">
      <c r="A13" s="198"/>
      <c r="B13" s="198"/>
      <c r="C13" s="198"/>
      <c r="D13" s="198"/>
      <c r="E13" s="198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200"/>
      <c r="AF13" s="200"/>
      <c r="AG13" s="200"/>
      <c r="AH13" s="199"/>
      <c r="AI13" s="199"/>
      <c r="AJ13" s="200"/>
      <c r="AK13" s="199"/>
      <c r="AL13" s="249"/>
      <c r="AM13" s="199"/>
      <c r="AN13" s="249"/>
      <c r="AO13" s="199"/>
      <c r="AP13" s="199"/>
      <c r="AQ13" s="199"/>
      <c r="AR13" s="199"/>
      <c r="AS13" s="199"/>
      <c r="AT13" s="199"/>
      <c r="AU13" s="249"/>
      <c r="AV13" s="250"/>
      <c r="AW13" s="251"/>
      <c r="AX13" s="252"/>
      <c r="AY13" s="252"/>
      <c r="AZ13" s="252"/>
      <c r="BA13" s="198"/>
      <c r="BB13" s="253"/>
      <c r="BC13" s="254"/>
      <c r="BD13" s="255" t="s">
        <v>20</v>
      </c>
      <c r="BE13" s="40" t="n">
        <f aca="false">SUM(BE8:BE12)</f>
        <v>0.0325013665525475</v>
      </c>
      <c r="BF13" s="41" t="n">
        <f aca="false">SUM(BF8:BF12)</f>
        <v>225943</v>
      </c>
      <c r="BG13" s="256"/>
      <c r="BH13" s="251"/>
      <c r="BI13" s="42" t="n">
        <f aca="false">SUM(BI8:BI11)</f>
        <v>0.0160515262234242</v>
      </c>
      <c r="BJ13" s="43" t="n">
        <f aca="false">SUM(BJ8:BJ11)</f>
        <v>111587</v>
      </c>
      <c r="BK13" s="251"/>
      <c r="BL13" s="251"/>
      <c r="BM13" s="29"/>
      <c r="BN13" s="29"/>
      <c r="BO13" s="29"/>
      <c r="BP13" s="251"/>
      <c r="BQ13" s="251"/>
      <c r="BR13" s="251"/>
      <c r="BS13" s="251"/>
      <c r="BT13" s="251"/>
      <c r="BU13" s="251"/>
      <c r="BV13" s="257"/>
      <c r="BW13" s="249"/>
      <c r="BX13" s="249"/>
      <c r="BY13" s="249"/>
      <c r="BZ13" s="249"/>
      <c r="CA13" s="249"/>
      <c r="CB13" s="249"/>
      <c r="CC13" s="249"/>
      <c r="CD13" s="249"/>
      <c r="CE13" s="251"/>
      <c r="CF13" s="251"/>
      <c r="CG13" s="258"/>
      <c r="CH13" s="259"/>
      <c r="CI13" s="249"/>
      <c r="CJ13" s="249"/>
      <c r="CK13" s="249"/>
      <c r="CL13" s="249"/>
      <c r="CM13" s="260"/>
      <c r="CN13" s="261"/>
      <c r="CO13" s="261"/>
      <c r="CP13" s="261"/>
      <c r="CQ13" s="261"/>
      <c r="CR13" s="261"/>
      <c r="CS13" s="261"/>
      <c r="CT13" s="261"/>
      <c r="CU13" s="261"/>
      <c r="CV13" s="261"/>
      <c r="CW13" s="261"/>
      <c r="CX13" s="261"/>
      <c r="CY13" s="261"/>
      <c r="CZ13" s="261"/>
      <c r="DA13" s="261"/>
      <c r="DB13" s="261"/>
      <c r="DC13" s="261"/>
      <c r="DD13" s="261"/>
      <c r="DE13" s="261"/>
      <c r="DF13" s="261"/>
      <c r="DG13" s="261"/>
      <c r="DH13" s="261"/>
      <c r="DI13" s="261"/>
      <c r="DJ13" s="261"/>
      <c r="DK13" s="261"/>
      <c r="DL13" s="261"/>
      <c r="DM13" s="261"/>
      <c r="DN13" s="261"/>
      <c r="DO13" s="261"/>
      <c r="DP13" s="261"/>
      <c r="DQ13" s="261"/>
      <c r="DR13" s="261"/>
      <c r="DS13" s="261"/>
      <c r="DT13" s="261"/>
      <c r="DU13" s="261"/>
      <c r="DV13" s="261"/>
      <c r="DW13" s="261"/>
      <c r="DX13" s="262"/>
      <c r="DY13" s="262"/>
      <c r="DZ13" s="262"/>
      <c r="EA13" s="262"/>
      <c r="EB13" s="262"/>
      <c r="EC13" s="262"/>
      <c r="ED13" s="262"/>
      <c r="EE13" s="262"/>
      <c r="EF13" s="262"/>
      <c r="EG13" s="262"/>
      <c r="EH13" s="262"/>
      <c r="EI13" s="262"/>
      <c r="EJ13" s="262"/>
      <c r="EK13" s="262"/>
      <c r="EL13" s="262"/>
      <c r="EM13" s="262"/>
      <c r="EN13" s="262"/>
      <c r="EO13" s="262"/>
      <c r="EP13" s="262"/>
      <c r="EQ13" s="262"/>
      <c r="ER13" s="262"/>
      <c r="ES13" s="262"/>
      <c r="ET13" s="262"/>
      <c r="EU13" s="262"/>
      <c r="EV13" s="262"/>
      <c r="EW13" s="262"/>
      <c r="EX13" s="262"/>
      <c r="EY13" s="262"/>
      <c r="EZ13" s="262"/>
      <c r="FA13" s="262"/>
      <c r="FB13" s="262"/>
      <c r="FC13" s="262"/>
      <c r="FD13" s="262"/>
      <c r="FE13" s="262"/>
      <c r="FF13" s="262"/>
      <c r="FG13" s="262"/>
      <c r="FH13" s="262"/>
      <c r="FI13" s="262"/>
      <c r="FJ13" s="262"/>
      <c r="FK13" s="262"/>
      <c r="FL13" s="262"/>
      <c r="FM13" s="262"/>
      <c r="FN13" s="262"/>
      <c r="FO13" s="262"/>
      <c r="FP13" s="262"/>
      <c r="FQ13" s="262"/>
      <c r="FR13" s="262"/>
      <c r="FS13" s="262"/>
      <c r="FT13" s="263"/>
      <c r="FU13" s="160"/>
      <c r="FV13" s="160"/>
      <c r="FW13" s="160"/>
      <c r="FX13" s="160"/>
      <c r="FY13" s="160"/>
      <c r="FZ13" s="160"/>
      <c r="GA13" s="160"/>
      <c r="GB13" s="160"/>
      <c r="GC13" s="160"/>
      <c r="GD13" s="160"/>
      <c r="GE13" s="160"/>
      <c r="GF13" s="160"/>
      <c r="GG13" s="160"/>
      <c r="GH13" s="160"/>
      <c r="GI13" s="160"/>
      <c r="GJ13" s="160"/>
      <c r="GK13" s="160"/>
      <c r="GL13" s="160"/>
      <c r="GM13" s="160"/>
      <c r="GN13" s="160"/>
      <c r="GO13" s="160"/>
      <c r="GP13" s="160"/>
      <c r="GQ13" s="160"/>
      <c r="GR13" s="160"/>
      <c r="GS13" s="160"/>
      <c r="GT13" s="160"/>
      <c r="GU13" s="160"/>
      <c r="GV13" s="160"/>
      <c r="GW13" s="160"/>
      <c r="GX13" s="160"/>
      <c r="GY13" s="160"/>
      <c r="GZ13" s="160"/>
      <c r="HA13" s="160"/>
      <c r="HB13" s="160"/>
      <c r="HC13" s="160"/>
      <c r="HD13" s="160"/>
      <c r="HE13" s="160"/>
      <c r="HF13" s="160"/>
      <c r="HG13" s="160"/>
      <c r="HH13" s="160"/>
      <c r="HI13" s="160"/>
      <c r="HJ13" s="160"/>
      <c r="HK13" s="160"/>
      <c r="HL13" s="160"/>
      <c r="HM13" s="160"/>
      <c r="HN13" s="160"/>
      <c r="HO13" s="160"/>
      <c r="HP13" s="160"/>
      <c r="HQ13" s="160"/>
      <c r="HR13" s="160"/>
      <c r="HS13" s="160"/>
      <c r="HT13" s="160"/>
      <c r="HU13" s="160"/>
      <c r="HV13" s="160"/>
      <c r="HW13" s="160"/>
      <c r="HX13" s="160"/>
      <c r="HY13" s="160"/>
      <c r="HZ13" s="160"/>
      <c r="IA13" s="160"/>
      <c r="IB13" s="160"/>
      <c r="IC13" s="160"/>
      <c r="ID13" s="160"/>
      <c r="IE13" s="160"/>
      <c r="IF13" s="160"/>
      <c r="IG13" s="160"/>
      <c r="IH13" s="160"/>
      <c r="II13" s="160"/>
      <c r="IJ13" s="160"/>
      <c r="IK13" s="160"/>
      <c r="IL13" s="160"/>
      <c r="IM13" s="160"/>
      <c r="IN13" s="160"/>
      <c r="IO13" s="160"/>
      <c r="IP13" s="160"/>
      <c r="IQ13" s="160"/>
      <c r="IR13" s="160"/>
      <c r="IS13" s="160"/>
      <c r="IT13" s="160"/>
      <c r="IU13" s="160"/>
      <c r="IV13" s="160"/>
      <c r="IW13" s="160"/>
      <c r="IX13" s="160"/>
      <c r="IY13" s="160"/>
      <c r="IZ13" s="160"/>
      <c r="JA13" s="160"/>
      <c r="JB13" s="160"/>
      <c r="JC13" s="160"/>
    </row>
    <row r="14" s="221" customFormat="true" ht="12" hidden="false" customHeight="false" outlineLevel="0" collapsed="false">
      <c r="A14" s="198"/>
      <c r="B14" s="198"/>
      <c r="C14" s="198"/>
      <c r="D14" s="198"/>
      <c r="E14" s="198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200"/>
      <c r="AF14" s="200"/>
      <c r="AG14" s="200"/>
      <c r="AH14" s="199"/>
      <c r="AI14" s="199"/>
      <c r="AJ14" s="200"/>
      <c r="AK14" s="199"/>
      <c r="AL14" s="29"/>
      <c r="AM14" s="199"/>
      <c r="AN14" s="29"/>
      <c r="AO14" s="199"/>
      <c r="AP14" s="29"/>
      <c r="AQ14" s="202"/>
      <c r="AR14" s="202"/>
      <c r="AS14" s="199"/>
      <c r="AT14" s="199"/>
      <c r="AU14" s="29"/>
      <c r="AV14" s="202"/>
      <c r="AW14" s="203"/>
      <c r="AX14" s="204"/>
      <c r="AY14" s="202"/>
      <c r="AZ14" s="265"/>
      <c r="BA14" s="198"/>
      <c r="BB14" s="266"/>
      <c r="BC14" s="203"/>
      <c r="BD14" s="29"/>
      <c r="BE14" s="267"/>
      <c r="BF14" s="266"/>
      <c r="BG14" s="266"/>
      <c r="BH14" s="266"/>
      <c r="BI14" s="267"/>
      <c r="BJ14" s="266"/>
      <c r="BK14" s="29"/>
      <c r="BL14" s="266"/>
      <c r="BM14" s="203"/>
      <c r="BN14" s="268"/>
      <c r="BO14" s="29"/>
      <c r="BP14" s="29"/>
      <c r="BQ14" s="29"/>
      <c r="BR14" s="203"/>
      <c r="BS14" s="29"/>
      <c r="BT14" s="203"/>
      <c r="BU14" s="29"/>
      <c r="BV14" s="29"/>
      <c r="BW14" s="29"/>
      <c r="BX14" s="29"/>
      <c r="BY14" s="29"/>
      <c r="BZ14" s="29"/>
      <c r="CA14" s="29"/>
      <c r="CB14" s="29"/>
      <c r="CC14" s="29"/>
      <c r="CD14" s="203"/>
      <c r="CE14" s="203"/>
      <c r="CF14" s="203"/>
      <c r="CG14" s="215"/>
      <c r="CH14" s="215"/>
      <c r="CI14" s="29"/>
      <c r="CJ14" s="266"/>
      <c r="CK14" s="266"/>
      <c r="CL14" s="266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8"/>
      <c r="DY14" s="218"/>
      <c r="DZ14" s="218"/>
      <c r="EA14" s="218"/>
      <c r="EB14" s="218"/>
      <c r="EC14" s="218"/>
      <c r="ED14" s="218"/>
      <c r="EE14" s="218"/>
      <c r="EF14" s="218"/>
      <c r="EG14" s="218"/>
      <c r="EH14" s="218"/>
      <c r="EI14" s="218"/>
      <c r="EJ14" s="218"/>
      <c r="EK14" s="218"/>
      <c r="EL14" s="218"/>
      <c r="EM14" s="218"/>
      <c r="EN14" s="218"/>
      <c r="EO14" s="218"/>
      <c r="EP14" s="218"/>
      <c r="EQ14" s="218"/>
      <c r="ER14" s="218"/>
      <c r="ES14" s="218"/>
      <c r="ET14" s="218"/>
      <c r="EU14" s="218"/>
      <c r="EV14" s="218"/>
      <c r="EW14" s="218"/>
      <c r="EX14" s="218"/>
      <c r="EY14" s="218"/>
      <c r="EZ14" s="218"/>
      <c r="FA14" s="218"/>
      <c r="FB14" s="218"/>
      <c r="FC14" s="218"/>
      <c r="FD14" s="218"/>
      <c r="FE14" s="218"/>
      <c r="FF14" s="218"/>
      <c r="FG14" s="218"/>
      <c r="FH14" s="218"/>
      <c r="FI14" s="218"/>
      <c r="FJ14" s="218"/>
      <c r="FK14" s="218"/>
      <c r="FL14" s="218"/>
      <c r="FM14" s="218"/>
      <c r="FN14" s="218"/>
      <c r="FO14" s="218"/>
      <c r="FP14" s="218"/>
      <c r="FQ14" s="218"/>
      <c r="FR14" s="218"/>
      <c r="FS14" s="218"/>
      <c r="FT14" s="219"/>
      <c r="FU14" s="220"/>
      <c r="FV14" s="220"/>
      <c r="FW14" s="220"/>
      <c r="FX14" s="220"/>
      <c r="FY14" s="220"/>
      <c r="FZ14" s="220"/>
      <c r="GA14" s="220"/>
      <c r="GB14" s="220"/>
      <c r="GC14" s="220"/>
      <c r="GD14" s="220"/>
      <c r="GE14" s="220"/>
      <c r="GF14" s="220"/>
      <c r="GG14" s="220"/>
      <c r="GH14" s="220"/>
      <c r="GI14" s="220"/>
      <c r="GJ14" s="220"/>
      <c r="GK14" s="220"/>
      <c r="GL14" s="220"/>
      <c r="GM14" s="220"/>
      <c r="GN14" s="220"/>
      <c r="GO14" s="220"/>
      <c r="GP14" s="220"/>
      <c r="GQ14" s="220"/>
      <c r="GR14" s="220"/>
      <c r="GS14" s="220"/>
      <c r="GT14" s="220"/>
      <c r="GU14" s="220"/>
      <c r="GV14" s="220"/>
      <c r="GW14" s="220"/>
      <c r="GX14" s="220"/>
      <c r="GY14" s="220"/>
      <c r="GZ14" s="220"/>
      <c r="HA14" s="220"/>
      <c r="HB14" s="220"/>
      <c r="HC14" s="220"/>
      <c r="HD14" s="220"/>
      <c r="HE14" s="220"/>
      <c r="HF14" s="220"/>
      <c r="HG14" s="220"/>
      <c r="HH14" s="220"/>
      <c r="HI14" s="220"/>
      <c r="HJ14" s="220"/>
      <c r="HK14" s="220"/>
      <c r="HL14" s="220"/>
      <c r="HM14" s="220"/>
      <c r="HN14" s="220"/>
      <c r="HO14" s="220"/>
      <c r="HP14" s="220"/>
      <c r="HQ14" s="220"/>
      <c r="HR14" s="220"/>
      <c r="HS14" s="220"/>
      <c r="HT14" s="220"/>
      <c r="HU14" s="220"/>
      <c r="HV14" s="220"/>
      <c r="HW14" s="220"/>
      <c r="HX14" s="220"/>
      <c r="HY14" s="220"/>
      <c r="HZ14" s="220"/>
      <c r="IA14" s="220"/>
      <c r="IB14" s="220"/>
      <c r="IC14" s="220"/>
      <c r="ID14" s="220"/>
      <c r="IE14" s="220"/>
      <c r="IF14" s="220"/>
      <c r="IG14" s="220"/>
      <c r="IH14" s="220"/>
      <c r="II14" s="220"/>
      <c r="IJ14" s="220"/>
      <c r="IK14" s="220"/>
      <c r="IL14" s="220"/>
      <c r="IM14" s="220"/>
      <c r="IN14" s="220"/>
      <c r="IO14" s="220"/>
      <c r="IP14" s="220"/>
      <c r="IQ14" s="220"/>
      <c r="IR14" s="220"/>
      <c r="IS14" s="220"/>
      <c r="IT14" s="220"/>
      <c r="IU14" s="220"/>
      <c r="IV14" s="220"/>
      <c r="IW14" s="220"/>
      <c r="IX14" s="220"/>
      <c r="IY14" s="220"/>
      <c r="IZ14" s="220"/>
      <c r="JA14" s="220"/>
      <c r="JB14" s="220"/>
      <c r="JC14" s="220"/>
    </row>
    <row r="15" s="294" customFormat="true" ht="24" hidden="false" customHeight="true" outlineLevel="0" collapsed="false">
      <c r="A15" s="269"/>
      <c r="B15" s="269"/>
      <c r="C15" s="269"/>
      <c r="D15" s="269"/>
      <c r="E15" s="270"/>
      <c r="F15" s="271"/>
      <c r="G15" s="271"/>
      <c r="H15" s="272"/>
      <c r="I15" s="272"/>
      <c r="J15" s="271"/>
      <c r="K15" s="271"/>
      <c r="L15" s="272"/>
      <c r="M15" s="272"/>
      <c r="N15" s="271"/>
      <c r="O15" s="271"/>
      <c r="P15" s="272"/>
      <c r="Q15" s="272"/>
      <c r="R15" s="272"/>
      <c r="S15" s="271"/>
      <c r="T15" s="271"/>
      <c r="U15" s="271"/>
      <c r="V15" s="271"/>
      <c r="W15" s="271"/>
      <c r="X15" s="272"/>
      <c r="Y15" s="272"/>
      <c r="Z15" s="272"/>
      <c r="AA15" s="272"/>
      <c r="AB15" s="272"/>
      <c r="AC15" s="272"/>
      <c r="AD15" s="272"/>
      <c r="AE15" s="273"/>
      <c r="AF15" s="273"/>
      <c r="AG15" s="273"/>
      <c r="AH15" s="272"/>
      <c r="AI15" s="272"/>
      <c r="AJ15" s="274"/>
      <c r="AK15" s="272"/>
      <c r="AL15" s="271"/>
      <c r="AM15" s="271"/>
      <c r="AN15" s="271"/>
      <c r="AO15" s="271"/>
      <c r="AP15" s="271"/>
      <c r="AQ15" s="275"/>
      <c r="AR15" s="275"/>
      <c r="AS15" s="271" t="s">
        <v>172</v>
      </c>
      <c r="AT15" s="271" t="s">
        <v>172</v>
      </c>
      <c r="AU15" s="276"/>
      <c r="AV15" s="277"/>
      <c r="AW15" s="278" t="s">
        <v>173</v>
      </c>
      <c r="AX15" s="278"/>
      <c r="AY15" s="278" t="s">
        <v>174</v>
      </c>
      <c r="AZ15" s="278"/>
      <c r="BA15" s="279"/>
      <c r="BB15" s="279"/>
      <c r="BC15" s="224"/>
      <c r="BD15" s="224"/>
      <c r="BE15" s="280" t="s">
        <v>175</v>
      </c>
      <c r="BF15" s="281"/>
      <c r="BG15" s="281"/>
      <c r="BH15" s="281"/>
      <c r="BI15" s="282"/>
      <c r="BJ15" s="279"/>
      <c r="BK15" s="224"/>
      <c r="BL15" s="280"/>
      <c r="BM15" s="283" t="s">
        <v>176</v>
      </c>
      <c r="BN15" s="283"/>
      <c r="BO15" s="283"/>
      <c r="BP15" s="283"/>
      <c r="BQ15" s="283"/>
      <c r="BR15" s="283"/>
      <c r="BS15" s="283"/>
      <c r="BT15" s="284" t="s">
        <v>177</v>
      </c>
      <c r="BU15" s="284"/>
      <c r="BV15" s="284" t="s">
        <v>178</v>
      </c>
      <c r="BW15" s="284"/>
      <c r="BX15" s="284" t="s">
        <v>179</v>
      </c>
      <c r="BY15" s="284"/>
      <c r="BZ15" s="285" t="s">
        <v>180</v>
      </c>
      <c r="CA15" s="286"/>
      <c r="CB15" s="287" t="s">
        <v>180</v>
      </c>
      <c r="CC15" s="287"/>
      <c r="CD15" s="287"/>
      <c r="CE15" s="287"/>
      <c r="CF15" s="287"/>
      <c r="CG15" s="287"/>
      <c r="CH15" s="287"/>
      <c r="CI15" s="287"/>
      <c r="CJ15" s="287"/>
      <c r="CK15" s="287"/>
      <c r="CL15" s="287"/>
      <c r="CM15" s="287"/>
      <c r="CN15" s="288"/>
      <c r="CO15" s="289" t="s">
        <v>181</v>
      </c>
      <c r="CP15" s="290" t="s">
        <v>182</v>
      </c>
      <c r="CQ15" s="290"/>
      <c r="CR15" s="290"/>
      <c r="CS15" s="290"/>
      <c r="CT15" s="290"/>
      <c r="CU15" s="290"/>
      <c r="CV15" s="290"/>
      <c r="CW15" s="290"/>
      <c r="CX15" s="290"/>
      <c r="CY15" s="290"/>
      <c r="CZ15" s="290"/>
      <c r="DA15" s="290"/>
      <c r="DB15" s="290"/>
      <c r="DC15" s="290"/>
      <c r="DD15" s="290"/>
      <c r="DE15" s="290"/>
      <c r="DF15" s="290"/>
      <c r="DG15" s="290"/>
      <c r="DH15" s="290"/>
      <c r="DI15" s="290"/>
      <c r="DJ15" s="290"/>
      <c r="DK15" s="290"/>
      <c r="DL15" s="290"/>
      <c r="DM15" s="291"/>
      <c r="DN15" s="291"/>
      <c r="DO15" s="291"/>
      <c r="DP15" s="291"/>
      <c r="DQ15" s="291"/>
      <c r="DR15" s="291"/>
      <c r="DS15" s="291"/>
      <c r="DT15" s="291"/>
      <c r="DU15" s="291"/>
      <c r="DV15" s="291"/>
      <c r="DW15" s="291"/>
      <c r="DX15" s="292"/>
      <c r="DY15" s="292"/>
      <c r="DZ15" s="292"/>
      <c r="EA15" s="292"/>
      <c r="EB15" s="292"/>
      <c r="EC15" s="292"/>
      <c r="ED15" s="292"/>
      <c r="EE15" s="292"/>
      <c r="EF15" s="292"/>
      <c r="EG15" s="292"/>
      <c r="EH15" s="292"/>
      <c r="EI15" s="292"/>
      <c r="EJ15" s="292"/>
      <c r="EK15" s="292"/>
      <c r="EL15" s="292"/>
      <c r="EM15" s="292"/>
      <c r="EN15" s="292"/>
      <c r="EO15" s="292"/>
      <c r="EP15" s="292"/>
      <c r="EQ15" s="292"/>
      <c r="ER15" s="292"/>
      <c r="ES15" s="292"/>
      <c r="ET15" s="292"/>
      <c r="EU15" s="292"/>
      <c r="EV15" s="292"/>
      <c r="EW15" s="292"/>
      <c r="EX15" s="292"/>
      <c r="EY15" s="292"/>
      <c r="EZ15" s="292"/>
      <c r="FA15" s="292"/>
      <c r="FB15" s="292"/>
      <c r="FC15" s="292"/>
      <c r="FD15" s="292"/>
      <c r="FE15" s="292"/>
      <c r="FF15" s="292"/>
      <c r="FG15" s="292"/>
      <c r="FH15" s="292"/>
      <c r="FI15" s="292"/>
      <c r="FJ15" s="292"/>
      <c r="FK15" s="292"/>
      <c r="FL15" s="292"/>
      <c r="FM15" s="292"/>
      <c r="FN15" s="292"/>
      <c r="FO15" s="292"/>
      <c r="FP15" s="292"/>
      <c r="FQ15" s="292"/>
      <c r="FR15" s="292"/>
      <c r="FS15" s="292"/>
      <c r="FT15" s="293"/>
    </row>
    <row r="16" s="313" customFormat="true" ht="56.05" hidden="false" customHeight="false" outlineLevel="0" collapsed="false">
      <c r="A16" s="295" t="s">
        <v>183</v>
      </c>
      <c r="B16" s="61" t="s">
        <v>184</v>
      </c>
      <c r="C16" s="61" t="s">
        <v>185</v>
      </c>
      <c r="D16" s="61" t="s">
        <v>186</v>
      </c>
      <c r="E16" s="61" t="s">
        <v>187</v>
      </c>
      <c r="F16" s="63" t="s">
        <v>188</v>
      </c>
      <c r="G16" s="63" t="s">
        <v>189</v>
      </c>
      <c r="H16" s="63" t="s">
        <v>190</v>
      </c>
      <c r="I16" s="63" t="s">
        <v>191</v>
      </c>
      <c r="J16" s="63" t="s">
        <v>192</v>
      </c>
      <c r="K16" s="63" t="s">
        <v>193</v>
      </c>
      <c r="L16" s="63" t="s">
        <v>194</v>
      </c>
      <c r="M16" s="63" t="s">
        <v>195</v>
      </c>
      <c r="N16" s="63" t="s">
        <v>196</v>
      </c>
      <c r="O16" s="63" t="s">
        <v>197</v>
      </c>
      <c r="P16" s="63" t="s">
        <v>198</v>
      </c>
      <c r="Q16" s="63" t="s">
        <v>199</v>
      </c>
      <c r="R16" s="63" t="s">
        <v>200</v>
      </c>
      <c r="S16" s="63" t="s">
        <v>201</v>
      </c>
      <c r="T16" s="63" t="s">
        <v>202</v>
      </c>
      <c r="U16" s="63" t="s">
        <v>203</v>
      </c>
      <c r="V16" s="63" t="s">
        <v>204</v>
      </c>
      <c r="W16" s="63" t="s">
        <v>205</v>
      </c>
      <c r="X16" s="63" t="s">
        <v>206</v>
      </c>
      <c r="Y16" s="63" t="s">
        <v>207</v>
      </c>
      <c r="Z16" s="63" t="s">
        <v>208</v>
      </c>
      <c r="AA16" s="63" t="s">
        <v>209</v>
      </c>
      <c r="AB16" s="63" t="s">
        <v>210</v>
      </c>
      <c r="AC16" s="63" t="s">
        <v>211</v>
      </c>
      <c r="AD16" s="63" t="s">
        <v>212</v>
      </c>
      <c r="AE16" s="296" t="s">
        <v>213</v>
      </c>
      <c r="AF16" s="296" t="s">
        <v>214</v>
      </c>
      <c r="AG16" s="296" t="s">
        <v>215</v>
      </c>
      <c r="AH16" s="63" t="s">
        <v>216</v>
      </c>
      <c r="AI16" s="63" t="s">
        <v>217</v>
      </c>
      <c r="AJ16" s="296" t="s">
        <v>218</v>
      </c>
      <c r="AK16" s="63" t="s">
        <v>219</v>
      </c>
      <c r="AL16" s="63" t="s">
        <v>220</v>
      </c>
      <c r="AM16" s="63" t="s">
        <v>221</v>
      </c>
      <c r="AN16" s="63" t="s">
        <v>222</v>
      </c>
      <c r="AO16" s="63" t="s">
        <v>223</v>
      </c>
      <c r="AP16" s="63" t="s">
        <v>224</v>
      </c>
      <c r="AQ16" s="63" t="s">
        <v>29</v>
      </c>
      <c r="AR16" s="297" t="s">
        <v>30</v>
      </c>
      <c r="AS16" s="63" t="s">
        <v>225</v>
      </c>
      <c r="AT16" s="63" t="s">
        <v>226</v>
      </c>
      <c r="AU16" s="298" t="s">
        <v>227</v>
      </c>
      <c r="AV16" s="298" t="s">
        <v>228</v>
      </c>
      <c r="AW16" s="278" t="s">
        <v>229</v>
      </c>
      <c r="AX16" s="278" t="s">
        <v>230</v>
      </c>
      <c r="AY16" s="299" t="s">
        <v>150</v>
      </c>
      <c r="AZ16" s="299" t="s">
        <v>231</v>
      </c>
      <c r="BA16" s="300" t="s">
        <v>232</v>
      </c>
      <c r="BB16" s="300" t="s">
        <v>233</v>
      </c>
      <c r="BC16" s="192" t="s">
        <v>234</v>
      </c>
      <c r="BD16" s="301" t="s">
        <v>34</v>
      </c>
      <c r="BE16" s="300" t="s">
        <v>235</v>
      </c>
      <c r="BF16" s="300" t="s">
        <v>35</v>
      </c>
      <c r="BG16" s="63" t="s">
        <v>236</v>
      </c>
      <c r="BH16" s="63" t="s">
        <v>237</v>
      </c>
      <c r="BI16" s="300" t="s">
        <v>238</v>
      </c>
      <c r="BJ16" s="300" t="s">
        <v>37</v>
      </c>
      <c r="BK16" s="192" t="s">
        <v>239</v>
      </c>
      <c r="BL16" s="300" t="s">
        <v>240</v>
      </c>
      <c r="BM16" s="302" t="s">
        <v>241</v>
      </c>
      <c r="BN16" s="302" t="s">
        <v>153</v>
      </c>
      <c r="BO16" s="302" t="s">
        <v>242</v>
      </c>
      <c r="BP16" s="302" t="s">
        <v>243</v>
      </c>
      <c r="BQ16" s="302" t="s">
        <v>244</v>
      </c>
      <c r="BR16" s="302" t="s">
        <v>245</v>
      </c>
      <c r="BS16" s="303" t="s">
        <v>246</v>
      </c>
      <c r="BT16" s="63" t="s">
        <v>247</v>
      </c>
      <c r="BU16" s="63" t="s">
        <v>248</v>
      </c>
      <c r="BV16" s="63" t="s">
        <v>49</v>
      </c>
      <c r="BW16" s="63" t="s">
        <v>249</v>
      </c>
      <c r="BX16" s="63" t="s">
        <v>250</v>
      </c>
      <c r="BY16" s="63" t="s">
        <v>251</v>
      </c>
      <c r="BZ16" s="63" t="s">
        <v>252</v>
      </c>
      <c r="CA16" s="63" t="s">
        <v>253</v>
      </c>
      <c r="CB16" s="304" t="s">
        <v>254</v>
      </c>
      <c r="CC16" s="304" t="s">
        <v>220</v>
      </c>
      <c r="CD16" s="304" t="s">
        <v>221</v>
      </c>
      <c r="CE16" s="304" t="s">
        <v>255</v>
      </c>
      <c r="CF16" s="304" t="s">
        <v>256</v>
      </c>
      <c r="CG16" s="305" t="s">
        <v>257</v>
      </c>
      <c r="CH16" s="305" t="s">
        <v>258</v>
      </c>
      <c r="CI16" s="304" t="s">
        <v>259</v>
      </c>
      <c r="CJ16" s="306" t="s">
        <v>260</v>
      </c>
      <c r="CK16" s="307" t="s">
        <v>154</v>
      </c>
      <c r="CL16" s="307" t="s">
        <v>261</v>
      </c>
      <c r="CM16" s="308" t="s">
        <v>262</v>
      </c>
      <c r="CN16" s="309" t="s">
        <v>263</v>
      </c>
      <c r="CO16" s="309" t="s">
        <v>264</v>
      </c>
      <c r="CP16" s="228" t="s">
        <v>155</v>
      </c>
      <c r="CQ16" s="228" t="s">
        <v>156</v>
      </c>
      <c r="CR16" s="229" t="s">
        <v>157</v>
      </c>
      <c r="CS16" s="229" t="s">
        <v>158</v>
      </c>
      <c r="CT16" s="230" t="s">
        <v>40</v>
      </c>
      <c r="CU16" s="230" t="s">
        <v>41</v>
      </c>
      <c r="CV16" s="229" t="s">
        <v>159</v>
      </c>
      <c r="CW16" s="229" t="s">
        <v>160</v>
      </c>
      <c r="CX16" s="230" t="s">
        <v>42</v>
      </c>
      <c r="CY16" s="230" t="s">
        <v>43</v>
      </c>
      <c r="CZ16" s="310" t="s">
        <v>265</v>
      </c>
      <c r="DA16" s="310" t="s">
        <v>266</v>
      </c>
      <c r="DB16" s="310"/>
      <c r="DC16" s="229" t="s">
        <v>161</v>
      </c>
      <c r="DD16" s="229" t="s">
        <v>162</v>
      </c>
      <c r="DE16" s="229" t="s">
        <v>163</v>
      </c>
      <c r="DF16" s="229" t="s">
        <v>164</v>
      </c>
      <c r="DG16" s="232" t="s">
        <v>165</v>
      </c>
      <c r="DH16" s="232" t="s">
        <v>166</v>
      </c>
      <c r="DI16" s="232" t="s">
        <v>167</v>
      </c>
      <c r="DJ16" s="232" t="s">
        <v>267</v>
      </c>
      <c r="DK16" s="230" t="s">
        <v>169</v>
      </c>
      <c r="DL16" s="230" t="s">
        <v>170</v>
      </c>
      <c r="DM16" s="309" t="s">
        <v>268</v>
      </c>
      <c r="DN16" s="309" t="s">
        <v>269</v>
      </c>
      <c r="DO16" s="309" t="s">
        <v>270</v>
      </c>
      <c r="DP16" s="309" t="s">
        <v>271</v>
      </c>
      <c r="DQ16" s="309" t="s">
        <v>271</v>
      </c>
      <c r="DR16" s="309" t="s">
        <v>271</v>
      </c>
      <c r="DS16" s="309" t="s">
        <v>271</v>
      </c>
      <c r="DT16" s="309" t="s">
        <v>271</v>
      </c>
      <c r="DU16" s="309" t="s">
        <v>271</v>
      </c>
      <c r="DV16" s="309" t="s">
        <v>271</v>
      </c>
      <c r="DW16" s="309" t="s">
        <v>272</v>
      </c>
      <c r="DX16" s="311"/>
      <c r="DY16" s="311"/>
      <c r="DZ16" s="311"/>
      <c r="EA16" s="311"/>
      <c r="EB16" s="311"/>
      <c r="EC16" s="311"/>
      <c r="ED16" s="311"/>
      <c r="EE16" s="311"/>
      <c r="EF16" s="311"/>
      <c r="EG16" s="311"/>
      <c r="EH16" s="311"/>
      <c r="EI16" s="311"/>
      <c r="EJ16" s="311"/>
      <c r="EK16" s="311"/>
      <c r="EL16" s="311"/>
      <c r="EM16" s="311"/>
      <c r="EN16" s="311"/>
      <c r="EO16" s="311"/>
      <c r="EP16" s="311"/>
      <c r="EQ16" s="311"/>
      <c r="ER16" s="311"/>
      <c r="ES16" s="311"/>
      <c r="ET16" s="311"/>
      <c r="EU16" s="311"/>
      <c r="EV16" s="311"/>
      <c r="EW16" s="311"/>
      <c r="EX16" s="311"/>
      <c r="EY16" s="311"/>
      <c r="EZ16" s="311"/>
      <c r="FA16" s="311"/>
      <c r="FB16" s="311"/>
      <c r="FC16" s="311"/>
      <c r="FD16" s="311"/>
      <c r="FE16" s="311"/>
      <c r="FF16" s="311"/>
      <c r="FG16" s="311"/>
      <c r="FH16" s="311"/>
      <c r="FI16" s="311"/>
      <c r="FJ16" s="311"/>
      <c r="FK16" s="311"/>
      <c r="FL16" s="311"/>
      <c r="FM16" s="311"/>
      <c r="FN16" s="311"/>
      <c r="FO16" s="311"/>
      <c r="FP16" s="311"/>
      <c r="FQ16" s="311"/>
      <c r="FR16" s="311"/>
      <c r="FS16" s="311"/>
      <c r="FT16" s="312"/>
    </row>
    <row r="17" s="314" customFormat="true" ht="24" hidden="false" customHeight="false" outlineLevel="0" collapsed="false">
      <c r="B17" s="315" t="s">
        <v>273</v>
      </c>
      <c r="C17" s="315" t="s">
        <v>274</v>
      </c>
      <c r="D17" s="315" t="n">
        <v>16308</v>
      </c>
      <c r="E17" s="316" t="s">
        <v>275</v>
      </c>
      <c r="F17" s="316" t="s">
        <v>276</v>
      </c>
      <c r="G17" s="316" t="s">
        <v>277</v>
      </c>
      <c r="H17" s="317" t="s">
        <v>278</v>
      </c>
      <c r="I17" s="316" t="s">
        <v>279</v>
      </c>
      <c r="J17" s="316" t="s">
        <v>280</v>
      </c>
      <c r="K17" s="318" t="n">
        <v>42590</v>
      </c>
      <c r="L17" s="318"/>
      <c r="M17" s="318" t="n">
        <v>43496</v>
      </c>
      <c r="N17" s="319" t="s">
        <v>281</v>
      </c>
      <c r="O17" s="319" t="n">
        <v>38</v>
      </c>
      <c r="P17" s="320" t="n">
        <f aca="false">$O:$O/38</f>
        <v>1</v>
      </c>
      <c r="Q17" s="316" t="s">
        <v>282</v>
      </c>
      <c r="R17" s="316" t="n">
        <v>14463</v>
      </c>
      <c r="S17" s="316" t="s">
        <v>283</v>
      </c>
      <c r="T17" s="316" t="s">
        <v>284</v>
      </c>
      <c r="U17" s="316" t="s">
        <v>285</v>
      </c>
      <c r="V17" s="317" t="s">
        <v>58</v>
      </c>
      <c r="W17" s="317" t="s">
        <v>59</v>
      </c>
      <c r="X17" s="317" t="s">
        <v>286</v>
      </c>
      <c r="Y17" s="321" t="s">
        <v>287</v>
      </c>
      <c r="Z17" s="317" t="s">
        <v>286</v>
      </c>
      <c r="AA17" s="317" t="s">
        <v>288</v>
      </c>
      <c r="AB17" s="321" t="s">
        <v>287</v>
      </c>
      <c r="AC17" s="317" t="s">
        <v>289</v>
      </c>
      <c r="AD17" s="321" t="s">
        <v>290</v>
      </c>
      <c r="AE17" s="322" t="n">
        <f aca="false">IFERROR(INDEX('[3]Lookup_Rem Ranges'!$D$1:$D$1048576,MATCH($AL:$AL,'[3]Lookup_Rem Ranges'!$C$1:$C$1048576,0)),0)</f>
        <v>213500</v>
      </c>
      <c r="AF17" s="322" t="n">
        <f aca="false">IFERROR(INDEX('[3]Lookup_Rem Ranges'!$E$1:$E$1048576,MATCH($AL:$AL,'[3]Lookup_Rem Ranges'!$C$1:$C$1048576,0)),0)</f>
        <v>251200</v>
      </c>
      <c r="AG17" s="322" t="n">
        <f aca="false">IFERROR(INDEX('[3]Lookup_Rem Ranges'!$F$1:$F$1048576,MATCH($AL:$AL,'[3]Lookup_Rem Ranges'!$C$1:$C$1048576,0)),)</f>
        <v>288900</v>
      </c>
      <c r="AH17" s="317" t="s">
        <v>291</v>
      </c>
      <c r="AI17" s="319"/>
      <c r="AJ17" s="323" t="n">
        <v>0</v>
      </c>
      <c r="AK17" s="316"/>
      <c r="AL17" s="324" t="str">
        <f aca="false">CONCATENATE(AM17,"",AN17)</f>
        <v>CASS9</v>
      </c>
      <c r="AM17" s="324" t="s">
        <v>292</v>
      </c>
      <c r="AN17" s="319" t="n">
        <v>9</v>
      </c>
      <c r="AO17" s="316"/>
      <c r="AP17" s="325" t="n">
        <v>223000</v>
      </c>
      <c r="AQ17" s="322" t="n">
        <f aca="false">ROUND(IF($P:$P&gt;1,$AP:$AP*1,$AP:$AP*$P:$P),0)</f>
        <v>223000</v>
      </c>
      <c r="AR17" s="322" t="n">
        <f aca="false">IF(BA17="Yes",AP17,0)</f>
        <v>223000</v>
      </c>
      <c r="AS17" s="326" t="n">
        <v>0.04</v>
      </c>
      <c r="AT17" s="326" t="n">
        <v>0</v>
      </c>
      <c r="AU17" s="327"/>
      <c r="AV17" s="322"/>
      <c r="AW17" s="328" t="n">
        <v>0</v>
      </c>
      <c r="AX17" s="322" t="n">
        <v>0</v>
      </c>
      <c r="AY17" s="322" t="n">
        <v>223000</v>
      </c>
      <c r="AZ17" s="329" t="n">
        <f aca="false">IFERROR(($AY:$AY+$AJ:$AJ+$AK:$AK)/$AF:$AF,0)</f>
        <v>0.887738853503185</v>
      </c>
      <c r="BA17" s="330" t="s">
        <v>293</v>
      </c>
      <c r="BB17" s="331" t="n">
        <v>3</v>
      </c>
      <c r="BC17" s="326" t="n">
        <f aca="false">IFERROR($BD:$BD/$AY:$AY,0)</f>
        <v>0</v>
      </c>
      <c r="BD17" s="332" t="n">
        <f aca="false">ROUND(IF($AY:$AY&lt;$AE:$AE,$AE:$AE-$AY:$AY,0),0)</f>
        <v>0</v>
      </c>
      <c r="BE17" s="333" t="n">
        <v>0.0325</v>
      </c>
      <c r="BF17" s="334" t="n">
        <f aca="false">ROUND($AR:$AR*$BE:$BE,0)</f>
        <v>7248</v>
      </c>
      <c r="BG17" s="335" t="n">
        <v>0</v>
      </c>
      <c r="BH17" s="336" t="n">
        <f aca="false">ROUND($AR:$AR*$BG:$BG,0)</f>
        <v>0</v>
      </c>
      <c r="BI17" s="333" t="n">
        <v>0</v>
      </c>
      <c r="BJ17" s="334" t="n">
        <f aca="false">ROUND($AR:$AR*$BI:$BI,0)</f>
        <v>0</v>
      </c>
      <c r="BK17" s="334" t="n">
        <f aca="false">ROUND(IF($P:$P&gt;1,$BJ:$BJ*1,$BJ:$BJ*$P:$P),0)</f>
        <v>0</v>
      </c>
      <c r="BL17" s="337"/>
      <c r="BM17" s="338" t="n">
        <f aca="false">$BC:$BC+$BE:$BE+$BG:$BG</f>
        <v>0.0325</v>
      </c>
      <c r="BN17" s="339" t="n">
        <f aca="false">$BD:$BD+$BF:$BF+$BH:$BH</f>
        <v>7248</v>
      </c>
      <c r="BO17" s="340" t="n">
        <f aca="false">IFERROR(ROUND($AY:$AY+$BN:$BN,0),0)</f>
        <v>230248</v>
      </c>
      <c r="BP17" s="341" t="n">
        <f aca="false">ROUND(IF(SUM($BO:$BO&lt;249080),SUM(ROUND($BO:$BO*11%,0)),27398.8),0)</f>
        <v>25327</v>
      </c>
      <c r="BQ17" s="342" t="n">
        <f aca="false">$BO:$BO+$BP:$BP</f>
        <v>255575</v>
      </c>
      <c r="BR17" s="329" t="n">
        <f aca="false">IFERROR(($BO:$BO+$AJ:$AJ+$AK:$AK)/$AF:$AF,0)</f>
        <v>0.916592356687898</v>
      </c>
      <c r="BS17" s="343" t="n">
        <f aca="false">IF($N:$N="CASUAL","TBC",ROUND($BN:$BN/(NETWORKDAYS("01/07/2023","30/06/2024"))*NETWORKDAYS("10/07/2023","04/09/2023"),0)*$P:$P)</f>
        <v>1143</v>
      </c>
      <c r="BT17" s="326" t="n">
        <f aca="false">$BM17+$BI17</f>
        <v>0.0325</v>
      </c>
      <c r="BU17" s="332" t="n">
        <f aca="false">$BN:$BN+$BJ:$BJ</f>
        <v>7248</v>
      </c>
      <c r="BV17" s="342" t="n">
        <f aca="false">$BO:$BO*$P:$P</f>
        <v>230248</v>
      </c>
      <c r="BW17" s="344" t="n">
        <f aca="false">ROUND($BO:$BO/1976,2)</f>
        <v>116.52</v>
      </c>
      <c r="BX17" s="316"/>
      <c r="BY17" s="342" t="n">
        <f aca="false">$BQ:$BQ+$BX:$BX</f>
        <v>255575</v>
      </c>
      <c r="BZ17" s="345" t="s">
        <v>294</v>
      </c>
      <c r="CA17" s="316"/>
      <c r="CB17" s="316"/>
      <c r="CC17" s="324" t="str">
        <f aca="false">CONCATENATE(CD17,"",CE17)</f>
        <v/>
      </c>
      <c r="CD17" s="319"/>
      <c r="CE17" s="319"/>
      <c r="CF17" s="322" t="str">
        <f aca="false">IFERROR(INDEX('[4]Lookup_Rem Ranges'!$D$1:$D$1048576,MATCH($CC:$CC,'[4]Lookup_Rem Ranges'!$C$1:$C$1048576,0)),"")</f>
        <v/>
      </c>
      <c r="CG17" s="346"/>
      <c r="CH17" s="346"/>
      <c r="CI17" s="347"/>
      <c r="CJ17" s="348"/>
      <c r="CK17" s="342" t="n">
        <f aca="false">IFERROR(ROUND($CI:$CI*$CJ:$CJ,0),0)</f>
        <v>0</v>
      </c>
      <c r="CL17" s="342" t="n">
        <f aca="false">$CI:$CI+$CK:$CK</f>
        <v>0</v>
      </c>
      <c r="CM17" s="349"/>
      <c r="CN17" s="350" t="n">
        <f aca="false">IF(SUM($CL:$CL&lt;249080),SUM(ROUND($CL:$CL*11%,0)),27398.8)</f>
        <v>0</v>
      </c>
      <c r="CO17" s="350" t="s">
        <v>295</v>
      </c>
      <c r="CP17" s="351" t="n">
        <f aca="false">IF(BA17="Yes",3.25%,0)</f>
        <v>0.0325</v>
      </c>
      <c r="CQ17" s="352" t="n">
        <f aca="false">ROUND(AR17*CP17,0)</f>
        <v>7248</v>
      </c>
      <c r="CR17" s="353" t="n">
        <f aca="false">IF($AW:$AW&lt;3.25%,$AW:$AW,3.25%)</f>
        <v>0</v>
      </c>
      <c r="CS17" s="354" t="n">
        <f aca="false">ROUND($AR:$AR*$CR:$CR,0)</f>
        <v>0</v>
      </c>
      <c r="CT17" s="353" t="n">
        <f aca="false">IF($AW:$AW&gt;=3.25%,$AW:$AW-$CR:$CR,0)</f>
        <v>0</v>
      </c>
      <c r="CU17" s="354" t="n">
        <f aca="false">ROUND($AR:$AR*$CT:$CT,0)</f>
        <v>0</v>
      </c>
      <c r="CV17" s="353" t="n">
        <f aca="false">IF($CR:$CR=3.25%,0,IF($BC:$BC&lt;3.25%,$BC:$BC,IF($BC:$BC&gt;3.25%,3.25%-$CR:$CR,0)))</f>
        <v>0</v>
      </c>
      <c r="CW17" s="354" t="n">
        <f aca="false">IFERROR(ROUND($AY:$AY*$CV:$CV,0),0)</f>
        <v>0</v>
      </c>
      <c r="CX17" s="353" t="n">
        <f aca="false">IF($CV:$CV=0,$BC:$BC,BC:BC-$CV:$CV)</f>
        <v>0</v>
      </c>
      <c r="CY17" s="354" t="n">
        <f aca="false">IFERROR(ROUND($AY:$AY*$CX:$CX,0),0)</f>
        <v>0</v>
      </c>
      <c r="CZ17" s="353" t="n">
        <f aca="false">$CR:$CR+$CT:CT+$CV:$CV+$CX:$CX</f>
        <v>0</v>
      </c>
      <c r="DA17" s="353" t="n">
        <f aca="false">(SUM($AW:$AW+$BC:$BC)-$CZ:$CZ)</f>
        <v>0</v>
      </c>
      <c r="DB17" s="353"/>
      <c r="DC17" s="353" t="n">
        <f aca="false">$BE:$BE</f>
        <v>0.0325</v>
      </c>
      <c r="DD17" s="354" t="n">
        <f aca="false">$BF:$BF</f>
        <v>7248</v>
      </c>
      <c r="DE17" s="355" t="n">
        <f aca="false">$BI:$BI</f>
        <v>0</v>
      </c>
      <c r="DF17" s="354" t="n">
        <f aca="false">$BJ:$BJ</f>
        <v>0</v>
      </c>
      <c r="DG17" s="355" t="n">
        <f aca="false">$BG:$BG</f>
        <v>0</v>
      </c>
      <c r="DH17" s="354" t="n">
        <f aca="false">IFERROR(ROUND($AP:$AP*$DG:$DG,0),0)</f>
        <v>0</v>
      </c>
      <c r="DI17" s="353" t="n">
        <f aca="false">$CR:$CR+$CV:$CV+$DC:$DC+$DE:$DE+$DG:$DG</f>
        <v>0.0325</v>
      </c>
      <c r="DJ17" s="354" t="n">
        <f aca="false">$CS:$CS+$CW:$CW+$DD:$DD+$DF:$DF+$DH:$DH</f>
        <v>7248</v>
      </c>
      <c r="DK17" s="353" t="n">
        <f aca="false">$CT:$CT+$CX:$CX</f>
        <v>0</v>
      </c>
      <c r="DL17" s="354" t="n">
        <f aca="false">$CU:$CU+$CY:$CY</f>
        <v>0</v>
      </c>
      <c r="DM17" s="356"/>
      <c r="DN17" s="357"/>
      <c r="DO17" s="357"/>
      <c r="DP17" s="357"/>
      <c r="DQ17" s="357"/>
      <c r="DR17" s="357"/>
      <c r="DS17" s="357"/>
      <c r="DT17" s="357"/>
      <c r="DU17" s="357"/>
      <c r="DV17" s="357"/>
      <c r="DW17" s="357" t="s">
        <v>296</v>
      </c>
      <c r="DX17" s="358"/>
      <c r="DY17" s="358"/>
      <c r="DZ17" s="358"/>
      <c r="EA17" s="358"/>
      <c r="EB17" s="358"/>
      <c r="EC17" s="358"/>
      <c r="ED17" s="358"/>
      <c r="EE17" s="358"/>
      <c r="EF17" s="358"/>
      <c r="EG17" s="358"/>
      <c r="EH17" s="358"/>
      <c r="EI17" s="358"/>
      <c r="EJ17" s="358"/>
      <c r="EK17" s="358"/>
      <c r="EL17" s="358"/>
      <c r="EM17" s="358"/>
      <c r="EN17" s="358"/>
      <c r="EO17" s="358"/>
      <c r="EP17" s="358"/>
      <c r="EQ17" s="358"/>
      <c r="ER17" s="358"/>
      <c r="ES17" s="358"/>
      <c r="ET17" s="358"/>
      <c r="EU17" s="358"/>
      <c r="EV17" s="358"/>
      <c r="EW17" s="358"/>
      <c r="EX17" s="358"/>
      <c r="EY17" s="358"/>
      <c r="EZ17" s="358"/>
      <c r="FA17" s="358"/>
      <c r="FB17" s="358"/>
      <c r="FC17" s="358"/>
      <c r="FD17" s="358"/>
      <c r="FE17" s="358"/>
      <c r="FF17" s="358"/>
      <c r="FG17" s="358"/>
      <c r="FH17" s="358"/>
      <c r="FI17" s="358"/>
      <c r="FJ17" s="358"/>
      <c r="FK17" s="358"/>
      <c r="FL17" s="358"/>
      <c r="FM17" s="358"/>
      <c r="FN17" s="358"/>
      <c r="FO17" s="358"/>
      <c r="FP17" s="358"/>
      <c r="FQ17" s="358"/>
      <c r="FR17" s="358"/>
      <c r="FS17" s="358"/>
      <c r="FT17" s="359"/>
    </row>
    <row r="18" s="314" customFormat="true" ht="24" hidden="false" customHeight="false" outlineLevel="0" collapsed="false">
      <c r="B18" s="315" t="s">
        <v>273</v>
      </c>
      <c r="C18" s="315" t="s">
        <v>297</v>
      </c>
      <c r="D18" s="315" t="n">
        <v>19124</v>
      </c>
      <c r="E18" s="316" t="s">
        <v>298</v>
      </c>
      <c r="F18" s="316" t="s">
        <v>299</v>
      </c>
      <c r="G18" s="316" t="s">
        <v>300</v>
      </c>
      <c r="H18" s="317" t="s">
        <v>301</v>
      </c>
      <c r="I18" s="316" t="s">
        <v>302</v>
      </c>
      <c r="J18" s="316" t="s">
        <v>303</v>
      </c>
      <c r="K18" s="318" t="n">
        <v>43850</v>
      </c>
      <c r="L18" s="318"/>
      <c r="M18" s="318" t="n">
        <v>44992</v>
      </c>
      <c r="N18" s="319" t="s">
        <v>281</v>
      </c>
      <c r="O18" s="319" t="n">
        <v>38</v>
      </c>
      <c r="P18" s="320" t="n">
        <f aca="false">$O:$O/38</f>
        <v>1</v>
      </c>
      <c r="Q18" s="316" t="s">
        <v>304</v>
      </c>
      <c r="R18" s="316" t="n">
        <v>14463</v>
      </c>
      <c r="S18" s="316" t="s">
        <v>283</v>
      </c>
      <c r="T18" s="316" t="s">
        <v>284</v>
      </c>
      <c r="U18" s="316" t="s">
        <v>285</v>
      </c>
      <c r="V18" s="317" t="s">
        <v>58</v>
      </c>
      <c r="W18" s="317" t="s">
        <v>59</v>
      </c>
      <c r="X18" s="317" t="s">
        <v>286</v>
      </c>
      <c r="Y18" s="321" t="s">
        <v>287</v>
      </c>
      <c r="Z18" s="317" t="s">
        <v>286</v>
      </c>
      <c r="AA18" s="317" t="s">
        <v>288</v>
      </c>
      <c r="AB18" s="321" t="s">
        <v>287</v>
      </c>
      <c r="AC18" s="317" t="s">
        <v>289</v>
      </c>
      <c r="AD18" s="321" t="s">
        <v>290</v>
      </c>
      <c r="AE18" s="322" t="n">
        <f aca="false">IFERROR(INDEX('[3]Lookup_Rem Ranges'!$D$1:$D$1048576,MATCH($AL:$AL,'[3]Lookup_Rem Ranges'!$C$1:$C$1048576,0)),0)</f>
        <v>213500</v>
      </c>
      <c r="AF18" s="322" t="n">
        <f aca="false">IFERROR(INDEX('[3]Lookup_Rem Ranges'!$E$1:$E$1048576,MATCH($AL:$AL,'[3]Lookup_Rem Ranges'!$C$1:$C$1048576,0)),0)</f>
        <v>251200</v>
      </c>
      <c r="AG18" s="322" t="n">
        <f aca="false">IFERROR(INDEX('[3]Lookup_Rem Ranges'!$F$1:$F$1048576,MATCH($AL:$AL,'[3]Lookup_Rem Ranges'!$C$1:$C$1048576,0)),)</f>
        <v>288900</v>
      </c>
      <c r="AH18" s="317" t="s">
        <v>291</v>
      </c>
      <c r="AI18" s="319"/>
      <c r="AJ18" s="323" t="n">
        <v>0</v>
      </c>
      <c r="AK18" s="316"/>
      <c r="AL18" s="324" t="str">
        <f aca="false">CONCATENATE(AM18,"",AN18)</f>
        <v>CASS9</v>
      </c>
      <c r="AM18" s="324" t="s">
        <v>292</v>
      </c>
      <c r="AN18" s="319" t="n">
        <v>9</v>
      </c>
      <c r="AO18" s="316"/>
      <c r="AP18" s="325" t="n">
        <v>220000</v>
      </c>
      <c r="AQ18" s="322" t="n">
        <f aca="false">ROUND(IF($P:$P&gt;1,$AP:$AP*1,$AP:$AP*$P:$P),0)</f>
        <v>220000</v>
      </c>
      <c r="AR18" s="322" t="n">
        <f aca="false">IF(BA18="Yes",AP18,0)</f>
        <v>220000</v>
      </c>
      <c r="AS18" s="326" t="n">
        <v>0.06</v>
      </c>
      <c r="AT18" s="326" t="n">
        <v>0</v>
      </c>
      <c r="AU18" s="327"/>
      <c r="AV18" s="322"/>
      <c r="AW18" s="328" t="n">
        <v>0</v>
      </c>
      <c r="AX18" s="322" t="n">
        <v>0</v>
      </c>
      <c r="AY18" s="322" t="n">
        <v>220000</v>
      </c>
      <c r="AZ18" s="329" t="n">
        <f aca="false">IFERROR(($AY:$AY+$AJ:$AJ+$AK:$AK)/$AF:$AF,0)</f>
        <v>0.875796178343949</v>
      </c>
      <c r="BA18" s="330" t="s">
        <v>293</v>
      </c>
      <c r="BB18" s="331" t="n">
        <v>3</v>
      </c>
      <c r="BC18" s="326" t="n">
        <f aca="false">IFERROR($BD:$BD/$AY:$AY,0)</f>
        <v>0</v>
      </c>
      <c r="BD18" s="332" t="n">
        <f aca="false">ROUND(IF($AY:$AY&lt;$AE:$AE,$AE:$AE-$AY:$AY,0),0)</f>
        <v>0</v>
      </c>
      <c r="BE18" s="333" t="n">
        <v>0.0325</v>
      </c>
      <c r="BF18" s="334" t="n">
        <f aca="false">ROUND($AR:$AR*$BE:$BE,0)</f>
        <v>7150</v>
      </c>
      <c r="BG18" s="335" t="n">
        <v>0</v>
      </c>
      <c r="BH18" s="336" t="n">
        <f aca="false">ROUND($AR:$AR*$BG:$BG,0)</f>
        <v>0</v>
      </c>
      <c r="BI18" s="333" t="n">
        <v>0</v>
      </c>
      <c r="BJ18" s="334" t="n">
        <f aca="false">ROUND($AR:$AR*$BI:$BI,0)</f>
        <v>0</v>
      </c>
      <c r="BK18" s="334" t="n">
        <f aca="false">ROUND(IF($P:$P&gt;1,$BJ:$BJ*1,$BJ:$BJ*$P:$P),0)</f>
        <v>0</v>
      </c>
      <c r="BL18" s="337"/>
      <c r="BM18" s="338" t="n">
        <f aca="false">$BC:$BC+$BE:$BE+$BG:$BG</f>
        <v>0.0325</v>
      </c>
      <c r="BN18" s="339" t="n">
        <f aca="false">$BD:$BD+$BF:$BF+$BH:$BH</f>
        <v>7150</v>
      </c>
      <c r="BO18" s="340" t="n">
        <f aca="false">IFERROR(ROUND($AY:$AY+$BN:$BN,0),0)</f>
        <v>227150</v>
      </c>
      <c r="BP18" s="341" t="n">
        <f aca="false">ROUND(IF(SUM($BO:$BO&lt;249080),SUM(ROUND($BO:$BO*11%,0)),27398.8),0)</f>
        <v>24987</v>
      </c>
      <c r="BQ18" s="342" t="n">
        <f aca="false">$BO:$BO+$BP:$BP</f>
        <v>252137</v>
      </c>
      <c r="BR18" s="329" t="n">
        <f aca="false">IFERROR(($BO:$BO+$AJ:$AJ+$AK:$AK)/$AF:$AF,0)</f>
        <v>0.904259554140127</v>
      </c>
      <c r="BS18" s="343" t="n">
        <f aca="false">IF($N:$N="CASUAL","TBC",ROUND($BN:$BN/(NETWORKDAYS("01/07/2023","30/06/2024"))*NETWORKDAYS("10/07/2023","04/09/2023"),0)*$P:$P)</f>
        <v>1128</v>
      </c>
      <c r="BT18" s="326" t="n">
        <f aca="false">$BM18+$BI18</f>
        <v>0.0325</v>
      </c>
      <c r="BU18" s="332" t="n">
        <f aca="false">$BN:$BN+$BJ:$BJ</f>
        <v>7150</v>
      </c>
      <c r="BV18" s="342" t="n">
        <f aca="false">$BO:$BO*$P:$P</f>
        <v>227150</v>
      </c>
      <c r="BW18" s="344" t="n">
        <f aca="false">ROUND($BO:$BO/1976,2)</f>
        <v>114.95</v>
      </c>
      <c r="BX18" s="316"/>
      <c r="BY18" s="342" t="n">
        <f aca="false">$BQ:$BQ+$BX:$BX</f>
        <v>252137</v>
      </c>
      <c r="BZ18" s="345" t="s">
        <v>294</v>
      </c>
      <c r="CA18" s="316"/>
      <c r="CB18" s="316"/>
      <c r="CC18" s="324" t="str">
        <f aca="false">CONCATENATE(CD18,"",CE18)</f>
        <v/>
      </c>
      <c r="CD18" s="319"/>
      <c r="CE18" s="319"/>
      <c r="CF18" s="322" t="str">
        <f aca="false">IFERROR(INDEX('[4]Lookup_Rem Ranges'!$D$1:$D$1048576,MATCH($CC:$CC,'[4]Lookup_Rem Ranges'!$C$1:$C$1048576,0)),"")</f>
        <v/>
      </c>
      <c r="CG18" s="346"/>
      <c r="CH18" s="346"/>
      <c r="CI18" s="347"/>
      <c r="CJ18" s="348"/>
      <c r="CK18" s="342" t="n">
        <f aca="false">IFERROR(ROUND($CI:$CI*$CJ:$CJ,0),0)</f>
        <v>0</v>
      </c>
      <c r="CL18" s="342" t="n">
        <f aca="false">$CI:$CI+$CK:$CK</f>
        <v>0</v>
      </c>
      <c r="CM18" s="349"/>
      <c r="CN18" s="350" t="n">
        <f aca="false">IF(SUM($CL:$CL&lt;249080),SUM(ROUND($CL:$CL*11%,0)),27398.8)</f>
        <v>0</v>
      </c>
      <c r="CO18" s="350" t="s">
        <v>305</v>
      </c>
      <c r="CP18" s="351" t="n">
        <f aca="false">IF(BA18="Yes",3.25%,0)</f>
        <v>0.0325</v>
      </c>
      <c r="CQ18" s="352" t="n">
        <f aca="false">ROUND(AR18*CP18,0)</f>
        <v>7150</v>
      </c>
      <c r="CR18" s="353" t="n">
        <f aca="false">IF($AW:$AW&lt;3.25%,$AW:$AW,3.25%)</f>
        <v>0</v>
      </c>
      <c r="CS18" s="354" t="n">
        <f aca="false">ROUND($AR:$AR*$CR:$CR,0)</f>
        <v>0</v>
      </c>
      <c r="CT18" s="353" t="n">
        <f aca="false">IF($AW:$AW&gt;=3.25%,$AW:$AW-$CR:$CR,0)</f>
        <v>0</v>
      </c>
      <c r="CU18" s="354" t="n">
        <f aca="false">ROUND($AR:$AR*$CT:$CT,0)</f>
        <v>0</v>
      </c>
      <c r="CV18" s="353" t="n">
        <f aca="false">IF($CR:$CR=3.25%,0,IF($BC:$BC&lt;3.25%,$BC:$BC,IF($BC:$BC&gt;3.25%,3.25%-$CR:$CR,0)))</f>
        <v>0</v>
      </c>
      <c r="CW18" s="354" t="n">
        <f aca="false">IFERROR(ROUND($AY:$AY*$CV:$CV,0),0)</f>
        <v>0</v>
      </c>
      <c r="CX18" s="353" t="n">
        <f aca="false">IF($CV:$CV=0,$BC:$BC,BC:BC-$CV:$CV)</f>
        <v>0</v>
      </c>
      <c r="CY18" s="354" t="n">
        <f aca="false">IFERROR(ROUND($AY:$AY*$CX:$CX,0),0)</f>
        <v>0</v>
      </c>
      <c r="CZ18" s="353" t="n">
        <f aca="false">$CR:$CR+$CT:CT+$CV:$CV+$CX:$CX</f>
        <v>0</v>
      </c>
      <c r="DA18" s="353" t="n">
        <f aca="false">(SUM($AW:$AW+$BC:$BC)-$CZ:$CZ)</f>
        <v>0</v>
      </c>
      <c r="DB18" s="353"/>
      <c r="DC18" s="353" t="n">
        <f aca="false">$BE:$BE</f>
        <v>0.0325</v>
      </c>
      <c r="DD18" s="354" t="n">
        <f aca="false">$BF:$BF</f>
        <v>7150</v>
      </c>
      <c r="DE18" s="355" t="n">
        <f aca="false">$BI:$BI</f>
        <v>0</v>
      </c>
      <c r="DF18" s="354" t="n">
        <f aca="false">$BJ:$BJ</f>
        <v>0</v>
      </c>
      <c r="DG18" s="355" t="n">
        <f aca="false">$BG:$BG</f>
        <v>0</v>
      </c>
      <c r="DH18" s="354" t="n">
        <f aca="false">IFERROR(ROUND($AP:$AP*$DG:$DG,0),0)</f>
        <v>0</v>
      </c>
      <c r="DI18" s="353" t="n">
        <f aca="false">$CR:$CR+$CV:$CV+$DC:$DC+$DE:$DE+$DG:$DG</f>
        <v>0.0325</v>
      </c>
      <c r="DJ18" s="354" t="n">
        <f aca="false">$CS:$CS+$CW:$CW+$DD:$DD+$DF:$DF+$DH:$DH</f>
        <v>7150</v>
      </c>
      <c r="DK18" s="353" t="n">
        <f aca="false">$CT:$CT+$CX:$CX</f>
        <v>0</v>
      </c>
      <c r="DL18" s="354" t="n">
        <f aca="false">$CU:$CU+$CY:$CY</f>
        <v>0</v>
      </c>
      <c r="DM18" s="356"/>
      <c r="DN18" s="357"/>
      <c r="DO18" s="357"/>
      <c r="DP18" s="357"/>
      <c r="DQ18" s="357"/>
      <c r="DR18" s="357"/>
      <c r="DS18" s="357"/>
      <c r="DT18" s="357"/>
      <c r="DU18" s="357"/>
      <c r="DV18" s="357"/>
      <c r="DW18" s="357" t="s">
        <v>296</v>
      </c>
      <c r="DX18" s="358"/>
      <c r="DY18" s="358"/>
      <c r="DZ18" s="358"/>
      <c r="EA18" s="358"/>
      <c r="EB18" s="358"/>
      <c r="EC18" s="358"/>
      <c r="ED18" s="358"/>
      <c r="EE18" s="358"/>
      <c r="EF18" s="358"/>
      <c r="EG18" s="358"/>
      <c r="EH18" s="358"/>
      <c r="EI18" s="358"/>
      <c r="EJ18" s="358"/>
      <c r="EK18" s="358"/>
      <c r="EL18" s="358"/>
      <c r="EM18" s="358"/>
      <c r="EN18" s="358"/>
      <c r="EO18" s="358"/>
      <c r="EP18" s="358"/>
      <c r="EQ18" s="358"/>
      <c r="ER18" s="358"/>
      <c r="ES18" s="358"/>
      <c r="ET18" s="358"/>
      <c r="EU18" s="358"/>
      <c r="EV18" s="358"/>
      <c r="EW18" s="358"/>
      <c r="EX18" s="358"/>
      <c r="EY18" s="358"/>
      <c r="EZ18" s="358"/>
      <c r="FA18" s="358"/>
      <c r="FB18" s="358"/>
      <c r="FC18" s="358"/>
      <c r="FD18" s="358"/>
      <c r="FE18" s="358"/>
      <c r="FF18" s="358"/>
      <c r="FG18" s="358"/>
      <c r="FH18" s="358"/>
      <c r="FI18" s="358"/>
      <c r="FJ18" s="358"/>
      <c r="FK18" s="358"/>
      <c r="FL18" s="358"/>
      <c r="FM18" s="358"/>
      <c r="FN18" s="358"/>
      <c r="FO18" s="358"/>
      <c r="FP18" s="358"/>
      <c r="FQ18" s="358"/>
      <c r="FR18" s="358"/>
      <c r="FS18" s="358"/>
      <c r="FT18" s="359"/>
    </row>
    <row r="19" s="314" customFormat="true" ht="24" hidden="false" customHeight="false" outlineLevel="0" collapsed="false">
      <c r="B19" s="315" t="s">
        <v>273</v>
      </c>
      <c r="C19" s="315" t="s">
        <v>306</v>
      </c>
      <c r="D19" s="315" t="n">
        <v>17956</v>
      </c>
      <c r="E19" s="316" t="s">
        <v>307</v>
      </c>
      <c r="F19" s="316" t="s">
        <v>308</v>
      </c>
      <c r="G19" s="316" t="s">
        <v>300</v>
      </c>
      <c r="H19" s="317" t="s">
        <v>309</v>
      </c>
      <c r="I19" s="316" t="s">
        <v>310</v>
      </c>
      <c r="J19" s="316" t="s">
        <v>311</v>
      </c>
      <c r="K19" s="318" t="n">
        <v>43332</v>
      </c>
      <c r="L19" s="318"/>
      <c r="M19" s="318" t="n">
        <v>44991</v>
      </c>
      <c r="N19" s="319" t="s">
        <v>281</v>
      </c>
      <c r="O19" s="319" t="n">
        <v>38</v>
      </c>
      <c r="P19" s="320" t="n">
        <f aca="false">$O:$O/38</f>
        <v>1</v>
      </c>
      <c r="Q19" s="316" t="s">
        <v>304</v>
      </c>
      <c r="R19" s="316" t="n">
        <v>14463</v>
      </c>
      <c r="S19" s="316" t="s">
        <v>283</v>
      </c>
      <c r="T19" s="316" t="s">
        <v>284</v>
      </c>
      <c r="U19" s="316" t="s">
        <v>285</v>
      </c>
      <c r="V19" s="317" t="s">
        <v>58</v>
      </c>
      <c r="W19" s="317" t="s">
        <v>59</v>
      </c>
      <c r="X19" s="317" t="s">
        <v>286</v>
      </c>
      <c r="Y19" s="321" t="s">
        <v>287</v>
      </c>
      <c r="Z19" s="317" t="s">
        <v>286</v>
      </c>
      <c r="AA19" s="317" t="s">
        <v>288</v>
      </c>
      <c r="AB19" s="321" t="s">
        <v>287</v>
      </c>
      <c r="AC19" s="317" t="s">
        <v>289</v>
      </c>
      <c r="AD19" s="321" t="s">
        <v>290</v>
      </c>
      <c r="AE19" s="322" t="n">
        <f aca="false">IFERROR(INDEX('[3]Lookup_Rem Ranges'!$D$1:$D$1048576,MATCH($AL:$AL,'[3]Lookup_Rem Ranges'!$C$1:$C$1048576,0)),0)</f>
        <v>244000</v>
      </c>
      <c r="AF19" s="322" t="n">
        <f aca="false">IFERROR(INDEX('[3]Lookup_Rem Ranges'!$E$1:$E$1048576,MATCH($AL:$AL,'[3]Lookup_Rem Ranges'!$C$1:$C$1048576,0)),0)</f>
        <v>287100</v>
      </c>
      <c r="AG19" s="322" t="n">
        <f aca="false">IFERROR(INDEX('[3]Lookup_Rem Ranges'!$F$1:$F$1048576,MATCH($AL:$AL,'[3]Lookup_Rem Ranges'!$C$1:$C$1048576,0)),)</f>
        <v>330200</v>
      </c>
      <c r="AH19" s="317" t="s">
        <v>291</v>
      </c>
      <c r="AI19" s="319"/>
      <c r="AJ19" s="323" t="n">
        <v>0</v>
      </c>
      <c r="AK19" s="316"/>
      <c r="AL19" s="324" t="str">
        <f aca="false">CONCATENATE(AM19,"",AN19)</f>
        <v>GI9</v>
      </c>
      <c r="AM19" s="324" t="s">
        <v>312</v>
      </c>
      <c r="AN19" s="319" t="n">
        <v>9</v>
      </c>
      <c r="AO19" s="316"/>
      <c r="AP19" s="325" t="n">
        <v>215000</v>
      </c>
      <c r="AQ19" s="322" t="n">
        <f aca="false">ROUND(IF($P:$P&gt;1,$AP:$AP*1,$AP:$AP*$P:$P),0)</f>
        <v>215000</v>
      </c>
      <c r="AR19" s="322" t="n">
        <f aca="false">IF(BA19="Yes",AP19,0)</f>
        <v>215000</v>
      </c>
      <c r="AS19" s="326" t="n">
        <v>0.0503304524656838</v>
      </c>
      <c r="AT19" s="326" t="n">
        <v>0</v>
      </c>
      <c r="AU19" s="327"/>
      <c r="AV19" s="322"/>
      <c r="AW19" s="328" t="n">
        <v>0</v>
      </c>
      <c r="AX19" s="322" t="n">
        <v>0</v>
      </c>
      <c r="AY19" s="322" t="n">
        <v>215000</v>
      </c>
      <c r="AZ19" s="329" t="n">
        <f aca="false">IFERROR(($AY:$AY+$AJ:$AJ+$AK:$AK)/$AF:$AF,0)</f>
        <v>0.748867990247301</v>
      </c>
      <c r="BA19" s="330" t="s">
        <v>293</v>
      </c>
      <c r="BB19" s="331" t="n">
        <v>4</v>
      </c>
      <c r="BC19" s="326" t="n">
        <f aca="false">IFERROR($BD:$BD/$AY:$AY,0)</f>
        <v>0.134883720930233</v>
      </c>
      <c r="BD19" s="332" t="n">
        <f aca="false">ROUND(IF($AY:$AY&lt;$AE:$AE,$AE:$AE-$AY:$AY,0),0)</f>
        <v>29000</v>
      </c>
      <c r="BE19" s="333" t="n">
        <v>0</v>
      </c>
      <c r="BF19" s="334" t="n">
        <f aca="false">ROUND($AR:$AR*$BE:$BE,0)</f>
        <v>0</v>
      </c>
      <c r="BG19" s="335" t="n">
        <v>0</v>
      </c>
      <c r="BH19" s="336" t="n">
        <f aca="false">ROUND($AR:$AR*$BG:$BG,0)</f>
        <v>0</v>
      </c>
      <c r="BI19" s="333" t="n">
        <v>0</v>
      </c>
      <c r="BJ19" s="334" t="n">
        <f aca="false">ROUND($AR:$AR*$BI:$BI,0)</f>
        <v>0</v>
      </c>
      <c r="BK19" s="334" t="n">
        <f aca="false">ROUND(IF($P:$P&gt;1,$BJ:$BJ*1,$BJ:$BJ*$P:$P),0)</f>
        <v>0</v>
      </c>
      <c r="BL19" s="337"/>
      <c r="BM19" s="338" t="n">
        <f aca="false">$BC:$BC+$BE:$BE+$BG:$BG</f>
        <v>0.134883720930233</v>
      </c>
      <c r="BN19" s="339" t="n">
        <f aca="false">$BD:$BD+$BF:$BF+$BH:$BH</f>
        <v>29000</v>
      </c>
      <c r="BO19" s="340" t="n">
        <f aca="false">IFERROR(ROUND($AY:$AY+$BN:$BN,0),0)</f>
        <v>244000</v>
      </c>
      <c r="BP19" s="341" t="n">
        <f aca="false">ROUND(IF(SUM($BO:$BO&lt;249080),SUM(ROUND($BO:$BO*11%,0)),27398.8),0)</f>
        <v>26840</v>
      </c>
      <c r="BQ19" s="342" t="n">
        <f aca="false">$BO:$BO+$BP:$BP</f>
        <v>270840</v>
      </c>
      <c r="BR19" s="329" t="n">
        <f aca="false">IFERROR(($BO:$BO+$AJ:$AJ+$AK:$AK)/$AF:$AF,0)</f>
        <v>0.849878091257402</v>
      </c>
      <c r="BS19" s="343" t="n">
        <f aca="false">IF($N:$N="CASUAL","TBC",ROUND($BN:$BN/(NETWORKDAYS("01/07/2023","30/06/2024"))*NETWORKDAYS("10/07/2023","04/09/2023"),0)*$P:$P)</f>
        <v>4573</v>
      </c>
      <c r="BT19" s="326" t="n">
        <f aca="false">$BM19+$BI19</f>
        <v>0.134883720930233</v>
      </c>
      <c r="BU19" s="332" t="n">
        <f aca="false">$BN:$BN+$BJ:$BJ</f>
        <v>29000</v>
      </c>
      <c r="BV19" s="342" t="n">
        <f aca="false">$BO:$BO*$P:$P</f>
        <v>244000</v>
      </c>
      <c r="BW19" s="344" t="n">
        <f aca="false">ROUND($BO:$BO/1976,2)</f>
        <v>123.48</v>
      </c>
      <c r="BX19" s="316"/>
      <c r="BY19" s="342" t="n">
        <f aca="false">$BQ:$BQ+$BX:$BX</f>
        <v>270840</v>
      </c>
      <c r="BZ19" s="345" t="s">
        <v>294</v>
      </c>
      <c r="CA19" s="316"/>
      <c r="CB19" s="316"/>
      <c r="CC19" s="324" t="str">
        <f aca="false">CONCATENATE(CD19,"",CE19)</f>
        <v/>
      </c>
      <c r="CD19" s="319"/>
      <c r="CE19" s="319"/>
      <c r="CF19" s="322" t="str">
        <f aca="false">IFERROR(INDEX('[4]Lookup_Rem Ranges'!$D$1:$D$1048576,MATCH($CC:$CC,'[4]Lookup_Rem Ranges'!$C$1:$C$1048576,0)),"")</f>
        <v/>
      </c>
      <c r="CG19" s="346"/>
      <c r="CH19" s="346"/>
      <c r="CI19" s="347"/>
      <c r="CJ19" s="348"/>
      <c r="CK19" s="342" t="n">
        <f aca="false">IFERROR(ROUND($CI:$CI*$CJ:$CJ,0),0)</f>
        <v>0</v>
      </c>
      <c r="CL19" s="342" t="n">
        <f aca="false">$CI:$CI+$CK:$CK</f>
        <v>0</v>
      </c>
      <c r="CM19" s="349"/>
      <c r="CN19" s="350" t="n">
        <f aca="false">IF(SUM($CL:$CL&lt;249080),SUM(ROUND($CL:$CL*11%,0)),27398.8)</f>
        <v>0</v>
      </c>
      <c r="CO19" s="350" t="s">
        <v>313</v>
      </c>
      <c r="CP19" s="351" t="n">
        <f aca="false">IF(BA19="Yes",3.25%,0)</f>
        <v>0.0325</v>
      </c>
      <c r="CQ19" s="352" t="n">
        <f aca="false">ROUND(AR19*CP19,0)</f>
        <v>6988</v>
      </c>
      <c r="CR19" s="353" t="n">
        <f aca="false">IF($AW:$AW&lt;3.25%,$AW:$AW,3.25%)</f>
        <v>0</v>
      </c>
      <c r="CS19" s="354" t="n">
        <f aca="false">ROUND($AR:$AR*$CR:$CR,0)</f>
        <v>0</v>
      </c>
      <c r="CT19" s="353" t="n">
        <f aca="false">IF($AW:$AW&gt;=3.25%,$AW:$AW-$CR:$CR,0)</f>
        <v>0</v>
      </c>
      <c r="CU19" s="354" t="n">
        <f aca="false">ROUND($AR:$AR*$CT:$CT,0)</f>
        <v>0</v>
      </c>
      <c r="CV19" s="353" t="n">
        <f aca="false">IF($CR:$CR=3.25%,0,IF($BC:$BC&lt;3.25%,$BC:$BC,IF($BC:$BC&gt;3.25%,3.25%-$CR:$CR,0)))</f>
        <v>0.0325</v>
      </c>
      <c r="CW19" s="354" t="n">
        <f aca="false">IFERROR(ROUND($AY:$AY*$CV:$CV,0),0)</f>
        <v>6988</v>
      </c>
      <c r="CX19" s="353" t="n">
        <f aca="false">IF($CV:$CV=0,$BC:$BC,BC:BC-$CV:$CV)</f>
        <v>0.102383720930233</v>
      </c>
      <c r="CY19" s="354" t="n">
        <f aca="false">IFERROR(ROUND($AY:$AY*$CX:$CX,0),0)</f>
        <v>22013</v>
      </c>
      <c r="CZ19" s="353" t="n">
        <f aca="false">$CR:$CR+$CT:CT+$CV:$CV+$CX:$CX</f>
        <v>0.134883720930233</v>
      </c>
      <c r="DA19" s="353" t="n">
        <f aca="false">(SUM($AW:$AW+$BC:$BC)-$CZ:$CZ)</f>
        <v>0</v>
      </c>
      <c r="DB19" s="353"/>
      <c r="DC19" s="353" t="n">
        <f aca="false">$BE:$BE</f>
        <v>0</v>
      </c>
      <c r="DD19" s="354" t="n">
        <f aca="false">$BF:$BF</f>
        <v>0</v>
      </c>
      <c r="DE19" s="355" t="n">
        <f aca="false">$BI:$BI</f>
        <v>0</v>
      </c>
      <c r="DF19" s="354" t="n">
        <f aca="false">$BJ:$BJ</f>
        <v>0</v>
      </c>
      <c r="DG19" s="355" t="n">
        <f aca="false">$BG:$BG</f>
        <v>0</v>
      </c>
      <c r="DH19" s="354" t="n">
        <f aca="false">IFERROR(ROUND($AP:$AP*$DG:$DG,0),0)</f>
        <v>0</v>
      </c>
      <c r="DI19" s="353" t="n">
        <f aca="false">$CR:$CR+$CV:$CV+$DC:$DC+$DE:$DE+$DG:$DG</f>
        <v>0.0325</v>
      </c>
      <c r="DJ19" s="354" t="n">
        <f aca="false">$CS:$CS+$CW:$CW+$DD:$DD+$DF:$DF+$DH:$DH</f>
        <v>6988</v>
      </c>
      <c r="DK19" s="353" t="n">
        <f aca="false">$CT:$CT+$CX:$CX</f>
        <v>0.102383720930233</v>
      </c>
      <c r="DL19" s="354" t="n">
        <f aca="false">$CU:$CU+$CY:$CY</f>
        <v>22013</v>
      </c>
      <c r="DM19" s="356"/>
      <c r="DN19" s="357"/>
      <c r="DO19" s="357"/>
      <c r="DP19" s="357"/>
      <c r="DQ19" s="357"/>
      <c r="DR19" s="357"/>
      <c r="DS19" s="357"/>
      <c r="DT19" s="357"/>
      <c r="DU19" s="357"/>
      <c r="DV19" s="357"/>
      <c r="DW19" s="357" t="s">
        <v>296</v>
      </c>
      <c r="DX19" s="358"/>
      <c r="DY19" s="358"/>
      <c r="DZ19" s="358"/>
      <c r="EA19" s="358"/>
      <c r="EB19" s="358"/>
      <c r="EC19" s="358"/>
      <c r="ED19" s="358"/>
      <c r="EE19" s="358"/>
      <c r="EF19" s="358"/>
      <c r="EG19" s="358"/>
      <c r="EH19" s="358"/>
      <c r="EI19" s="358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  <c r="FA19" s="358"/>
      <c r="FB19" s="358"/>
      <c r="FC19" s="358"/>
      <c r="FD19" s="358"/>
      <c r="FE19" s="358"/>
      <c r="FF19" s="358"/>
      <c r="FG19" s="358"/>
      <c r="FH19" s="358"/>
      <c r="FI19" s="358"/>
      <c r="FJ19" s="358"/>
      <c r="FK19" s="358"/>
      <c r="FL19" s="358"/>
      <c r="FM19" s="358"/>
      <c r="FN19" s="358"/>
      <c r="FO19" s="358"/>
      <c r="FP19" s="358"/>
      <c r="FQ19" s="358"/>
      <c r="FR19" s="358"/>
      <c r="FS19" s="358"/>
      <c r="FT19" s="359"/>
    </row>
    <row r="20" s="314" customFormat="true" ht="36" hidden="false" customHeight="false" outlineLevel="0" collapsed="false">
      <c r="B20" s="315" t="s">
        <v>273</v>
      </c>
      <c r="C20" s="315" t="s">
        <v>314</v>
      </c>
      <c r="D20" s="315" t="n">
        <v>8939</v>
      </c>
      <c r="E20" s="316" t="s">
        <v>315</v>
      </c>
      <c r="F20" s="316" t="s">
        <v>316</v>
      </c>
      <c r="G20" s="316" t="s">
        <v>277</v>
      </c>
      <c r="H20" s="317" t="s">
        <v>317</v>
      </c>
      <c r="I20" s="316" t="s">
        <v>318</v>
      </c>
      <c r="J20" s="316" t="s">
        <v>319</v>
      </c>
      <c r="K20" s="318" t="n">
        <v>39615</v>
      </c>
      <c r="L20" s="318"/>
      <c r="M20" s="318" t="n">
        <v>43379</v>
      </c>
      <c r="N20" s="319" t="s">
        <v>281</v>
      </c>
      <c r="O20" s="319" t="n">
        <v>38</v>
      </c>
      <c r="P20" s="320" t="n">
        <f aca="false">$O:$O/38</f>
        <v>1</v>
      </c>
      <c r="Q20" s="316" t="s">
        <v>320</v>
      </c>
      <c r="R20" s="316" t="n">
        <v>14463</v>
      </c>
      <c r="S20" s="316" t="s">
        <v>283</v>
      </c>
      <c r="T20" s="316" t="s">
        <v>284</v>
      </c>
      <c r="U20" s="316" t="s">
        <v>285</v>
      </c>
      <c r="V20" s="317" t="s">
        <v>58</v>
      </c>
      <c r="W20" s="317" t="s">
        <v>59</v>
      </c>
      <c r="X20" s="317" t="s">
        <v>286</v>
      </c>
      <c r="Y20" s="321" t="s">
        <v>287</v>
      </c>
      <c r="Z20" s="317" t="s">
        <v>286</v>
      </c>
      <c r="AA20" s="317" t="s">
        <v>288</v>
      </c>
      <c r="AB20" s="321" t="s">
        <v>287</v>
      </c>
      <c r="AC20" s="317" t="s">
        <v>289</v>
      </c>
      <c r="AD20" s="321" t="s">
        <v>290</v>
      </c>
      <c r="AE20" s="322" t="n">
        <f aca="false">IFERROR(INDEX('[3]Lookup_Rem Ranges'!$D$1:$D$1048576,MATCH($AL:$AL,'[3]Lookup_Rem Ranges'!$C$1:$C$1048576,0)),0)</f>
        <v>147100</v>
      </c>
      <c r="AF20" s="322" t="n">
        <f aca="false">IFERROR(INDEX('[3]Lookup_Rem Ranges'!$E$1:$E$1048576,MATCH($AL:$AL,'[3]Lookup_Rem Ranges'!$C$1:$C$1048576,0)),0)</f>
        <v>173100</v>
      </c>
      <c r="AG20" s="322" t="n">
        <f aca="false">IFERROR(INDEX('[3]Lookup_Rem Ranges'!$F$1:$F$1048576,MATCH($AL:$AL,'[3]Lookup_Rem Ranges'!$C$1:$C$1048576,0)),)</f>
        <v>199100</v>
      </c>
      <c r="AH20" s="317" t="s">
        <v>291</v>
      </c>
      <c r="AI20" s="319"/>
      <c r="AJ20" s="323" t="n">
        <v>0</v>
      </c>
      <c r="AK20" s="316"/>
      <c r="AL20" s="324" t="str">
        <f aca="false">CONCATENATE(AM20,"",AN20)</f>
        <v>GI7</v>
      </c>
      <c r="AM20" s="324" t="s">
        <v>312</v>
      </c>
      <c r="AN20" s="319" t="n">
        <v>7</v>
      </c>
      <c r="AO20" s="316" t="s">
        <v>321</v>
      </c>
      <c r="AP20" s="325" t="n">
        <v>133000</v>
      </c>
      <c r="AQ20" s="322" t="n">
        <f aca="false">ROUND(IF($P:$P&gt;1,$AP:$AP*1,$AP:$AP*$P:$P),0)</f>
        <v>133000</v>
      </c>
      <c r="AR20" s="322" t="n">
        <f aca="false">IF(BA20="Yes",AP20,0)</f>
        <v>133000</v>
      </c>
      <c r="AS20" s="326" t="n">
        <v>0.0302091402013943</v>
      </c>
      <c r="AT20" s="326" t="n">
        <v>0</v>
      </c>
      <c r="AU20" s="327"/>
      <c r="AV20" s="322"/>
      <c r="AW20" s="328" t="n">
        <v>0</v>
      </c>
      <c r="AX20" s="322" t="n">
        <v>0</v>
      </c>
      <c r="AY20" s="322" t="n">
        <v>133000</v>
      </c>
      <c r="AZ20" s="329" t="n">
        <f aca="false">IFERROR(($AY:$AY+$AJ:$AJ+$AK:$AK)/$AF:$AF,0)</f>
        <v>0.768341998844599</v>
      </c>
      <c r="BA20" s="330" t="s">
        <v>293</v>
      </c>
      <c r="BB20" s="331" t="n">
        <v>3</v>
      </c>
      <c r="BC20" s="326" t="n">
        <f aca="false">IFERROR($BD:$BD/$AY:$AY,0)</f>
        <v>0.106015037593985</v>
      </c>
      <c r="BD20" s="332" t="n">
        <f aca="false">ROUND(IF($AY:$AY&lt;$AE:$AE,$AE:$AE-$AY:$AY,0),0)</f>
        <v>14100</v>
      </c>
      <c r="BE20" s="333" t="n">
        <v>0</v>
      </c>
      <c r="BF20" s="334" t="n">
        <f aca="false">ROUND($AR:$AR*$BE:$BE,0)</f>
        <v>0</v>
      </c>
      <c r="BG20" s="335" t="n">
        <v>0</v>
      </c>
      <c r="BH20" s="336" t="n">
        <f aca="false">ROUND($AR:$AR*$BG:$BG,0)</f>
        <v>0</v>
      </c>
      <c r="BI20" s="333" t="n">
        <v>0</v>
      </c>
      <c r="BJ20" s="334" t="n">
        <f aca="false">ROUND($AR:$AR*$BI:$BI,0)</f>
        <v>0</v>
      </c>
      <c r="BK20" s="334" t="n">
        <f aca="false">ROUND(IF($P:$P&gt;1,$BJ:$BJ*1,$BJ:$BJ*$P:$P),0)</f>
        <v>0</v>
      </c>
      <c r="BL20" s="337"/>
      <c r="BM20" s="338" t="n">
        <f aca="false">$BC:$BC+$BE:$BE+$BG:$BG</f>
        <v>0.106015037593985</v>
      </c>
      <c r="BN20" s="339" t="n">
        <f aca="false">$BD:$BD+$BF:$BF+$BH:$BH</f>
        <v>14100</v>
      </c>
      <c r="BO20" s="340" t="n">
        <f aca="false">IFERROR(ROUND($AY:$AY+$BN:$BN,0),0)</f>
        <v>147100</v>
      </c>
      <c r="BP20" s="341" t="n">
        <f aca="false">ROUND(IF(SUM($BO:$BO&lt;249080),SUM(ROUND($BO:$BO*11%,0)),27398.8),0)</f>
        <v>16181</v>
      </c>
      <c r="BQ20" s="342" t="n">
        <f aca="false">$BO:$BO+$BP:$BP</f>
        <v>163281</v>
      </c>
      <c r="BR20" s="329" t="n">
        <f aca="false">IFERROR(($BO:$BO+$AJ:$AJ+$AK:$AK)/$AF:$AF,0)</f>
        <v>0.849797804737146</v>
      </c>
      <c r="BS20" s="343" t="n">
        <f aca="false">IF($N:$N="CASUAL","TBC",ROUND($BN:$BN/(NETWORKDAYS("01/07/2023","30/06/2024"))*NETWORKDAYS("10/07/2023","04/09/2023"),0)*$P:$P)</f>
        <v>2223</v>
      </c>
      <c r="BT20" s="326" t="n">
        <f aca="false">$BM20+$BI20</f>
        <v>0.106015037593985</v>
      </c>
      <c r="BU20" s="332" t="n">
        <f aca="false">$BN:$BN+$BJ:$BJ</f>
        <v>14100</v>
      </c>
      <c r="BV20" s="342" t="n">
        <f aca="false">$BO:$BO*$P:$P</f>
        <v>147100</v>
      </c>
      <c r="BW20" s="344" t="n">
        <f aca="false">ROUND($BO:$BO/1976,2)</f>
        <v>74.44</v>
      </c>
      <c r="BX20" s="316"/>
      <c r="BY20" s="342" t="n">
        <f aca="false">$BQ:$BQ+$BX:$BX</f>
        <v>163281</v>
      </c>
      <c r="BZ20" s="345" t="s">
        <v>293</v>
      </c>
      <c r="CA20" s="316" t="s">
        <v>322</v>
      </c>
      <c r="CB20" s="316" t="s">
        <v>323</v>
      </c>
      <c r="CC20" s="324" t="str">
        <f aca="false">CONCATENATE(CD20,"",CE20)</f>
        <v>GI8</v>
      </c>
      <c r="CD20" s="319" t="s">
        <v>312</v>
      </c>
      <c r="CE20" s="319" t="n">
        <v>8</v>
      </c>
      <c r="CF20" s="322" t="n">
        <f aca="false">IFERROR(INDEX('[4]Lookup_Rem Ranges'!$D$1:$D$1048576,MATCH($CC:$CC,'[4]Lookup_Rem Ranges'!$C$1:$C$1048576,0)),"")</f>
        <v>189500</v>
      </c>
      <c r="CG20" s="346" t="n">
        <v>44851</v>
      </c>
      <c r="CH20" s="346"/>
      <c r="CI20" s="347" t="n">
        <v>173000</v>
      </c>
      <c r="CJ20" s="348" t="n">
        <v>0.0953757225433526</v>
      </c>
      <c r="CK20" s="342" t="n">
        <f aca="false">IFERROR(ROUND($CI:$CI*$CJ:$CJ,0),0)</f>
        <v>16500</v>
      </c>
      <c r="CL20" s="342" t="n">
        <f aca="false">$CI:$CI+$CK:$CK</f>
        <v>189500</v>
      </c>
      <c r="CM20" s="349"/>
      <c r="CN20" s="350" t="n">
        <f aca="false">IF(SUM($CL:$CL&lt;249080),SUM(ROUND($CL:$CL*11%,0)),27398.8)</f>
        <v>20845</v>
      </c>
      <c r="CO20" s="350" t="s">
        <v>324</v>
      </c>
      <c r="CP20" s="351" t="n">
        <f aca="false">IF(BA20="Yes",3.25%,0)</f>
        <v>0.0325</v>
      </c>
      <c r="CQ20" s="352" t="n">
        <f aca="false">ROUND(AR20*CP20,0)</f>
        <v>4323</v>
      </c>
      <c r="CR20" s="353" t="n">
        <f aca="false">IF($AW:$AW&lt;3.25%,$AW:$AW,3.25%)</f>
        <v>0</v>
      </c>
      <c r="CS20" s="354" t="n">
        <f aca="false">ROUND($AR:$AR*$CR:$CR,0)</f>
        <v>0</v>
      </c>
      <c r="CT20" s="353" t="n">
        <f aca="false">IF($AW:$AW&gt;=3.25%,$AW:$AW-$CR:$CR,0)</f>
        <v>0</v>
      </c>
      <c r="CU20" s="354" t="n">
        <f aca="false">ROUND($AR:$AR*$CT:$CT,0)</f>
        <v>0</v>
      </c>
      <c r="CV20" s="353" t="n">
        <f aca="false">IF($CR:$CR=3.25%,0,IF($BC:$BC&lt;3.25%,$BC:$BC,IF($BC:$BC&gt;3.25%,3.25%-$CR:$CR,0)))</f>
        <v>0.0325</v>
      </c>
      <c r="CW20" s="354" t="n">
        <f aca="false">IFERROR(ROUND($AY:$AY*$CV:$CV,0),0)</f>
        <v>4323</v>
      </c>
      <c r="CX20" s="353" t="n">
        <f aca="false">IF($CV:$CV=0,$BC:$BC,BC:BC-$CV:$CV)</f>
        <v>0.073515037593985</v>
      </c>
      <c r="CY20" s="354" t="n">
        <f aca="false">IFERROR(ROUND($AY:$AY*$CX:$CX,0),0)</f>
        <v>9778</v>
      </c>
      <c r="CZ20" s="353" t="n">
        <f aca="false">$CR:$CR+$CT:CT+$CV:$CV+$CX:$CX</f>
        <v>0.106015037593985</v>
      </c>
      <c r="DA20" s="353" t="n">
        <f aca="false">(SUM($AW:$AW+$BC:$BC)-$CZ:$CZ)</f>
        <v>0</v>
      </c>
      <c r="DB20" s="353"/>
      <c r="DC20" s="353" t="n">
        <f aca="false">$BE:$BE</f>
        <v>0</v>
      </c>
      <c r="DD20" s="354" t="n">
        <f aca="false">$BF:$BF</f>
        <v>0</v>
      </c>
      <c r="DE20" s="355" t="n">
        <f aca="false">$BI:$BI</f>
        <v>0</v>
      </c>
      <c r="DF20" s="354" t="n">
        <f aca="false">$BJ:$BJ</f>
        <v>0</v>
      </c>
      <c r="DG20" s="355" t="n">
        <f aca="false">$BG:$BG</f>
        <v>0</v>
      </c>
      <c r="DH20" s="354" t="n">
        <f aca="false">IFERROR(ROUND($AP:$AP*$DG:$DG,0),0)</f>
        <v>0</v>
      </c>
      <c r="DI20" s="353" t="n">
        <f aca="false">$CR:$CR+$CV:$CV+$DC:$DC+$DE:$DE+$DG:$DG</f>
        <v>0.0325</v>
      </c>
      <c r="DJ20" s="354" t="n">
        <f aca="false">$CS:$CS+$CW:$CW+$DD:$DD+$DF:$DF+$DH:$DH</f>
        <v>4323</v>
      </c>
      <c r="DK20" s="353" t="n">
        <f aca="false">$CT:$CT+$CX:$CX</f>
        <v>0.073515037593985</v>
      </c>
      <c r="DL20" s="354" t="n">
        <f aca="false">$CU:$CU+$CY:$CY</f>
        <v>9778</v>
      </c>
      <c r="DM20" s="356"/>
      <c r="DN20" s="357"/>
      <c r="DO20" s="357"/>
      <c r="DP20" s="357"/>
      <c r="DQ20" s="357"/>
      <c r="DR20" s="357"/>
      <c r="DS20" s="357"/>
      <c r="DT20" s="357"/>
      <c r="DU20" s="357"/>
      <c r="DV20" s="357"/>
      <c r="DW20" s="357" t="s">
        <v>296</v>
      </c>
      <c r="DX20" s="358"/>
      <c r="DY20" s="358"/>
      <c r="DZ20" s="358"/>
      <c r="EA20" s="358"/>
      <c r="EB20" s="358"/>
      <c r="EC20" s="358"/>
      <c r="ED20" s="358"/>
      <c r="EE20" s="358"/>
      <c r="EF20" s="358"/>
      <c r="EG20" s="358"/>
      <c r="EH20" s="358"/>
      <c r="EI20" s="358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  <c r="FA20" s="358"/>
      <c r="FB20" s="358"/>
      <c r="FC20" s="358"/>
      <c r="FD20" s="358"/>
      <c r="FE20" s="358"/>
      <c r="FF20" s="358"/>
      <c r="FG20" s="358"/>
      <c r="FH20" s="358"/>
      <c r="FI20" s="358"/>
      <c r="FJ20" s="358"/>
      <c r="FK20" s="358"/>
      <c r="FL20" s="358"/>
      <c r="FM20" s="358"/>
      <c r="FN20" s="358"/>
      <c r="FO20" s="358"/>
      <c r="FP20" s="358"/>
      <c r="FQ20" s="358"/>
      <c r="FR20" s="358"/>
      <c r="FS20" s="358"/>
      <c r="FT20" s="359"/>
    </row>
    <row r="21" s="314" customFormat="true" ht="33.75" hidden="false" customHeight="false" outlineLevel="0" collapsed="false">
      <c r="B21" s="315" t="s">
        <v>273</v>
      </c>
      <c r="C21" s="315" t="s">
        <v>325</v>
      </c>
      <c r="D21" s="315" t="n">
        <v>17817</v>
      </c>
      <c r="E21" s="316" t="s">
        <v>326</v>
      </c>
      <c r="F21" s="316" t="s">
        <v>327</v>
      </c>
      <c r="G21" s="316" t="s">
        <v>277</v>
      </c>
      <c r="H21" s="317" t="s">
        <v>328</v>
      </c>
      <c r="I21" s="316" t="s">
        <v>329</v>
      </c>
      <c r="J21" s="316" t="s">
        <v>330</v>
      </c>
      <c r="K21" s="318" t="n">
        <v>43262</v>
      </c>
      <c r="L21" s="318"/>
      <c r="M21" s="318" t="n">
        <v>44991</v>
      </c>
      <c r="N21" s="319" t="s">
        <v>331</v>
      </c>
      <c r="O21" s="319" t="n">
        <v>34</v>
      </c>
      <c r="P21" s="320" t="n">
        <f aca="false">$O:$O/38</f>
        <v>0.894736842105263</v>
      </c>
      <c r="Q21" s="316" t="s">
        <v>332</v>
      </c>
      <c r="R21" s="316" t="n">
        <v>14463</v>
      </c>
      <c r="S21" s="316" t="s">
        <v>283</v>
      </c>
      <c r="T21" s="316" t="s">
        <v>284</v>
      </c>
      <c r="U21" s="316" t="s">
        <v>285</v>
      </c>
      <c r="V21" s="317" t="s">
        <v>58</v>
      </c>
      <c r="W21" s="317" t="s">
        <v>59</v>
      </c>
      <c r="X21" s="317" t="s">
        <v>286</v>
      </c>
      <c r="Y21" s="321" t="s">
        <v>287</v>
      </c>
      <c r="Z21" s="317" t="s">
        <v>286</v>
      </c>
      <c r="AA21" s="317" t="s">
        <v>288</v>
      </c>
      <c r="AB21" s="321" t="s">
        <v>287</v>
      </c>
      <c r="AC21" s="317" t="s">
        <v>289</v>
      </c>
      <c r="AD21" s="321" t="s">
        <v>290</v>
      </c>
      <c r="AE21" s="322" t="n">
        <f aca="false">IFERROR(INDEX('[3]Lookup_Rem Ranges'!$D$1:$D$1048576,MATCH($AL:$AL,'[3]Lookup_Rem Ranges'!$C$1:$C$1048576,0)),0)</f>
        <v>114200</v>
      </c>
      <c r="AF21" s="322" t="n">
        <f aca="false">IFERROR(INDEX('[3]Lookup_Rem Ranges'!$E$1:$E$1048576,MATCH($AL:$AL,'[3]Lookup_Rem Ranges'!$C$1:$C$1048576,0)),0)</f>
        <v>134400</v>
      </c>
      <c r="AG21" s="322" t="n">
        <f aca="false">IFERROR(INDEX('[3]Lookup_Rem Ranges'!$F$1:$F$1048576,MATCH($AL:$AL,'[3]Lookup_Rem Ranges'!$C$1:$C$1048576,0)),)</f>
        <v>154600</v>
      </c>
      <c r="AH21" s="317" t="s">
        <v>291</v>
      </c>
      <c r="AI21" s="319"/>
      <c r="AJ21" s="323" t="n">
        <v>0</v>
      </c>
      <c r="AK21" s="316"/>
      <c r="AL21" s="324" t="str">
        <f aca="false">CONCATENATE(AM21,"",AN21)</f>
        <v>GI6</v>
      </c>
      <c r="AM21" s="324" t="s">
        <v>312</v>
      </c>
      <c r="AN21" s="319" t="n">
        <v>6</v>
      </c>
      <c r="AO21" s="316"/>
      <c r="AP21" s="325" t="n">
        <v>130000</v>
      </c>
      <c r="AQ21" s="322" t="n">
        <f aca="false">ROUND(IF($P:$P&gt;1,$AP:$AP*1,$AP:$AP*$P:$P),0)</f>
        <v>116316</v>
      </c>
      <c r="AR21" s="322" t="n">
        <f aca="false">IF(BA21="Yes",AP21,0)</f>
        <v>130000</v>
      </c>
      <c r="AS21" s="326" t="n">
        <v>0.0989010989010989</v>
      </c>
      <c r="AT21" s="326" t="n">
        <v>0</v>
      </c>
      <c r="AU21" s="327"/>
      <c r="AV21" s="322"/>
      <c r="AW21" s="328" t="n">
        <v>0</v>
      </c>
      <c r="AX21" s="322" t="n">
        <v>0</v>
      </c>
      <c r="AY21" s="322" t="n">
        <v>130000</v>
      </c>
      <c r="AZ21" s="329" t="n">
        <f aca="false">IFERROR(($AY:$AY+$AJ:$AJ+$AK:$AK)/$AF:$AF,0)</f>
        <v>0.967261904761905</v>
      </c>
      <c r="BA21" s="330" t="s">
        <v>293</v>
      </c>
      <c r="BB21" s="331" t="n">
        <v>4</v>
      </c>
      <c r="BC21" s="326" t="n">
        <f aca="false">IFERROR($BD:$BD/$AY:$AY,0)</f>
        <v>0</v>
      </c>
      <c r="BD21" s="332" t="n">
        <f aca="false">ROUND(IF($AY:$AY&lt;$AE:$AE,$AE:$AE-$AY:$AY,0),0)</f>
        <v>0</v>
      </c>
      <c r="BE21" s="333" t="n">
        <v>0.0325</v>
      </c>
      <c r="BF21" s="334" t="n">
        <f aca="false">ROUND($AR:$AR*$BE:$BE,0)</f>
        <v>4225</v>
      </c>
      <c r="BG21" s="335" t="n">
        <v>0</v>
      </c>
      <c r="BH21" s="336" t="n">
        <f aca="false">ROUND($AR:$AR*$BG:$BG,0)</f>
        <v>0</v>
      </c>
      <c r="BI21" s="333" t="n">
        <v>0</v>
      </c>
      <c r="BJ21" s="334" t="n">
        <f aca="false">ROUND($AR:$AR*$BI:$BI,0)</f>
        <v>0</v>
      </c>
      <c r="BK21" s="334" t="n">
        <f aca="false">ROUND(IF($P:$P&gt;1,$BJ:$BJ*1,$BJ:$BJ*$P:$P),0)</f>
        <v>0</v>
      </c>
      <c r="BL21" s="337"/>
      <c r="BM21" s="338" t="n">
        <f aca="false">$BC:$BC+$BE:$BE+$BG:$BG</f>
        <v>0.0325</v>
      </c>
      <c r="BN21" s="339" t="n">
        <f aca="false">$BD:$BD+$BF:$BF+$BH:$BH</f>
        <v>4225</v>
      </c>
      <c r="BO21" s="340" t="n">
        <f aca="false">IFERROR(ROUND($AY:$AY+$BN:$BN,0),0)</f>
        <v>134225</v>
      </c>
      <c r="BP21" s="341" t="n">
        <f aca="false">ROUND(IF(SUM($BO:$BO&lt;249080),SUM(ROUND($BO:$BO*11%,0)),27398.8),0)</f>
        <v>14765</v>
      </c>
      <c r="BQ21" s="342" t="n">
        <f aca="false">$BO:$BO+$BP:$BP</f>
        <v>148990</v>
      </c>
      <c r="BR21" s="329" t="n">
        <f aca="false">IFERROR(($BO:$BO+$AJ:$AJ+$AK:$AK)/$AF:$AF,0)</f>
        <v>0.998697916666667</v>
      </c>
      <c r="BS21" s="343" t="n">
        <f aca="false">IF($N:$N="CASUAL","TBC",ROUND($BN:$BN/(NETWORKDAYS("01/07/2023","30/06/2024"))*NETWORKDAYS("10/07/2023","04/09/2023"),0)*$P:$P)</f>
        <v>595.894736842105</v>
      </c>
      <c r="BT21" s="326" t="n">
        <f aca="false">$BM21+$BI21</f>
        <v>0.0325</v>
      </c>
      <c r="BU21" s="332" t="n">
        <f aca="false">$BN:$BN+$BJ:$BJ</f>
        <v>4225</v>
      </c>
      <c r="BV21" s="342" t="n">
        <f aca="false">$BO:$BO*$P:$P</f>
        <v>120096.052631579</v>
      </c>
      <c r="BW21" s="344" t="n">
        <f aca="false">ROUND($BO:$BO/1976,2)</f>
        <v>67.93</v>
      </c>
      <c r="BX21" s="316"/>
      <c r="BY21" s="342" t="n">
        <f aca="false">$BQ:$BQ+$BX:$BX</f>
        <v>148990</v>
      </c>
      <c r="BZ21" s="345" t="s">
        <v>294</v>
      </c>
      <c r="CA21" s="316"/>
      <c r="CB21" s="316"/>
      <c r="CC21" s="324" t="str">
        <f aca="false">CONCATENATE(CD21,"",CE21)</f>
        <v/>
      </c>
      <c r="CD21" s="319"/>
      <c r="CE21" s="319"/>
      <c r="CF21" s="322" t="str">
        <f aca="false">IFERROR(INDEX('[4]Lookup_Rem Ranges'!$D$1:$D$1048576,MATCH($CC:$CC,'[4]Lookup_Rem Ranges'!$C$1:$C$1048576,0)),"")</f>
        <v/>
      </c>
      <c r="CG21" s="346"/>
      <c r="CH21" s="346"/>
      <c r="CI21" s="347"/>
      <c r="CJ21" s="348"/>
      <c r="CK21" s="342" t="n">
        <f aca="false">IFERROR(ROUND($CI:$CI*$CJ:$CJ,0),0)</f>
        <v>0</v>
      </c>
      <c r="CL21" s="342" t="n">
        <f aca="false">$CI:$CI+$CK:$CK</f>
        <v>0</v>
      </c>
      <c r="CM21" s="349"/>
      <c r="CN21" s="350" t="n">
        <f aca="false">IF(SUM($CL:$CL&lt;249080),SUM(ROUND($CL:$CL*11%,0)),27398.8)</f>
        <v>0</v>
      </c>
      <c r="CO21" s="350" t="s">
        <v>324</v>
      </c>
      <c r="CP21" s="351" t="n">
        <f aca="false">IF(BA21="Yes",3.25%,0)</f>
        <v>0.0325</v>
      </c>
      <c r="CQ21" s="352" t="n">
        <f aca="false">ROUND(AR21*CP21,0)</f>
        <v>4225</v>
      </c>
      <c r="CR21" s="353" t="n">
        <f aca="false">IF($AW:$AW&lt;3.25%,$AW:$AW,3.25%)</f>
        <v>0</v>
      </c>
      <c r="CS21" s="354" t="n">
        <f aca="false">ROUND($AR:$AR*$CR:$CR,0)</f>
        <v>0</v>
      </c>
      <c r="CT21" s="353" t="n">
        <f aca="false">IF($AW:$AW&gt;=3.25%,$AW:$AW-$CR:$CR,0)</f>
        <v>0</v>
      </c>
      <c r="CU21" s="354" t="n">
        <f aca="false">ROUND($AR:$AR*$CT:$CT,0)</f>
        <v>0</v>
      </c>
      <c r="CV21" s="353" t="n">
        <f aca="false">IF($CR:$CR=3.25%,0,IF($BC:$BC&lt;3.25%,$BC:$BC,IF($BC:$BC&gt;3.25%,3.25%-$CR:$CR,0)))</f>
        <v>0</v>
      </c>
      <c r="CW21" s="354" t="n">
        <f aca="false">IFERROR(ROUND($AY:$AY*$CV:$CV,0),0)</f>
        <v>0</v>
      </c>
      <c r="CX21" s="353" t="n">
        <f aca="false">IF($CV:$CV=0,$BC:$BC,BC:BC-$CV:$CV)</f>
        <v>0</v>
      </c>
      <c r="CY21" s="354" t="n">
        <f aca="false">IFERROR(ROUND($AY:$AY*$CX:$CX,0),0)</f>
        <v>0</v>
      </c>
      <c r="CZ21" s="353" t="n">
        <f aca="false">$CR:$CR+$CT:CT+$CV:$CV+$CX:$CX</f>
        <v>0</v>
      </c>
      <c r="DA21" s="353" t="n">
        <f aca="false">(SUM($AW:$AW+$BC:$BC)-$CZ:$CZ)</f>
        <v>0</v>
      </c>
      <c r="DB21" s="353"/>
      <c r="DC21" s="353" t="n">
        <f aca="false">$BE:$BE</f>
        <v>0.0325</v>
      </c>
      <c r="DD21" s="354" t="n">
        <f aca="false">$BF:$BF</f>
        <v>4225</v>
      </c>
      <c r="DE21" s="355" t="n">
        <f aca="false">$BI:$BI</f>
        <v>0</v>
      </c>
      <c r="DF21" s="354" t="n">
        <f aca="false">$BJ:$BJ</f>
        <v>0</v>
      </c>
      <c r="DG21" s="355" t="n">
        <f aca="false">$BG:$BG</f>
        <v>0</v>
      </c>
      <c r="DH21" s="354" t="n">
        <f aca="false">IFERROR(ROUND($AP:$AP*$DG:$DG,0),0)</f>
        <v>0</v>
      </c>
      <c r="DI21" s="353" t="n">
        <f aca="false">$CR:$CR+$CV:$CV+$DC:$DC+$DE:$DE+$DG:$DG</f>
        <v>0.0325</v>
      </c>
      <c r="DJ21" s="354" t="n">
        <f aca="false">$CS:$CS+$CW:$CW+$DD:$DD+$DF:$DF+$DH:$DH</f>
        <v>4225</v>
      </c>
      <c r="DK21" s="353" t="n">
        <f aca="false">$CT:$CT+$CX:$CX</f>
        <v>0</v>
      </c>
      <c r="DL21" s="354" t="n">
        <f aca="false">$CU:$CU+$CY:$CY</f>
        <v>0</v>
      </c>
      <c r="DM21" s="356"/>
      <c r="DN21" s="357"/>
      <c r="DO21" s="357"/>
      <c r="DP21" s="357"/>
      <c r="DQ21" s="357"/>
      <c r="DR21" s="357"/>
      <c r="DS21" s="357"/>
      <c r="DT21" s="357"/>
      <c r="DU21" s="357"/>
      <c r="DV21" s="357"/>
      <c r="DW21" s="357" t="s">
        <v>296</v>
      </c>
      <c r="DX21" s="358"/>
      <c r="DY21" s="358"/>
      <c r="DZ21" s="358"/>
      <c r="EA21" s="358"/>
      <c r="EB21" s="358"/>
      <c r="EC21" s="358"/>
      <c r="ED21" s="358"/>
      <c r="EE21" s="358"/>
      <c r="EF21" s="358"/>
      <c r="EG21" s="358"/>
      <c r="EH21" s="358"/>
      <c r="EI21" s="358"/>
      <c r="EJ21" s="358"/>
      <c r="EK21" s="358"/>
      <c r="EL21" s="358"/>
      <c r="EM21" s="358"/>
      <c r="EN21" s="358"/>
      <c r="EO21" s="358"/>
      <c r="EP21" s="358"/>
      <c r="EQ21" s="358"/>
      <c r="ER21" s="358"/>
      <c r="ES21" s="358"/>
      <c r="ET21" s="358"/>
      <c r="EU21" s="358"/>
      <c r="EV21" s="358"/>
      <c r="EW21" s="358"/>
      <c r="EX21" s="358"/>
      <c r="EY21" s="358"/>
      <c r="EZ21" s="358"/>
      <c r="FA21" s="358"/>
      <c r="FB21" s="358"/>
      <c r="FC21" s="358"/>
      <c r="FD21" s="358"/>
      <c r="FE21" s="358"/>
      <c r="FF21" s="358"/>
      <c r="FG21" s="358"/>
      <c r="FH21" s="358"/>
      <c r="FI21" s="358"/>
      <c r="FJ21" s="358"/>
      <c r="FK21" s="358"/>
      <c r="FL21" s="358"/>
      <c r="FM21" s="358"/>
      <c r="FN21" s="358"/>
      <c r="FO21" s="358"/>
      <c r="FP21" s="358"/>
      <c r="FQ21" s="358"/>
      <c r="FR21" s="358"/>
      <c r="FS21" s="358"/>
      <c r="FT21" s="359"/>
    </row>
    <row r="22" s="314" customFormat="true" ht="33.75" hidden="false" customHeight="false" outlineLevel="0" collapsed="false">
      <c r="B22" s="315" t="s">
        <v>273</v>
      </c>
      <c r="C22" s="315" t="s">
        <v>333</v>
      </c>
      <c r="D22" s="315" t="n">
        <v>21991</v>
      </c>
      <c r="E22" s="316" t="s">
        <v>334</v>
      </c>
      <c r="F22" s="316" t="s">
        <v>335</v>
      </c>
      <c r="G22" s="316" t="s">
        <v>300</v>
      </c>
      <c r="H22" s="317" t="s">
        <v>336</v>
      </c>
      <c r="I22" s="316" t="s">
        <v>337</v>
      </c>
      <c r="J22" s="316" t="s">
        <v>338</v>
      </c>
      <c r="K22" s="318" t="n">
        <v>45047</v>
      </c>
      <c r="L22" s="318"/>
      <c r="M22" s="318" t="n">
        <v>45047</v>
      </c>
      <c r="N22" s="319" t="s">
        <v>281</v>
      </c>
      <c r="O22" s="319" t="n">
        <v>38</v>
      </c>
      <c r="P22" s="320" t="n">
        <f aca="false">$O:$O/38</f>
        <v>1</v>
      </c>
      <c r="Q22" s="316" t="s">
        <v>282</v>
      </c>
      <c r="R22" s="316" t="n">
        <v>14463</v>
      </c>
      <c r="S22" s="316" t="s">
        <v>283</v>
      </c>
      <c r="T22" s="316" t="s">
        <v>284</v>
      </c>
      <c r="U22" s="316" t="s">
        <v>285</v>
      </c>
      <c r="V22" s="317" t="s">
        <v>58</v>
      </c>
      <c r="W22" s="317" t="s">
        <v>59</v>
      </c>
      <c r="X22" s="317" t="s">
        <v>286</v>
      </c>
      <c r="Y22" s="321" t="s">
        <v>287</v>
      </c>
      <c r="Z22" s="317" t="s">
        <v>286</v>
      </c>
      <c r="AA22" s="317" t="s">
        <v>288</v>
      </c>
      <c r="AB22" s="321" t="s">
        <v>287</v>
      </c>
      <c r="AC22" s="317" t="s">
        <v>289</v>
      </c>
      <c r="AD22" s="321" t="s">
        <v>290</v>
      </c>
      <c r="AE22" s="322" t="n">
        <f aca="false">IFERROR(INDEX('[3]Lookup_Rem Ranges'!$D$1:$D$1048576,MATCH($AL:$AL,'[3]Lookup_Rem Ranges'!$C$1:$C$1048576,0)),0)</f>
        <v>213500</v>
      </c>
      <c r="AF22" s="322" t="n">
        <f aca="false">IFERROR(INDEX('[3]Lookup_Rem Ranges'!$E$1:$E$1048576,MATCH($AL:$AL,'[3]Lookup_Rem Ranges'!$C$1:$C$1048576,0)),0)</f>
        <v>251200</v>
      </c>
      <c r="AG22" s="322" t="n">
        <f aca="false">IFERROR(INDEX('[3]Lookup_Rem Ranges'!$F$1:$F$1048576,MATCH($AL:$AL,'[3]Lookup_Rem Ranges'!$C$1:$C$1048576,0)),)</f>
        <v>288900</v>
      </c>
      <c r="AH22" s="317" t="s">
        <v>291</v>
      </c>
      <c r="AI22" s="319"/>
      <c r="AJ22" s="323" t="n">
        <v>0</v>
      </c>
      <c r="AK22" s="316"/>
      <c r="AL22" s="324" t="str">
        <f aca="false">CONCATENATE(AM22,"",AN22)</f>
        <v>CASS9</v>
      </c>
      <c r="AM22" s="324" t="s">
        <v>292</v>
      </c>
      <c r="AN22" s="319" t="n">
        <v>9</v>
      </c>
      <c r="AO22" s="316"/>
      <c r="AP22" s="325" t="n">
        <v>215000</v>
      </c>
      <c r="AQ22" s="322" t="n">
        <f aca="false">ROUND(IF($P:$P&gt;1,$AP:$AP*1,$AP:$AP*$P:$P),0)</f>
        <v>215000</v>
      </c>
      <c r="AR22" s="322" t="n">
        <f aca="false">IF(BA22="Yes",AP22,0)</f>
        <v>215000</v>
      </c>
      <c r="AS22" s="326" t="s">
        <v>339</v>
      </c>
      <c r="AT22" s="326" t="n">
        <v>0</v>
      </c>
      <c r="AU22" s="327"/>
      <c r="AV22" s="322"/>
      <c r="AW22" s="328" t="n">
        <v>0</v>
      </c>
      <c r="AX22" s="322" t="n">
        <v>0</v>
      </c>
      <c r="AY22" s="322" t="n">
        <v>215000</v>
      </c>
      <c r="AZ22" s="329" t="n">
        <f aca="false">IFERROR(($AY:$AY+$AJ:$AJ+$AK:$AK)/$AF:$AF,0)</f>
        <v>0.855891719745223</v>
      </c>
      <c r="BA22" s="330" t="s">
        <v>293</v>
      </c>
      <c r="BB22" s="331" t="n">
        <v>3</v>
      </c>
      <c r="BC22" s="326" t="n">
        <f aca="false">IFERROR($BD:$BD/$AY:$AY,0)</f>
        <v>0</v>
      </c>
      <c r="BD22" s="332" t="n">
        <f aca="false">ROUND(IF($AY:$AY&lt;$AE:$AE,$AE:$AE-$AY:$AY,0),0)</f>
        <v>0</v>
      </c>
      <c r="BE22" s="333" t="n">
        <v>0.0325</v>
      </c>
      <c r="BF22" s="334" t="n">
        <f aca="false">ROUND($AR:$AR*$BE:$BE,0)</f>
        <v>6988</v>
      </c>
      <c r="BG22" s="335" t="n">
        <v>0</v>
      </c>
      <c r="BH22" s="336" t="n">
        <f aca="false">ROUND($AR:$AR*$BG:$BG,0)</f>
        <v>0</v>
      </c>
      <c r="BI22" s="333" t="n">
        <v>0</v>
      </c>
      <c r="BJ22" s="334" t="n">
        <f aca="false">ROUND($AR:$AR*$BI:$BI,0)</f>
        <v>0</v>
      </c>
      <c r="BK22" s="334" t="n">
        <f aca="false">ROUND(IF($P:$P&gt;1,$BJ:$BJ*1,$BJ:$BJ*$P:$P),0)</f>
        <v>0</v>
      </c>
      <c r="BL22" s="337"/>
      <c r="BM22" s="338" t="n">
        <f aca="false">$BC:$BC+$BE:$BE+$BG:$BG</f>
        <v>0.0325</v>
      </c>
      <c r="BN22" s="339" t="n">
        <f aca="false">$BD:$BD+$BF:$BF+$BH:$BH</f>
        <v>6988</v>
      </c>
      <c r="BO22" s="340" t="n">
        <f aca="false">IFERROR(ROUND($AY:$AY+$BN:$BN,0),0)</f>
        <v>221988</v>
      </c>
      <c r="BP22" s="341" t="n">
        <f aca="false">ROUND(IF(SUM($BO:$BO&lt;249080),SUM(ROUND($BO:$BO*11%,0)),27398.8),0)</f>
        <v>24419</v>
      </c>
      <c r="BQ22" s="342" t="n">
        <f aca="false">$BO:$BO+$BP:$BP</f>
        <v>246407</v>
      </c>
      <c r="BR22" s="329" t="n">
        <f aca="false">IFERROR(($BO:$BO+$AJ:$AJ+$AK:$AK)/$AF:$AF,0)</f>
        <v>0.883710191082803</v>
      </c>
      <c r="BS22" s="343" t="n">
        <f aca="false">IF($N:$N="CASUAL","TBC",ROUND($BN:$BN/(NETWORKDAYS("01/07/2023","30/06/2024"))*NETWORKDAYS("10/07/2023","04/09/2023"),0)*$P:$P)</f>
        <v>1102</v>
      </c>
      <c r="BT22" s="326" t="n">
        <f aca="false">$BM22+$BI22</f>
        <v>0.0325</v>
      </c>
      <c r="BU22" s="332" t="n">
        <f aca="false">$BN:$BN+$BJ:$BJ</f>
        <v>6988</v>
      </c>
      <c r="BV22" s="342" t="n">
        <f aca="false">$BO:$BO*$P:$P</f>
        <v>221988</v>
      </c>
      <c r="BW22" s="344" t="n">
        <f aca="false">ROUND($BO:$BO/1976,2)</f>
        <v>112.34</v>
      </c>
      <c r="BX22" s="316"/>
      <c r="BY22" s="342" t="n">
        <f aca="false">$BQ:$BQ+$BX:$BX</f>
        <v>246407</v>
      </c>
      <c r="BZ22" s="345" t="s">
        <v>294</v>
      </c>
      <c r="CA22" s="316"/>
      <c r="CB22" s="316"/>
      <c r="CC22" s="324" t="str">
        <f aca="false">CONCATENATE(CD22,"",CE22)</f>
        <v/>
      </c>
      <c r="CD22" s="319"/>
      <c r="CE22" s="319"/>
      <c r="CF22" s="322" t="str">
        <f aca="false">IFERROR(INDEX('[4]Lookup_Rem Ranges'!$D$1:$D$1048576,MATCH($CC:$CC,'[4]Lookup_Rem Ranges'!$C$1:$C$1048576,0)),"")</f>
        <v/>
      </c>
      <c r="CG22" s="346"/>
      <c r="CH22" s="346"/>
      <c r="CI22" s="347"/>
      <c r="CJ22" s="348"/>
      <c r="CK22" s="342" t="n">
        <f aca="false">IFERROR(ROUND($CI:$CI*$CJ:$CJ,0),0)</f>
        <v>0</v>
      </c>
      <c r="CL22" s="342" t="n">
        <f aca="false">$CI:$CI+$CK:$CK</f>
        <v>0</v>
      </c>
      <c r="CM22" s="349"/>
      <c r="CN22" s="350" t="n">
        <f aca="false">IF(SUM($CL:$CL&lt;249080),SUM(ROUND($CL:$CL*11%,0)),27398.8)</f>
        <v>0</v>
      </c>
      <c r="CO22" s="350" t="s">
        <v>324</v>
      </c>
      <c r="CP22" s="351" t="n">
        <f aca="false">IF(BA22="Yes",3.25%,0)</f>
        <v>0.0325</v>
      </c>
      <c r="CQ22" s="352" t="n">
        <f aca="false">ROUND(AR22*CP22,0)</f>
        <v>6988</v>
      </c>
      <c r="CR22" s="353" t="n">
        <f aca="false">IF($AW:$AW&lt;3.25%,$AW:$AW,3.25%)</f>
        <v>0</v>
      </c>
      <c r="CS22" s="354" t="n">
        <f aca="false">ROUND($AR:$AR*$CR:$CR,0)</f>
        <v>0</v>
      </c>
      <c r="CT22" s="353" t="n">
        <f aca="false">IF($AW:$AW&gt;=3.25%,$AW:$AW-$CR:$CR,0)</f>
        <v>0</v>
      </c>
      <c r="CU22" s="354" t="n">
        <f aca="false">ROUND($AR:$AR*$CT:$CT,0)</f>
        <v>0</v>
      </c>
      <c r="CV22" s="353" t="n">
        <f aca="false">IF($CR:$CR=3.25%,0,IF($BC:$BC&lt;3.25%,$BC:$BC,IF($BC:$BC&gt;3.25%,3.25%-$CR:$CR,0)))</f>
        <v>0</v>
      </c>
      <c r="CW22" s="354" t="n">
        <f aca="false">IFERROR(ROUND($AY:$AY*$CV:$CV,0),0)</f>
        <v>0</v>
      </c>
      <c r="CX22" s="353" t="n">
        <f aca="false">IF($CV:$CV=0,$BC:$BC,BC:BC-$CV:$CV)</f>
        <v>0</v>
      </c>
      <c r="CY22" s="354" t="n">
        <f aca="false">IFERROR(ROUND($AY:$AY*$CX:$CX,0),0)</f>
        <v>0</v>
      </c>
      <c r="CZ22" s="353" t="n">
        <f aca="false">$CR:$CR+$CT:CT+$CV:$CV+$CX:$CX</f>
        <v>0</v>
      </c>
      <c r="DA22" s="353" t="n">
        <f aca="false">(SUM($AW:$AW+$BC:$BC)-$CZ:$CZ)</f>
        <v>0</v>
      </c>
      <c r="DB22" s="353"/>
      <c r="DC22" s="353" t="n">
        <f aca="false">$BE:$BE</f>
        <v>0.0325</v>
      </c>
      <c r="DD22" s="354" t="n">
        <f aca="false">$BF:$BF</f>
        <v>6988</v>
      </c>
      <c r="DE22" s="355" t="n">
        <f aca="false">$BI:$BI</f>
        <v>0</v>
      </c>
      <c r="DF22" s="354" t="n">
        <f aca="false">$BJ:$BJ</f>
        <v>0</v>
      </c>
      <c r="DG22" s="355" t="n">
        <f aca="false">$BG:$BG</f>
        <v>0</v>
      </c>
      <c r="DH22" s="354" t="n">
        <f aca="false">IFERROR(ROUND($AP:$AP*$DG:$DG,0),0)</f>
        <v>0</v>
      </c>
      <c r="DI22" s="353" t="n">
        <f aca="false">$CR:$CR+$CV:$CV+$DC:$DC+$DE:$DE+$DG:$DG</f>
        <v>0.0325</v>
      </c>
      <c r="DJ22" s="354" t="n">
        <f aca="false">$CS:$CS+$CW:$CW+$DD:$DD+$DF:$DF+$DH:$DH</f>
        <v>6988</v>
      </c>
      <c r="DK22" s="353" t="n">
        <f aca="false">$CT:$CT+$CX:$CX</f>
        <v>0</v>
      </c>
      <c r="DL22" s="354" t="n">
        <f aca="false">$CU:$CU+$CY:$CY</f>
        <v>0</v>
      </c>
      <c r="DM22" s="356"/>
      <c r="DN22" s="357"/>
      <c r="DO22" s="357"/>
      <c r="DP22" s="357"/>
      <c r="DQ22" s="357"/>
      <c r="DR22" s="357"/>
      <c r="DS22" s="357"/>
      <c r="DT22" s="357"/>
      <c r="DU22" s="357"/>
      <c r="DV22" s="357"/>
      <c r="DW22" s="357" t="s">
        <v>296</v>
      </c>
      <c r="DX22" s="358"/>
      <c r="DY22" s="358"/>
      <c r="DZ22" s="358"/>
      <c r="EA22" s="358"/>
      <c r="EB22" s="358"/>
      <c r="EC22" s="358"/>
      <c r="ED22" s="358"/>
      <c r="EE22" s="358"/>
      <c r="EF22" s="358"/>
      <c r="EG22" s="358"/>
      <c r="EH22" s="358"/>
      <c r="EI22" s="358"/>
      <c r="EJ22" s="358"/>
      <c r="EK22" s="358"/>
      <c r="EL22" s="358"/>
      <c r="EM22" s="358"/>
      <c r="EN22" s="358"/>
      <c r="EO22" s="358"/>
      <c r="EP22" s="358"/>
      <c r="EQ22" s="358"/>
      <c r="ER22" s="358"/>
      <c r="ES22" s="358"/>
      <c r="ET22" s="358"/>
      <c r="EU22" s="358"/>
      <c r="EV22" s="358"/>
      <c r="EW22" s="358"/>
      <c r="EX22" s="358"/>
      <c r="EY22" s="358"/>
      <c r="EZ22" s="358"/>
      <c r="FA22" s="358"/>
      <c r="FB22" s="358"/>
      <c r="FC22" s="358"/>
      <c r="FD22" s="358"/>
      <c r="FE22" s="358"/>
      <c r="FF22" s="358"/>
      <c r="FG22" s="358"/>
      <c r="FH22" s="358"/>
      <c r="FI22" s="358"/>
      <c r="FJ22" s="358"/>
      <c r="FK22" s="358"/>
      <c r="FL22" s="358"/>
      <c r="FM22" s="358"/>
      <c r="FN22" s="358"/>
      <c r="FO22" s="358"/>
      <c r="FP22" s="358"/>
      <c r="FQ22" s="358"/>
      <c r="FR22" s="358"/>
      <c r="FS22" s="358"/>
      <c r="FT22" s="359"/>
    </row>
    <row r="23" s="314" customFormat="true" ht="33.75" hidden="false" customHeight="false" outlineLevel="0" collapsed="false">
      <c r="B23" s="315" t="s">
        <v>273</v>
      </c>
      <c r="C23" s="315" t="s">
        <v>340</v>
      </c>
      <c r="D23" s="315" t="n">
        <v>20741</v>
      </c>
      <c r="E23" s="316" t="s">
        <v>341</v>
      </c>
      <c r="F23" s="316" t="s">
        <v>342</v>
      </c>
      <c r="G23" s="316" t="s">
        <v>277</v>
      </c>
      <c r="H23" s="317" t="s">
        <v>343</v>
      </c>
      <c r="I23" s="316" t="s">
        <v>344</v>
      </c>
      <c r="J23" s="316" t="s">
        <v>345</v>
      </c>
      <c r="K23" s="318" t="n">
        <v>42373</v>
      </c>
      <c r="L23" s="318"/>
      <c r="M23" s="318" t="n">
        <v>44627</v>
      </c>
      <c r="N23" s="319" t="s">
        <v>281</v>
      </c>
      <c r="O23" s="319" t="n">
        <v>38</v>
      </c>
      <c r="P23" s="320" t="n">
        <f aca="false">$O:$O/38</f>
        <v>1</v>
      </c>
      <c r="Q23" s="316" t="s">
        <v>304</v>
      </c>
      <c r="R23" s="316" t="n">
        <v>14463</v>
      </c>
      <c r="S23" s="316" t="s">
        <v>283</v>
      </c>
      <c r="T23" s="316" t="s">
        <v>284</v>
      </c>
      <c r="U23" s="316" t="s">
        <v>285</v>
      </c>
      <c r="V23" s="317" t="s">
        <v>58</v>
      </c>
      <c r="W23" s="317" t="s">
        <v>59</v>
      </c>
      <c r="X23" s="317" t="s">
        <v>286</v>
      </c>
      <c r="Y23" s="321" t="s">
        <v>287</v>
      </c>
      <c r="Z23" s="317" t="s">
        <v>286</v>
      </c>
      <c r="AA23" s="317" t="s">
        <v>288</v>
      </c>
      <c r="AB23" s="321" t="s">
        <v>287</v>
      </c>
      <c r="AC23" s="317" t="s">
        <v>289</v>
      </c>
      <c r="AD23" s="321" t="s">
        <v>290</v>
      </c>
      <c r="AE23" s="322" t="n">
        <f aca="false">IFERROR(INDEX('[3]Lookup_Rem Ranges'!$D$1:$D$1048576,MATCH($AL:$AL,'[3]Lookup_Rem Ranges'!$C$1:$C$1048576,0)),0)</f>
        <v>147100</v>
      </c>
      <c r="AF23" s="322" t="n">
        <f aca="false">IFERROR(INDEX('[3]Lookup_Rem Ranges'!$E$1:$E$1048576,MATCH($AL:$AL,'[3]Lookup_Rem Ranges'!$C$1:$C$1048576,0)),0)</f>
        <v>173100</v>
      </c>
      <c r="AG23" s="322" t="n">
        <f aca="false">IFERROR(INDEX('[3]Lookup_Rem Ranges'!$F$1:$F$1048576,MATCH($AL:$AL,'[3]Lookup_Rem Ranges'!$C$1:$C$1048576,0)),)</f>
        <v>199100</v>
      </c>
      <c r="AH23" s="317" t="s">
        <v>291</v>
      </c>
      <c r="AI23" s="319"/>
      <c r="AJ23" s="323" t="n">
        <v>0</v>
      </c>
      <c r="AK23" s="316"/>
      <c r="AL23" s="324" t="str">
        <f aca="false">CONCATENATE(AM23,"",AN23)</f>
        <v>GI7</v>
      </c>
      <c r="AM23" s="324" t="s">
        <v>312</v>
      </c>
      <c r="AN23" s="319" t="n">
        <v>7</v>
      </c>
      <c r="AO23" s="316"/>
      <c r="AP23" s="325" t="n">
        <v>166700</v>
      </c>
      <c r="AQ23" s="322" t="n">
        <f aca="false">ROUND(IF($P:$P&gt;1,$AP:$AP*1,$AP:$AP*$P:$P),0)</f>
        <v>166700</v>
      </c>
      <c r="AR23" s="322" t="n">
        <f aca="false">IF(BA23="Yes",AP23,0)</f>
        <v>166700</v>
      </c>
      <c r="AS23" s="326" t="n">
        <v>0.0354037267080745</v>
      </c>
      <c r="AT23" s="326" t="n">
        <v>0</v>
      </c>
      <c r="AU23" s="327"/>
      <c r="AV23" s="322"/>
      <c r="AW23" s="328" t="n">
        <v>0</v>
      </c>
      <c r="AX23" s="322" t="n">
        <v>0</v>
      </c>
      <c r="AY23" s="322" t="n">
        <v>166700</v>
      </c>
      <c r="AZ23" s="329" t="n">
        <f aca="false">IFERROR(($AY:$AY+$AJ:$AJ+$AK:$AK)/$AF:$AF,0)</f>
        <v>0.963027151935298</v>
      </c>
      <c r="BA23" s="330" t="s">
        <v>293</v>
      </c>
      <c r="BB23" s="331" t="n">
        <v>3</v>
      </c>
      <c r="BC23" s="326" t="n">
        <f aca="false">IFERROR($BD:$BD/$AY:$AY,0)</f>
        <v>0</v>
      </c>
      <c r="BD23" s="332" t="n">
        <f aca="false">ROUND(IF($AY:$AY&lt;$AE:$AE,$AE:$AE-$AY:$AY,0),0)</f>
        <v>0</v>
      </c>
      <c r="BE23" s="333" t="n">
        <v>0.0325</v>
      </c>
      <c r="BF23" s="334" t="n">
        <f aca="false">ROUND($AR:$AR*$BE:$BE,0)</f>
        <v>5418</v>
      </c>
      <c r="BG23" s="335" t="n">
        <v>0</v>
      </c>
      <c r="BH23" s="336" t="n">
        <f aca="false">ROUND($AR:$AR*$BG:$BG,0)</f>
        <v>0</v>
      </c>
      <c r="BI23" s="333" t="n">
        <v>0</v>
      </c>
      <c r="BJ23" s="334" t="n">
        <f aca="false">ROUND($AR:$AR*$BI:$BI,0)</f>
        <v>0</v>
      </c>
      <c r="BK23" s="334" t="n">
        <f aca="false">ROUND(IF($P:$P&gt;1,$BJ:$BJ*1,$BJ:$BJ*$P:$P),0)</f>
        <v>0</v>
      </c>
      <c r="BL23" s="337"/>
      <c r="BM23" s="338" t="n">
        <f aca="false">$BC:$BC+$BE:$BE+$BG:$BG</f>
        <v>0.0325</v>
      </c>
      <c r="BN23" s="339" t="n">
        <f aca="false">$BD:$BD+$BF:$BF+$BH:$BH</f>
        <v>5418</v>
      </c>
      <c r="BO23" s="340" t="n">
        <f aca="false">IFERROR(ROUND($AY:$AY+$BN:$BN,0),0)</f>
        <v>172118</v>
      </c>
      <c r="BP23" s="341" t="n">
        <f aca="false">ROUND(IF(SUM($BO:$BO&lt;249080),SUM(ROUND($BO:$BO*11%,0)),27398.8),0)</f>
        <v>18933</v>
      </c>
      <c r="BQ23" s="342" t="n">
        <f aca="false">$BO:$BO+$BP:$BP</f>
        <v>191051</v>
      </c>
      <c r="BR23" s="329" t="n">
        <f aca="false">IFERROR(($BO:$BO+$AJ:$AJ+$AK:$AK)/$AF:$AF,0)</f>
        <v>0.994326978625072</v>
      </c>
      <c r="BS23" s="343" t="n">
        <f aca="false">IF($N:$N="CASUAL","TBC",ROUND($BN:$BN/(NETWORKDAYS("01/07/2023","30/06/2024"))*NETWORKDAYS("10/07/2023","04/09/2023"),0)*$P:$P)</f>
        <v>854</v>
      </c>
      <c r="BT23" s="326" t="n">
        <f aca="false">$BM23+$BI23</f>
        <v>0.0325</v>
      </c>
      <c r="BU23" s="332" t="n">
        <f aca="false">$BN:$BN+$BJ:$BJ</f>
        <v>5418</v>
      </c>
      <c r="BV23" s="342" t="n">
        <f aca="false">$BO:$BO*$P:$P</f>
        <v>172118</v>
      </c>
      <c r="BW23" s="344" t="n">
        <f aca="false">ROUND($BO:$BO/1976,2)</f>
        <v>87.1</v>
      </c>
      <c r="BX23" s="316"/>
      <c r="BY23" s="342" t="n">
        <f aca="false">$BQ:$BQ+$BX:$BX</f>
        <v>191051</v>
      </c>
      <c r="BZ23" s="345" t="s">
        <v>294</v>
      </c>
      <c r="CA23" s="316"/>
      <c r="CB23" s="316"/>
      <c r="CC23" s="324" t="str">
        <f aca="false">CONCATENATE(CD23,"",CE23)</f>
        <v/>
      </c>
      <c r="CD23" s="319"/>
      <c r="CE23" s="319"/>
      <c r="CF23" s="322" t="str">
        <f aca="false">IFERROR(INDEX('[4]Lookup_Rem Ranges'!$D$1:$D$1048576,MATCH($CC:$CC,'[4]Lookup_Rem Ranges'!$C$1:$C$1048576,0)),"")</f>
        <v/>
      </c>
      <c r="CG23" s="346"/>
      <c r="CH23" s="346"/>
      <c r="CI23" s="347"/>
      <c r="CJ23" s="348"/>
      <c r="CK23" s="342" t="n">
        <f aca="false">IFERROR(ROUND($CI:$CI*$CJ:$CJ,0),0)</f>
        <v>0</v>
      </c>
      <c r="CL23" s="342" t="n">
        <f aca="false">$CI:$CI+$CK:$CK</f>
        <v>0</v>
      </c>
      <c r="CM23" s="349"/>
      <c r="CN23" s="350" t="n">
        <f aca="false">IF(SUM($CL:$CL&lt;249080),SUM(ROUND($CL:$CL*11%,0)),27398.8)</f>
        <v>0</v>
      </c>
      <c r="CO23" s="350" t="s">
        <v>324</v>
      </c>
      <c r="CP23" s="351" t="n">
        <f aca="false">IF(BA23="Yes",3.25%,0)</f>
        <v>0.0325</v>
      </c>
      <c r="CQ23" s="352" t="n">
        <f aca="false">ROUND(AR23*CP23,0)</f>
        <v>5418</v>
      </c>
      <c r="CR23" s="353" t="n">
        <f aca="false">IF($AW:$AW&lt;3.25%,$AW:$AW,3.25%)</f>
        <v>0</v>
      </c>
      <c r="CS23" s="354" t="n">
        <f aca="false">ROUND($AR:$AR*$CR:$CR,0)</f>
        <v>0</v>
      </c>
      <c r="CT23" s="353" t="n">
        <f aca="false">IF($AW:$AW&gt;=3.25%,$AW:$AW-$CR:$CR,0)</f>
        <v>0</v>
      </c>
      <c r="CU23" s="354" t="n">
        <f aca="false">ROUND($AR:$AR*$CT:$CT,0)</f>
        <v>0</v>
      </c>
      <c r="CV23" s="353" t="n">
        <f aca="false">IF($CR:$CR=3.25%,0,IF($BC:$BC&lt;3.25%,$BC:$BC,IF($BC:$BC&gt;3.25%,3.25%-$CR:$CR,0)))</f>
        <v>0</v>
      </c>
      <c r="CW23" s="354" t="n">
        <f aca="false">IFERROR(ROUND($AY:$AY*$CV:$CV,0),0)</f>
        <v>0</v>
      </c>
      <c r="CX23" s="353" t="n">
        <f aca="false">IF($CV:$CV=0,$BC:$BC,BC:BC-$CV:$CV)</f>
        <v>0</v>
      </c>
      <c r="CY23" s="354" t="n">
        <f aca="false">IFERROR(ROUND($AY:$AY*$CX:$CX,0),0)</f>
        <v>0</v>
      </c>
      <c r="CZ23" s="353" t="n">
        <f aca="false">$CR:$CR+$CT:CT+$CV:$CV+$CX:$CX</f>
        <v>0</v>
      </c>
      <c r="DA23" s="353" t="n">
        <f aca="false">(SUM($AW:$AW+$BC:$BC)-$CZ:$CZ)</f>
        <v>0</v>
      </c>
      <c r="DB23" s="353"/>
      <c r="DC23" s="353" t="n">
        <f aca="false">$BE:$BE</f>
        <v>0.0325</v>
      </c>
      <c r="DD23" s="354" t="n">
        <f aca="false">$BF:$BF</f>
        <v>5418</v>
      </c>
      <c r="DE23" s="355" t="n">
        <f aca="false">$BI:$BI</f>
        <v>0</v>
      </c>
      <c r="DF23" s="354" t="n">
        <f aca="false">$BJ:$BJ</f>
        <v>0</v>
      </c>
      <c r="DG23" s="355" t="n">
        <f aca="false">$BG:$BG</f>
        <v>0</v>
      </c>
      <c r="DH23" s="354" t="n">
        <f aca="false">IFERROR(ROUND($AP:$AP*$DG:$DG,0),0)</f>
        <v>0</v>
      </c>
      <c r="DI23" s="353" t="n">
        <f aca="false">$CR:$CR+$CV:$CV+$DC:$DC+$DE:$DE+$DG:$DG</f>
        <v>0.0325</v>
      </c>
      <c r="DJ23" s="354" t="n">
        <f aca="false">$CS:$CS+$CW:$CW+$DD:$DD+$DF:$DF+$DH:$DH</f>
        <v>5418</v>
      </c>
      <c r="DK23" s="353" t="n">
        <f aca="false">$CT:$CT+$CX:$CX</f>
        <v>0</v>
      </c>
      <c r="DL23" s="354" t="n">
        <f aca="false">$CU:$CU+$CY:$CY</f>
        <v>0</v>
      </c>
      <c r="DM23" s="356"/>
      <c r="DN23" s="357"/>
      <c r="DO23" s="357"/>
      <c r="DP23" s="357"/>
      <c r="DQ23" s="357"/>
      <c r="DR23" s="357"/>
      <c r="DS23" s="357"/>
      <c r="DT23" s="357"/>
      <c r="DU23" s="357"/>
      <c r="DV23" s="357"/>
      <c r="DW23" s="357" t="s">
        <v>296</v>
      </c>
      <c r="DX23" s="358"/>
      <c r="DY23" s="358"/>
      <c r="DZ23" s="358"/>
      <c r="EA23" s="358"/>
      <c r="EB23" s="358"/>
      <c r="EC23" s="358"/>
      <c r="ED23" s="358"/>
      <c r="EE23" s="358"/>
      <c r="EF23" s="358"/>
      <c r="EG23" s="358"/>
      <c r="EH23" s="358"/>
      <c r="EI23" s="358"/>
      <c r="EJ23" s="358"/>
      <c r="EK23" s="358"/>
      <c r="EL23" s="358"/>
      <c r="EM23" s="358"/>
      <c r="EN23" s="358"/>
      <c r="EO23" s="358"/>
      <c r="EP23" s="358"/>
      <c r="EQ23" s="358"/>
      <c r="ER23" s="358"/>
      <c r="ES23" s="358"/>
      <c r="ET23" s="358"/>
      <c r="EU23" s="358"/>
      <c r="EV23" s="358"/>
      <c r="EW23" s="358"/>
      <c r="EX23" s="358"/>
      <c r="EY23" s="358"/>
      <c r="EZ23" s="358"/>
      <c r="FA23" s="358"/>
      <c r="FB23" s="358"/>
      <c r="FC23" s="358"/>
      <c r="FD23" s="358"/>
      <c r="FE23" s="358"/>
      <c r="FF23" s="358"/>
      <c r="FG23" s="358"/>
      <c r="FH23" s="358"/>
      <c r="FI23" s="358"/>
      <c r="FJ23" s="358"/>
      <c r="FK23" s="358"/>
      <c r="FL23" s="358"/>
      <c r="FM23" s="358"/>
      <c r="FN23" s="358"/>
      <c r="FO23" s="358"/>
      <c r="FP23" s="358"/>
      <c r="FQ23" s="358"/>
      <c r="FR23" s="358"/>
      <c r="FS23" s="358"/>
      <c r="FT23" s="359"/>
    </row>
    <row r="24" s="314" customFormat="true" ht="33.75" hidden="false" customHeight="false" outlineLevel="0" collapsed="false">
      <c r="B24" s="315" t="s">
        <v>273</v>
      </c>
      <c r="C24" s="315" t="s">
        <v>346</v>
      </c>
      <c r="D24" s="315" t="n">
        <v>15882</v>
      </c>
      <c r="E24" s="316" t="s">
        <v>347</v>
      </c>
      <c r="F24" s="316" t="s">
        <v>348</v>
      </c>
      <c r="G24" s="316" t="s">
        <v>300</v>
      </c>
      <c r="H24" s="317" t="s">
        <v>349</v>
      </c>
      <c r="I24" s="316" t="s">
        <v>350</v>
      </c>
      <c r="J24" s="316" t="s">
        <v>351</v>
      </c>
      <c r="K24" s="318" t="n">
        <v>42396</v>
      </c>
      <c r="L24" s="318"/>
      <c r="M24" s="318" t="n">
        <v>44746</v>
      </c>
      <c r="N24" s="319" t="s">
        <v>281</v>
      </c>
      <c r="O24" s="319" t="n">
        <v>38</v>
      </c>
      <c r="P24" s="320" t="n">
        <f aca="false">$O:$O/38</f>
        <v>1</v>
      </c>
      <c r="Q24" s="316" t="s">
        <v>352</v>
      </c>
      <c r="R24" s="316" t="n">
        <v>5120</v>
      </c>
      <c r="S24" s="316" t="s">
        <v>353</v>
      </c>
      <c r="T24" s="316" t="s">
        <v>354</v>
      </c>
      <c r="U24" s="316" t="s">
        <v>355</v>
      </c>
      <c r="V24" s="317" t="s">
        <v>58</v>
      </c>
      <c r="W24" s="317" t="s">
        <v>64</v>
      </c>
      <c r="X24" s="317" t="s">
        <v>286</v>
      </c>
      <c r="Y24" s="321" t="s">
        <v>287</v>
      </c>
      <c r="Z24" s="317" t="s">
        <v>356</v>
      </c>
      <c r="AA24" s="316" t="s">
        <v>311</v>
      </c>
      <c r="AB24" s="321" t="s">
        <v>357</v>
      </c>
      <c r="AC24" s="317" t="s">
        <v>289</v>
      </c>
      <c r="AD24" s="321" t="s">
        <v>290</v>
      </c>
      <c r="AE24" s="322" t="n">
        <f aca="false">IFERROR(INDEX('[3]Lookup_Rem Ranges'!$D$1:$D$1048576,MATCH($AL:$AL,'[3]Lookup_Rem Ranges'!$C$1:$C$1048576,0)),0)</f>
        <v>64900</v>
      </c>
      <c r="AF24" s="322" t="n">
        <f aca="false">IFERROR(INDEX('[3]Lookup_Rem Ranges'!$E$1:$E$1048576,MATCH($AL:$AL,'[3]Lookup_Rem Ranges'!$C$1:$C$1048576,0)),0)</f>
        <v>76300</v>
      </c>
      <c r="AG24" s="322" t="n">
        <f aca="false">IFERROR(INDEX('[3]Lookup_Rem Ranges'!$F$1:$F$1048576,MATCH($AL:$AL,'[3]Lookup_Rem Ranges'!$C$1:$C$1048576,0)),)</f>
        <v>87700</v>
      </c>
      <c r="AH24" s="317" t="s">
        <v>291</v>
      </c>
      <c r="AI24" s="319"/>
      <c r="AJ24" s="323" t="n">
        <v>0</v>
      </c>
      <c r="AK24" s="316"/>
      <c r="AL24" s="324" t="str">
        <f aca="false">CONCATENATE(AM24,"",AN24)</f>
        <v>GI3</v>
      </c>
      <c r="AM24" s="324" t="s">
        <v>312</v>
      </c>
      <c r="AN24" s="319" t="n">
        <v>3</v>
      </c>
      <c r="AO24" s="316" t="s">
        <v>358</v>
      </c>
      <c r="AP24" s="325" t="n">
        <v>67600</v>
      </c>
      <c r="AQ24" s="322" t="n">
        <f aca="false">ROUND(IF($P:$P&gt;1,$AP:$AP*1,$AP:$AP*$P:$P),0)</f>
        <v>67600</v>
      </c>
      <c r="AR24" s="322" t="n">
        <f aca="false">IF(BA24="Yes",AP24,0)</f>
        <v>0</v>
      </c>
      <c r="AS24" s="326" t="n">
        <v>0.015625</v>
      </c>
      <c r="AT24" s="326" t="n">
        <v>0</v>
      </c>
      <c r="AU24" s="327"/>
      <c r="AV24" s="322"/>
      <c r="AW24" s="328" t="n">
        <v>0</v>
      </c>
      <c r="AX24" s="322" t="n">
        <v>0</v>
      </c>
      <c r="AY24" s="322" t="n">
        <v>67600</v>
      </c>
      <c r="AZ24" s="329" t="n">
        <f aca="false">IFERROR(($AY:$AY+$AJ:$AJ+$AK:$AK)/$AF:$AF,0)</f>
        <v>0.885976408912189</v>
      </c>
      <c r="BA24" s="330" t="s">
        <v>294</v>
      </c>
      <c r="BB24" s="331" t="n">
        <v>3</v>
      </c>
      <c r="BC24" s="326" t="n">
        <f aca="false">IFERROR($BD:$BD/$AY:$AY,0)</f>
        <v>0</v>
      </c>
      <c r="BD24" s="332" t="n">
        <f aca="false">ROUND(IF($AY:$AY&lt;$AE:$AE,$AE:$AE-$AY:$AY,0),0)</f>
        <v>0</v>
      </c>
      <c r="BE24" s="333" t="n">
        <v>0</v>
      </c>
      <c r="BF24" s="334" t="n">
        <f aca="false">ROUND($AR:$AR*$BE:$BE,0)</f>
        <v>0</v>
      </c>
      <c r="BG24" s="335" t="n">
        <v>0</v>
      </c>
      <c r="BH24" s="336" t="n">
        <f aca="false">ROUND($AR:$AR*$BG:$BG,0)</f>
        <v>0</v>
      </c>
      <c r="BI24" s="333" t="n">
        <v>0</v>
      </c>
      <c r="BJ24" s="334" t="n">
        <f aca="false">ROUND($AR:$AR*$BI:$BI,0)</f>
        <v>0</v>
      </c>
      <c r="BK24" s="334" t="n">
        <f aca="false">ROUND(IF($P:$P&gt;1,$BJ:$BJ*1,$BJ:$BJ*$P:$P),0)</f>
        <v>0</v>
      </c>
      <c r="BL24" s="337"/>
      <c r="BM24" s="338" t="n">
        <f aca="false">$BC:$BC+$BE:$BE+$BG:$BG</f>
        <v>0</v>
      </c>
      <c r="BN24" s="339" t="n">
        <f aca="false">$BD:$BD+$BF:$BF+$BH:$BH</f>
        <v>0</v>
      </c>
      <c r="BO24" s="340" t="n">
        <f aca="false">IFERROR(ROUND($AY:$AY+$BN:$BN,0),0)</f>
        <v>67600</v>
      </c>
      <c r="BP24" s="341" t="n">
        <f aca="false">ROUND(IF(SUM($BO:$BO&lt;249080),SUM(ROUND($BO:$BO*11%,0)),27398.8),0)</f>
        <v>7436</v>
      </c>
      <c r="BQ24" s="342" t="n">
        <f aca="false">$BO:$BO+$BP:$BP</f>
        <v>75036</v>
      </c>
      <c r="BR24" s="329" t="n">
        <f aca="false">IFERROR(($BO:$BO+$AJ:$AJ+$AK:$AK)/$AF:$AF,0)</f>
        <v>0.885976408912189</v>
      </c>
      <c r="BS24" s="343" t="n">
        <f aca="false">IF($N:$N="CASUAL","TBC",ROUND($BN:$BN/(NETWORKDAYS("01/07/2023","30/06/2024"))*NETWORKDAYS("10/07/2023","04/09/2023"),0)*$P:$P)</f>
        <v>0</v>
      </c>
      <c r="BT24" s="326" t="n">
        <f aca="false">$BM24+$BI24</f>
        <v>0</v>
      </c>
      <c r="BU24" s="332" t="n">
        <f aca="false">$BN:$BN+$BJ:$BJ</f>
        <v>0</v>
      </c>
      <c r="BV24" s="342" t="n">
        <f aca="false">$BO:$BO*$P:$P</f>
        <v>67600</v>
      </c>
      <c r="BW24" s="344" t="n">
        <f aca="false">ROUND($BO:$BO/1976,2)</f>
        <v>34.21</v>
      </c>
      <c r="BX24" s="316"/>
      <c r="BY24" s="342" t="n">
        <f aca="false">$BQ:$BQ+$BX:$BX</f>
        <v>75036</v>
      </c>
      <c r="BZ24" s="345" t="s">
        <v>294</v>
      </c>
      <c r="CA24" s="316"/>
      <c r="CB24" s="316"/>
      <c r="CC24" s="324" t="str">
        <f aca="false">CONCATENATE(CD24,"",CE24)</f>
        <v/>
      </c>
      <c r="CD24" s="319"/>
      <c r="CE24" s="319"/>
      <c r="CF24" s="322" t="str">
        <f aca="false">IFERROR(INDEX('[4]Lookup_Rem Ranges'!$D$1:$D$1048576,MATCH($CC:$CC,'[4]Lookup_Rem Ranges'!$C$1:$C$1048576,0)),"")</f>
        <v/>
      </c>
      <c r="CG24" s="346"/>
      <c r="CH24" s="346"/>
      <c r="CI24" s="347"/>
      <c r="CJ24" s="348"/>
      <c r="CK24" s="342" t="n">
        <f aca="false">IFERROR(ROUND($CI:$CI*$CJ:$CJ,0),0)</f>
        <v>0</v>
      </c>
      <c r="CL24" s="342" t="n">
        <f aca="false">$CI:$CI+$CK:$CK</f>
        <v>0</v>
      </c>
      <c r="CM24" s="349"/>
      <c r="CN24" s="350" t="n">
        <f aca="false">IF(SUM($CL:$CL&lt;249080),SUM(ROUND($CL:$CL*11%,0)),27398.8)</f>
        <v>0</v>
      </c>
      <c r="CO24" s="350" t="s">
        <v>324</v>
      </c>
      <c r="CP24" s="351" t="n">
        <f aca="false">IF(BA24="Yes",3.25%,0)</f>
        <v>0</v>
      </c>
      <c r="CQ24" s="352" t="n">
        <f aca="false">ROUND(AR24*CP24,0)</f>
        <v>0</v>
      </c>
      <c r="CR24" s="353" t="n">
        <f aca="false">IF($AW:$AW&lt;3.25%,$AW:$AW,3.25%)</f>
        <v>0</v>
      </c>
      <c r="CS24" s="354" t="n">
        <f aca="false">ROUND($AR:$AR*$CR:$CR,0)</f>
        <v>0</v>
      </c>
      <c r="CT24" s="353" t="n">
        <f aca="false">IF($AW:$AW&gt;=3.25%,$AW:$AW-$CR:$CR,0)</f>
        <v>0</v>
      </c>
      <c r="CU24" s="354" t="n">
        <f aca="false">ROUND($AR:$AR*$CT:$CT,0)</f>
        <v>0</v>
      </c>
      <c r="CV24" s="353" t="n">
        <f aca="false">IF($CR:$CR=3.25%,0,IF($BC:$BC&lt;3.25%,$BC:$BC,IF($BC:$BC&gt;3.25%,3.25%-$CR:$CR,0)))</f>
        <v>0</v>
      </c>
      <c r="CW24" s="354" t="n">
        <f aca="false">IFERROR(ROUND($AY:$AY*$CV:$CV,0),0)</f>
        <v>0</v>
      </c>
      <c r="CX24" s="353" t="n">
        <f aca="false">IF($CV:$CV=0,$BC:$BC,BC:BC-$CV:$CV)</f>
        <v>0</v>
      </c>
      <c r="CY24" s="354" t="n">
        <f aca="false">IFERROR(ROUND($AY:$AY*$CX:$CX,0),0)</f>
        <v>0</v>
      </c>
      <c r="CZ24" s="353" t="n">
        <f aca="false">$CR:$CR+$CT:CT+$CV:$CV+$CX:$CX</f>
        <v>0</v>
      </c>
      <c r="DA24" s="353" t="n">
        <f aca="false">(SUM($AW:$AW+$BC:$BC)-$CZ:$CZ)</f>
        <v>0</v>
      </c>
      <c r="DB24" s="353"/>
      <c r="DC24" s="353" t="n">
        <f aca="false">$BE:$BE</f>
        <v>0</v>
      </c>
      <c r="DD24" s="354" t="n">
        <f aca="false">$BF:$BF</f>
        <v>0</v>
      </c>
      <c r="DE24" s="355" t="n">
        <f aca="false">$BI:$BI</f>
        <v>0</v>
      </c>
      <c r="DF24" s="354" t="n">
        <f aca="false">$BJ:$BJ</f>
        <v>0</v>
      </c>
      <c r="DG24" s="355" t="n">
        <f aca="false">$BG:$BG</f>
        <v>0</v>
      </c>
      <c r="DH24" s="354" t="n">
        <f aca="false">IFERROR(ROUND($AP:$AP*$DG:$DG,0),0)</f>
        <v>0</v>
      </c>
      <c r="DI24" s="353" t="n">
        <f aca="false">$CR:$CR+$CV:$CV+$DC:$DC+$DE:$DE+$DG:$DG</f>
        <v>0</v>
      </c>
      <c r="DJ24" s="354" t="n">
        <f aca="false">$CS:$CS+$CW:$CW+$DD:$DD+$DF:$DF+$DH:$DH</f>
        <v>0</v>
      </c>
      <c r="DK24" s="353" t="n">
        <f aca="false">$CT:$CT+$CX:$CX</f>
        <v>0</v>
      </c>
      <c r="DL24" s="354" t="n">
        <f aca="false">$CU:$CU+$CY:$CY</f>
        <v>0</v>
      </c>
      <c r="DM24" s="356"/>
      <c r="DN24" s="357"/>
      <c r="DO24" s="357"/>
      <c r="DP24" s="357"/>
      <c r="DQ24" s="357"/>
      <c r="DR24" s="357"/>
      <c r="DS24" s="357"/>
      <c r="DT24" s="357"/>
      <c r="DU24" s="357"/>
      <c r="DV24" s="357"/>
      <c r="DW24" s="357" t="s">
        <v>296</v>
      </c>
      <c r="DX24" s="358"/>
      <c r="DY24" s="358"/>
      <c r="DZ24" s="358"/>
      <c r="EA24" s="358"/>
      <c r="EB24" s="358"/>
      <c r="EC24" s="358"/>
      <c r="ED24" s="358"/>
      <c r="EE24" s="358"/>
      <c r="EF24" s="358"/>
      <c r="EG24" s="358"/>
      <c r="EH24" s="358"/>
      <c r="EI24" s="358"/>
      <c r="EJ24" s="358"/>
      <c r="EK24" s="358"/>
      <c r="EL24" s="358"/>
      <c r="EM24" s="358"/>
      <c r="EN24" s="358"/>
      <c r="EO24" s="358"/>
      <c r="EP24" s="358"/>
      <c r="EQ24" s="358"/>
      <c r="ER24" s="358"/>
      <c r="ES24" s="358"/>
      <c r="ET24" s="358"/>
      <c r="EU24" s="358"/>
      <c r="EV24" s="358"/>
      <c r="EW24" s="358"/>
      <c r="EX24" s="358"/>
      <c r="EY24" s="358"/>
      <c r="EZ24" s="358"/>
      <c r="FA24" s="358"/>
      <c r="FB24" s="358"/>
      <c r="FC24" s="358"/>
      <c r="FD24" s="358"/>
      <c r="FE24" s="358"/>
      <c r="FF24" s="358"/>
      <c r="FG24" s="358"/>
      <c r="FH24" s="358"/>
      <c r="FI24" s="358"/>
      <c r="FJ24" s="358"/>
      <c r="FK24" s="358"/>
      <c r="FL24" s="358"/>
      <c r="FM24" s="358"/>
      <c r="FN24" s="358"/>
      <c r="FO24" s="358"/>
      <c r="FP24" s="358"/>
      <c r="FQ24" s="358"/>
      <c r="FR24" s="358"/>
      <c r="FS24" s="358"/>
      <c r="FT24" s="359"/>
    </row>
    <row r="25" s="314" customFormat="true" ht="36" hidden="false" customHeight="false" outlineLevel="0" collapsed="false">
      <c r="B25" s="315" t="s">
        <v>273</v>
      </c>
      <c r="C25" s="315" t="s">
        <v>359</v>
      </c>
      <c r="D25" s="315" t="n">
        <v>5088</v>
      </c>
      <c r="E25" s="316" t="s">
        <v>360</v>
      </c>
      <c r="F25" s="316" t="s">
        <v>361</v>
      </c>
      <c r="G25" s="316" t="s">
        <v>277</v>
      </c>
      <c r="H25" s="317" t="s">
        <v>362</v>
      </c>
      <c r="I25" s="316" t="s">
        <v>363</v>
      </c>
      <c r="J25" s="316" t="s">
        <v>364</v>
      </c>
      <c r="K25" s="318" t="n">
        <v>37291</v>
      </c>
      <c r="L25" s="318"/>
      <c r="M25" s="318" t="n">
        <v>44655</v>
      </c>
      <c r="N25" s="319" t="s">
        <v>281</v>
      </c>
      <c r="O25" s="319" t="n">
        <v>38</v>
      </c>
      <c r="P25" s="320" t="n">
        <f aca="false">$O:$O/38</f>
        <v>1</v>
      </c>
      <c r="Q25" s="316" t="s">
        <v>352</v>
      </c>
      <c r="R25" s="316" t="n">
        <v>5120</v>
      </c>
      <c r="S25" s="316" t="s">
        <v>353</v>
      </c>
      <c r="T25" s="316" t="s">
        <v>354</v>
      </c>
      <c r="U25" s="316" t="s">
        <v>355</v>
      </c>
      <c r="V25" s="317" t="s">
        <v>58</v>
      </c>
      <c r="W25" s="317" t="s">
        <v>64</v>
      </c>
      <c r="X25" s="317" t="s">
        <v>286</v>
      </c>
      <c r="Y25" s="321" t="s">
        <v>287</v>
      </c>
      <c r="Z25" s="317" t="s">
        <v>356</v>
      </c>
      <c r="AA25" s="316" t="s">
        <v>311</v>
      </c>
      <c r="AB25" s="321" t="s">
        <v>357</v>
      </c>
      <c r="AC25" s="317" t="s">
        <v>289</v>
      </c>
      <c r="AD25" s="321" t="s">
        <v>290</v>
      </c>
      <c r="AE25" s="322" t="n">
        <f aca="false">IFERROR(INDEX('[3]Lookup_Rem Ranges'!$D$1:$D$1048576,MATCH($AL:$AL,'[3]Lookup_Rem Ranges'!$C$1:$C$1048576,0)),0)</f>
        <v>64900</v>
      </c>
      <c r="AF25" s="322" t="n">
        <f aca="false">IFERROR(INDEX('[3]Lookup_Rem Ranges'!$E$1:$E$1048576,MATCH($AL:$AL,'[3]Lookup_Rem Ranges'!$C$1:$C$1048576,0)),0)</f>
        <v>76300</v>
      </c>
      <c r="AG25" s="322" t="n">
        <f aca="false">IFERROR(INDEX('[3]Lookup_Rem Ranges'!$F$1:$F$1048576,MATCH($AL:$AL,'[3]Lookup_Rem Ranges'!$C$1:$C$1048576,0)),)</f>
        <v>87700</v>
      </c>
      <c r="AH25" s="317" t="s">
        <v>291</v>
      </c>
      <c r="AI25" s="319"/>
      <c r="AJ25" s="323" t="n">
        <v>0</v>
      </c>
      <c r="AK25" s="316"/>
      <c r="AL25" s="324" t="str">
        <f aca="false">CONCATENATE(AM25,"",AN25)</f>
        <v>GI3</v>
      </c>
      <c r="AM25" s="324" t="s">
        <v>312</v>
      </c>
      <c r="AN25" s="319" t="n">
        <v>3</v>
      </c>
      <c r="AO25" s="316" t="s">
        <v>365</v>
      </c>
      <c r="AP25" s="325" t="n">
        <v>64100</v>
      </c>
      <c r="AQ25" s="322" t="n">
        <f aca="false">ROUND(IF($P:$P&gt;1,$AP:$AP*1,$AP:$AP*$P:$P),0)</f>
        <v>64100</v>
      </c>
      <c r="AR25" s="322" t="n">
        <f aca="false">IF(BA25="Yes",AP25,0)</f>
        <v>0</v>
      </c>
      <c r="AS25" s="326" t="n">
        <v>0.011090573012939</v>
      </c>
      <c r="AT25" s="326" t="n">
        <v>0</v>
      </c>
      <c r="AU25" s="327"/>
      <c r="AV25" s="322"/>
      <c r="AW25" s="328" t="n">
        <v>0</v>
      </c>
      <c r="AX25" s="322" t="n">
        <v>0</v>
      </c>
      <c r="AY25" s="322" t="n">
        <v>64100</v>
      </c>
      <c r="AZ25" s="329" t="n">
        <f aca="false">IFERROR(($AY:$AY+$AJ:$AJ+$AK:$AK)/$AF:$AF,0)</f>
        <v>0.840104849279161</v>
      </c>
      <c r="BA25" s="330" t="s">
        <v>294</v>
      </c>
      <c r="BB25" s="331" t="n">
        <v>3</v>
      </c>
      <c r="BC25" s="326" t="n">
        <f aca="false">IFERROR($BD:$BD/$AY:$AY,0)</f>
        <v>0</v>
      </c>
      <c r="BD25" s="332" t="n">
        <v>0</v>
      </c>
      <c r="BE25" s="333" t="n">
        <v>0</v>
      </c>
      <c r="BF25" s="334" t="n">
        <f aca="false">ROUND($AR:$AR*$BE:$BE,0)</f>
        <v>0</v>
      </c>
      <c r="BG25" s="335" t="n">
        <v>0</v>
      </c>
      <c r="BH25" s="336" t="n">
        <f aca="false">ROUND($AR:$AR*$BG:$BG,0)</f>
        <v>0</v>
      </c>
      <c r="BI25" s="333" t="n">
        <v>0</v>
      </c>
      <c r="BJ25" s="334" t="n">
        <f aca="false">ROUND($AR:$AR*$BI:$BI,0)</f>
        <v>0</v>
      </c>
      <c r="BK25" s="334" t="n">
        <f aca="false">ROUND(IF($P:$P&gt;1,$BJ:$BJ*1,$BJ:$BJ*$P:$P),0)</f>
        <v>0</v>
      </c>
      <c r="BL25" s="337"/>
      <c r="BM25" s="338" t="n">
        <f aca="false">$BC:$BC+$BE:$BE+$BG:$BG</f>
        <v>0</v>
      </c>
      <c r="BN25" s="339" t="n">
        <f aca="false">$BD:$BD+$BF:$BF+$BH:$BH</f>
        <v>0</v>
      </c>
      <c r="BO25" s="340" t="n">
        <f aca="false">IFERROR(ROUND($AY:$AY+$BN:$BN,0),0)</f>
        <v>64100</v>
      </c>
      <c r="BP25" s="341" t="n">
        <f aca="false">ROUND(IF(SUM($BO:$BO&lt;249080),SUM(ROUND($BO:$BO*11%,0)),27398.8),0)</f>
        <v>7051</v>
      </c>
      <c r="BQ25" s="342" t="n">
        <f aca="false">$BO:$BO+$BP:$BP</f>
        <v>71151</v>
      </c>
      <c r="BR25" s="329" t="n">
        <f aca="false">IFERROR(($BO:$BO+$AJ:$AJ+$AK:$AK)/$AF:$AF,0)</f>
        <v>0.840104849279161</v>
      </c>
      <c r="BS25" s="343" t="n">
        <f aca="false">IF($N:$N="CASUAL","TBC",ROUND($BN:$BN/(NETWORKDAYS("01/07/2023","30/06/2024"))*NETWORKDAYS("10/07/2023","04/09/2023"),0)*$P:$P)</f>
        <v>0</v>
      </c>
      <c r="BT25" s="326" t="n">
        <f aca="false">$BM25+$BI25</f>
        <v>0</v>
      </c>
      <c r="BU25" s="332" t="n">
        <f aca="false">$BN:$BN+$BJ:$BJ</f>
        <v>0</v>
      </c>
      <c r="BV25" s="342" t="n">
        <f aca="false">$BO:$BO*$P:$P</f>
        <v>64100</v>
      </c>
      <c r="BW25" s="344" t="n">
        <f aca="false">ROUND($BO:$BO/1976,2)</f>
        <v>32.44</v>
      </c>
      <c r="BX25" s="316"/>
      <c r="BY25" s="342" t="n">
        <f aca="false">$BQ:$BQ+$BX:$BX</f>
        <v>71151</v>
      </c>
      <c r="BZ25" s="345" t="s">
        <v>294</v>
      </c>
      <c r="CA25" s="316"/>
      <c r="CB25" s="316"/>
      <c r="CC25" s="324" t="str">
        <f aca="false">CONCATENATE(CD25,"",CE25)</f>
        <v/>
      </c>
      <c r="CD25" s="319"/>
      <c r="CE25" s="319"/>
      <c r="CF25" s="322" t="str">
        <f aca="false">IFERROR(INDEX('[4]Lookup_Rem Ranges'!$D$1:$D$1048576,MATCH($CC:$CC,'[4]Lookup_Rem Ranges'!$C$1:$C$1048576,0)),"")</f>
        <v/>
      </c>
      <c r="CG25" s="346"/>
      <c r="CH25" s="346"/>
      <c r="CI25" s="347"/>
      <c r="CJ25" s="348"/>
      <c r="CK25" s="342" t="n">
        <f aca="false">IFERROR(ROUND($CI:$CI*$CJ:$CJ,0),0)</f>
        <v>0</v>
      </c>
      <c r="CL25" s="342" t="n">
        <f aca="false">$CI:$CI+$CK:$CK</f>
        <v>0</v>
      </c>
      <c r="CM25" s="349"/>
      <c r="CN25" s="350" t="n">
        <f aca="false">IF(SUM($CL:$CL&lt;249080),SUM(ROUND($CL:$CL*11%,0)),27398.8)</f>
        <v>0</v>
      </c>
      <c r="CO25" s="350" t="s">
        <v>324</v>
      </c>
      <c r="CP25" s="351" t="n">
        <f aca="false">IF(BA25="Yes",3.25%,0)</f>
        <v>0</v>
      </c>
      <c r="CQ25" s="352" t="n">
        <f aca="false">ROUND(AR25*CP25,0)</f>
        <v>0</v>
      </c>
      <c r="CR25" s="353" t="n">
        <f aca="false">IF($AW:$AW&lt;3.25%,$AW:$AW,3.25%)</f>
        <v>0</v>
      </c>
      <c r="CS25" s="354" t="n">
        <f aca="false">ROUND($AR:$AR*$CR:$CR,0)</f>
        <v>0</v>
      </c>
      <c r="CT25" s="353" t="n">
        <f aca="false">IF($AW:$AW&gt;=3.25%,$AW:$AW-$CR:$CR,0)</f>
        <v>0</v>
      </c>
      <c r="CU25" s="354" t="n">
        <f aca="false">ROUND($AR:$AR*$CT:$CT,0)</f>
        <v>0</v>
      </c>
      <c r="CV25" s="353" t="n">
        <f aca="false">IF($CR:$CR=3.25%,0,IF($BC:$BC&lt;3.25%,$BC:$BC,IF($BC:$BC&gt;3.25%,3.25%-$CR:$CR,0)))</f>
        <v>0</v>
      </c>
      <c r="CW25" s="354" t="n">
        <f aca="false">IFERROR(ROUND($AY:$AY*$CV:$CV,0),0)</f>
        <v>0</v>
      </c>
      <c r="CX25" s="353" t="n">
        <f aca="false">IF($CV:$CV=0,$BC:$BC,BC:BC-$CV:$CV)</f>
        <v>0</v>
      </c>
      <c r="CY25" s="354" t="n">
        <f aca="false">IFERROR(ROUND($AY:$AY*$CX:$CX,0),0)</f>
        <v>0</v>
      </c>
      <c r="CZ25" s="353" t="n">
        <f aca="false">$CR:$CR+$CT:CT+$CV:$CV+$CX:$CX</f>
        <v>0</v>
      </c>
      <c r="DA25" s="353" t="n">
        <f aca="false">(SUM($AW:$AW+$BC:$BC)-$CZ:$CZ)</f>
        <v>0</v>
      </c>
      <c r="DB25" s="353"/>
      <c r="DC25" s="353" t="n">
        <f aca="false">$BE:$BE</f>
        <v>0</v>
      </c>
      <c r="DD25" s="354" t="n">
        <f aca="false">$BF:$BF</f>
        <v>0</v>
      </c>
      <c r="DE25" s="355" t="n">
        <f aca="false">$BI:$BI</f>
        <v>0</v>
      </c>
      <c r="DF25" s="354" t="n">
        <f aca="false">$BJ:$BJ</f>
        <v>0</v>
      </c>
      <c r="DG25" s="355" t="n">
        <f aca="false">$BG:$BG</f>
        <v>0</v>
      </c>
      <c r="DH25" s="354" t="n">
        <f aca="false">IFERROR(ROUND($AP:$AP*$DG:$DG,0),0)</f>
        <v>0</v>
      </c>
      <c r="DI25" s="353" t="n">
        <f aca="false">$CR:$CR+$CV:$CV+$DC:$DC+$DE:$DE+$DG:$DG</f>
        <v>0</v>
      </c>
      <c r="DJ25" s="354" t="n">
        <f aca="false">$CS:$CS+$CW:$CW+$DD:$DD+$DF:$DF+$DH:$DH</f>
        <v>0</v>
      </c>
      <c r="DK25" s="353" t="n">
        <f aca="false">$CT:$CT+$CX:$CX</f>
        <v>0</v>
      </c>
      <c r="DL25" s="354" t="n">
        <f aca="false">$CU:$CU+$CY:$CY</f>
        <v>0</v>
      </c>
      <c r="DM25" s="356"/>
      <c r="DN25" s="357"/>
      <c r="DO25" s="357"/>
      <c r="DP25" s="357"/>
      <c r="DQ25" s="357"/>
      <c r="DR25" s="357"/>
      <c r="DS25" s="357"/>
      <c r="DT25" s="357"/>
      <c r="DU25" s="357"/>
      <c r="DV25" s="357"/>
      <c r="DW25" s="357" t="s">
        <v>296</v>
      </c>
      <c r="DX25" s="358"/>
      <c r="DY25" s="358"/>
      <c r="DZ25" s="358"/>
      <c r="EA25" s="358"/>
      <c r="EB25" s="358"/>
      <c r="EC25" s="358"/>
      <c r="ED25" s="358"/>
      <c r="EE25" s="358"/>
      <c r="EF25" s="358"/>
      <c r="EG25" s="358"/>
      <c r="EH25" s="358"/>
      <c r="EI25" s="358"/>
      <c r="EJ25" s="358"/>
      <c r="EK25" s="358"/>
      <c r="EL25" s="358"/>
      <c r="EM25" s="358"/>
      <c r="EN25" s="358"/>
      <c r="EO25" s="358"/>
      <c r="EP25" s="358"/>
      <c r="EQ25" s="358"/>
      <c r="ER25" s="358"/>
      <c r="ES25" s="358"/>
      <c r="ET25" s="358"/>
      <c r="EU25" s="358"/>
      <c r="EV25" s="358"/>
      <c r="EW25" s="358"/>
      <c r="EX25" s="358"/>
      <c r="EY25" s="358"/>
      <c r="EZ25" s="358"/>
      <c r="FA25" s="358"/>
      <c r="FB25" s="358"/>
      <c r="FC25" s="358"/>
      <c r="FD25" s="358"/>
      <c r="FE25" s="358"/>
      <c r="FF25" s="358"/>
      <c r="FG25" s="358"/>
      <c r="FH25" s="358"/>
      <c r="FI25" s="358"/>
      <c r="FJ25" s="358"/>
      <c r="FK25" s="358"/>
      <c r="FL25" s="358"/>
      <c r="FM25" s="358"/>
      <c r="FN25" s="358"/>
      <c r="FO25" s="358"/>
      <c r="FP25" s="358"/>
      <c r="FQ25" s="358"/>
      <c r="FR25" s="358"/>
      <c r="FS25" s="358"/>
      <c r="FT25" s="359"/>
    </row>
    <row r="26" customFormat="false" ht="33.75" hidden="false" customHeight="false" outlineLevel="0" collapsed="false">
      <c r="A26" s="314"/>
      <c r="B26" s="315" t="s">
        <v>273</v>
      </c>
      <c r="C26" s="315" t="s">
        <v>366</v>
      </c>
      <c r="D26" s="315" t="n">
        <v>21170</v>
      </c>
      <c r="E26" s="316" t="s">
        <v>367</v>
      </c>
      <c r="F26" s="316" t="s">
        <v>368</v>
      </c>
      <c r="G26" s="316" t="s">
        <v>277</v>
      </c>
      <c r="H26" s="317" t="s">
        <v>369</v>
      </c>
      <c r="I26" s="316" t="s">
        <v>370</v>
      </c>
      <c r="J26" s="316" t="s">
        <v>371</v>
      </c>
      <c r="K26" s="318" t="n">
        <v>44761</v>
      </c>
      <c r="L26" s="318"/>
      <c r="M26" s="318" t="n">
        <v>44761</v>
      </c>
      <c r="N26" s="319" t="s">
        <v>281</v>
      </c>
      <c r="O26" s="319" t="n">
        <v>38</v>
      </c>
      <c r="P26" s="320" t="n">
        <f aca="false">$O:$O/38</f>
        <v>1</v>
      </c>
      <c r="Q26" s="316" t="s">
        <v>372</v>
      </c>
      <c r="R26" s="316" t="n">
        <v>18797</v>
      </c>
      <c r="S26" s="316" t="s">
        <v>373</v>
      </c>
      <c r="T26" s="316" t="s">
        <v>374</v>
      </c>
      <c r="U26" s="316" t="s">
        <v>375</v>
      </c>
      <c r="V26" s="317" t="s">
        <v>58</v>
      </c>
      <c r="W26" s="317" t="s">
        <v>64</v>
      </c>
      <c r="X26" s="317" t="s">
        <v>286</v>
      </c>
      <c r="Y26" s="321" t="s">
        <v>287</v>
      </c>
      <c r="Z26" s="317" t="s">
        <v>356</v>
      </c>
      <c r="AA26" s="316" t="s">
        <v>311</v>
      </c>
      <c r="AB26" s="321" t="s">
        <v>357</v>
      </c>
      <c r="AC26" s="317" t="s">
        <v>289</v>
      </c>
      <c r="AD26" s="321" t="s">
        <v>290</v>
      </c>
      <c r="AE26" s="322" t="n">
        <f aca="false">IFERROR(INDEX('[3]Lookup_Rem Ranges'!$D$1:$D$1048576,MATCH($AL:$AL,'[3]Lookup_Rem Ranges'!$C$1:$C$1048576,0)),0)</f>
        <v>64900</v>
      </c>
      <c r="AF26" s="322" t="n">
        <f aca="false">IFERROR(INDEX('[3]Lookup_Rem Ranges'!$E$1:$E$1048576,MATCH($AL:$AL,'[3]Lookup_Rem Ranges'!$C$1:$C$1048576,0)),0)</f>
        <v>76300</v>
      </c>
      <c r="AG26" s="322" t="n">
        <f aca="false">IFERROR(INDEX('[3]Lookup_Rem Ranges'!$F$1:$F$1048576,MATCH($AL:$AL,'[3]Lookup_Rem Ranges'!$C$1:$C$1048576,0)),)</f>
        <v>87700</v>
      </c>
      <c r="AH26" s="317" t="s">
        <v>291</v>
      </c>
      <c r="AI26" s="319"/>
      <c r="AJ26" s="323" t="n">
        <v>0</v>
      </c>
      <c r="AK26" s="316"/>
      <c r="AL26" s="324" t="str">
        <f aca="false">CONCATENATE(AM26,"",AN26)</f>
        <v>GI3</v>
      </c>
      <c r="AM26" s="324" t="s">
        <v>312</v>
      </c>
      <c r="AN26" s="319" t="n">
        <v>3</v>
      </c>
      <c r="AO26" s="316" t="s">
        <v>358</v>
      </c>
      <c r="AP26" s="325" t="n">
        <v>72000</v>
      </c>
      <c r="AQ26" s="322" t="n">
        <f aca="false">ROUND(IF($P:$P&gt;1,$AP:$AP*1,$AP:$AP*$P:$P),0)</f>
        <v>72000</v>
      </c>
      <c r="AR26" s="322" t="n">
        <f aca="false">IF(BA26="Yes",AP26,0)</f>
        <v>0</v>
      </c>
      <c r="AS26" s="326" t="s">
        <v>339</v>
      </c>
      <c r="AT26" s="326" t="n">
        <v>0</v>
      </c>
      <c r="AU26" s="327"/>
      <c r="AV26" s="322"/>
      <c r="AW26" s="328" t="n">
        <v>0</v>
      </c>
      <c r="AX26" s="322" t="n">
        <v>0</v>
      </c>
      <c r="AY26" s="322" t="n">
        <v>72000</v>
      </c>
      <c r="AZ26" s="329" t="n">
        <f aca="false">IFERROR(($AY:$AY+$AJ:$AJ+$AK:$AK)/$AF:$AF,0)</f>
        <v>0.943643512450852</v>
      </c>
      <c r="BA26" s="330" t="s">
        <v>294</v>
      </c>
      <c r="BB26" s="331" t="n">
        <v>3</v>
      </c>
      <c r="BC26" s="326" t="n">
        <f aca="false">IFERROR($BD:$BD/$AY:$AY,0)</f>
        <v>0</v>
      </c>
      <c r="BD26" s="332" t="n">
        <f aca="false">ROUND(IF($AY:$AY&lt;$AE:$AE,$AE:$AE-$AY:$AY,0),0)</f>
        <v>0</v>
      </c>
      <c r="BE26" s="333" t="n">
        <v>0</v>
      </c>
      <c r="BF26" s="334" t="n">
        <f aca="false">ROUND($AR:$AR*$BE:$BE,0)</f>
        <v>0</v>
      </c>
      <c r="BG26" s="335" t="n">
        <v>0</v>
      </c>
      <c r="BH26" s="336" t="n">
        <f aca="false">ROUND($AR:$AR*$BG:$BG,0)</f>
        <v>0</v>
      </c>
      <c r="BI26" s="333" t="n">
        <v>0</v>
      </c>
      <c r="BJ26" s="334" t="n">
        <f aca="false">ROUND($AR:$AR*$BI:$BI,0)</f>
        <v>0</v>
      </c>
      <c r="BK26" s="334" t="n">
        <f aca="false">ROUND(IF($P:$P&gt;1,$BJ:$BJ*1,$BJ:$BJ*$P:$P),0)</f>
        <v>0</v>
      </c>
      <c r="BL26" s="337"/>
      <c r="BM26" s="338" t="n">
        <f aca="false">$BC:$BC+$BE:$BE+$BG:$BG</f>
        <v>0</v>
      </c>
      <c r="BN26" s="339" t="n">
        <f aca="false">$BD:$BD+$BF:$BF+$BH:$BH</f>
        <v>0</v>
      </c>
      <c r="BO26" s="340" t="n">
        <f aca="false">IFERROR(ROUND($AY:$AY+$BN:$BN,0),0)</f>
        <v>72000</v>
      </c>
      <c r="BP26" s="341" t="n">
        <f aca="false">ROUND(IF(SUM($BO:$BO&lt;249080),SUM(ROUND($BO:$BO*11%,0)),27398.8),0)</f>
        <v>7920</v>
      </c>
      <c r="BQ26" s="342" t="n">
        <f aca="false">$BO:$BO+$BP:$BP</f>
        <v>79920</v>
      </c>
      <c r="BR26" s="329" t="n">
        <f aca="false">IFERROR(($BO:$BO+$AJ:$AJ+$AK:$AK)/$AF:$AF,0)</f>
        <v>0.943643512450852</v>
      </c>
      <c r="BS26" s="343" t="n">
        <f aca="false">IF($N:$N="CASUAL","TBC",ROUND($BN:$BN/(NETWORKDAYS("01/07/2023","30/06/2024"))*NETWORKDAYS("10/07/2023","04/09/2023"),0)*$P:$P)</f>
        <v>0</v>
      </c>
      <c r="BT26" s="326" t="n">
        <f aca="false">$BM26+$BI26</f>
        <v>0</v>
      </c>
      <c r="BU26" s="332" t="n">
        <f aca="false">$BN:$BN+$BJ:$BJ</f>
        <v>0</v>
      </c>
      <c r="BV26" s="342" t="n">
        <f aca="false">$BO:$BO*$P:$P</f>
        <v>72000</v>
      </c>
      <c r="BW26" s="344" t="n">
        <f aca="false">ROUND($BO:$BO/1976,2)</f>
        <v>36.44</v>
      </c>
      <c r="BX26" s="316"/>
      <c r="BY26" s="342" t="n">
        <f aca="false">$BQ:$BQ+$BX:$BX</f>
        <v>79920</v>
      </c>
      <c r="BZ26" s="345" t="s">
        <v>294</v>
      </c>
      <c r="CA26" s="316"/>
      <c r="CB26" s="316"/>
      <c r="CC26" s="324" t="str">
        <f aca="false">CONCATENATE(CD26,"",CE26)</f>
        <v/>
      </c>
      <c r="CD26" s="319"/>
      <c r="CE26" s="319"/>
      <c r="CF26" s="322" t="str">
        <f aca="false">IFERROR(INDEX('[4]Lookup_Rem Ranges'!$D$1:$D$1048576,MATCH($CC:$CC,'[4]Lookup_Rem Ranges'!$C$1:$C$1048576,0)),"")</f>
        <v/>
      </c>
      <c r="CG26" s="346"/>
      <c r="CH26" s="346"/>
      <c r="CI26" s="347"/>
      <c r="CJ26" s="348"/>
      <c r="CK26" s="342" t="n">
        <f aca="false">IFERROR(ROUND($CI:$CI*$CJ:$CJ,0),0)</f>
        <v>0</v>
      </c>
      <c r="CL26" s="342" t="n">
        <f aca="false">$CI:$CI+$CK:$CK</f>
        <v>0</v>
      </c>
      <c r="CM26" s="349"/>
      <c r="CN26" s="350" t="n">
        <f aca="false">IF(SUM($CL:$CL&lt;249080),SUM(ROUND($CL:$CL*11%,0)),27398.8)</f>
        <v>0</v>
      </c>
      <c r="CO26" s="350" t="s">
        <v>324</v>
      </c>
      <c r="CP26" s="351" t="n">
        <f aca="false">IF(BA26="Yes",3.25%,0)</f>
        <v>0</v>
      </c>
      <c r="CQ26" s="352" t="n">
        <f aca="false">ROUND(AR26*CP26,0)</f>
        <v>0</v>
      </c>
      <c r="CR26" s="353" t="n">
        <f aca="false">IF($AW:$AW&lt;3.25%,$AW:$AW,3.25%)</f>
        <v>0</v>
      </c>
      <c r="CS26" s="354" t="n">
        <f aca="false">ROUND($AR:$AR*$CR:$CR,0)</f>
        <v>0</v>
      </c>
      <c r="CT26" s="353" t="n">
        <f aca="false">IF($AW:$AW&gt;=3.25%,$AW:$AW-$CR:$CR,0)</f>
        <v>0</v>
      </c>
      <c r="CU26" s="354" t="n">
        <f aca="false">ROUND($AR:$AR*$CT:$CT,0)</f>
        <v>0</v>
      </c>
      <c r="CV26" s="353" t="n">
        <f aca="false">IF($CR:$CR=3.25%,0,IF($BC:$BC&lt;3.25%,$BC:$BC,IF($BC:$BC&gt;3.25%,3.25%-$CR:$CR,0)))</f>
        <v>0</v>
      </c>
      <c r="CW26" s="354" t="n">
        <f aca="false">IFERROR(ROUND($AY:$AY*$CV:$CV,0),0)</f>
        <v>0</v>
      </c>
      <c r="CX26" s="353" t="n">
        <f aca="false">IF($CV:$CV=0,$BC:$BC,BC:BC-$CV:$CV)</f>
        <v>0</v>
      </c>
      <c r="CY26" s="354" t="n">
        <f aca="false">IFERROR(ROUND($AY:$AY*$CX:$CX,0),0)</f>
        <v>0</v>
      </c>
      <c r="CZ26" s="353" t="n">
        <f aca="false">$CR:$CR+$CT:CT+$CV:$CV+$CX:$CX</f>
        <v>0</v>
      </c>
      <c r="DA26" s="353" t="n">
        <f aca="false">(SUM($AW:$AW+$BC:$BC)-$CZ:$CZ)</f>
        <v>0</v>
      </c>
      <c r="DB26" s="353"/>
      <c r="DC26" s="353" t="n">
        <f aca="false">$BE:$BE</f>
        <v>0</v>
      </c>
      <c r="DD26" s="354" t="n">
        <f aca="false">$BF:$BF</f>
        <v>0</v>
      </c>
      <c r="DE26" s="355" t="n">
        <f aca="false">$BI:$BI</f>
        <v>0</v>
      </c>
      <c r="DF26" s="354" t="n">
        <f aca="false">$BJ:$BJ</f>
        <v>0</v>
      </c>
      <c r="DG26" s="355" t="n">
        <f aca="false">$BG:$BG</f>
        <v>0</v>
      </c>
      <c r="DH26" s="354" t="n">
        <f aca="false">IFERROR(ROUND($AP:$AP*$DG:$DG,0),0)</f>
        <v>0</v>
      </c>
      <c r="DI26" s="353" t="n">
        <f aca="false">$CR:$CR+$CV:$CV+$DC:$DC+$DE:$DE+$DG:$DG</f>
        <v>0</v>
      </c>
      <c r="DJ26" s="354" t="n">
        <f aca="false">$CS:$CS+$CW:$CW+$DD:$DD+$DF:$DF+$DH:$DH</f>
        <v>0</v>
      </c>
      <c r="DK26" s="353" t="n">
        <f aca="false">$CT:$CT+$CX:$CX</f>
        <v>0</v>
      </c>
      <c r="DL26" s="354" t="n">
        <f aca="false">$CU:$CU+$CY:$CY</f>
        <v>0</v>
      </c>
      <c r="DM26" s="356"/>
      <c r="DN26" s="357"/>
      <c r="DO26" s="357"/>
      <c r="DP26" s="357"/>
      <c r="DQ26" s="357"/>
      <c r="DR26" s="357"/>
      <c r="DS26" s="357"/>
      <c r="DT26" s="357"/>
      <c r="DU26" s="357"/>
      <c r="DV26" s="357"/>
      <c r="DW26" s="357" t="s">
        <v>296</v>
      </c>
    </row>
    <row r="27" customFormat="false" ht="24" hidden="false" customHeight="true" outlineLevel="0" collapsed="false">
      <c r="A27" s="314"/>
      <c r="B27" s="315" t="s">
        <v>273</v>
      </c>
      <c r="C27" s="315" t="s">
        <v>376</v>
      </c>
      <c r="D27" s="315" t="n">
        <v>7728</v>
      </c>
      <c r="E27" s="316" t="s">
        <v>377</v>
      </c>
      <c r="F27" s="316" t="s">
        <v>378</v>
      </c>
      <c r="G27" s="316" t="s">
        <v>277</v>
      </c>
      <c r="H27" s="317" t="s">
        <v>379</v>
      </c>
      <c r="I27" s="316" t="s">
        <v>380</v>
      </c>
      <c r="J27" s="316" t="s">
        <v>381</v>
      </c>
      <c r="K27" s="318" t="n">
        <v>38979</v>
      </c>
      <c r="L27" s="318"/>
      <c r="M27" s="318" t="n">
        <v>44936</v>
      </c>
      <c r="N27" s="319" t="s">
        <v>331</v>
      </c>
      <c r="O27" s="319" t="n">
        <v>32</v>
      </c>
      <c r="P27" s="320" t="n">
        <f aca="false">$O:$O/38</f>
        <v>0.842105263157895</v>
      </c>
      <c r="Q27" s="316" t="s">
        <v>352</v>
      </c>
      <c r="R27" s="316" t="n">
        <v>4212</v>
      </c>
      <c r="S27" s="316" t="s">
        <v>382</v>
      </c>
      <c r="T27" s="316" t="s">
        <v>383</v>
      </c>
      <c r="U27" s="316" t="s">
        <v>384</v>
      </c>
      <c r="V27" s="317" t="s">
        <v>58</v>
      </c>
      <c r="W27" s="317" t="s">
        <v>64</v>
      </c>
      <c r="X27" s="317" t="s">
        <v>286</v>
      </c>
      <c r="Y27" s="321" t="s">
        <v>287</v>
      </c>
      <c r="Z27" s="317" t="s">
        <v>356</v>
      </c>
      <c r="AA27" s="316" t="s">
        <v>311</v>
      </c>
      <c r="AB27" s="321" t="s">
        <v>357</v>
      </c>
      <c r="AC27" s="317" t="s">
        <v>289</v>
      </c>
      <c r="AD27" s="321" t="s">
        <v>290</v>
      </c>
      <c r="AE27" s="322" t="n">
        <f aca="false">IFERROR(INDEX('[3]Lookup_Rem Ranges'!$D$1:$D$1048576,MATCH($AL:$AL,'[3]Lookup_Rem Ranges'!$C$1:$C$1048576,0)),0)</f>
        <v>57100</v>
      </c>
      <c r="AF27" s="322" t="n">
        <f aca="false">IFERROR(INDEX('[3]Lookup_Rem Ranges'!$E$1:$E$1048576,MATCH($AL:$AL,'[3]Lookup_Rem Ranges'!$C$1:$C$1048576,0)),0)</f>
        <v>67200</v>
      </c>
      <c r="AG27" s="322" t="n">
        <f aca="false">IFERROR(INDEX('[3]Lookup_Rem Ranges'!$F$1:$F$1048576,MATCH($AL:$AL,'[3]Lookup_Rem Ranges'!$C$1:$C$1048576,0)),)</f>
        <v>77300</v>
      </c>
      <c r="AH27" s="317" t="s">
        <v>291</v>
      </c>
      <c r="AI27" s="319"/>
      <c r="AJ27" s="323" t="n">
        <v>0</v>
      </c>
      <c r="AK27" s="316"/>
      <c r="AL27" s="324" t="str">
        <f aca="false">CONCATENATE(AM27,"",AN27)</f>
        <v>GI2</v>
      </c>
      <c r="AM27" s="324" t="s">
        <v>312</v>
      </c>
      <c r="AN27" s="319" t="n">
        <v>2</v>
      </c>
      <c r="AO27" s="316" t="s">
        <v>358</v>
      </c>
      <c r="AP27" s="325" t="n">
        <v>68567</v>
      </c>
      <c r="AQ27" s="322" t="n">
        <f aca="false">ROUND(IF($P:$P&gt;1,$AP:$AP*1,$AP:$AP*$P:$P),0)</f>
        <v>57741</v>
      </c>
      <c r="AR27" s="322" t="n">
        <f aca="false">IF(BA27="Yes",AP27,0)</f>
        <v>0</v>
      </c>
      <c r="AS27" s="326" t="s">
        <v>339</v>
      </c>
      <c r="AT27" s="326" t="n">
        <v>0</v>
      </c>
      <c r="AU27" s="327"/>
      <c r="AV27" s="322"/>
      <c r="AW27" s="328" t="n">
        <v>0</v>
      </c>
      <c r="AX27" s="322" t="n">
        <v>0</v>
      </c>
      <c r="AY27" s="322" t="n">
        <v>68567</v>
      </c>
      <c r="AZ27" s="329" t="n">
        <f aca="false">IFERROR(($AY:$AY+$AJ:$AJ+$AK:$AK)/$AF:$AF,0)</f>
        <v>1.02034226190476</v>
      </c>
      <c r="BA27" s="330" t="s">
        <v>294</v>
      </c>
      <c r="BB27" s="331" t="n">
        <v>3</v>
      </c>
      <c r="BC27" s="326" t="n">
        <f aca="false">IFERROR($BD:$BD/$AY:$AY,0)</f>
        <v>0</v>
      </c>
      <c r="BD27" s="332" t="n">
        <f aca="false">ROUND(IF($AY:$AY&lt;$AE:$AE,$AE:$AE-$AY:$AY,0),0)</f>
        <v>0</v>
      </c>
      <c r="BE27" s="333" t="n">
        <v>0</v>
      </c>
      <c r="BF27" s="334" t="n">
        <f aca="false">ROUND($AR:$AR*$BE:$BE,0)</f>
        <v>0</v>
      </c>
      <c r="BG27" s="335" t="n">
        <v>0</v>
      </c>
      <c r="BH27" s="336" t="n">
        <f aca="false">ROUND($AR:$AR*$BG:$BG,0)</f>
        <v>0</v>
      </c>
      <c r="BI27" s="333" t="n">
        <v>0</v>
      </c>
      <c r="BJ27" s="334" t="n">
        <f aca="false">ROUND($AR:$AR*$BI:$BI,0)</f>
        <v>0</v>
      </c>
      <c r="BK27" s="334" t="n">
        <f aca="false">ROUND(IF($P:$P&gt;1,$BJ:$BJ*1,$BJ:$BJ*$P:$P),0)</f>
        <v>0</v>
      </c>
      <c r="BL27" s="337"/>
      <c r="BM27" s="338" t="n">
        <f aca="false">$BC:$BC+$BE:$BE+$BG:$BG</f>
        <v>0</v>
      </c>
      <c r="BN27" s="339" t="n">
        <f aca="false">$BD:$BD+$BF:$BF+$BH:$BH</f>
        <v>0</v>
      </c>
      <c r="BO27" s="340" t="n">
        <f aca="false">IFERROR(ROUND($AY:$AY+$BN:$BN,0),0)</f>
        <v>68567</v>
      </c>
      <c r="BP27" s="341" t="n">
        <f aca="false">ROUND(IF(SUM($BO:$BO&lt;249080),SUM(ROUND($BO:$BO*11%,0)),27398.8),0)</f>
        <v>7542</v>
      </c>
      <c r="BQ27" s="342" t="n">
        <f aca="false">$BO:$BO+$BP:$BP</f>
        <v>76109</v>
      </c>
      <c r="BR27" s="329" t="n">
        <f aca="false">IFERROR(($BO:$BO+$AJ:$AJ+$AK:$AK)/$AF:$AF,0)</f>
        <v>1.02034226190476</v>
      </c>
      <c r="BS27" s="343" t="n">
        <f aca="false">IF($N:$N="CASUAL","TBC",ROUND($BN:$BN/(NETWORKDAYS("01/07/2023","30/06/2024"))*NETWORKDAYS("10/07/2023","04/09/2023"),0)*$P:$P)</f>
        <v>0</v>
      </c>
      <c r="BT27" s="326" t="n">
        <f aca="false">$BM27+$BI27</f>
        <v>0</v>
      </c>
      <c r="BU27" s="332" t="n">
        <f aca="false">$BN:$BN+$BJ:$BJ</f>
        <v>0</v>
      </c>
      <c r="BV27" s="342" t="n">
        <f aca="false">$BO:$BO*$P:$P</f>
        <v>57740.6315789474</v>
      </c>
      <c r="BW27" s="344" t="n">
        <f aca="false">ROUND($BO:$BO/1976,2)</f>
        <v>34.7</v>
      </c>
      <c r="BX27" s="316"/>
      <c r="BY27" s="342" t="n">
        <f aca="false">$BQ:$BQ+$BX:$BX</f>
        <v>76109</v>
      </c>
      <c r="BZ27" s="345" t="s">
        <v>294</v>
      </c>
      <c r="CA27" s="316"/>
      <c r="CB27" s="316"/>
      <c r="CC27" s="324" t="str">
        <f aca="false">CONCATENATE(CD27,"",CE27)</f>
        <v/>
      </c>
      <c r="CD27" s="319"/>
      <c r="CE27" s="319"/>
      <c r="CF27" s="322" t="str">
        <f aca="false">IFERROR(INDEX('[4]Lookup_Rem Ranges'!$D$1:$D$1048576,MATCH($CC:$CC,'[4]Lookup_Rem Ranges'!$C$1:$C$1048576,0)),"")</f>
        <v/>
      </c>
      <c r="CG27" s="346"/>
      <c r="CH27" s="346"/>
      <c r="CI27" s="347"/>
      <c r="CJ27" s="348"/>
      <c r="CK27" s="342" t="n">
        <f aca="false">IFERROR(ROUND($CI:$CI*$CJ:$CJ,0),0)</f>
        <v>0</v>
      </c>
      <c r="CL27" s="342" t="n">
        <f aca="false">$CI:$CI+$CK:$CK</f>
        <v>0</v>
      </c>
      <c r="CM27" s="349"/>
      <c r="CN27" s="350" t="n">
        <f aca="false">IF(SUM($CL:$CL&lt;249080),SUM(ROUND($CL:$CL*11%,0)),27398.8)</f>
        <v>0</v>
      </c>
      <c r="CO27" s="350" t="s">
        <v>324</v>
      </c>
      <c r="CP27" s="351" t="n">
        <f aca="false">IF(BA27="Yes",3.25%,0)</f>
        <v>0</v>
      </c>
      <c r="CQ27" s="352" t="n">
        <f aca="false">ROUND(AR27*CP27,0)</f>
        <v>0</v>
      </c>
      <c r="CR27" s="353" t="n">
        <f aca="false">IF($AW:$AW&lt;3.25%,$AW:$AW,3.25%)</f>
        <v>0</v>
      </c>
      <c r="CS27" s="354" t="n">
        <f aca="false">ROUND($AR:$AR*$CR:$CR,0)</f>
        <v>0</v>
      </c>
      <c r="CT27" s="353" t="n">
        <f aca="false">IF($AW:$AW&gt;=3.25%,$AW:$AW-$CR:$CR,0)</f>
        <v>0</v>
      </c>
      <c r="CU27" s="354" t="n">
        <f aca="false">ROUND($AR:$AR*$CT:$CT,0)</f>
        <v>0</v>
      </c>
      <c r="CV27" s="353" t="n">
        <f aca="false">IF($CR:$CR=3.25%,0,IF($BC:$BC&lt;3.25%,$BC:$BC,IF($BC:$BC&gt;3.25%,3.25%-$CR:$CR,0)))</f>
        <v>0</v>
      </c>
      <c r="CW27" s="354" t="n">
        <f aca="false">IFERROR(ROUND($AY:$AY*$CV:$CV,0),0)</f>
        <v>0</v>
      </c>
      <c r="CX27" s="353" t="n">
        <f aca="false">IF($CV:$CV=0,$BC:$BC,BC:BC-$CV:$CV)</f>
        <v>0</v>
      </c>
      <c r="CY27" s="354" t="n">
        <f aca="false">IFERROR(ROUND($AY:$AY*$CX:$CX,0),0)</f>
        <v>0</v>
      </c>
      <c r="CZ27" s="353" t="n">
        <f aca="false">$CR:$CR+$CT:CT+$CV:$CV+$CX:$CX</f>
        <v>0</v>
      </c>
      <c r="DA27" s="353" t="n">
        <f aca="false">(SUM($AW:$AW+$BC:$BC)-$CZ:$CZ)</f>
        <v>0</v>
      </c>
      <c r="DB27" s="353"/>
      <c r="DC27" s="353" t="n">
        <f aca="false">$BE:$BE</f>
        <v>0</v>
      </c>
      <c r="DD27" s="354" t="n">
        <f aca="false">$BF:$BF</f>
        <v>0</v>
      </c>
      <c r="DE27" s="355" t="n">
        <f aca="false">$BI:$BI</f>
        <v>0</v>
      </c>
      <c r="DF27" s="354" t="n">
        <f aca="false">$BJ:$BJ</f>
        <v>0</v>
      </c>
      <c r="DG27" s="355" t="n">
        <f aca="false">$BG:$BG</f>
        <v>0</v>
      </c>
      <c r="DH27" s="354" t="n">
        <f aca="false">IFERROR(ROUND($AP:$AP*$DG:$DG,0),0)</f>
        <v>0</v>
      </c>
      <c r="DI27" s="353" t="n">
        <f aca="false">$CR:$CR+$CV:$CV+$DC:$DC+$DE:$DE+$DG:$DG</f>
        <v>0</v>
      </c>
      <c r="DJ27" s="354" t="n">
        <f aca="false">$CS:$CS+$CW:$CW+$DD:$DD+$DF:$DF+$DH:$DH</f>
        <v>0</v>
      </c>
      <c r="DK27" s="353" t="n">
        <f aca="false">$CT:$CT+$CX:$CX</f>
        <v>0</v>
      </c>
      <c r="DL27" s="354" t="n">
        <f aca="false">$CU:$CU+$CY:$CY</f>
        <v>0</v>
      </c>
      <c r="DM27" s="356"/>
      <c r="DN27" s="357"/>
      <c r="DO27" s="357"/>
      <c r="DP27" s="357"/>
      <c r="DQ27" s="357"/>
      <c r="DR27" s="357"/>
      <c r="DS27" s="357"/>
      <c r="DT27" s="357"/>
      <c r="DU27" s="357"/>
      <c r="DV27" s="357"/>
      <c r="DW27" s="357" t="s">
        <v>296</v>
      </c>
    </row>
    <row r="28" customFormat="false" ht="33.75" hidden="false" customHeight="false" outlineLevel="0" collapsed="false">
      <c r="A28" s="314"/>
      <c r="B28" s="315" t="s">
        <v>273</v>
      </c>
      <c r="C28" s="315" t="s">
        <v>385</v>
      </c>
      <c r="D28" s="315" t="n">
        <v>17456</v>
      </c>
      <c r="E28" s="316" t="s">
        <v>315</v>
      </c>
      <c r="F28" s="316" t="s">
        <v>386</v>
      </c>
      <c r="G28" s="316" t="s">
        <v>277</v>
      </c>
      <c r="H28" s="317" t="s">
        <v>387</v>
      </c>
      <c r="I28" s="316" t="s">
        <v>388</v>
      </c>
      <c r="J28" s="316" t="s">
        <v>389</v>
      </c>
      <c r="K28" s="318" t="n">
        <v>43087</v>
      </c>
      <c r="L28" s="318"/>
      <c r="M28" s="318" t="n">
        <v>44188</v>
      </c>
      <c r="N28" s="319" t="s">
        <v>281</v>
      </c>
      <c r="O28" s="319" t="n">
        <v>38</v>
      </c>
      <c r="P28" s="320" t="n">
        <f aca="false">$O:$O/38</f>
        <v>1</v>
      </c>
      <c r="Q28" s="316" t="s">
        <v>372</v>
      </c>
      <c r="R28" s="316" t="n">
        <v>18151</v>
      </c>
      <c r="S28" s="316" t="s">
        <v>390</v>
      </c>
      <c r="T28" s="316" t="s">
        <v>391</v>
      </c>
      <c r="U28" s="316" t="s">
        <v>392</v>
      </c>
      <c r="V28" s="317" t="s">
        <v>58</v>
      </c>
      <c r="W28" s="317" t="s">
        <v>64</v>
      </c>
      <c r="X28" s="317" t="s">
        <v>286</v>
      </c>
      <c r="Y28" s="321" t="s">
        <v>287</v>
      </c>
      <c r="Z28" s="317" t="s">
        <v>356</v>
      </c>
      <c r="AA28" s="316" t="s">
        <v>311</v>
      </c>
      <c r="AB28" s="321" t="s">
        <v>357</v>
      </c>
      <c r="AC28" s="317" t="s">
        <v>289</v>
      </c>
      <c r="AD28" s="321" t="s">
        <v>290</v>
      </c>
      <c r="AE28" s="322" t="n">
        <f aca="false">IFERROR(INDEX('[3]Lookup_Rem Ranges'!$D$1:$D$1048576,MATCH($AL:$AL,'[3]Lookup_Rem Ranges'!$C$1:$C$1048576,0)),0)</f>
        <v>73500</v>
      </c>
      <c r="AF28" s="322" t="n">
        <f aca="false">IFERROR(INDEX('[3]Lookup_Rem Ranges'!$E$1:$E$1048576,MATCH($AL:$AL,'[3]Lookup_Rem Ranges'!$C$1:$C$1048576,0)),0)</f>
        <v>86500</v>
      </c>
      <c r="AG28" s="322" t="n">
        <f aca="false">IFERROR(INDEX('[3]Lookup_Rem Ranges'!$F$1:$F$1048576,MATCH($AL:$AL,'[3]Lookup_Rem Ranges'!$C$1:$C$1048576,0)),)</f>
        <v>99500</v>
      </c>
      <c r="AH28" s="317" t="s">
        <v>291</v>
      </c>
      <c r="AI28" s="319"/>
      <c r="AJ28" s="323" t="n">
        <v>0</v>
      </c>
      <c r="AK28" s="316"/>
      <c r="AL28" s="324" t="str">
        <f aca="false">CONCATENATE(AM28,"",AN28)</f>
        <v>GI4</v>
      </c>
      <c r="AM28" s="324" t="s">
        <v>312</v>
      </c>
      <c r="AN28" s="319" t="n">
        <v>4</v>
      </c>
      <c r="AO28" s="316" t="s">
        <v>393</v>
      </c>
      <c r="AP28" s="325" t="n">
        <v>62500</v>
      </c>
      <c r="AQ28" s="322" t="n">
        <f aca="false">ROUND(IF($P:$P&gt;1,$AP:$AP*1,$AP:$AP*$P:$P),0)</f>
        <v>62500</v>
      </c>
      <c r="AR28" s="322" t="n">
        <f aca="false">IF(BA28="Yes",AP28,0)</f>
        <v>62500</v>
      </c>
      <c r="AS28" s="326" t="n">
        <v>0.0262725779967159</v>
      </c>
      <c r="AT28" s="326" t="n">
        <v>0</v>
      </c>
      <c r="AU28" s="327"/>
      <c r="AV28" s="322"/>
      <c r="AW28" s="328" t="n">
        <v>0</v>
      </c>
      <c r="AX28" s="322" t="n">
        <v>0</v>
      </c>
      <c r="AY28" s="322" t="n">
        <v>62500</v>
      </c>
      <c r="AZ28" s="329" t="n">
        <f aca="false">IFERROR(($AY:$AY+$AJ:$AJ+$AK:$AK)/$AF:$AF,0)</f>
        <v>0.722543352601156</v>
      </c>
      <c r="BA28" s="330" t="s">
        <v>293</v>
      </c>
      <c r="BB28" s="331" t="n">
        <v>3</v>
      </c>
      <c r="BC28" s="326" t="n">
        <f aca="false">IFERROR($BD:$BD/$AY:$AY,0)</f>
        <v>0.176</v>
      </c>
      <c r="BD28" s="332" t="n">
        <f aca="false">ROUND(IF($AY:$AY&lt;$AE:$AE,$AE:$AE-$AY:$AY,0),0)</f>
        <v>11000</v>
      </c>
      <c r="BE28" s="333" t="n">
        <v>0</v>
      </c>
      <c r="BF28" s="334" t="n">
        <f aca="false">ROUND($AR:$AR*$BE:$BE,0)</f>
        <v>0</v>
      </c>
      <c r="BG28" s="335" t="n">
        <v>0</v>
      </c>
      <c r="BH28" s="336" t="n">
        <f aca="false">ROUND($AR:$AR*$BG:$BG,0)</f>
        <v>0</v>
      </c>
      <c r="BI28" s="333" t="n">
        <v>0</v>
      </c>
      <c r="BJ28" s="334" t="n">
        <f aca="false">ROUND($AR:$AR*$BI:$BI,0)</f>
        <v>0</v>
      </c>
      <c r="BK28" s="334" t="n">
        <f aca="false">ROUND(IF($P:$P&gt;1,$BJ:$BJ*1,$BJ:$BJ*$P:$P),0)</f>
        <v>0</v>
      </c>
      <c r="BL28" s="337"/>
      <c r="BM28" s="338" t="n">
        <f aca="false">$BC:$BC+$BE:$BE+$BG:$BG</f>
        <v>0.176</v>
      </c>
      <c r="BN28" s="339" t="n">
        <f aca="false">$BD:$BD+$BF:$BF+$BH:$BH</f>
        <v>11000</v>
      </c>
      <c r="BO28" s="340" t="n">
        <f aca="false">IFERROR(ROUND($AY:$AY+$BN:$BN,0),0)</f>
        <v>73500</v>
      </c>
      <c r="BP28" s="341" t="n">
        <f aca="false">ROUND(IF(SUM($BO:$BO&lt;249080),SUM(ROUND($BO:$BO*11%,0)),27398.8),0)</f>
        <v>8085</v>
      </c>
      <c r="BQ28" s="342" t="n">
        <f aca="false">$BO:$BO+$BP:$BP</f>
        <v>81585</v>
      </c>
      <c r="BR28" s="329" t="n">
        <f aca="false">IFERROR(($BO:$BO+$AJ:$AJ+$AK:$AK)/$AF:$AF,0)</f>
        <v>0.84971098265896</v>
      </c>
      <c r="BS28" s="343" t="n">
        <f aca="false">IF($N:$N="CASUAL","TBC",ROUND($BN:$BN/(NETWORKDAYS("01/07/2023","30/06/2024"))*NETWORKDAYS("10/07/2023","04/09/2023"),0)*$P:$P)</f>
        <v>1735</v>
      </c>
      <c r="BT28" s="326" t="n">
        <f aca="false">$BM28+$BI28</f>
        <v>0.176</v>
      </c>
      <c r="BU28" s="332" t="n">
        <f aca="false">$BN:$BN+$BJ:$BJ</f>
        <v>11000</v>
      </c>
      <c r="BV28" s="342" t="n">
        <f aca="false">$BO:$BO*$P:$P</f>
        <v>73500</v>
      </c>
      <c r="BW28" s="344" t="n">
        <f aca="false">ROUND($BO:$BO/1976,2)</f>
        <v>37.2</v>
      </c>
      <c r="BX28" s="316"/>
      <c r="BY28" s="342" t="n">
        <f aca="false">$BQ:$BQ+$BX:$BX</f>
        <v>81585</v>
      </c>
      <c r="BZ28" s="345" t="s">
        <v>294</v>
      </c>
      <c r="CA28" s="316"/>
      <c r="CB28" s="316"/>
      <c r="CC28" s="324" t="str">
        <f aca="false">CONCATENATE(CD28,"",CE28)</f>
        <v/>
      </c>
      <c r="CD28" s="319"/>
      <c r="CE28" s="319"/>
      <c r="CF28" s="322" t="str">
        <f aca="false">IFERROR(INDEX('[4]Lookup_Rem Ranges'!$D$1:$D$1048576,MATCH($CC:$CC,'[4]Lookup_Rem Ranges'!$C$1:$C$1048576,0)),"")</f>
        <v/>
      </c>
      <c r="CG28" s="346"/>
      <c r="CH28" s="346"/>
      <c r="CI28" s="347"/>
      <c r="CJ28" s="348"/>
      <c r="CK28" s="342" t="n">
        <f aca="false">IFERROR(ROUND($CI:$CI*$CJ:$CJ,0),0)</f>
        <v>0</v>
      </c>
      <c r="CL28" s="342" t="n">
        <f aca="false">$CI:$CI+$CK:$CK</f>
        <v>0</v>
      </c>
      <c r="CM28" s="349"/>
      <c r="CN28" s="350" t="n">
        <f aca="false">IF(SUM($CL:$CL&lt;249080),SUM(ROUND($CL:$CL*11%,0)),27398.8)</f>
        <v>0</v>
      </c>
      <c r="CO28" s="350" t="s">
        <v>324</v>
      </c>
      <c r="CP28" s="351" t="n">
        <f aca="false">IF(BA28="Yes",3.25%,0)</f>
        <v>0.0325</v>
      </c>
      <c r="CQ28" s="352" t="n">
        <f aca="false">ROUND(AR28*CP28,0)</f>
        <v>2031</v>
      </c>
      <c r="CR28" s="353" t="n">
        <f aca="false">IF($AW:$AW&lt;3.25%,$AW:$AW,3.25%)</f>
        <v>0</v>
      </c>
      <c r="CS28" s="354" t="n">
        <f aca="false">ROUND($AR:$AR*$CR:$CR,0)</f>
        <v>0</v>
      </c>
      <c r="CT28" s="353" t="n">
        <f aca="false">IF($AW:$AW&gt;=3.25%,$AW:$AW-$CR:$CR,0)</f>
        <v>0</v>
      </c>
      <c r="CU28" s="354" t="n">
        <f aca="false">ROUND($AR:$AR*$CT:$CT,0)</f>
        <v>0</v>
      </c>
      <c r="CV28" s="353" t="n">
        <f aca="false">IF($CR:$CR=3.25%,0,IF($BC:$BC&lt;3.25%,$BC:$BC,IF($BC:$BC&gt;3.25%,3.25%-$CR:$CR,0)))</f>
        <v>0.0325</v>
      </c>
      <c r="CW28" s="354" t="n">
        <f aca="false">IFERROR(ROUND($AY:$AY*$CV:$CV,0),0)</f>
        <v>2031</v>
      </c>
      <c r="CX28" s="353" t="n">
        <f aca="false">IF($CV:$CV=0,$BC:$BC,BC:BC-$CV:$CV)</f>
        <v>0.1435</v>
      </c>
      <c r="CY28" s="354" t="n">
        <f aca="false">IFERROR(ROUND($AY:$AY*$CX:$CX,0),0)</f>
        <v>8969</v>
      </c>
      <c r="CZ28" s="353" t="n">
        <f aca="false">$CR:$CR+$CT:CT+$CV:$CV+$CX:$CX</f>
        <v>0.176</v>
      </c>
      <c r="DA28" s="353" t="n">
        <f aca="false">(SUM($AW:$AW+$BC:$BC)-$CZ:$CZ)</f>
        <v>0</v>
      </c>
      <c r="DB28" s="353"/>
      <c r="DC28" s="353" t="n">
        <f aca="false">$BE:$BE</f>
        <v>0</v>
      </c>
      <c r="DD28" s="354" t="n">
        <f aca="false">$BF:$BF</f>
        <v>0</v>
      </c>
      <c r="DE28" s="355" t="n">
        <f aca="false">$BI:$BI</f>
        <v>0</v>
      </c>
      <c r="DF28" s="354" t="n">
        <f aca="false">$BJ:$BJ</f>
        <v>0</v>
      </c>
      <c r="DG28" s="355" t="n">
        <f aca="false">$BG:$BG</f>
        <v>0</v>
      </c>
      <c r="DH28" s="354" t="n">
        <f aca="false">IFERROR(ROUND($AP:$AP*$DG:$DG,0),0)</f>
        <v>0</v>
      </c>
      <c r="DI28" s="353" t="n">
        <f aca="false">$CR:$CR+$CV:$CV+$DC:$DC+$DE:$DE+$DG:$DG</f>
        <v>0.0325</v>
      </c>
      <c r="DJ28" s="354" t="n">
        <f aca="false">$CS:$CS+$CW:$CW+$DD:$DD+$DF:$DF+$DH:$DH</f>
        <v>2031</v>
      </c>
      <c r="DK28" s="353" t="n">
        <f aca="false">$CT:$CT+$CX:$CX</f>
        <v>0.1435</v>
      </c>
      <c r="DL28" s="354" t="n">
        <f aca="false">$CU:$CU+$CY:$CY</f>
        <v>8969</v>
      </c>
      <c r="DM28" s="356"/>
      <c r="DN28" s="357"/>
      <c r="DO28" s="357"/>
      <c r="DP28" s="357"/>
      <c r="DQ28" s="357"/>
      <c r="DR28" s="357"/>
      <c r="DS28" s="357"/>
      <c r="DT28" s="357"/>
      <c r="DU28" s="357"/>
      <c r="DV28" s="357"/>
      <c r="DW28" s="357" t="s">
        <v>296</v>
      </c>
    </row>
    <row r="29" customFormat="false" ht="33.75" hidden="false" customHeight="false" outlineLevel="0" collapsed="false">
      <c r="A29" s="314"/>
      <c r="B29" s="315" t="s">
        <v>273</v>
      </c>
      <c r="C29" s="315" t="s">
        <v>394</v>
      </c>
      <c r="D29" s="315" t="n">
        <v>5120</v>
      </c>
      <c r="E29" s="316" t="s">
        <v>395</v>
      </c>
      <c r="F29" s="316" t="s">
        <v>396</v>
      </c>
      <c r="G29" s="316" t="s">
        <v>277</v>
      </c>
      <c r="H29" s="317" t="s">
        <v>397</v>
      </c>
      <c r="I29" s="316" t="s">
        <v>354</v>
      </c>
      <c r="J29" s="316" t="s">
        <v>355</v>
      </c>
      <c r="K29" s="318" t="n">
        <v>34099</v>
      </c>
      <c r="L29" s="318"/>
      <c r="M29" s="318" t="n">
        <v>44795</v>
      </c>
      <c r="N29" s="319" t="s">
        <v>281</v>
      </c>
      <c r="O29" s="319" t="n">
        <v>38</v>
      </c>
      <c r="P29" s="320" t="n">
        <f aca="false">$O:$O/38</f>
        <v>1</v>
      </c>
      <c r="Q29" s="316" t="s">
        <v>320</v>
      </c>
      <c r="R29" s="316" t="n">
        <v>18151</v>
      </c>
      <c r="S29" s="316" t="s">
        <v>390</v>
      </c>
      <c r="T29" s="316" t="s">
        <v>391</v>
      </c>
      <c r="U29" s="316" t="s">
        <v>392</v>
      </c>
      <c r="V29" s="317" t="s">
        <v>58</v>
      </c>
      <c r="W29" s="317" t="s">
        <v>64</v>
      </c>
      <c r="X29" s="317" t="s">
        <v>286</v>
      </c>
      <c r="Y29" s="321" t="s">
        <v>287</v>
      </c>
      <c r="Z29" s="317" t="s">
        <v>356</v>
      </c>
      <c r="AA29" s="316" t="s">
        <v>311</v>
      </c>
      <c r="AB29" s="321" t="s">
        <v>357</v>
      </c>
      <c r="AC29" s="317" t="s">
        <v>289</v>
      </c>
      <c r="AD29" s="321" t="s">
        <v>290</v>
      </c>
      <c r="AE29" s="322" t="n">
        <f aca="false">IFERROR(INDEX('[3]Lookup_Rem Ranges'!$D$1:$D$1048576,MATCH($AL:$AL,'[3]Lookup_Rem Ranges'!$C$1:$C$1048576,0)),0)</f>
        <v>73500</v>
      </c>
      <c r="AF29" s="322" t="n">
        <f aca="false">IFERROR(INDEX('[3]Lookup_Rem Ranges'!$E$1:$E$1048576,MATCH($AL:$AL,'[3]Lookup_Rem Ranges'!$C$1:$C$1048576,0)),0)</f>
        <v>86500</v>
      </c>
      <c r="AG29" s="322" t="n">
        <f aca="false">IFERROR(INDEX('[3]Lookup_Rem Ranges'!$F$1:$F$1048576,MATCH($AL:$AL,'[3]Lookup_Rem Ranges'!$C$1:$C$1048576,0)),)</f>
        <v>99500</v>
      </c>
      <c r="AH29" s="317" t="s">
        <v>398</v>
      </c>
      <c r="AI29" s="319"/>
      <c r="AJ29" s="323" t="n">
        <v>0</v>
      </c>
      <c r="AK29" s="316"/>
      <c r="AL29" s="324" t="str">
        <f aca="false">CONCATENATE(AM29,"",AN29)</f>
        <v>GI4</v>
      </c>
      <c r="AM29" s="324" t="s">
        <v>312</v>
      </c>
      <c r="AN29" s="319" t="n">
        <v>4</v>
      </c>
      <c r="AO29" s="316"/>
      <c r="AP29" s="325" t="n">
        <v>87500</v>
      </c>
      <c r="AQ29" s="322" t="n">
        <f aca="false">ROUND(IF($P:$P&gt;1,$AP:$AP*1,$AP:$AP*$P:$P),0)</f>
        <v>87500</v>
      </c>
      <c r="AR29" s="322" t="n">
        <f aca="false">IF(BA29="Yes",AP29,0)</f>
        <v>87500</v>
      </c>
      <c r="AS29" s="326" t="n">
        <v>0.0206451612903226</v>
      </c>
      <c r="AT29" s="326" t="n">
        <v>0</v>
      </c>
      <c r="AU29" s="327"/>
      <c r="AV29" s="322"/>
      <c r="AW29" s="328" t="n">
        <v>0</v>
      </c>
      <c r="AX29" s="322" t="n">
        <v>0</v>
      </c>
      <c r="AY29" s="322" t="n">
        <v>87500</v>
      </c>
      <c r="AZ29" s="329" t="n">
        <f aca="false">IFERROR(($AY:$AY+$AJ:$AJ+$AK:$AK)/$AF:$AF,0)</f>
        <v>1.01156069364162</v>
      </c>
      <c r="BA29" s="330" t="s">
        <v>293</v>
      </c>
      <c r="BB29" s="331" t="n">
        <v>3</v>
      </c>
      <c r="BC29" s="326" t="n">
        <f aca="false">IFERROR($BD:$BD/$AY:$AY,0)</f>
        <v>0</v>
      </c>
      <c r="BD29" s="332" t="n">
        <f aca="false">ROUND(IF($AY:$AY&lt;$AE:$AE,$AE:$AE-$AY:$AY,0),0)</f>
        <v>0</v>
      </c>
      <c r="BE29" s="333" t="n">
        <v>0.0325</v>
      </c>
      <c r="BF29" s="334" t="n">
        <f aca="false">ROUND($AR:$AR*$BE:$BE,0)</f>
        <v>2844</v>
      </c>
      <c r="BG29" s="335" t="n">
        <v>0</v>
      </c>
      <c r="BH29" s="336" t="n">
        <f aca="false">ROUND($AR:$AR*$BG:$BG,0)</f>
        <v>0</v>
      </c>
      <c r="BI29" s="333" t="n">
        <v>0</v>
      </c>
      <c r="BJ29" s="334" t="n">
        <f aca="false">ROUND($AR:$AR*$BI:$BI,0)</f>
        <v>0</v>
      </c>
      <c r="BK29" s="334" t="n">
        <f aca="false">ROUND(IF($P:$P&gt;1,$BJ:$BJ*1,$BJ:$BJ*$P:$P),0)</f>
        <v>0</v>
      </c>
      <c r="BL29" s="337"/>
      <c r="BM29" s="338" t="n">
        <f aca="false">$BC:$BC+$BE:$BE+$BG:$BG</f>
        <v>0.0325</v>
      </c>
      <c r="BN29" s="339" t="n">
        <f aca="false">$BD:$BD+$BF:$BF+$BH:$BH</f>
        <v>2844</v>
      </c>
      <c r="BO29" s="340" t="n">
        <f aca="false">IFERROR(ROUND($AY:$AY+$BN:$BN,0),0)</f>
        <v>90344</v>
      </c>
      <c r="BP29" s="341" t="n">
        <f aca="false">ROUND(IF(SUM($BO:$BO&lt;249080),SUM(ROUND($BO:$BO*11%,0)),27398.8),0)</f>
        <v>9938</v>
      </c>
      <c r="BQ29" s="342" t="n">
        <f aca="false">$BO:$BO+$BP:$BP</f>
        <v>100282</v>
      </c>
      <c r="BR29" s="329" t="n">
        <f aca="false">IFERROR(($BO:$BO+$AJ:$AJ+$AK:$AK)/$AF:$AF,0)</f>
        <v>1.04443930635838</v>
      </c>
      <c r="BS29" s="343" t="n">
        <f aca="false">IF($N:$N="CASUAL","TBC",ROUND($BN:$BN/(NETWORKDAYS("01/07/2023","30/06/2024"))*NETWORKDAYS("10/07/2023","04/09/2023"),0)*$P:$P)</f>
        <v>448</v>
      </c>
      <c r="BT29" s="326" t="n">
        <f aca="false">$BM29+$BI29</f>
        <v>0.0325</v>
      </c>
      <c r="BU29" s="332" t="n">
        <f aca="false">$BN:$BN+$BJ:$BJ</f>
        <v>2844</v>
      </c>
      <c r="BV29" s="342" t="n">
        <f aca="false">$BO:$BO*$P:$P</f>
        <v>90344</v>
      </c>
      <c r="BW29" s="344" t="n">
        <f aca="false">ROUND($BO:$BO/1976,2)</f>
        <v>45.72</v>
      </c>
      <c r="BX29" s="316"/>
      <c r="BY29" s="342" t="n">
        <f aca="false">$BQ:$BQ+$BX:$BX</f>
        <v>100282</v>
      </c>
      <c r="BZ29" s="345" t="s">
        <v>294</v>
      </c>
      <c r="CA29" s="316"/>
      <c r="CB29" s="316"/>
      <c r="CC29" s="324" t="str">
        <f aca="false">CONCATENATE(CD29,"",CE29)</f>
        <v/>
      </c>
      <c r="CD29" s="319"/>
      <c r="CE29" s="319"/>
      <c r="CF29" s="322" t="str">
        <f aca="false">IFERROR(INDEX('[4]Lookup_Rem Ranges'!$D$1:$D$1048576,MATCH($CC:$CC,'[4]Lookup_Rem Ranges'!$C$1:$C$1048576,0)),"")</f>
        <v/>
      </c>
      <c r="CG29" s="346"/>
      <c r="CH29" s="346"/>
      <c r="CI29" s="347"/>
      <c r="CJ29" s="348"/>
      <c r="CK29" s="342" t="n">
        <f aca="false">IFERROR(ROUND($CI:$CI*$CJ:$CJ,0),0)</f>
        <v>0</v>
      </c>
      <c r="CL29" s="342" t="n">
        <f aca="false">$CI:$CI+$CK:$CK</f>
        <v>0</v>
      </c>
      <c r="CM29" s="349"/>
      <c r="CN29" s="350" t="n">
        <f aca="false">IF(SUM($CL:$CL&lt;249080),SUM(ROUND($CL:$CL*11%,0)),27398.8)</f>
        <v>0</v>
      </c>
      <c r="CO29" s="350" t="s">
        <v>324</v>
      </c>
      <c r="CP29" s="351" t="n">
        <f aca="false">IF(BA29="Yes",3.25%,0)</f>
        <v>0.0325</v>
      </c>
      <c r="CQ29" s="352" t="n">
        <f aca="false">ROUND(AR29*CP29,0)</f>
        <v>2844</v>
      </c>
      <c r="CR29" s="353" t="n">
        <f aca="false">IF($AW:$AW&lt;3.25%,$AW:$AW,3.25%)</f>
        <v>0</v>
      </c>
      <c r="CS29" s="354" t="n">
        <f aca="false">ROUND($AR:$AR*$CR:$CR,0)</f>
        <v>0</v>
      </c>
      <c r="CT29" s="353" t="n">
        <f aca="false">IF($AW:$AW&gt;=3.25%,$AW:$AW-$CR:$CR,0)</f>
        <v>0</v>
      </c>
      <c r="CU29" s="354" t="n">
        <f aca="false">ROUND($AR:$AR*$CT:$CT,0)</f>
        <v>0</v>
      </c>
      <c r="CV29" s="353" t="n">
        <f aca="false">IF($CR:$CR=3.25%,0,IF($BC:$BC&lt;3.25%,$BC:$BC,IF($BC:$BC&gt;3.25%,3.25%-$CR:$CR,0)))</f>
        <v>0</v>
      </c>
      <c r="CW29" s="354" t="n">
        <f aca="false">IFERROR(ROUND($AY:$AY*$CV:$CV,0),0)</f>
        <v>0</v>
      </c>
      <c r="CX29" s="353" t="n">
        <f aca="false">IF($CV:$CV=0,$BC:$BC,BC:BC-$CV:$CV)</f>
        <v>0</v>
      </c>
      <c r="CY29" s="354" t="n">
        <f aca="false">IFERROR(ROUND($AY:$AY*$CX:$CX,0),0)</f>
        <v>0</v>
      </c>
      <c r="CZ29" s="353" t="n">
        <f aca="false">$CR:$CR+$CT:CT+$CV:$CV+$CX:$CX</f>
        <v>0</v>
      </c>
      <c r="DA29" s="353" t="n">
        <f aca="false">(SUM($AW:$AW+$BC:$BC)-$CZ:$CZ)</f>
        <v>0</v>
      </c>
      <c r="DB29" s="353"/>
      <c r="DC29" s="353" t="n">
        <f aca="false">$BE:$BE</f>
        <v>0.0325</v>
      </c>
      <c r="DD29" s="354" t="n">
        <f aca="false">$BF:$BF</f>
        <v>2844</v>
      </c>
      <c r="DE29" s="355" t="n">
        <f aca="false">$BI:$BI</f>
        <v>0</v>
      </c>
      <c r="DF29" s="354" t="n">
        <f aca="false">$BJ:$BJ</f>
        <v>0</v>
      </c>
      <c r="DG29" s="355" t="n">
        <f aca="false">$BG:$BG</f>
        <v>0</v>
      </c>
      <c r="DH29" s="354" t="n">
        <f aca="false">IFERROR(ROUND($AP:$AP*$DG:$DG,0),0)</f>
        <v>0</v>
      </c>
      <c r="DI29" s="353" t="n">
        <f aca="false">$CR:$CR+$CV:$CV+$DC:$DC+$DE:$DE+$DG:$DG</f>
        <v>0.0325</v>
      </c>
      <c r="DJ29" s="354" t="n">
        <f aca="false">$CS:$CS+$CW:$CW+$DD:$DD+$DF:$DF+$DH:$DH</f>
        <v>2844</v>
      </c>
      <c r="DK29" s="353" t="n">
        <f aca="false">$CT:$CT+$CX:$CX</f>
        <v>0</v>
      </c>
      <c r="DL29" s="354" t="n">
        <f aca="false">$CU:$CU+$CY:$CY</f>
        <v>0</v>
      </c>
      <c r="DM29" s="356"/>
      <c r="DN29" s="357"/>
      <c r="DO29" s="357"/>
      <c r="DP29" s="357"/>
      <c r="DQ29" s="357"/>
      <c r="DR29" s="357"/>
      <c r="DS29" s="357"/>
      <c r="DT29" s="357"/>
      <c r="DU29" s="357"/>
      <c r="DV29" s="357"/>
      <c r="DW29" s="357" t="s">
        <v>296</v>
      </c>
    </row>
    <row r="30" customFormat="false" ht="33.75" hidden="false" customHeight="false" outlineLevel="0" collapsed="false">
      <c r="A30" s="314"/>
      <c r="B30" s="315" t="s">
        <v>273</v>
      </c>
      <c r="C30" s="315" t="s">
        <v>399</v>
      </c>
      <c r="D30" s="315" t="n">
        <v>21403</v>
      </c>
      <c r="E30" s="316" t="s">
        <v>400</v>
      </c>
      <c r="F30" s="316" t="s">
        <v>401</v>
      </c>
      <c r="G30" s="316" t="s">
        <v>277</v>
      </c>
      <c r="H30" s="317" t="s">
        <v>402</v>
      </c>
      <c r="I30" s="316" t="s">
        <v>403</v>
      </c>
      <c r="J30" s="316" t="s">
        <v>404</v>
      </c>
      <c r="K30" s="318" t="n">
        <v>44866</v>
      </c>
      <c r="L30" s="318"/>
      <c r="M30" s="318" t="n">
        <v>44866</v>
      </c>
      <c r="N30" s="319" t="s">
        <v>281</v>
      </c>
      <c r="O30" s="319" t="n">
        <v>38</v>
      </c>
      <c r="P30" s="320" t="n">
        <f aca="false">$O:$O/38</f>
        <v>1</v>
      </c>
      <c r="Q30" s="316" t="s">
        <v>332</v>
      </c>
      <c r="R30" s="316" t="n">
        <v>18151</v>
      </c>
      <c r="S30" s="316" t="s">
        <v>390</v>
      </c>
      <c r="T30" s="316" t="s">
        <v>391</v>
      </c>
      <c r="U30" s="316" t="s">
        <v>392</v>
      </c>
      <c r="V30" s="317" t="s">
        <v>58</v>
      </c>
      <c r="W30" s="317" t="s">
        <v>64</v>
      </c>
      <c r="X30" s="317" t="s">
        <v>286</v>
      </c>
      <c r="Y30" s="321" t="s">
        <v>287</v>
      </c>
      <c r="Z30" s="317" t="s">
        <v>356</v>
      </c>
      <c r="AA30" s="316" t="s">
        <v>311</v>
      </c>
      <c r="AB30" s="321" t="s">
        <v>357</v>
      </c>
      <c r="AC30" s="317" t="s">
        <v>289</v>
      </c>
      <c r="AD30" s="321" t="s">
        <v>290</v>
      </c>
      <c r="AE30" s="322" t="n">
        <f aca="false">IFERROR(INDEX('[3]Lookup_Rem Ranges'!$D$1:$D$1048576,MATCH($AL:$AL,'[3]Lookup_Rem Ranges'!$C$1:$C$1048576,0)),0)</f>
        <v>88700</v>
      </c>
      <c r="AF30" s="322" t="n">
        <f aca="false">IFERROR(INDEX('[3]Lookup_Rem Ranges'!$E$1:$E$1048576,MATCH($AL:$AL,'[3]Lookup_Rem Ranges'!$C$1:$C$1048576,0)),0)</f>
        <v>104300</v>
      </c>
      <c r="AG30" s="322" t="n">
        <f aca="false">IFERROR(INDEX('[3]Lookup_Rem Ranges'!$F$1:$F$1048576,MATCH($AL:$AL,'[3]Lookup_Rem Ranges'!$C$1:$C$1048576,0)),)</f>
        <v>119900</v>
      </c>
      <c r="AH30" s="317" t="s">
        <v>291</v>
      </c>
      <c r="AI30" s="319"/>
      <c r="AJ30" s="323" t="n">
        <v>0</v>
      </c>
      <c r="AK30" s="316"/>
      <c r="AL30" s="324" t="str">
        <f aca="false">CONCATENATE(AM30,"",AN30)</f>
        <v>GI5</v>
      </c>
      <c r="AM30" s="324" t="s">
        <v>312</v>
      </c>
      <c r="AN30" s="319" t="n">
        <v>5</v>
      </c>
      <c r="AO30" s="316" t="s">
        <v>358</v>
      </c>
      <c r="AP30" s="325" t="n">
        <v>95000</v>
      </c>
      <c r="AQ30" s="322" t="n">
        <f aca="false">ROUND(IF($P:$P&gt;1,$AP:$AP*1,$AP:$AP*$P:$P),0)</f>
        <v>95000</v>
      </c>
      <c r="AR30" s="322" t="n">
        <f aca="false">IF(BA30="Yes",AP30,0)</f>
        <v>0</v>
      </c>
      <c r="AS30" s="326" t="s">
        <v>339</v>
      </c>
      <c r="AT30" s="326" t="n">
        <v>0</v>
      </c>
      <c r="AU30" s="327"/>
      <c r="AV30" s="322"/>
      <c r="AW30" s="328" t="n">
        <v>0</v>
      </c>
      <c r="AX30" s="322" t="n">
        <v>0</v>
      </c>
      <c r="AY30" s="322" t="n">
        <v>95000</v>
      </c>
      <c r="AZ30" s="329" t="n">
        <f aca="false">IFERROR(($AY:$AY+$AJ:$AJ+$AK:$AK)/$AF:$AF,0)</f>
        <v>0.910834132310642</v>
      </c>
      <c r="BA30" s="330" t="s">
        <v>294</v>
      </c>
      <c r="BB30" s="331" t="n">
        <v>3</v>
      </c>
      <c r="BC30" s="326" t="n">
        <f aca="false">IFERROR($BD:$BD/$AY:$AY,0)</f>
        <v>0</v>
      </c>
      <c r="BD30" s="332" t="n">
        <f aca="false">ROUND(IF($AY:$AY&lt;$AE:$AE,$AE:$AE-$AY:$AY,0),0)</f>
        <v>0</v>
      </c>
      <c r="BE30" s="333" t="n">
        <v>0</v>
      </c>
      <c r="BF30" s="334" t="n">
        <f aca="false">ROUND($AR:$AR*$BE:$BE,0)</f>
        <v>0</v>
      </c>
      <c r="BG30" s="335" t="n">
        <v>0</v>
      </c>
      <c r="BH30" s="336" t="n">
        <f aca="false">ROUND($AR:$AR*$BG:$BG,0)</f>
        <v>0</v>
      </c>
      <c r="BI30" s="333" t="n">
        <v>0</v>
      </c>
      <c r="BJ30" s="334" t="n">
        <f aca="false">ROUND($AR:$AR*$BI:$BI,0)</f>
        <v>0</v>
      </c>
      <c r="BK30" s="334" t="n">
        <f aca="false">ROUND(IF($P:$P&gt;1,$BJ:$BJ*1,$BJ:$BJ*$P:$P),0)</f>
        <v>0</v>
      </c>
      <c r="BL30" s="337"/>
      <c r="BM30" s="338" t="n">
        <f aca="false">$BC:$BC+$BE:$BE+$BG:$BG</f>
        <v>0</v>
      </c>
      <c r="BN30" s="339" t="n">
        <f aca="false">$BD:$BD+$BF:$BF+$BH:$BH</f>
        <v>0</v>
      </c>
      <c r="BO30" s="340" t="n">
        <f aca="false">IFERROR(ROUND($AY:$AY+$BN:$BN,0),0)</f>
        <v>95000</v>
      </c>
      <c r="BP30" s="341" t="n">
        <f aca="false">ROUND(IF(SUM($BO:$BO&lt;249080),SUM(ROUND($BO:$BO*11%,0)),27398.8),0)</f>
        <v>10450</v>
      </c>
      <c r="BQ30" s="342" t="n">
        <f aca="false">$BO:$BO+$BP:$BP</f>
        <v>105450</v>
      </c>
      <c r="BR30" s="329" t="n">
        <f aca="false">IFERROR(($BO:$BO+$AJ:$AJ+$AK:$AK)/$AF:$AF,0)</f>
        <v>0.910834132310642</v>
      </c>
      <c r="BS30" s="343" t="n">
        <f aca="false">IF($N:$N="CASUAL","TBC",ROUND($BN:$BN/(NETWORKDAYS("01/07/2023","30/06/2024"))*NETWORKDAYS("10/07/2023","04/09/2023"),0)*$P:$P)</f>
        <v>0</v>
      </c>
      <c r="BT30" s="326" t="n">
        <f aca="false">$BM30+$BI30</f>
        <v>0</v>
      </c>
      <c r="BU30" s="332" t="n">
        <f aca="false">$BN:$BN+$BJ:$BJ</f>
        <v>0</v>
      </c>
      <c r="BV30" s="342" t="n">
        <f aca="false">$BO:$BO*$P:$P</f>
        <v>95000</v>
      </c>
      <c r="BW30" s="344" t="n">
        <f aca="false">ROUND($BO:$BO/1976,2)</f>
        <v>48.08</v>
      </c>
      <c r="BX30" s="316"/>
      <c r="BY30" s="342" t="n">
        <f aca="false">$BQ:$BQ+$BX:$BX</f>
        <v>105450</v>
      </c>
      <c r="BZ30" s="345" t="s">
        <v>294</v>
      </c>
      <c r="CA30" s="316"/>
      <c r="CB30" s="316"/>
      <c r="CC30" s="324" t="str">
        <f aca="false">CONCATENATE(CD30,"",CE30)</f>
        <v/>
      </c>
      <c r="CD30" s="319"/>
      <c r="CE30" s="319"/>
      <c r="CF30" s="322" t="str">
        <f aca="false">IFERROR(INDEX('[4]Lookup_Rem Ranges'!$D$1:$D$1048576,MATCH($CC:$CC,'[4]Lookup_Rem Ranges'!$C$1:$C$1048576,0)),"")</f>
        <v/>
      </c>
      <c r="CG30" s="346"/>
      <c r="CH30" s="346"/>
      <c r="CI30" s="347"/>
      <c r="CJ30" s="348"/>
      <c r="CK30" s="342" t="n">
        <f aca="false">IFERROR(ROUND($CI:$CI*$CJ:$CJ,0),0)</f>
        <v>0</v>
      </c>
      <c r="CL30" s="342" t="n">
        <f aca="false">$CI:$CI+$CK:$CK</f>
        <v>0</v>
      </c>
      <c r="CM30" s="349"/>
      <c r="CN30" s="350" t="n">
        <f aca="false">IF(SUM($CL:$CL&lt;249080),SUM(ROUND($CL:$CL*11%,0)),27398.8)</f>
        <v>0</v>
      </c>
      <c r="CO30" s="350" t="s">
        <v>324</v>
      </c>
      <c r="CP30" s="351" t="n">
        <f aca="false">IF(BA30="Yes",3.25%,0)</f>
        <v>0</v>
      </c>
      <c r="CQ30" s="352" t="n">
        <f aca="false">ROUND(AR30*CP30,0)</f>
        <v>0</v>
      </c>
      <c r="CR30" s="353" t="n">
        <f aca="false">IF($AW:$AW&lt;3.25%,$AW:$AW,3.25%)</f>
        <v>0</v>
      </c>
      <c r="CS30" s="354" t="n">
        <f aca="false">ROUND($AR:$AR*$CR:$CR,0)</f>
        <v>0</v>
      </c>
      <c r="CT30" s="353" t="n">
        <f aca="false">IF($AW:$AW&gt;=3.25%,$AW:$AW-$CR:$CR,0)</f>
        <v>0</v>
      </c>
      <c r="CU30" s="354" t="n">
        <f aca="false">ROUND($AR:$AR*$CT:$CT,0)</f>
        <v>0</v>
      </c>
      <c r="CV30" s="353" t="n">
        <f aca="false">IF($CR:$CR=3.25%,0,IF($BC:$BC&lt;3.25%,$BC:$BC,IF($BC:$BC&gt;3.25%,3.25%-$CR:$CR,0)))</f>
        <v>0</v>
      </c>
      <c r="CW30" s="354" t="n">
        <f aca="false">IFERROR(ROUND($AY:$AY*$CV:$CV,0),0)</f>
        <v>0</v>
      </c>
      <c r="CX30" s="353" t="n">
        <f aca="false">IF($CV:$CV=0,$BC:$BC,BC:BC-$CV:$CV)</f>
        <v>0</v>
      </c>
      <c r="CY30" s="354" t="n">
        <f aca="false">IFERROR(ROUND($AY:$AY*$CX:$CX,0),0)</f>
        <v>0</v>
      </c>
      <c r="CZ30" s="353" t="n">
        <f aca="false">$CR:$CR+$CT:CT+$CV:$CV+$CX:$CX</f>
        <v>0</v>
      </c>
      <c r="DA30" s="353" t="n">
        <f aca="false">(SUM($AW:$AW+$BC:$BC)-$CZ:$CZ)</f>
        <v>0</v>
      </c>
      <c r="DB30" s="353"/>
      <c r="DC30" s="353" t="n">
        <f aca="false">$BE:$BE</f>
        <v>0</v>
      </c>
      <c r="DD30" s="354" t="n">
        <f aca="false">$BF:$BF</f>
        <v>0</v>
      </c>
      <c r="DE30" s="355" t="n">
        <f aca="false">$BI:$BI</f>
        <v>0</v>
      </c>
      <c r="DF30" s="354" t="n">
        <f aca="false">$BJ:$BJ</f>
        <v>0</v>
      </c>
      <c r="DG30" s="355" t="n">
        <f aca="false">$BG:$BG</f>
        <v>0</v>
      </c>
      <c r="DH30" s="354" t="n">
        <f aca="false">IFERROR(ROUND($AP:$AP*$DG:$DG,0),0)</f>
        <v>0</v>
      </c>
      <c r="DI30" s="353" t="n">
        <f aca="false">$CR:$CR+$CV:$CV+$DC:$DC+$DE:$DE+$DG:$DG</f>
        <v>0</v>
      </c>
      <c r="DJ30" s="354" t="n">
        <f aca="false">$CS:$CS+$CW:$CW+$DD:$DD+$DF:$DF+$DH:$DH</f>
        <v>0</v>
      </c>
      <c r="DK30" s="353" t="n">
        <f aca="false">$CT:$CT+$CX:$CX</f>
        <v>0</v>
      </c>
      <c r="DL30" s="354" t="n">
        <f aca="false">$CU:$CU+$CY:$CY</f>
        <v>0</v>
      </c>
      <c r="DM30" s="356"/>
      <c r="DN30" s="357"/>
      <c r="DO30" s="357"/>
      <c r="DP30" s="357"/>
      <c r="DQ30" s="357"/>
      <c r="DR30" s="357"/>
      <c r="DS30" s="357"/>
      <c r="DT30" s="357"/>
      <c r="DU30" s="357"/>
      <c r="DV30" s="357"/>
      <c r="DW30" s="357" t="s">
        <v>296</v>
      </c>
    </row>
    <row r="31" customFormat="false" ht="36" hidden="false" customHeight="false" outlineLevel="0" collapsed="false">
      <c r="A31" s="314"/>
      <c r="B31" s="315" t="s">
        <v>273</v>
      </c>
      <c r="C31" s="315" t="s">
        <v>405</v>
      </c>
      <c r="D31" s="315" t="n">
        <v>11634</v>
      </c>
      <c r="E31" s="316" t="s">
        <v>406</v>
      </c>
      <c r="F31" s="316" t="s">
        <v>407</v>
      </c>
      <c r="G31" s="316" t="s">
        <v>277</v>
      </c>
      <c r="H31" s="317" t="s">
        <v>408</v>
      </c>
      <c r="I31" s="316" t="s">
        <v>409</v>
      </c>
      <c r="J31" s="316" t="s">
        <v>410</v>
      </c>
      <c r="K31" s="318" t="n">
        <v>40603</v>
      </c>
      <c r="L31" s="318"/>
      <c r="M31" s="318" t="n">
        <v>44998</v>
      </c>
      <c r="N31" s="319" t="s">
        <v>281</v>
      </c>
      <c r="O31" s="319" t="n">
        <v>38</v>
      </c>
      <c r="P31" s="320" t="n">
        <f aca="false">$O:$O/38</f>
        <v>1</v>
      </c>
      <c r="Q31" s="316" t="s">
        <v>372</v>
      </c>
      <c r="R31" s="316" t="n">
        <v>18959</v>
      </c>
      <c r="S31" s="316" t="s">
        <v>411</v>
      </c>
      <c r="T31" s="316" t="s">
        <v>412</v>
      </c>
      <c r="U31" s="316" t="s">
        <v>413</v>
      </c>
      <c r="V31" s="317" t="s">
        <v>58</v>
      </c>
      <c r="W31" s="317" t="s">
        <v>64</v>
      </c>
      <c r="X31" s="317" t="s">
        <v>286</v>
      </c>
      <c r="Y31" s="321" t="s">
        <v>287</v>
      </c>
      <c r="Z31" s="317" t="s">
        <v>356</v>
      </c>
      <c r="AA31" s="316" t="s">
        <v>311</v>
      </c>
      <c r="AB31" s="321" t="s">
        <v>357</v>
      </c>
      <c r="AC31" s="317" t="s">
        <v>289</v>
      </c>
      <c r="AD31" s="321" t="s">
        <v>290</v>
      </c>
      <c r="AE31" s="322" t="n">
        <f aca="false">IFERROR(INDEX('[3]Lookup_Rem Ranges'!$D$1:$D$1048576,MATCH($AL:$AL,'[3]Lookup_Rem Ranges'!$C$1:$C$1048576,0)),0)</f>
        <v>64900</v>
      </c>
      <c r="AF31" s="322" t="n">
        <f aca="false">IFERROR(INDEX('[3]Lookup_Rem Ranges'!$E$1:$E$1048576,MATCH($AL:$AL,'[3]Lookup_Rem Ranges'!$C$1:$C$1048576,0)),0)</f>
        <v>76300</v>
      </c>
      <c r="AG31" s="322" t="n">
        <f aca="false">IFERROR(INDEX('[3]Lookup_Rem Ranges'!$F$1:$F$1048576,MATCH($AL:$AL,'[3]Lookup_Rem Ranges'!$C$1:$C$1048576,0)),)</f>
        <v>87700</v>
      </c>
      <c r="AH31" s="317" t="s">
        <v>291</v>
      </c>
      <c r="AI31" s="319"/>
      <c r="AJ31" s="323" t="n">
        <v>0</v>
      </c>
      <c r="AK31" s="316"/>
      <c r="AL31" s="324" t="str">
        <f aca="false">CONCATENATE(AM31,"",AN31)</f>
        <v>GI3</v>
      </c>
      <c r="AM31" s="324" t="s">
        <v>312</v>
      </c>
      <c r="AN31" s="319" t="n">
        <v>3</v>
      </c>
      <c r="AO31" s="316" t="s">
        <v>365</v>
      </c>
      <c r="AP31" s="325" t="n">
        <v>60000</v>
      </c>
      <c r="AQ31" s="322" t="n">
        <f aca="false">ROUND(IF($P:$P&gt;1,$AP:$AP*1,$AP:$AP*$P:$P),0)</f>
        <v>60000</v>
      </c>
      <c r="AR31" s="322" t="n">
        <f aca="false">IF(BA31="Yes",AP31,0)</f>
        <v>0</v>
      </c>
      <c r="AS31" s="326" t="s">
        <v>339</v>
      </c>
      <c r="AT31" s="326" t="n">
        <v>0</v>
      </c>
      <c r="AU31" s="327"/>
      <c r="AV31" s="322"/>
      <c r="AW31" s="328" t="n">
        <v>0</v>
      </c>
      <c r="AX31" s="322" t="n">
        <v>0</v>
      </c>
      <c r="AY31" s="322" t="n">
        <v>60000</v>
      </c>
      <c r="AZ31" s="329" t="n">
        <f aca="false">IFERROR(($AY:$AY+$AJ:$AJ+$AK:$AK)/$AF:$AF,0)</f>
        <v>0.786369593709043</v>
      </c>
      <c r="BA31" s="330" t="s">
        <v>294</v>
      </c>
      <c r="BB31" s="331" t="n">
        <v>3</v>
      </c>
      <c r="BC31" s="326" t="n">
        <f aca="false">IFERROR($BD:$BD/$AY:$AY,0)</f>
        <v>0</v>
      </c>
      <c r="BD31" s="332" t="n">
        <v>0</v>
      </c>
      <c r="BE31" s="333" t="n">
        <v>0</v>
      </c>
      <c r="BF31" s="334" t="n">
        <f aca="false">ROUND($AR:$AR*$BE:$BE,0)</f>
        <v>0</v>
      </c>
      <c r="BG31" s="335" t="n">
        <v>0</v>
      </c>
      <c r="BH31" s="336" t="n">
        <f aca="false">ROUND($AR:$AR*$BG:$BG,0)</f>
        <v>0</v>
      </c>
      <c r="BI31" s="333" t="n">
        <v>0</v>
      </c>
      <c r="BJ31" s="334" t="n">
        <f aca="false">ROUND($AR:$AR*$BI:$BI,0)</f>
        <v>0</v>
      </c>
      <c r="BK31" s="334" t="n">
        <f aca="false">ROUND(IF($P:$P&gt;1,$BJ:$BJ*1,$BJ:$BJ*$P:$P),0)</f>
        <v>0</v>
      </c>
      <c r="BL31" s="337"/>
      <c r="BM31" s="338" t="n">
        <f aca="false">$BC:$BC+$BE:$BE+$BG:$BG</f>
        <v>0</v>
      </c>
      <c r="BN31" s="339" t="n">
        <f aca="false">$BD:$BD+$BF:$BF+$BH:$BH</f>
        <v>0</v>
      </c>
      <c r="BO31" s="340" t="n">
        <f aca="false">IFERROR(ROUND($AY:$AY+$BN:$BN,0),0)</f>
        <v>60000</v>
      </c>
      <c r="BP31" s="341" t="n">
        <f aca="false">ROUND(IF(SUM($BO:$BO&lt;249080),SUM(ROUND($BO:$BO*11%,0)),27398.8),0)</f>
        <v>6600</v>
      </c>
      <c r="BQ31" s="342" t="n">
        <f aca="false">$BO:$BO+$BP:$BP</f>
        <v>66600</v>
      </c>
      <c r="BR31" s="329" t="n">
        <f aca="false">IFERROR(($BO:$BO+$AJ:$AJ+$AK:$AK)/$AF:$AF,0)</f>
        <v>0.786369593709043</v>
      </c>
      <c r="BS31" s="343" t="n">
        <f aca="false">IF($N:$N="CASUAL","TBC",ROUND($BN:$BN/(NETWORKDAYS("01/07/2023","30/06/2024"))*NETWORKDAYS("10/07/2023","04/09/2023"),0)*$P:$P)</f>
        <v>0</v>
      </c>
      <c r="BT31" s="326" t="n">
        <f aca="false">$BM31+$BI31</f>
        <v>0</v>
      </c>
      <c r="BU31" s="332" t="n">
        <f aca="false">$BN:$BN+$BJ:$BJ</f>
        <v>0</v>
      </c>
      <c r="BV31" s="342" t="n">
        <f aca="false">$BO:$BO*$P:$P</f>
        <v>60000</v>
      </c>
      <c r="BW31" s="344" t="n">
        <f aca="false">ROUND($BO:$BO/1976,2)</f>
        <v>30.36</v>
      </c>
      <c r="BX31" s="316"/>
      <c r="BY31" s="342" t="n">
        <f aca="false">$BQ:$BQ+$BX:$BX</f>
        <v>66600</v>
      </c>
      <c r="BZ31" s="345" t="s">
        <v>294</v>
      </c>
      <c r="CA31" s="316"/>
      <c r="CB31" s="316"/>
      <c r="CC31" s="324" t="str">
        <f aca="false">CONCATENATE(CD31,"",CE31)</f>
        <v/>
      </c>
      <c r="CD31" s="319"/>
      <c r="CE31" s="319"/>
      <c r="CF31" s="322" t="str">
        <f aca="false">IFERROR(INDEX('[4]Lookup_Rem Ranges'!$D$1:$D$1048576,MATCH($CC:$CC,'[4]Lookup_Rem Ranges'!$C$1:$C$1048576,0)),"")</f>
        <v/>
      </c>
      <c r="CG31" s="346"/>
      <c r="CH31" s="346"/>
      <c r="CI31" s="347"/>
      <c r="CJ31" s="348"/>
      <c r="CK31" s="342" t="n">
        <f aca="false">IFERROR(ROUND($CI:$CI*$CJ:$CJ,0),0)</f>
        <v>0</v>
      </c>
      <c r="CL31" s="342" t="n">
        <f aca="false">$CI:$CI+$CK:$CK</f>
        <v>0</v>
      </c>
      <c r="CM31" s="349"/>
      <c r="CN31" s="350" t="n">
        <f aca="false">IF(SUM($CL:$CL&lt;249080),SUM(ROUND($CL:$CL*11%,0)),27398.8)</f>
        <v>0</v>
      </c>
      <c r="CO31" s="350" t="s">
        <v>324</v>
      </c>
      <c r="CP31" s="351" t="n">
        <f aca="false">IF(BA31="Yes",3.25%,0)</f>
        <v>0</v>
      </c>
      <c r="CQ31" s="352" t="n">
        <f aca="false">ROUND(AR31*CP31,0)</f>
        <v>0</v>
      </c>
      <c r="CR31" s="353" t="n">
        <f aca="false">IF($AW:$AW&lt;3.25%,$AW:$AW,3.25%)</f>
        <v>0</v>
      </c>
      <c r="CS31" s="354" t="n">
        <f aca="false">ROUND($AR:$AR*$CR:$CR,0)</f>
        <v>0</v>
      </c>
      <c r="CT31" s="353" t="n">
        <f aca="false">IF($AW:$AW&gt;=3.25%,$AW:$AW-$CR:$CR,0)</f>
        <v>0</v>
      </c>
      <c r="CU31" s="354" t="n">
        <f aca="false">ROUND($AR:$AR*$CT:$CT,0)</f>
        <v>0</v>
      </c>
      <c r="CV31" s="353" t="n">
        <f aca="false">IF($CR:$CR=3.25%,0,IF($BC:$BC&lt;3.25%,$BC:$BC,IF($BC:$BC&gt;3.25%,3.25%-$CR:$CR,0)))</f>
        <v>0</v>
      </c>
      <c r="CW31" s="354" t="n">
        <f aca="false">IFERROR(ROUND($AY:$AY*$CV:$CV,0),0)</f>
        <v>0</v>
      </c>
      <c r="CX31" s="353" t="n">
        <f aca="false">IF($CV:$CV=0,$BC:$BC,BC:BC-$CV:$CV)</f>
        <v>0</v>
      </c>
      <c r="CY31" s="354" t="n">
        <f aca="false">IFERROR(ROUND($AY:$AY*$CX:$CX,0),0)</f>
        <v>0</v>
      </c>
      <c r="CZ31" s="353" t="n">
        <f aca="false">$CR:$CR+$CT:CT+$CV:$CV+$CX:$CX</f>
        <v>0</v>
      </c>
      <c r="DA31" s="353" t="n">
        <f aca="false">(SUM($AW:$AW+$BC:$BC)-$CZ:$CZ)</f>
        <v>0</v>
      </c>
      <c r="DB31" s="353"/>
      <c r="DC31" s="353" t="n">
        <f aca="false">$BE:$BE</f>
        <v>0</v>
      </c>
      <c r="DD31" s="354" t="n">
        <f aca="false">$BF:$BF</f>
        <v>0</v>
      </c>
      <c r="DE31" s="355" t="n">
        <f aca="false">$BI:$BI</f>
        <v>0</v>
      </c>
      <c r="DF31" s="354" t="n">
        <f aca="false">$BJ:$BJ</f>
        <v>0</v>
      </c>
      <c r="DG31" s="355" t="n">
        <f aca="false">$BG:$BG</f>
        <v>0</v>
      </c>
      <c r="DH31" s="354" t="n">
        <f aca="false">IFERROR(ROUND($AP:$AP*$DG:$DG,0),0)</f>
        <v>0</v>
      </c>
      <c r="DI31" s="353" t="n">
        <f aca="false">$CR:$CR+$CV:$CV+$DC:$DC+$DE:$DE+$DG:$DG</f>
        <v>0</v>
      </c>
      <c r="DJ31" s="354" t="n">
        <f aca="false">$CS:$CS+$CW:$CW+$DD:$DD+$DF:$DF+$DH:$DH</f>
        <v>0</v>
      </c>
      <c r="DK31" s="353" t="n">
        <f aca="false">$CT:$CT+$CX:$CX</f>
        <v>0</v>
      </c>
      <c r="DL31" s="354" t="n">
        <f aca="false">$CU:$CU+$CY:$CY</f>
        <v>0</v>
      </c>
      <c r="DM31" s="356"/>
      <c r="DN31" s="357"/>
      <c r="DO31" s="357"/>
      <c r="DP31" s="357"/>
      <c r="DQ31" s="357"/>
      <c r="DR31" s="357"/>
      <c r="DS31" s="357"/>
      <c r="DT31" s="357"/>
      <c r="DU31" s="357"/>
      <c r="DV31" s="357"/>
      <c r="DW31" s="357" t="s">
        <v>296</v>
      </c>
    </row>
    <row r="32" customFormat="false" ht="33.75" hidden="false" customHeight="false" outlineLevel="0" collapsed="false">
      <c r="A32" s="314"/>
      <c r="B32" s="315" t="s">
        <v>273</v>
      </c>
      <c r="C32" s="315" t="s">
        <v>414</v>
      </c>
      <c r="D32" s="315" t="n">
        <v>21109</v>
      </c>
      <c r="E32" s="316" t="s">
        <v>415</v>
      </c>
      <c r="F32" s="316" t="s">
        <v>416</v>
      </c>
      <c r="G32" s="316" t="s">
        <v>277</v>
      </c>
      <c r="H32" s="317" t="s">
        <v>349</v>
      </c>
      <c r="I32" s="316" t="s">
        <v>417</v>
      </c>
      <c r="J32" s="316" t="s">
        <v>351</v>
      </c>
      <c r="K32" s="318" t="n">
        <v>44726</v>
      </c>
      <c r="L32" s="318"/>
      <c r="M32" s="318" t="n">
        <v>44726</v>
      </c>
      <c r="N32" s="319" t="s">
        <v>281</v>
      </c>
      <c r="O32" s="319" t="n">
        <v>38</v>
      </c>
      <c r="P32" s="320" t="n">
        <f aca="false">$O:$O/38</f>
        <v>1</v>
      </c>
      <c r="Q32" s="316" t="s">
        <v>352</v>
      </c>
      <c r="R32" s="316" t="n">
        <v>18959</v>
      </c>
      <c r="S32" s="316" t="s">
        <v>411</v>
      </c>
      <c r="T32" s="316" t="s">
        <v>412</v>
      </c>
      <c r="U32" s="316" t="s">
        <v>413</v>
      </c>
      <c r="V32" s="317" t="s">
        <v>58</v>
      </c>
      <c r="W32" s="317" t="s">
        <v>64</v>
      </c>
      <c r="X32" s="317" t="s">
        <v>286</v>
      </c>
      <c r="Y32" s="321" t="s">
        <v>287</v>
      </c>
      <c r="Z32" s="317" t="s">
        <v>356</v>
      </c>
      <c r="AA32" s="316" t="s">
        <v>311</v>
      </c>
      <c r="AB32" s="321" t="s">
        <v>357</v>
      </c>
      <c r="AC32" s="317" t="s">
        <v>289</v>
      </c>
      <c r="AD32" s="321" t="s">
        <v>290</v>
      </c>
      <c r="AE32" s="322" t="n">
        <f aca="false">IFERROR(INDEX('[3]Lookup_Rem Ranges'!$D$1:$D$1048576,MATCH($AL:$AL,'[3]Lookup_Rem Ranges'!$C$1:$C$1048576,0)),0)</f>
        <v>64900</v>
      </c>
      <c r="AF32" s="322" t="n">
        <f aca="false">IFERROR(INDEX('[3]Lookup_Rem Ranges'!$E$1:$E$1048576,MATCH($AL:$AL,'[3]Lookup_Rem Ranges'!$C$1:$C$1048576,0)),0)</f>
        <v>76300</v>
      </c>
      <c r="AG32" s="322" t="n">
        <f aca="false">IFERROR(INDEX('[3]Lookup_Rem Ranges'!$F$1:$F$1048576,MATCH($AL:$AL,'[3]Lookup_Rem Ranges'!$C$1:$C$1048576,0)),)</f>
        <v>87700</v>
      </c>
      <c r="AH32" s="317" t="s">
        <v>291</v>
      </c>
      <c r="AI32" s="319"/>
      <c r="AJ32" s="323" t="n">
        <v>0</v>
      </c>
      <c r="AK32" s="316"/>
      <c r="AL32" s="324" t="str">
        <f aca="false">CONCATENATE(AM32,"",AN32)</f>
        <v>GI3</v>
      </c>
      <c r="AM32" s="324" t="s">
        <v>312</v>
      </c>
      <c r="AN32" s="319" t="n">
        <v>3</v>
      </c>
      <c r="AO32" s="316" t="s">
        <v>358</v>
      </c>
      <c r="AP32" s="325" t="n">
        <v>72000</v>
      </c>
      <c r="AQ32" s="322" t="n">
        <f aca="false">ROUND(IF($P:$P&gt;1,$AP:$AP*1,$AP:$AP*$P:$P),0)</f>
        <v>72000</v>
      </c>
      <c r="AR32" s="322" t="n">
        <f aca="false">IF(BA32="Yes",AP32,0)</f>
        <v>0</v>
      </c>
      <c r="AS32" s="326" t="s">
        <v>339</v>
      </c>
      <c r="AT32" s="326" t="n">
        <v>0</v>
      </c>
      <c r="AU32" s="327"/>
      <c r="AV32" s="322"/>
      <c r="AW32" s="328" t="n">
        <v>0</v>
      </c>
      <c r="AX32" s="322" t="n">
        <v>0</v>
      </c>
      <c r="AY32" s="322" t="n">
        <v>72000</v>
      </c>
      <c r="AZ32" s="329" t="n">
        <f aca="false">IFERROR(($AY:$AY+$AJ:$AJ+$AK:$AK)/$AF:$AF,0)</f>
        <v>0.943643512450852</v>
      </c>
      <c r="BA32" s="330" t="s">
        <v>294</v>
      </c>
      <c r="BB32" s="331" t="n">
        <v>3</v>
      </c>
      <c r="BC32" s="326" t="n">
        <f aca="false">IFERROR($BD:$BD/$AY:$AY,0)</f>
        <v>0</v>
      </c>
      <c r="BD32" s="332" t="n">
        <f aca="false">ROUND(IF($AY:$AY&lt;$AE:$AE,$AE:$AE-$AY:$AY,0),0)</f>
        <v>0</v>
      </c>
      <c r="BE32" s="333" t="n">
        <v>0</v>
      </c>
      <c r="BF32" s="334" t="n">
        <f aca="false">ROUND($AR:$AR*$BE:$BE,0)</f>
        <v>0</v>
      </c>
      <c r="BG32" s="335" t="n">
        <v>0</v>
      </c>
      <c r="BH32" s="336" t="n">
        <f aca="false">ROUND($AR:$AR*$BG:$BG,0)</f>
        <v>0</v>
      </c>
      <c r="BI32" s="333" t="n">
        <v>0</v>
      </c>
      <c r="BJ32" s="334" t="n">
        <f aca="false">ROUND($AR:$AR*$BI:$BI,0)</f>
        <v>0</v>
      </c>
      <c r="BK32" s="334" t="n">
        <f aca="false">ROUND(IF($P:$P&gt;1,$BJ:$BJ*1,$BJ:$BJ*$P:$P),0)</f>
        <v>0</v>
      </c>
      <c r="BL32" s="337"/>
      <c r="BM32" s="338" t="n">
        <f aca="false">$BC:$BC+$BE:$BE+$BG:$BG</f>
        <v>0</v>
      </c>
      <c r="BN32" s="339" t="n">
        <f aca="false">$BD:$BD+$BF:$BF+$BH:$BH</f>
        <v>0</v>
      </c>
      <c r="BO32" s="340" t="n">
        <f aca="false">IFERROR(ROUND($AY:$AY+$BN:$BN,0),0)</f>
        <v>72000</v>
      </c>
      <c r="BP32" s="341" t="n">
        <f aca="false">ROUND(IF(SUM($BO:$BO&lt;249080),SUM(ROUND($BO:$BO*11%,0)),27398.8),0)</f>
        <v>7920</v>
      </c>
      <c r="BQ32" s="342" t="n">
        <f aca="false">$BO:$BO+$BP:$BP</f>
        <v>79920</v>
      </c>
      <c r="BR32" s="329" t="n">
        <f aca="false">IFERROR(($BO:$BO+$AJ:$AJ+$AK:$AK)/$AF:$AF,0)</f>
        <v>0.943643512450852</v>
      </c>
      <c r="BS32" s="343" t="n">
        <f aca="false">IF($N:$N="CASUAL","TBC",ROUND($BN:$BN/(NETWORKDAYS("01/07/2023","30/06/2024"))*NETWORKDAYS("10/07/2023","04/09/2023"),0)*$P:$P)</f>
        <v>0</v>
      </c>
      <c r="BT32" s="326" t="n">
        <f aca="false">$BM32+$BI32</f>
        <v>0</v>
      </c>
      <c r="BU32" s="332" t="n">
        <f aca="false">$BN:$BN+$BJ:$BJ</f>
        <v>0</v>
      </c>
      <c r="BV32" s="342" t="n">
        <f aca="false">$BO:$BO*$P:$P</f>
        <v>72000</v>
      </c>
      <c r="BW32" s="344" t="n">
        <f aca="false">ROUND($BO:$BO/1976,2)</f>
        <v>36.44</v>
      </c>
      <c r="BX32" s="316"/>
      <c r="BY32" s="342" t="n">
        <f aca="false">$BQ:$BQ+$BX:$BX</f>
        <v>79920</v>
      </c>
      <c r="BZ32" s="345" t="s">
        <v>294</v>
      </c>
      <c r="CA32" s="316"/>
      <c r="CB32" s="316"/>
      <c r="CC32" s="324" t="str">
        <f aca="false">CONCATENATE(CD32,"",CE32)</f>
        <v/>
      </c>
      <c r="CD32" s="319"/>
      <c r="CE32" s="319"/>
      <c r="CF32" s="322" t="str">
        <f aca="false">IFERROR(INDEX('[4]Lookup_Rem Ranges'!$D$1:$D$1048576,MATCH($CC:$CC,'[4]Lookup_Rem Ranges'!$C$1:$C$1048576,0)),"")</f>
        <v/>
      </c>
      <c r="CG32" s="346"/>
      <c r="CH32" s="346"/>
      <c r="CI32" s="347"/>
      <c r="CJ32" s="348"/>
      <c r="CK32" s="342" t="n">
        <f aca="false">IFERROR(ROUND($CI:$CI*$CJ:$CJ,0),0)</f>
        <v>0</v>
      </c>
      <c r="CL32" s="342" t="n">
        <f aca="false">$CI:$CI+$CK:$CK</f>
        <v>0</v>
      </c>
      <c r="CM32" s="349"/>
      <c r="CN32" s="350" t="n">
        <f aca="false">IF(SUM($CL:$CL&lt;249080),SUM(ROUND($CL:$CL*11%,0)),27398.8)</f>
        <v>0</v>
      </c>
      <c r="CO32" s="350" t="s">
        <v>324</v>
      </c>
      <c r="CP32" s="351" t="n">
        <f aca="false">IF(BA32="Yes",3.25%,0)</f>
        <v>0</v>
      </c>
      <c r="CQ32" s="352" t="n">
        <f aca="false">ROUND(AR32*CP32,0)</f>
        <v>0</v>
      </c>
      <c r="CR32" s="353" t="n">
        <f aca="false">IF($AW:$AW&lt;3.25%,$AW:$AW,3.25%)</f>
        <v>0</v>
      </c>
      <c r="CS32" s="354" t="n">
        <f aca="false">ROUND($AR:$AR*$CR:$CR,0)</f>
        <v>0</v>
      </c>
      <c r="CT32" s="353" t="n">
        <f aca="false">IF($AW:$AW&gt;=3.25%,$AW:$AW-$CR:$CR,0)</f>
        <v>0</v>
      </c>
      <c r="CU32" s="354" t="n">
        <f aca="false">ROUND($AR:$AR*$CT:$CT,0)</f>
        <v>0</v>
      </c>
      <c r="CV32" s="353" t="n">
        <f aca="false">IF($CR:$CR=3.25%,0,IF($BC:$BC&lt;3.25%,$BC:$BC,IF($BC:$BC&gt;3.25%,3.25%-$CR:$CR,0)))</f>
        <v>0</v>
      </c>
      <c r="CW32" s="354" t="n">
        <f aca="false">IFERROR(ROUND($AY:$AY*$CV:$CV,0),0)</f>
        <v>0</v>
      </c>
      <c r="CX32" s="353" t="n">
        <f aca="false">IF($CV:$CV=0,$BC:$BC,BC:BC-$CV:$CV)</f>
        <v>0</v>
      </c>
      <c r="CY32" s="354" t="n">
        <f aca="false">IFERROR(ROUND($AY:$AY*$CX:$CX,0),0)</f>
        <v>0</v>
      </c>
      <c r="CZ32" s="353" t="n">
        <f aca="false">$CR:$CR+$CT:CT+$CV:$CV+$CX:$CX</f>
        <v>0</v>
      </c>
      <c r="DA32" s="353" t="n">
        <f aca="false">(SUM($AW:$AW+$BC:$BC)-$CZ:$CZ)</f>
        <v>0</v>
      </c>
      <c r="DB32" s="353"/>
      <c r="DC32" s="353" t="n">
        <f aca="false">$BE:$BE</f>
        <v>0</v>
      </c>
      <c r="DD32" s="354" t="n">
        <f aca="false">$BF:$BF</f>
        <v>0</v>
      </c>
      <c r="DE32" s="355" t="n">
        <f aca="false">$BI:$BI</f>
        <v>0</v>
      </c>
      <c r="DF32" s="354" t="n">
        <f aca="false">$BJ:$BJ</f>
        <v>0</v>
      </c>
      <c r="DG32" s="355" t="n">
        <f aca="false">$BG:$BG</f>
        <v>0</v>
      </c>
      <c r="DH32" s="354" t="n">
        <f aca="false">IFERROR(ROUND($AP:$AP*$DG:$DG,0),0)</f>
        <v>0</v>
      </c>
      <c r="DI32" s="353" t="n">
        <f aca="false">$CR:$CR+$CV:$CV+$DC:$DC+$DE:$DE+$DG:$DG</f>
        <v>0</v>
      </c>
      <c r="DJ32" s="354" t="n">
        <f aca="false">$CS:$CS+$CW:$CW+$DD:$DD+$DF:$DF+$DH:$DH</f>
        <v>0</v>
      </c>
      <c r="DK32" s="353" t="n">
        <f aca="false">$CT:$CT+$CX:$CX</f>
        <v>0</v>
      </c>
      <c r="DL32" s="354" t="n">
        <f aca="false">$CU:$CU+$CY:$CY</f>
        <v>0</v>
      </c>
      <c r="DM32" s="356"/>
      <c r="DN32" s="357"/>
      <c r="DO32" s="357"/>
      <c r="DP32" s="357"/>
      <c r="DQ32" s="357"/>
      <c r="DR32" s="357"/>
      <c r="DS32" s="357"/>
      <c r="DT32" s="357"/>
      <c r="DU32" s="357"/>
      <c r="DV32" s="357"/>
      <c r="DW32" s="357" t="s">
        <v>296</v>
      </c>
    </row>
    <row r="33" customFormat="false" ht="33.75" hidden="false" customHeight="false" outlineLevel="0" collapsed="false">
      <c r="A33" s="314"/>
      <c r="B33" s="315" t="s">
        <v>273</v>
      </c>
      <c r="C33" s="315" t="s">
        <v>418</v>
      </c>
      <c r="D33" s="315" t="n">
        <v>17947</v>
      </c>
      <c r="E33" s="316" t="s">
        <v>419</v>
      </c>
      <c r="F33" s="316" t="s">
        <v>420</v>
      </c>
      <c r="G33" s="316" t="s">
        <v>300</v>
      </c>
      <c r="H33" s="317" t="s">
        <v>421</v>
      </c>
      <c r="I33" s="316" t="s">
        <v>422</v>
      </c>
      <c r="J33" s="316" t="s">
        <v>423</v>
      </c>
      <c r="K33" s="318" t="n">
        <v>43313</v>
      </c>
      <c r="L33" s="318"/>
      <c r="M33" s="318" t="n">
        <v>44638</v>
      </c>
      <c r="N33" s="319" t="s">
        <v>424</v>
      </c>
      <c r="O33" s="319" t="n">
        <v>38</v>
      </c>
      <c r="P33" s="320" t="n">
        <f aca="false">$O:$O/38</f>
        <v>1</v>
      </c>
      <c r="Q33" s="316" t="s">
        <v>425</v>
      </c>
      <c r="R33" s="316" t="n">
        <v>18959</v>
      </c>
      <c r="S33" s="316" t="s">
        <v>411</v>
      </c>
      <c r="T33" s="316" t="s">
        <v>412</v>
      </c>
      <c r="U33" s="316" t="s">
        <v>413</v>
      </c>
      <c r="V33" s="317" t="s">
        <v>58</v>
      </c>
      <c r="W33" s="317" t="s">
        <v>64</v>
      </c>
      <c r="X33" s="317" t="s">
        <v>286</v>
      </c>
      <c r="Y33" s="321" t="s">
        <v>287</v>
      </c>
      <c r="Z33" s="317" t="s">
        <v>356</v>
      </c>
      <c r="AA33" s="316" t="s">
        <v>311</v>
      </c>
      <c r="AB33" s="321" t="s">
        <v>357</v>
      </c>
      <c r="AC33" s="317" t="s">
        <v>289</v>
      </c>
      <c r="AD33" s="321" t="s">
        <v>290</v>
      </c>
      <c r="AE33" s="322" t="n">
        <f aca="false">IFERROR(INDEX('[3]Lookup_Rem Ranges'!$D$1:$D$1048576,MATCH($AL:$AL,'[3]Lookup_Rem Ranges'!$C$1:$C$1048576,0)),0)</f>
        <v>57100</v>
      </c>
      <c r="AF33" s="322" t="n">
        <f aca="false">IFERROR(INDEX('[3]Lookup_Rem Ranges'!$E$1:$E$1048576,MATCH($AL:$AL,'[3]Lookup_Rem Ranges'!$C$1:$C$1048576,0)),0)</f>
        <v>67200</v>
      </c>
      <c r="AG33" s="322" t="n">
        <f aca="false">IFERROR(INDEX('[3]Lookup_Rem Ranges'!$F$1:$F$1048576,MATCH($AL:$AL,'[3]Lookup_Rem Ranges'!$C$1:$C$1048576,0)),)</f>
        <v>77300</v>
      </c>
      <c r="AH33" s="317" t="s">
        <v>426</v>
      </c>
      <c r="AI33" s="319"/>
      <c r="AJ33" s="323" t="n">
        <v>0</v>
      </c>
      <c r="AK33" s="316"/>
      <c r="AL33" s="324" t="str">
        <f aca="false">CONCATENATE(AM33,"",AN33)</f>
        <v>GI2</v>
      </c>
      <c r="AM33" s="324" t="s">
        <v>312</v>
      </c>
      <c r="AN33" s="319" t="n">
        <v>2</v>
      </c>
      <c r="AO33" s="316" t="s">
        <v>358</v>
      </c>
      <c r="AP33" s="325" t="n">
        <v>63100</v>
      </c>
      <c r="AQ33" s="322" t="n">
        <f aca="false">ROUND(IF($P:$P&gt;1,$AP:$AP*1,$AP:$AP*$P:$P),0)</f>
        <v>63100</v>
      </c>
      <c r="AR33" s="322" t="n">
        <f aca="false">IF(BA33="Yes",AP33,0)</f>
        <v>0</v>
      </c>
      <c r="AS33" s="326" t="n">
        <v>0.0310457516339869</v>
      </c>
      <c r="AT33" s="326" t="n">
        <v>0</v>
      </c>
      <c r="AU33" s="327"/>
      <c r="AV33" s="322"/>
      <c r="AW33" s="328" t="n">
        <v>0</v>
      </c>
      <c r="AX33" s="322" t="n">
        <v>0</v>
      </c>
      <c r="AY33" s="322" t="n">
        <v>63100</v>
      </c>
      <c r="AZ33" s="329" t="n">
        <f aca="false">IFERROR(($AY:$AY+$AJ:$AJ+$AK:$AK)/$AF:$AF,0)</f>
        <v>0.938988095238095</v>
      </c>
      <c r="BA33" s="330" t="s">
        <v>294</v>
      </c>
      <c r="BB33" s="331" t="n">
        <v>3</v>
      </c>
      <c r="BC33" s="326" t="n">
        <f aca="false">IFERROR($BD:$BD/$AY:$AY,0)</f>
        <v>0</v>
      </c>
      <c r="BD33" s="332" t="n">
        <f aca="false">ROUND(IF($AY:$AY&lt;$AE:$AE,$AE:$AE-$AY:$AY,0),0)</f>
        <v>0</v>
      </c>
      <c r="BE33" s="333" t="n">
        <v>0</v>
      </c>
      <c r="BF33" s="334" t="n">
        <f aca="false">ROUND($AR:$AR*$BE:$BE,0)</f>
        <v>0</v>
      </c>
      <c r="BG33" s="335" t="n">
        <v>0</v>
      </c>
      <c r="BH33" s="336" t="n">
        <f aca="false">ROUND($AR:$AR*$BG:$BG,0)</f>
        <v>0</v>
      </c>
      <c r="BI33" s="333" t="n">
        <v>0</v>
      </c>
      <c r="BJ33" s="334" t="n">
        <f aca="false">ROUND($AR:$AR*$BI:$BI,0)</f>
        <v>0</v>
      </c>
      <c r="BK33" s="334" t="n">
        <f aca="false">ROUND(IF($P:$P&gt;1,$BJ:$BJ*1,$BJ:$BJ*$P:$P),0)</f>
        <v>0</v>
      </c>
      <c r="BL33" s="337"/>
      <c r="BM33" s="338" t="n">
        <f aca="false">$BC:$BC+$BE:$BE+$BG:$BG</f>
        <v>0</v>
      </c>
      <c r="BN33" s="339" t="n">
        <f aca="false">$BD:$BD+$BF:$BF+$BH:$BH</f>
        <v>0</v>
      </c>
      <c r="BO33" s="340" t="n">
        <f aca="false">IFERROR(ROUND($AY:$AY+$BN:$BN,0),0)</f>
        <v>63100</v>
      </c>
      <c r="BP33" s="341" t="n">
        <f aca="false">ROUND(IF(SUM($BO:$BO&lt;249080),SUM(ROUND($BO:$BO*11%,0)),27398.8),0)</f>
        <v>6941</v>
      </c>
      <c r="BQ33" s="342" t="n">
        <f aca="false">$BO:$BO+$BP:$BP</f>
        <v>70041</v>
      </c>
      <c r="BR33" s="329" t="n">
        <f aca="false">IFERROR(($BO:$BO+$AJ:$AJ+$AK:$AK)/$AF:$AF,0)</f>
        <v>0.938988095238095</v>
      </c>
      <c r="BS33" s="343" t="str">
        <f aca="false">IF($N:$N="CASUAL","TBC",ROUND($BN:$BN/(NETWORKDAYS("01/07/2023","30/06/2024"))*NETWORKDAYS("10/07/2023","04/09/2023"),0)*$P:$P)</f>
        <v>TBC</v>
      </c>
      <c r="BT33" s="326" t="n">
        <f aca="false">$BM33+$BI33</f>
        <v>0</v>
      </c>
      <c r="BU33" s="332" t="n">
        <f aca="false">$BN:$BN+$BJ:$BJ</f>
        <v>0</v>
      </c>
      <c r="BV33" s="342" t="n">
        <f aca="false">$BO:$BO*$P:$P</f>
        <v>63100</v>
      </c>
      <c r="BW33" s="344" t="n">
        <f aca="false">ROUND($BO:$BO/1976,2)</f>
        <v>31.93</v>
      </c>
      <c r="BX33" s="316"/>
      <c r="BY33" s="342" t="n">
        <f aca="false">$BQ:$BQ+$BX:$BX</f>
        <v>70041</v>
      </c>
      <c r="BZ33" s="345" t="s">
        <v>294</v>
      </c>
      <c r="CA33" s="316"/>
      <c r="CB33" s="316"/>
      <c r="CC33" s="324" t="str">
        <f aca="false">CONCATENATE(CD33,"",CE33)</f>
        <v/>
      </c>
      <c r="CD33" s="319"/>
      <c r="CE33" s="319"/>
      <c r="CF33" s="322" t="str">
        <f aca="false">IFERROR(INDEX('[4]Lookup_Rem Ranges'!$D$1:$D$1048576,MATCH($CC:$CC,'[4]Lookup_Rem Ranges'!$C$1:$C$1048576,0)),"")</f>
        <v/>
      </c>
      <c r="CG33" s="346"/>
      <c r="CH33" s="346"/>
      <c r="CI33" s="347"/>
      <c r="CJ33" s="348"/>
      <c r="CK33" s="342" t="n">
        <f aca="false">IFERROR(ROUND($CI:$CI*$CJ:$CJ,0),0)</f>
        <v>0</v>
      </c>
      <c r="CL33" s="342" t="n">
        <f aca="false">$CI:$CI+$CK:$CK</f>
        <v>0</v>
      </c>
      <c r="CM33" s="349"/>
      <c r="CN33" s="350" t="n">
        <f aca="false">IF(SUM($CL:$CL&lt;249080),SUM(ROUND($CL:$CL*11%,0)),27398.8)</f>
        <v>0</v>
      </c>
      <c r="CO33" s="350" t="s">
        <v>324</v>
      </c>
      <c r="CP33" s="351" t="n">
        <f aca="false">IF(BA33="Yes",3.25%,0)</f>
        <v>0</v>
      </c>
      <c r="CQ33" s="352" t="n">
        <f aca="false">ROUND(AR33*CP33,0)</f>
        <v>0</v>
      </c>
      <c r="CR33" s="353" t="n">
        <f aca="false">IF($AW:$AW&lt;3.25%,$AW:$AW,3.25%)</f>
        <v>0</v>
      </c>
      <c r="CS33" s="354" t="n">
        <f aca="false">ROUND($AR:$AR*$CR:$CR,0)</f>
        <v>0</v>
      </c>
      <c r="CT33" s="353" t="n">
        <f aca="false">IF($AW:$AW&gt;=3.25%,$AW:$AW-$CR:$CR,0)</f>
        <v>0</v>
      </c>
      <c r="CU33" s="354" t="n">
        <f aca="false">ROUND($AR:$AR*$CT:$CT,0)</f>
        <v>0</v>
      </c>
      <c r="CV33" s="353" t="n">
        <f aca="false">IF($CR:$CR=3.25%,0,IF($BC:$BC&lt;3.25%,$BC:$BC,IF($BC:$BC&gt;3.25%,3.25%-$CR:$CR,0)))</f>
        <v>0</v>
      </c>
      <c r="CW33" s="354" t="n">
        <f aca="false">IFERROR(ROUND($AY:$AY*$CV:$CV,0),0)</f>
        <v>0</v>
      </c>
      <c r="CX33" s="353" t="n">
        <f aca="false">IF($CV:$CV=0,$BC:$BC,BC:BC-$CV:$CV)</f>
        <v>0</v>
      </c>
      <c r="CY33" s="354" t="n">
        <f aca="false">IFERROR(ROUND($AY:$AY*$CX:$CX,0),0)</f>
        <v>0</v>
      </c>
      <c r="CZ33" s="353" t="n">
        <f aca="false">$CR:$CR+$CT:CT+$CV:$CV+$CX:$CX</f>
        <v>0</v>
      </c>
      <c r="DA33" s="353" t="n">
        <f aca="false">(SUM($AW:$AW+$BC:$BC)-$CZ:$CZ)</f>
        <v>0</v>
      </c>
      <c r="DB33" s="353"/>
      <c r="DC33" s="353" t="n">
        <f aca="false">$BE:$BE</f>
        <v>0</v>
      </c>
      <c r="DD33" s="354" t="n">
        <f aca="false">$BF:$BF</f>
        <v>0</v>
      </c>
      <c r="DE33" s="355" t="n">
        <f aca="false">$BI:$BI</f>
        <v>0</v>
      </c>
      <c r="DF33" s="354" t="n">
        <f aca="false">$BJ:$BJ</f>
        <v>0</v>
      </c>
      <c r="DG33" s="355" t="n">
        <f aca="false">$BG:$BG</f>
        <v>0</v>
      </c>
      <c r="DH33" s="354" t="n">
        <f aca="false">IFERROR(ROUND($AP:$AP*$DG:$DG,0),0)</f>
        <v>0</v>
      </c>
      <c r="DI33" s="353" t="n">
        <f aca="false">$CR:$CR+$CV:$CV+$DC:$DC+$DE:$DE+$DG:$DG</f>
        <v>0</v>
      </c>
      <c r="DJ33" s="354" t="n">
        <f aca="false">$CS:$CS+$CW:$CW+$DD:$DD+$DF:$DF+$DH:$DH</f>
        <v>0</v>
      </c>
      <c r="DK33" s="353" t="n">
        <f aca="false">$CT:$CT+$CX:$CX</f>
        <v>0</v>
      </c>
      <c r="DL33" s="354" t="n">
        <f aca="false">$CU:$CU+$CY:$CY</f>
        <v>0</v>
      </c>
      <c r="DM33" s="356"/>
      <c r="DN33" s="357"/>
      <c r="DO33" s="357"/>
      <c r="DP33" s="357"/>
      <c r="DQ33" s="357"/>
      <c r="DR33" s="357"/>
      <c r="DS33" s="357"/>
      <c r="DT33" s="357"/>
      <c r="DU33" s="357"/>
      <c r="DV33" s="357"/>
      <c r="DW33" s="357" t="s">
        <v>296</v>
      </c>
    </row>
    <row r="34" customFormat="false" ht="24" hidden="false" customHeight="false" outlineLevel="0" collapsed="false">
      <c r="A34" s="314"/>
      <c r="B34" s="315" t="s">
        <v>273</v>
      </c>
      <c r="C34" s="315" t="s">
        <v>427</v>
      </c>
      <c r="D34" s="315" t="n">
        <v>20135</v>
      </c>
      <c r="E34" s="316" t="s">
        <v>428</v>
      </c>
      <c r="F34" s="316" t="s">
        <v>429</v>
      </c>
      <c r="G34" s="316" t="s">
        <v>300</v>
      </c>
      <c r="H34" s="317" t="s">
        <v>349</v>
      </c>
      <c r="I34" s="316" t="s">
        <v>430</v>
      </c>
      <c r="J34" s="316" t="s">
        <v>351</v>
      </c>
      <c r="K34" s="318" t="n">
        <v>44368</v>
      </c>
      <c r="L34" s="318"/>
      <c r="M34" s="318" t="n">
        <v>44368</v>
      </c>
      <c r="N34" s="319" t="s">
        <v>281</v>
      </c>
      <c r="O34" s="319" t="n">
        <v>38</v>
      </c>
      <c r="P34" s="320" t="n">
        <f aca="false">$O:$O/38</f>
        <v>1</v>
      </c>
      <c r="Q34" s="316" t="s">
        <v>352</v>
      </c>
      <c r="R34" s="316" t="n">
        <v>18959</v>
      </c>
      <c r="S34" s="316" t="s">
        <v>411</v>
      </c>
      <c r="T34" s="316" t="s">
        <v>412</v>
      </c>
      <c r="U34" s="316" t="s">
        <v>413</v>
      </c>
      <c r="V34" s="317" t="s">
        <v>58</v>
      </c>
      <c r="W34" s="317" t="s">
        <v>64</v>
      </c>
      <c r="X34" s="317" t="s">
        <v>286</v>
      </c>
      <c r="Y34" s="321" t="s">
        <v>287</v>
      </c>
      <c r="Z34" s="317" t="s">
        <v>356</v>
      </c>
      <c r="AA34" s="316" t="s">
        <v>311</v>
      </c>
      <c r="AB34" s="321" t="s">
        <v>357</v>
      </c>
      <c r="AC34" s="317" t="s">
        <v>289</v>
      </c>
      <c r="AD34" s="321" t="s">
        <v>290</v>
      </c>
      <c r="AE34" s="322" t="n">
        <f aca="false">IFERROR(INDEX('[3]Lookup_Rem Ranges'!$D$1:$D$1048576,MATCH($AL:$AL,'[3]Lookup_Rem Ranges'!$C$1:$C$1048576,0)),0)</f>
        <v>64900</v>
      </c>
      <c r="AF34" s="322" t="n">
        <f aca="false">IFERROR(INDEX('[3]Lookup_Rem Ranges'!$E$1:$E$1048576,MATCH($AL:$AL,'[3]Lookup_Rem Ranges'!$C$1:$C$1048576,0)),0)</f>
        <v>76300</v>
      </c>
      <c r="AG34" s="322" t="n">
        <f aca="false">IFERROR(INDEX('[3]Lookup_Rem Ranges'!$F$1:$F$1048576,MATCH($AL:$AL,'[3]Lookup_Rem Ranges'!$C$1:$C$1048576,0)),)</f>
        <v>87700</v>
      </c>
      <c r="AH34" s="317" t="s">
        <v>291</v>
      </c>
      <c r="AI34" s="319"/>
      <c r="AJ34" s="323" t="n">
        <v>0</v>
      </c>
      <c r="AK34" s="316"/>
      <c r="AL34" s="324" t="str">
        <f aca="false">CONCATENATE(AM34,"",AN34)</f>
        <v>GI3</v>
      </c>
      <c r="AM34" s="324" t="s">
        <v>312</v>
      </c>
      <c r="AN34" s="319" t="n">
        <v>3</v>
      </c>
      <c r="AO34" s="316" t="s">
        <v>358</v>
      </c>
      <c r="AP34" s="325" t="n">
        <v>71500</v>
      </c>
      <c r="AQ34" s="322" t="n">
        <f aca="false">ROUND(IF($P:$P&gt;1,$AP:$AP*1,$AP:$AP*$P:$P),0)</f>
        <v>71500</v>
      </c>
      <c r="AR34" s="322" t="n">
        <f aca="false">IF(BA34="Yes",AP34,0)</f>
        <v>0</v>
      </c>
      <c r="AS34" s="326" t="n">
        <v>0.0207140715784665</v>
      </c>
      <c r="AT34" s="326" t="n">
        <v>0</v>
      </c>
      <c r="AU34" s="327"/>
      <c r="AV34" s="322"/>
      <c r="AW34" s="328" t="n">
        <v>0</v>
      </c>
      <c r="AX34" s="322" t="n">
        <v>0</v>
      </c>
      <c r="AY34" s="322" t="n">
        <v>71500</v>
      </c>
      <c r="AZ34" s="329" t="n">
        <f aca="false">IFERROR(($AY:$AY+$AJ:$AJ+$AK:$AK)/$AF:$AF,0)</f>
        <v>0.937090432503277</v>
      </c>
      <c r="BA34" s="330" t="s">
        <v>294</v>
      </c>
      <c r="BB34" s="331" t="n">
        <v>3</v>
      </c>
      <c r="BC34" s="326" t="n">
        <f aca="false">IFERROR($BD:$BD/$AY:$AY,0)</f>
        <v>0</v>
      </c>
      <c r="BD34" s="332" t="n">
        <f aca="false">ROUND(IF($AY:$AY&lt;$AE:$AE,$AE:$AE-$AY:$AY,0),0)</f>
        <v>0</v>
      </c>
      <c r="BE34" s="333" t="n">
        <v>0</v>
      </c>
      <c r="BF34" s="334" t="n">
        <f aca="false">ROUND($AR:$AR*$BE:$BE,0)</f>
        <v>0</v>
      </c>
      <c r="BG34" s="335" t="n">
        <v>0</v>
      </c>
      <c r="BH34" s="336" t="n">
        <f aca="false">ROUND($AR:$AR*$BG:$BG,0)</f>
        <v>0</v>
      </c>
      <c r="BI34" s="333" t="n">
        <v>0</v>
      </c>
      <c r="BJ34" s="334" t="n">
        <f aca="false">ROUND($AR:$AR*$BI:$BI,0)</f>
        <v>0</v>
      </c>
      <c r="BK34" s="334" t="n">
        <f aca="false">ROUND(IF($P:$P&gt;1,$BJ:$BJ*1,$BJ:$BJ*$P:$P),0)</f>
        <v>0</v>
      </c>
      <c r="BL34" s="337"/>
      <c r="BM34" s="338" t="n">
        <f aca="false">$BC:$BC+$BE:$BE+$BG:$BG</f>
        <v>0</v>
      </c>
      <c r="BN34" s="339" t="n">
        <f aca="false">$BD:$BD+$BF:$BF+$BH:$BH</f>
        <v>0</v>
      </c>
      <c r="BO34" s="340" t="n">
        <f aca="false">IFERROR(ROUND($AY:$AY+$BN:$BN,0),0)</f>
        <v>71500</v>
      </c>
      <c r="BP34" s="341" t="n">
        <f aca="false">ROUND(IF(SUM($BO:$BO&lt;249080),SUM(ROUND($BO:$BO*11%,0)),27398.8),0)</f>
        <v>7865</v>
      </c>
      <c r="BQ34" s="342" t="n">
        <f aca="false">$BO:$BO+$BP:$BP</f>
        <v>79365</v>
      </c>
      <c r="BR34" s="329" t="n">
        <f aca="false">IFERROR(($BO:$BO+$AJ:$AJ+$AK:$AK)/$AF:$AF,0)</f>
        <v>0.937090432503277</v>
      </c>
      <c r="BS34" s="343" t="n">
        <f aca="false">IF($N:$N="CASUAL","TBC",ROUND($BN:$BN/(NETWORKDAYS("01/07/2023","30/06/2024"))*NETWORKDAYS("10/07/2023","04/09/2023"),0)*$P:$P)</f>
        <v>0</v>
      </c>
      <c r="BT34" s="326" t="n">
        <f aca="false">$BM34+$BI34</f>
        <v>0</v>
      </c>
      <c r="BU34" s="332" t="n">
        <f aca="false">$BN:$BN+$BJ:$BJ</f>
        <v>0</v>
      </c>
      <c r="BV34" s="342" t="n">
        <f aca="false">$BO:$BO*$P:$P</f>
        <v>71500</v>
      </c>
      <c r="BW34" s="344" t="n">
        <f aca="false">ROUND($BO:$BO/1976,2)</f>
        <v>36.18</v>
      </c>
      <c r="BX34" s="316"/>
      <c r="BY34" s="342" t="n">
        <f aca="false">$BQ:$BQ+$BX:$BX</f>
        <v>79365</v>
      </c>
      <c r="BZ34" s="345" t="s">
        <v>294</v>
      </c>
      <c r="CA34" s="316"/>
      <c r="CB34" s="316"/>
      <c r="CC34" s="324" t="str">
        <f aca="false">CONCATENATE(CD34,"",CE34)</f>
        <v/>
      </c>
      <c r="CD34" s="319"/>
      <c r="CE34" s="319"/>
      <c r="CF34" s="322" t="str">
        <f aca="false">IFERROR(INDEX('[4]Lookup_Rem Ranges'!$D$1:$D$1048576,MATCH($CC:$CC,'[4]Lookup_Rem Ranges'!$C$1:$C$1048576,0)),"")</f>
        <v/>
      </c>
      <c r="CG34" s="346"/>
      <c r="CH34" s="346"/>
      <c r="CI34" s="347"/>
      <c r="CJ34" s="348"/>
      <c r="CK34" s="342" t="n">
        <f aca="false">IFERROR(ROUND($CI:$CI*$CJ:$CJ,0),0)</f>
        <v>0</v>
      </c>
      <c r="CL34" s="342" t="n">
        <f aca="false">$CI:$CI+$CK:$CK</f>
        <v>0</v>
      </c>
      <c r="CM34" s="349"/>
      <c r="CN34" s="350" t="n">
        <f aca="false">IF(SUM($CL:$CL&lt;249080),SUM(ROUND($CL:$CL*11%,0)),27398.8)</f>
        <v>0</v>
      </c>
      <c r="CO34" s="350" t="s">
        <v>305</v>
      </c>
      <c r="CP34" s="351" t="n">
        <f aca="false">IF(BA34="Yes",3.25%,0)</f>
        <v>0</v>
      </c>
      <c r="CQ34" s="352" t="n">
        <f aca="false">ROUND(AR34*CP34,0)</f>
        <v>0</v>
      </c>
      <c r="CR34" s="353" t="n">
        <f aca="false">IF($AW:$AW&lt;3.25%,$AW:$AW,3.25%)</f>
        <v>0</v>
      </c>
      <c r="CS34" s="354" t="n">
        <f aca="false">ROUND($AR:$AR*$CR:$CR,0)</f>
        <v>0</v>
      </c>
      <c r="CT34" s="353" t="n">
        <f aca="false">IF($AW:$AW&gt;=3.25%,$AW:$AW-$CR:$CR,0)</f>
        <v>0</v>
      </c>
      <c r="CU34" s="354" t="n">
        <f aca="false">ROUND($AR:$AR*$CT:$CT,0)</f>
        <v>0</v>
      </c>
      <c r="CV34" s="353" t="n">
        <f aca="false">IF($CR:$CR=3.25%,0,IF($BC:$BC&lt;3.25%,$BC:$BC,IF($BC:$BC&gt;3.25%,3.25%-$CR:$CR,0)))</f>
        <v>0</v>
      </c>
      <c r="CW34" s="354" t="n">
        <f aca="false">IFERROR(ROUND($AY:$AY*$CV:$CV,0),0)</f>
        <v>0</v>
      </c>
      <c r="CX34" s="353" t="n">
        <f aca="false">IF($CV:$CV=0,$BC:$BC,BC:BC-$CV:$CV)</f>
        <v>0</v>
      </c>
      <c r="CY34" s="354" t="n">
        <f aca="false">IFERROR(ROUND($AY:$AY*$CX:$CX,0),0)</f>
        <v>0</v>
      </c>
      <c r="CZ34" s="353" t="n">
        <f aca="false">$CR:$CR+$CT:CT+$CV:$CV+$CX:$CX</f>
        <v>0</v>
      </c>
      <c r="DA34" s="353" t="n">
        <f aca="false">(SUM($AW:$AW+$BC:$BC)-$CZ:$CZ)</f>
        <v>0</v>
      </c>
      <c r="DB34" s="353"/>
      <c r="DC34" s="353" t="n">
        <f aca="false">$BE:$BE</f>
        <v>0</v>
      </c>
      <c r="DD34" s="354" t="n">
        <f aca="false">$BF:$BF</f>
        <v>0</v>
      </c>
      <c r="DE34" s="355" t="n">
        <f aca="false">$BI:$BI</f>
        <v>0</v>
      </c>
      <c r="DF34" s="354" t="n">
        <f aca="false">$BJ:$BJ</f>
        <v>0</v>
      </c>
      <c r="DG34" s="355" t="n">
        <f aca="false">$BG:$BG</f>
        <v>0</v>
      </c>
      <c r="DH34" s="354" t="n">
        <f aca="false">IFERROR(ROUND($AP:$AP*$DG:$DG,0),0)</f>
        <v>0</v>
      </c>
      <c r="DI34" s="353" t="n">
        <f aca="false">$CR:$CR+$CV:$CV+$DC:$DC+$DE:$DE+$DG:$DG</f>
        <v>0</v>
      </c>
      <c r="DJ34" s="354" t="n">
        <f aca="false">$CS:$CS+$CW:$CW+$DD:$DD+$DF:$DF+$DH:$DH</f>
        <v>0</v>
      </c>
      <c r="DK34" s="353" t="n">
        <f aca="false">$CT:$CT+$CX:$CX</f>
        <v>0</v>
      </c>
      <c r="DL34" s="354" t="n">
        <f aca="false">$CU:$CU+$CY:$CY</f>
        <v>0</v>
      </c>
      <c r="DM34" s="356"/>
      <c r="DN34" s="357"/>
      <c r="DO34" s="357"/>
      <c r="DP34" s="357"/>
      <c r="DQ34" s="357"/>
      <c r="DR34" s="357"/>
      <c r="DS34" s="357"/>
      <c r="DT34" s="357"/>
      <c r="DU34" s="357"/>
      <c r="DV34" s="357"/>
      <c r="DW34" s="357" t="s">
        <v>296</v>
      </c>
    </row>
    <row r="35" customFormat="false" ht="22.5" hidden="false" customHeight="false" outlineLevel="0" collapsed="false">
      <c r="A35" s="314"/>
      <c r="B35" s="315" t="s">
        <v>273</v>
      </c>
      <c r="C35" s="315" t="s">
        <v>431</v>
      </c>
      <c r="D35" s="315" t="n">
        <v>19129</v>
      </c>
      <c r="E35" s="316" t="s">
        <v>432</v>
      </c>
      <c r="F35" s="316" t="s">
        <v>433</v>
      </c>
      <c r="G35" s="316" t="s">
        <v>300</v>
      </c>
      <c r="H35" s="317" t="s">
        <v>434</v>
      </c>
      <c r="I35" s="316" t="s">
        <v>435</v>
      </c>
      <c r="J35" s="316" t="s">
        <v>436</v>
      </c>
      <c r="K35" s="318" t="n">
        <v>43871</v>
      </c>
      <c r="L35" s="318"/>
      <c r="M35" s="318" t="n">
        <v>43871</v>
      </c>
      <c r="N35" s="319" t="s">
        <v>281</v>
      </c>
      <c r="O35" s="319" t="n">
        <v>38</v>
      </c>
      <c r="P35" s="320" t="n">
        <f aca="false">$O:$O/38</f>
        <v>1</v>
      </c>
      <c r="Q35" s="316" t="s">
        <v>320</v>
      </c>
      <c r="R35" s="316" t="n">
        <v>17956</v>
      </c>
      <c r="S35" s="316" t="s">
        <v>356</v>
      </c>
      <c r="T35" s="316" t="s">
        <v>310</v>
      </c>
      <c r="U35" s="316" t="s">
        <v>311</v>
      </c>
      <c r="V35" s="317" t="s">
        <v>58</v>
      </c>
      <c r="W35" s="317" t="s">
        <v>64</v>
      </c>
      <c r="X35" s="317" t="s">
        <v>286</v>
      </c>
      <c r="Y35" s="360" t="s">
        <v>287</v>
      </c>
      <c r="Z35" s="317" t="s">
        <v>356</v>
      </c>
      <c r="AA35" s="316" t="s">
        <v>311</v>
      </c>
      <c r="AB35" s="321" t="s">
        <v>357</v>
      </c>
      <c r="AC35" s="317" t="s">
        <v>289</v>
      </c>
      <c r="AD35" s="360" t="s">
        <v>290</v>
      </c>
      <c r="AE35" s="322" t="n">
        <f aca="false">IFERROR(INDEX('[3]Lookup_Rem Ranges'!$D$1:$D$1048576,MATCH($AL:$AL,'[3]Lookup_Rem Ranges'!$C$1:$C$1048576,0)),0)</f>
        <v>114200</v>
      </c>
      <c r="AF35" s="322" t="n">
        <f aca="false">IFERROR(INDEX('[3]Lookup_Rem Ranges'!$E$1:$E$1048576,MATCH($AL:$AL,'[3]Lookup_Rem Ranges'!$C$1:$C$1048576,0)),0)</f>
        <v>134400</v>
      </c>
      <c r="AG35" s="322" t="n">
        <f aca="false">IFERROR(INDEX('[3]Lookup_Rem Ranges'!$F$1:$F$1048576,MATCH($AL:$AL,'[3]Lookup_Rem Ranges'!$C$1:$C$1048576,0)),)</f>
        <v>154600</v>
      </c>
      <c r="AH35" s="317" t="s">
        <v>291</v>
      </c>
      <c r="AI35" s="319"/>
      <c r="AJ35" s="323" t="n">
        <v>0</v>
      </c>
      <c r="AK35" s="316"/>
      <c r="AL35" s="324" t="str">
        <f aca="false">CONCATENATE(AM35,"",AN35)</f>
        <v>GI6</v>
      </c>
      <c r="AM35" s="324" t="s">
        <v>312</v>
      </c>
      <c r="AN35" s="319" t="n">
        <v>6</v>
      </c>
      <c r="AO35" s="316"/>
      <c r="AP35" s="325" t="n">
        <v>105100</v>
      </c>
      <c r="AQ35" s="322" t="n">
        <f aca="false">ROUND(IF($P:$P&gt;1,$AP:$AP*1,$AP:$AP*$P:$P),0)</f>
        <v>105100</v>
      </c>
      <c r="AR35" s="322" t="n">
        <f aca="false">IF(BA35="Yes",AP35,0)</f>
        <v>105100</v>
      </c>
      <c r="AS35" s="326" t="n">
        <v>0.0253658536585366</v>
      </c>
      <c r="AT35" s="326" t="n">
        <v>0</v>
      </c>
      <c r="AU35" s="327"/>
      <c r="AV35" s="322"/>
      <c r="AW35" s="328" t="n">
        <v>0</v>
      </c>
      <c r="AX35" s="322" t="n">
        <v>0</v>
      </c>
      <c r="AY35" s="322" t="n">
        <v>105100</v>
      </c>
      <c r="AZ35" s="329" t="n">
        <f aca="false">IFERROR(($AY:$AY+$AJ:$AJ+$AK:$AK)/$AF:$AF,0)</f>
        <v>0.781994047619048</v>
      </c>
      <c r="BA35" s="330" t="s">
        <v>293</v>
      </c>
      <c r="BB35" s="331" t="n">
        <v>4</v>
      </c>
      <c r="BC35" s="326" t="n">
        <f aca="false">IFERROR($BD:$BD/$AY:$AY,0)</f>
        <v>0.0865842055185538</v>
      </c>
      <c r="BD35" s="332" t="n">
        <f aca="false">ROUND(IF($AY:$AY&lt;$AE:$AE,$AE:$AE-$AY:$AY,0),0)</f>
        <v>9100</v>
      </c>
      <c r="BE35" s="333" t="n">
        <v>0</v>
      </c>
      <c r="BF35" s="334" t="n">
        <f aca="false">ROUND($AR:$AR*$BE:$BE,0)</f>
        <v>0</v>
      </c>
      <c r="BG35" s="335" t="n">
        <v>0</v>
      </c>
      <c r="BH35" s="336" t="n">
        <f aca="false">ROUND($AR:$AR*$BG:$BG,0)</f>
        <v>0</v>
      </c>
      <c r="BI35" s="333" t="n">
        <v>0</v>
      </c>
      <c r="BJ35" s="334" t="n">
        <f aca="false">ROUND($AR:$AR*$BI:$BI,0)</f>
        <v>0</v>
      </c>
      <c r="BK35" s="334" t="n">
        <f aca="false">ROUND(IF($P:$P&gt;1,$BJ:$BJ*1,$BJ:$BJ*$P:$P),0)</f>
        <v>0</v>
      </c>
      <c r="BL35" s="337"/>
      <c r="BM35" s="338" t="n">
        <f aca="false">$BC:$BC+$BE:$BE+$BG:$BG</f>
        <v>0.0865842055185538</v>
      </c>
      <c r="BN35" s="339" t="n">
        <f aca="false">$BD:$BD+$BF:$BF+$BH:$BH</f>
        <v>9100</v>
      </c>
      <c r="BO35" s="340" t="n">
        <f aca="false">IFERROR(ROUND($AY:$AY+$BN:$BN,0),0)</f>
        <v>114200</v>
      </c>
      <c r="BP35" s="341" t="n">
        <f aca="false">ROUND(IF(SUM($BO:$BO&lt;249080),SUM(ROUND($BO:$BO*11%,0)),27398.8),0)</f>
        <v>12562</v>
      </c>
      <c r="BQ35" s="342" t="n">
        <f aca="false">$BO:$BO+$BP:$BP</f>
        <v>126762</v>
      </c>
      <c r="BR35" s="329" t="n">
        <f aca="false">IFERROR(($BO:$BO+$AJ:$AJ+$AK:$AK)/$AF:$AF,0)</f>
        <v>0.849702380952381</v>
      </c>
      <c r="BS35" s="343" t="n">
        <f aca="false">IF($N:$N="CASUAL","TBC",ROUND($BN:$BN/(NETWORKDAYS("01/07/2023","30/06/2024"))*NETWORKDAYS("10/07/2023","04/09/2023"),0)*$P:$P)</f>
        <v>1435</v>
      </c>
      <c r="BT35" s="326" t="n">
        <f aca="false">$BM35+$BI35</f>
        <v>0.0865842055185538</v>
      </c>
      <c r="BU35" s="332" t="n">
        <f aca="false">$BN:$BN+$BJ:$BJ</f>
        <v>9100</v>
      </c>
      <c r="BV35" s="342" t="n">
        <f aca="false">$BO:$BO*$P:$P</f>
        <v>114200</v>
      </c>
      <c r="BW35" s="344" t="n">
        <f aca="false">ROUND($BO:$BO/1976,2)</f>
        <v>57.79</v>
      </c>
      <c r="BX35" s="316"/>
      <c r="BY35" s="342" t="n">
        <f aca="false">$BQ:$BQ+$BX:$BX</f>
        <v>126762</v>
      </c>
      <c r="BZ35" s="345" t="s">
        <v>294</v>
      </c>
      <c r="CA35" s="316"/>
      <c r="CB35" s="316"/>
      <c r="CC35" s="324" t="str">
        <f aca="false">CONCATENATE(CD35,"",CE35)</f>
        <v/>
      </c>
      <c r="CD35" s="319"/>
      <c r="CE35" s="319"/>
      <c r="CF35" s="322" t="str">
        <f aca="false">IFERROR(INDEX('[4]Lookup_Rem Ranges'!$D$1:$D$1048576,MATCH($CC:$CC,'[4]Lookup_Rem Ranges'!$C$1:$C$1048576,0)),"")</f>
        <v/>
      </c>
      <c r="CG35" s="318"/>
      <c r="CH35" s="318"/>
      <c r="CI35" s="361"/>
      <c r="CJ35" s="348"/>
      <c r="CK35" s="342" t="n">
        <f aca="false">IFERROR(ROUND($CI:$CI*$CJ:$CJ,0),0)</f>
        <v>0</v>
      </c>
      <c r="CL35" s="342" t="n">
        <f aca="false">$CI:$CI+$CK:$CK</f>
        <v>0</v>
      </c>
      <c r="CM35" s="349"/>
      <c r="CN35" s="350" t="n">
        <f aca="false">IF(SUM($CL:$CL&lt;249080),SUM(ROUND($CL:$CL*11%,0)),27398.8)</f>
        <v>0</v>
      </c>
      <c r="CO35" s="350" t="s">
        <v>313</v>
      </c>
      <c r="CP35" s="351" t="n">
        <f aca="false">IF(BA35="Yes",3.25%,0)</f>
        <v>0.0325</v>
      </c>
      <c r="CQ35" s="352" t="n">
        <f aca="false">ROUND(AR35*CP35,0)</f>
        <v>3416</v>
      </c>
      <c r="CR35" s="353" t="n">
        <f aca="false">IF($AW:$AW&lt;3.25%,$AW:$AW,3.25%)</f>
        <v>0</v>
      </c>
      <c r="CS35" s="354" t="n">
        <f aca="false">ROUND($AR:$AR*$CR:$CR,0)</f>
        <v>0</v>
      </c>
      <c r="CT35" s="353" t="n">
        <f aca="false">IF($AW:$AW&gt;=3.25%,$AW:$AW-$CR:$CR,0)</f>
        <v>0</v>
      </c>
      <c r="CU35" s="354" t="n">
        <f aca="false">ROUND($AR:$AR*$CT:$CT,0)</f>
        <v>0</v>
      </c>
      <c r="CV35" s="353" t="n">
        <f aca="false">IF($CR:$CR=3.25%,0,IF($BC:$BC&lt;3.25%,$BC:$BC,IF($BC:$BC&gt;3.25%,3.25%-$CR:$CR,0)))</f>
        <v>0.0325</v>
      </c>
      <c r="CW35" s="354" t="n">
        <f aca="false">IFERROR(ROUND($AY:$AY*$CV:$CV,0),0)</f>
        <v>3416</v>
      </c>
      <c r="CX35" s="353" t="n">
        <f aca="false">IF($CV:$CV=0,$BC:$BC,BC:BC-$CV:$CV)</f>
        <v>0.0540842055185538</v>
      </c>
      <c r="CY35" s="354" t="n">
        <f aca="false">IFERROR(ROUND($AY:$AY*$CX:$CX,0),0)</f>
        <v>5684</v>
      </c>
      <c r="CZ35" s="353" t="n">
        <f aca="false">$CR:$CR+$CT:CT+$CV:$CV+$CX:$CX</f>
        <v>0.0865842055185538</v>
      </c>
      <c r="DA35" s="353" t="n">
        <f aca="false">(SUM($AW:$AW+$BC:$BC)-$CZ:$CZ)</f>
        <v>0</v>
      </c>
      <c r="DB35" s="353"/>
      <c r="DC35" s="353" t="n">
        <f aca="false">$BE:$BE</f>
        <v>0</v>
      </c>
      <c r="DD35" s="354" t="n">
        <f aca="false">$BF:$BF</f>
        <v>0</v>
      </c>
      <c r="DE35" s="355" t="n">
        <f aca="false">$BI:$BI</f>
        <v>0</v>
      </c>
      <c r="DF35" s="354" t="n">
        <f aca="false">$BJ:$BJ</f>
        <v>0</v>
      </c>
      <c r="DG35" s="355" t="n">
        <f aca="false">$BG:$BG</f>
        <v>0</v>
      </c>
      <c r="DH35" s="354" t="n">
        <f aca="false">IFERROR(ROUND($AP:$AP*$DG:$DG,0),0)</f>
        <v>0</v>
      </c>
      <c r="DI35" s="353" t="n">
        <f aca="false">$CR:$CR+$CV:$CV+$DC:$DC+$DE:$DE+$DG:$DG</f>
        <v>0.0325</v>
      </c>
      <c r="DJ35" s="354" t="n">
        <f aca="false">$CS:$CS+$CW:$CW+$DD:$DD+$DF:$DF+$DH:$DH</f>
        <v>3416</v>
      </c>
      <c r="DK35" s="353" t="n">
        <f aca="false">$CT:$CT+$CX:$CX</f>
        <v>0.0540842055185538</v>
      </c>
      <c r="DL35" s="354" t="n">
        <f aca="false">$CU:$CU+$CY:$CY</f>
        <v>5684</v>
      </c>
      <c r="DM35" s="356"/>
      <c r="DN35" s="357"/>
      <c r="DO35" s="357"/>
      <c r="DP35" s="357"/>
      <c r="DQ35" s="357"/>
      <c r="DR35" s="357"/>
      <c r="DS35" s="357"/>
      <c r="DT35" s="357"/>
      <c r="DU35" s="357"/>
      <c r="DV35" s="357"/>
      <c r="DW35" s="357" t="s">
        <v>296</v>
      </c>
    </row>
    <row r="36" customFormat="false" ht="33.75" hidden="false" customHeight="false" outlineLevel="0" collapsed="false">
      <c r="A36" s="314"/>
      <c r="B36" s="315" t="s">
        <v>273</v>
      </c>
      <c r="C36" s="315" t="s">
        <v>437</v>
      </c>
      <c r="D36" s="315" t="n">
        <v>5267</v>
      </c>
      <c r="E36" s="316" t="s">
        <v>438</v>
      </c>
      <c r="F36" s="316" t="s">
        <v>439</v>
      </c>
      <c r="G36" s="316" t="s">
        <v>277</v>
      </c>
      <c r="H36" s="317" t="s">
        <v>434</v>
      </c>
      <c r="I36" s="316" t="s">
        <v>440</v>
      </c>
      <c r="J36" s="316" t="s">
        <v>436</v>
      </c>
      <c r="K36" s="318" t="n">
        <v>36129</v>
      </c>
      <c r="L36" s="318"/>
      <c r="M36" s="318" t="n">
        <v>44287</v>
      </c>
      <c r="N36" s="319" t="s">
        <v>281</v>
      </c>
      <c r="O36" s="319" t="n">
        <v>38</v>
      </c>
      <c r="P36" s="320" t="n">
        <f aca="false">$O:$O/38</f>
        <v>1</v>
      </c>
      <c r="Q36" s="316" t="s">
        <v>320</v>
      </c>
      <c r="R36" s="316" t="n">
        <v>17956</v>
      </c>
      <c r="S36" s="316" t="s">
        <v>356</v>
      </c>
      <c r="T36" s="316" t="s">
        <v>310</v>
      </c>
      <c r="U36" s="316" t="s">
        <v>311</v>
      </c>
      <c r="V36" s="317" t="s">
        <v>58</v>
      </c>
      <c r="W36" s="317" t="s">
        <v>64</v>
      </c>
      <c r="X36" s="317" t="s">
        <v>286</v>
      </c>
      <c r="Y36" s="360" t="s">
        <v>287</v>
      </c>
      <c r="Z36" s="317" t="s">
        <v>356</v>
      </c>
      <c r="AA36" s="316" t="s">
        <v>311</v>
      </c>
      <c r="AB36" s="321" t="s">
        <v>357</v>
      </c>
      <c r="AC36" s="317" t="s">
        <v>289</v>
      </c>
      <c r="AD36" s="360" t="s">
        <v>290</v>
      </c>
      <c r="AE36" s="322" t="n">
        <f aca="false">IFERROR(INDEX('[3]Lookup_Rem Ranges'!$D$1:$D$1048576,MATCH($AL:$AL,'[3]Lookup_Rem Ranges'!$C$1:$C$1048576,0)),0)</f>
        <v>114200</v>
      </c>
      <c r="AF36" s="322" t="n">
        <f aca="false">IFERROR(INDEX('[3]Lookup_Rem Ranges'!$E$1:$E$1048576,MATCH($AL:$AL,'[3]Lookup_Rem Ranges'!$C$1:$C$1048576,0)),0)</f>
        <v>134400</v>
      </c>
      <c r="AG36" s="322" t="n">
        <f aca="false">IFERROR(INDEX('[3]Lookup_Rem Ranges'!$F$1:$F$1048576,MATCH($AL:$AL,'[3]Lookup_Rem Ranges'!$C$1:$C$1048576,0)),)</f>
        <v>154600</v>
      </c>
      <c r="AH36" s="317" t="s">
        <v>291</v>
      </c>
      <c r="AI36" s="319"/>
      <c r="AJ36" s="323" t="n">
        <v>0</v>
      </c>
      <c r="AK36" s="316"/>
      <c r="AL36" s="324" t="str">
        <f aca="false">CONCATENATE(AM36,"",AN36)</f>
        <v>GI6</v>
      </c>
      <c r="AM36" s="324" t="s">
        <v>312</v>
      </c>
      <c r="AN36" s="319" t="n">
        <v>6</v>
      </c>
      <c r="AO36" s="316"/>
      <c r="AP36" s="325" t="n">
        <v>104700</v>
      </c>
      <c r="AQ36" s="322" t="n">
        <f aca="false">ROUND(IF($P:$P&gt;1,$AP:$AP*1,$AP:$AP*$P:$P),0)</f>
        <v>104700</v>
      </c>
      <c r="AR36" s="322" t="n">
        <f aca="false">IF(BA36="Yes",AP36,0)</f>
        <v>104700</v>
      </c>
      <c r="AS36" s="326" t="n">
        <v>0.0155189136760427</v>
      </c>
      <c r="AT36" s="326" t="n">
        <v>0</v>
      </c>
      <c r="AU36" s="327"/>
      <c r="AV36" s="322"/>
      <c r="AW36" s="328" t="n">
        <v>0</v>
      </c>
      <c r="AX36" s="322" t="n">
        <v>0</v>
      </c>
      <c r="AY36" s="322" t="n">
        <v>104700</v>
      </c>
      <c r="AZ36" s="329" t="n">
        <f aca="false">IFERROR(($AY:$AY+$AJ:$AJ+$AK:$AK)/$AF:$AF,0)</f>
        <v>0.779017857142857</v>
      </c>
      <c r="BA36" s="330" t="s">
        <v>293</v>
      </c>
      <c r="BB36" s="331" t="n">
        <v>3</v>
      </c>
      <c r="BC36" s="326" t="n">
        <f aca="false">IFERROR($BD:$BD/$AY:$AY,0)</f>
        <v>0.0907354345749761</v>
      </c>
      <c r="BD36" s="332" t="n">
        <f aca="false">ROUND(IF($AY:$AY&lt;$AE:$AE,$AE:$AE-$AY:$AY,0),0)</f>
        <v>9500</v>
      </c>
      <c r="BE36" s="333" t="n">
        <v>0</v>
      </c>
      <c r="BF36" s="334" t="n">
        <f aca="false">ROUND($AR:$AR*$BE:$BE,0)</f>
        <v>0</v>
      </c>
      <c r="BG36" s="335" t="n">
        <v>0</v>
      </c>
      <c r="BH36" s="336" t="n">
        <f aca="false">ROUND($AR:$AR*$BG:$BG,0)</f>
        <v>0</v>
      </c>
      <c r="BI36" s="333" t="n">
        <v>0</v>
      </c>
      <c r="BJ36" s="334" t="n">
        <f aca="false">ROUND($AR:$AR*$BI:$BI,0)</f>
        <v>0</v>
      </c>
      <c r="BK36" s="334" t="n">
        <f aca="false">ROUND(IF($P:$P&gt;1,$BJ:$BJ*1,$BJ:$BJ*$P:$P),0)</f>
        <v>0</v>
      </c>
      <c r="BL36" s="337"/>
      <c r="BM36" s="338" t="n">
        <f aca="false">$BC:$BC+$BE:$BE+$BG:$BG</f>
        <v>0.0907354345749761</v>
      </c>
      <c r="BN36" s="339" t="n">
        <f aca="false">$BD:$BD+$BF:$BF+$BH:$BH</f>
        <v>9500</v>
      </c>
      <c r="BO36" s="340" t="n">
        <f aca="false">IFERROR(ROUND($AY:$AY+$BN:$BN,0),0)</f>
        <v>114200</v>
      </c>
      <c r="BP36" s="341" t="n">
        <f aca="false">ROUND(IF(SUM($BO:$BO&lt;249080),SUM(ROUND($BO:$BO*11%,0)),27398.8),0)</f>
        <v>12562</v>
      </c>
      <c r="BQ36" s="342" t="n">
        <f aca="false">$BO:$BO+$BP:$BP</f>
        <v>126762</v>
      </c>
      <c r="BR36" s="329" t="n">
        <f aca="false">IFERROR(($BO:$BO+$AJ:$AJ+$AK:$AK)/$AF:$AF,0)</f>
        <v>0.849702380952381</v>
      </c>
      <c r="BS36" s="343" t="n">
        <f aca="false">IF($N:$N="CASUAL","TBC",ROUND($BN:$BN/(NETWORKDAYS("01/07/2023","30/06/2024"))*NETWORKDAYS("10/07/2023","04/09/2023"),0)*$P:$P)</f>
        <v>1498</v>
      </c>
      <c r="BT36" s="326" t="n">
        <f aca="false">$BM36+$BI36</f>
        <v>0.0907354345749761</v>
      </c>
      <c r="BU36" s="332" t="n">
        <f aca="false">$BN:$BN+$BJ:$BJ</f>
        <v>9500</v>
      </c>
      <c r="BV36" s="342" t="n">
        <f aca="false">$BO:$BO*$P:$P</f>
        <v>114200</v>
      </c>
      <c r="BW36" s="344" t="n">
        <f aca="false">ROUND($BO:$BO/1976,2)</f>
        <v>57.79</v>
      </c>
      <c r="BX36" s="316"/>
      <c r="BY36" s="342" t="n">
        <f aca="false">$BQ:$BQ+$BX:$BX</f>
        <v>126762</v>
      </c>
      <c r="BZ36" s="345" t="s">
        <v>294</v>
      </c>
      <c r="CA36" s="316"/>
      <c r="CB36" s="316"/>
      <c r="CC36" s="324" t="str">
        <f aca="false">CONCATENATE(CD36,"",CE36)</f>
        <v/>
      </c>
      <c r="CD36" s="319"/>
      <c r="CE36" s="319"/>
      <c r="CF36" s="322" t="str">
        <f aca="false">IFERROR(INDEX('[4]Lookup_Rem Ranges'!$D$1:$D$1048576,MATCH($CC:$CC,'[4]Lookup_Rem Ranges'!$C$1:$C$1048576,0)),"")</f>
        <v/>
      </c>
      <c r="CG36" s="318"/>
      <c r="CH36" s="318"/>
      <c r="CI36" s="361"/>
      <c r="CJ36" s="348"/>
      <c r="CK36" s="342" t="n">
        <f aca="false">IFERROR(ROUND($CI:$CI*$CJ:$CJ,0),0)</f>
        <v>0</v>
      </c>
      <c r="CL36" s="342" t="n">
        <f aca="false">$CI:$CI+$CK:$CK</f>
        <v>0</v>
      </c>
      <c r="CM36" s="349"/>
      <c r="CN36" s="350" t="n">
        <f aca="false">IF(SUM($CL:$CL&lt;249080),SUM(ROUND($CL:$CL*11%,0)),27398.8)</f>
        <v>0</v>
      </c>
      <c r="CO36" s="350" t="s">
        <v>324</v>
      </c>
      <c r="CP36" s="351" t="n">
        <f aca="false">IF(BA36="Yes",3.25%,0)</f>
        <v>0.0325</v>
      </c>
      <c r="CQ36" s="352" t="n">
        <f aca="false">ROUND(AR36*CP36,0)</f>
        <v>3403</v>
      </c>
      <c r="CR36" s="353" t="n">
        <f aca="false">IF($AW:$AW&lt;3.25%,$AW:$AW,3.25%)</f>
        <v>0</v>
      </c>
      <c r="CS36" s="354" t="n">
        <f aca="false">ROUND($AR:$AR*$CR:$CR,0)</f>
        <v>0</v>
      </c>
      <c r="CT36" s="353" t="n">
        <f aca="false">IF($AW:$AW&gt;=3.25%,$AW:$AW-$CR:$CR,0)</f>
        <v>0</v>
      </c>
      <c r="CU36" s="354" t="n">
        <f aca="false">ROUND($AR:$AR*$CT:$CT,0)</f>
        <v>0</v>
      </c>
      <c r="CV36" s="353" t="n">
        <f aca="false">IF($CR:$CR=3.25%,0,IF($BC:$BC&lt;3.25%,$BC:$BC,IF($BC:$BC&gt;3.25%,3.25%-$CR:$CR,0)))</f>
        <v>0.0325</v>
      </c>
      <c r="CW36" s="354" t="n">
        <f aca="false">IFERROR(ROUND($AY:$AY*$CV:$CV,0),0)</f>
        <v>3403</v>
      </c>
      <c r="CX36" s="353" t="n">
        <f aca="false">IF($CV:$CV=0,$BC:$BC,BC:BC-$CV:$CV)</f>
        <v>0.0582354345749761</v>
      </c>
      <c r="CY36" s="354" t="n">
        <f aca="false">IFERROR(ROUND($AY:$AY*$CX:$CX,0),0)</f>
        <v>6097</v>
      </c>
      <c r="CZ36" s="353" t="n">
        <f aca="false">$CR:$CR+$CT:CT+$CV:$CV+$CX:$CX</f>
        <v>0.0907354345749761</v>
      </c>
      <c r="DA36" s="353" t="n">
        <f aca="false">(SUM($AW:$AW+$BC:$BC)-$CZ:$CZ)</f>
        <v>0</v>
      </c>
      <c r="DB36" s="353"/>
      <c r="DC36" s="353" t="n">
        <f aca="false">$BE:$BE</f>
        <v>0</v>
      </c>
      <c r="DD36" s="354" t="n">
        <f aca="false">$BF:$BF</f>
        <v>0</v>
      </c>
      <c r="DE36" s="355" t="n">
        <f aca="false">$BI:$BI</f>
        <v>0</v>
      </c>
      <c r="DF36" s="354" t="n">
        <f aca="false">$BJ:$BJ</f>
        <v>0</v>
      </c>
      <c r="DG36" s="355" t="n">
        <f aca="false">$BG:$BG</f>
        <v>0</v>
      </c>
      <c r="DH36" s="354" t="n">
        <f aca="false">IFERROR(ROUND($AP:$AP*$DG:$DG,0),0)</f>
        <v>0</v>
      </c>
      <c r="DI36" s="353" t="n">
        <f aca="false">$CR:$CR+$CV:$CV+$DC:$DC+$DE:$DE+$DG:$DG</f>
        <v>0.0325</v>
      </c>
      <c r="DJ36" s="354" t="n">
        <f aca="false">$CS:$CS+$CW:$CW+$DD:$DD+$DF:$DF+$DH:$DH</f>
        <v>3403</v>
      </c>
      <c r="DK36" s="353" t="n">
        <f aca="false">$CT:$CT+$CX:$CX</f>
        <v>0.0582354345749761</v>
      </c>
      <c r="DL36" s="354" t="n">
        <f aca="false">$CU:$CU+$CY:$CY</f>
        <v>6097</v>
      </c>
      <c r="DM36" s="356"/>
      <c r="DN36" s="357"/>
      <c r="DO36" s="357"/>
      <c r="DP36" s="357"/>
      <c r="DQ36" s="357"/>
      <c r="DR36" s="357"/>
      <c r="DS36" s="357"/>
      <c r="DT36" s="357"/>
      <c r="DU36" s="357"/>
      <c r="DV36" s="357"/>
      <c r="DW36" s="357" t="s">
        <v>296</v>
      </c>
    </row>
    <row r="37" customFormat="false" ht="33.75" hidden="false" customHeight="false" outlineLevel="0" collapsed="false">
      <c r="A37" s="314"/>
      <c r="B37" s="315" t="s">
        <v>273</v>
      </c>
      <c r="C37" s="315" t="s">
        <v>441</v>
      </c>
      <c r="D37" s="315" t="n">
        <v>14167</v>
      </c>
      <c r="E37" s="316" t="s">
        <v>442</v>
      </c>
      <c r="F37" s="316" t="s">
        <v>443</v>
      </c>
      <c r="G37" s="316" t="s">
        <v>277</v>
      </c>
      <c r="H37" s="317" t="s">
        <v>434</v>
      </c>
      <c r="I37" s="316" t="s">
        <v>444</v>
      </c>
      <c r="J37" s="316" t="s">
        <v>445</v>
      </c>
      <c r="K37" s="318" t="n">
        <v>41582</v>
      </c>
      <c r="L37" s="318"/>
      <c r="M37" s="318" t="n">
        <v>44473</v>
      </c>
      <c r="N37" s="319" t="s">
        <v>281</v>
      </c>
      <c r="O37" s="319" t="n">
        <v>38</v>
      </c>
      <c r="P37" s="320" t="n">
        <f aca="false">$O:$O/38</f>
        <v>1</v>
      </c>
      <c r="Q37" s="316" t="s">
        <v>320</v>
      </c>
      <c r="R37" s="316" t="n">
        <v>17956</v>
      </c>
      <c r="S37" s="316" t="s">
        <v>356</v>
      </c>
      <c r="T37" s="316" t="s">
        <v>310</v>
      </c>
      <c r="U37" s="316" t="s">
        <v>311</v>
      </c>
      <c r="V37" s="317" t="s">
        <v>58</v>
      </c>
      <c r="W37" s="317" t="s">
        <v>64</v>
      </c>
      <c r="X37" s="317" t="s">
        <v>286</v>
      </c>
      <c r="Y37" s="360" t="s">
        <v>287</v>
      </c>
      <c r="Z37" s="317" t="s">
        <v>356</v>
      </c>
      <c r="AA37" s="316" t="s">
        <v>311</v>
      </c>
      <c r="AB37" s="321" t="s">
        <v>357</v>
      </c>
      <c r="AC37" s="317" t="s">
        <v>289</v>
      </c>
      <c r="AD37" s="360" t="s">
        <v>290</v>
      </c>
      <c r="AE37" s="322" t="n">
        <f aca="false">IFERROR(INDEX('[3]Lookup_Rem Ranges'!$D$1:$D$1048576,MATCH($AL:$AL,'[3]Lookup_Rem Ranges'!$C$1:$C$1048576,0)),0)</f>
        <v>114200</v>
      </c>
      <c r="AF37" s="322" t="n">
        <f aca="false">IFERROR(INDEX('[3]Lookup_Rem Ranges'!$E$1:$E$1048576,MATCH($AL:$AL,'[3]Lookup_Rem Ranges'!$C$1:$C$1048576,0)),0)</f>
        <v>134400</v>
      </c>
      <c r="AG37" s="322" t="n">
        <f aca="false">IFERROR(INDEX('[3]Lookup_Rem Ranges'!$F$1:$F$1048576,MATCH($AL:$AL,'[3]Lookup_Rem Ranges'!$C$1:$C$1048576,0)),)</f>
        <v>154600</v>
      </c>
      <c r="AH37" s="317" t="s">
        <v>291</v>
      </c>
      <c r="AI37" s="319"/>
      <c r="AJ37" s="323" t="n">
        <v>0</v>
      </c>
      <c r="AK37" s="316"/>
      <c r="AL37" s="324" t="str">
        <f aca="false">CONCATENATE(AM37,"",AN37)</f>
        <v>GI6</v>
      </c>
      <c r="AM37" s="324" t="s">
        <v>312</v>
      </c>
      <c r="AN37" s="319" t="n">
        <v>6</v>
      </c>
      <c r="AO37" s="316"/>
      <c r="AP37" s="325" t="n">
        <v>98500</v>
      </c>
      <c r="AQ37" s="322" t="n">
        <f aca="false">ROUND(IF($P:$P&gt;1,$AP:$AP*1,$AP:$AP*$P:$P),0)</f>
        <v>98500</v>
      </c>
      <c r="AR37" s="322" t="n">
        <f aca="false">IF(BA37="Yes",AP37,0)</f>
        <v>98500</v>
      </c>
      <c r="AS37" s="326" t="n">
        <v>0.0368421052631579</v>
      </c>
      <c r="AT37" s="326" t="n">
        <v>0</v>
      </c>
      <c r="AU37" s="327"/>
      <c r="AV37" s="322"/>
      <c r="AW37" s="328" t="n">
        <v>0</v>
      </c>
      <c r="AX37" s="322" t="n">
        <v>0</v>
      </c>
      <c r="AY37" s="322" t="n">
        <v>98500</v>
      </c>
      <c r="AZ37" s="329" t="n">
        <f aca="false">IFERROR(($AY:$AY+$AJ:$AJ+$AK:$AK)/$AF:$AF,0)</f>
        <v>0.732886904761905</v>
      </c>
      <c r="BA37" s="330" t="s">
        <v>293</v>
      </c>
      <c r="BB37" s="331" t="n">
        <v>3</v>
      </c>
      <c r="BC37" s="326" t="n">
        <f aca="false">IFERROR($BD:$BD/$AY:$AY,0)</f>
        <v>0.159390862944162</v>
      </c>
      <c r="BD37" s="332" t="n">
        <f aca="false">ROUND(IF($AY:$AY&lt;$AE:$AE,$AE:$AE-$AY:$AY,0),0)</f>
        <v>15700</v>
      </c>
      <c r="BE37" s="333" t="n">
        <v>0</v>
      </c>
      <c r="BF37" s="334" t="n">
        <f aca="false">ROUND($AR:$AR*$BE:$BE,0)</f>
        <v>0</v>
      </c>
      <c r="BG37" s="335" t="n">
        <v>0</v>
      </c>
      <c r="BH37" s="336" t="n">
        <f aca="false">ROUND($AR:$AR*$BG:$BG,0)</f>
        <v>0</v>
      </c>
      <c r="BI37" s="333" t="n">
        <v>0</v>
      </c>
      <c r="BJ37" s="334" t="n">
        <f aca="false">ROUND($AR:$AR*$BI:$BI,0)</f>
        <v>0</v>
      </c>
      <c r="BK37" s="334" t="n">
        <f aca="false">ROUND(IF($P:$P&gt;1,$BJ:$BJ*1,$BJ:$BJ*$P:$P),0)</f>
        <v>0</v>
      </c>
      <c r="BL37" s="337"/>
      <c r="BM37" s="338" t="n">
        <f aca="false">$BC:$BC+$BE:$BE+$BG:$BG</f>
        <v>0.159390862944162</v>
      </c>
      <c r="BN37" s="339" t="n">
        <f aca="false">$BD:$BD+$BF:$BF+$BH:$BH</f>
        <v>15700</v>
      </c>
      <c r="BO37" s="340" t="n">
        <f aca="false">IFERROR(ROUND($AY:$AY+$BN:$BN,0),0)</f>
        <v>114200</v>
      </c>
      <c r="BP37" s="341" t="n">
        <f aca="false">ROUND(IF(SUM($BO:$BO&lt;249080),SUM(ROUND($BO:$BO*11%,0)),27398.8),0)</f>
        <v>12562</v>
      </c>
      <c r="BQ37" s="342" t="n">
        <f aca="false">$BO:$BO+$BP:$BP</f>
        <v>126762</v>
      </c>
      <c r="BR37" s="329" t="n">
        <f aca="false">IFERROR(($BO:$BO+$AJ:$AJ+$AK:$AK)/$AF:$AF,0)</f>
        <v>0.849702380952381</v>
      </c>
      <c r="BS37" s="343" t="n">
        <f aca="false">IF($N:$N="CASUAL","TBC",ROUND($BN:$BN/(NETWORKDAYS("01/07/2023","30/06/2024"))*NETWORKDAYS("10/07/2023","04/09/2023"),0)*$P:$P)</f>
        <v>2476</v>
      </c>
      <c r="BT37" s="326" t="n">
        <f aca="false">$BM37+$BI37</f>
        <v>0.159390862944162</v>
      </c>
      <c r="BU37" s="332" t="n">
        <f aca="false">$BN:$BN+$BJ:$BJ</f>
        <v>15700</v>
      </c>
      <c r="BV37" s="342" t="n">
        <f aca="false">$BO:$BO*$P:$P</f>
        <v>114200</v>
      </c>
      <c r="BW37" s="344" t="n">
        <f aca="false">ROUND($BO:$BO/1976,2)</f>
        <v>57.79</v>
      </c>
      <c r="BX37" s="316"/>
      <c r="BY37" s="342" t="n">
        <f aca="false">$BQ:$BQ+$BX:$BX</f>
        <v>126762</v>
      </c>
      <c r="BZ37" s="345" t="s">
        <v>294</v>
      </c>
      <c r="CA37" s="316"/>
      <c r="CB37" s="316"/>
      <c r="CC37" s="324" t="str">
        <f aca="false">CONCATENATE(CD37,"",CE37)</f>
        <v/>
      </c>
      <c r="CD37" s="319"/>
      <c r="CE37" s="319"/>
      <c r="CF37" s="322" t="str">
        <f aca="false">IFERROR(INDEX('[4]Lookup_Rem Ranges'!$D$1:$D$1048576,MATCH($CC:$CC,'[4]Lookup_Rem Ranges'!$C$1:$C$1048576,0)),"")</f>
        <v/>
      </c>
      <c r="CG37" s="318"/>
      <c r="CH37" s="318"/>
      <c r="CI37" s="361"/>
      <c r="CJ37" s="348"/>
      <c r="CK37" s="342" t="n">
        <f aca="false">IFERROR(ROUND($CI:$CI*$CJ:$CJ,0),0)</f>
        <v>0</v>
      </c>
      <c r="CL37" s="342" t="n">
        <f aca="false">$CI:$CI+$CK:$CK</f>
        <v>0</v>
      </c>
      <c r="CM37" s="349"/>
      <c r="CN37" s="350" t="n">
        <f aca="false">IF(SUM($CL:$CL&lt;249080),SUM(ROUND($CL:$CL*11%,0)),27398.8)</f>
        <v>0</v>
      </c>
      <c r="CO37" s="350" t="s">
        <v>324</v>
      </c>
      <c r="CP37" s="351" t="n">
        <f aca="false">IF(BA37="Yes",3.25%,0)</f>
        <v>0.0325</v>
      </c>
      <c r="CQ37" s="352" t="n">
        <f aca="false">ROUND(AR37*CP37,0)</f>
        <v>3201</v>
      </c>
      <c r="CR37" s="353" t="n">
        <f aca="false">IF($AW:$AW&lt;3.25%,$AW:$AW,3.25%)</f>
        <v>0</v>
      </c>
      <c r="CS37" s="354" t="n">
        <f aca="false">ROUND($AR:$AR*$CR:$CR,0)</f>
        <v>0</v>
      </c>
      <c r="CT37" s="353" t="n">
        <f aca="false">IF($AW:$AW&gt;=3.25%,$AW:$AW-$CR:$CR,0)</f>
        <v>0</v>
      </c>
      <c r="CU37" s="354" t="n">
        <f aca="false">ROUND($AR:$AR*$CT:$CT,0)</f>
        <v>0</v>
      </c>
      <c r="CV37" s="353" t="n">
        <f aca="false">IF($CR:$CR=3.25%,0,IF($BC:$BC&lt;3.25%,$BC:$BC,IF($BC:$BC&gt;3.25%,3.25%-$CR:$CR,0)))</f>
        <v>0.0325</v>
      </c>
      <c r="CW37" s="354" t="n">
        <f aca="false">IFERROR(ROUND($AY:$AY*$CV:$CV,0),0)</f>
        <v>3201</v>
      </c>
      <c r="CX37" s="353" t="n">
        <f aca="false">IF($CV:$CV=0,$BC:$BC,BC:BC-$CV:$CV)</f>
        <v>0.126890862944162</v>
      </c>
      <c r="CY37" s="354" t="n">
        <f aca="false">IFERROR(ROUND($AY:$AY*$CX:$CX,0),0)</f>
        <v>12499</v>
      </c>
      <c r="CZ37" s="353" t="n">
        <f aca="false">$CR:$CR+$CT:CT+$CV:$CV+$CX:$CX</f>
        <v>0.159390862944162</v>
      </c>
      <c r="DA37" s="353" t="n">
        <f aca="false">(SUM($AW:$AW+$BC:$BC)-$CZ:$CZ)</f>
        <v>0</v>
      </c>
      <c r="DB37" s="353"/>
      <c r="DC37" s="353" t="n">
        <f aca="false">$BE:$BE</f>
        <v>0</v>
      </c>
      <c r="DD37" s="354" t="n">
        <f aca="false">$BF:$BF</f>
        <v>0</v>
      </c>
      <c r="DE37" s="355" t="n">
        <f aca="false">$BI:$BI</f>
        <v>0</v>
      </c>
      <c r="DF37" s="354" t="n">
        <f aca="false">$BJ:$BJ</f>
        <v>0</v>
      </c>
      <c r="DG37" s="355" t="n">
        <f aca="false">$BG:$BG</f>
        <v>0</v>
      </c>
      <c r="DH37" s="354" t="n">
        <f aca="false">IFERROR(ROUND($AP:$AP*$DG:$DG,0),0)</f>
        <v>0</v>
      </c>
      <c r="DI37" s="353" t="n">
        <f aca="false">$CR:$CR+$CV:$CV+$DC:$DC+$DE:$DE+$DG:$DG</f>
        <v>0.0325</v>
      </c>
      <c r="DJ37" s="354" t="n">
        <f aca="false">$CS:$CS+$CW:$CW+$DD:$DD+$DF:$DF+$DH:$DH</f>
        <v>3201</v>
      </c>
      <c r="DK37" s="353" t="n">
        <f aca="false">$CT:$CT+$CX:$CX</f>
        <v>0.126890862944162</v>
      </c>
      <c r="DL37" s="354" t="n">
        <f aca="false">$CU:$CU+$CY:$CY</f>
        <v>12499</v>
      </c>
      <c r="DM37" s="356"/>
      <c r="DN37" s="357"/>
      <c r="DO37" s="357"/>
      <c r="DP37" s="357"/>
      <c r="DQ37" s="357"/>
      <c r="DR37" s="357"/>
      <c r="DS37" s="357"/>
      <c r="DT37" s="357"/>
      <c r="DU37" s="357"/>
      <c r="DV37" s="357"/>
      <c r="DW37" s="357" t="s">
        <v>296</v>
      </c>
    </row>
    <row r="38" customFormat="false" ht="33.75" hidden="false" customHeight="false" outlineLevel="0" collapsed="false">
      <c r="A38" s="314"/>
      <c r="B38" s="315" t="s">
        <v>273</v>
      </c>
      <c r="C38" s="315" t="s">
        <v>446</v>
      </c>
      <c r="D38" s="315" t="n">
        <v>18750</v>
      </c>
      <c r="E38" s="316" t="s">
        <v>447</v>
      </c>
      <c r="F38" s="316" t="s">
        <v>448</v>
      </c>
      <c r="G38" s="316" t="s">
        <v>277</v>
      </c>
      <c r="H38" s="317" t="s">
        <v>449</v>
      </c>
      <c r="I38" s="316" t="s">
        <v>450</v>
      </c>
      <c r="J38" s="316" t="s">
        <v>451</v>
      </c>
      <c r="K38" s="318" t="n">
        <v>43654</v>
      </c>
      <c r="L38" s="318"/>
      <c r="M38" s="318" t="n">
        <v>44136</v>
      </c>
      <c r="N38" s="319" t="s">
        <v>281</v>
      </c>
      <c r="O38" s="319" t="n">
        <v>38</v>
      </c>
      <c r="P38" s="320" t="n">
        <f aca="false">$O:$O/38</f>
        <v>1</v>
      </c>
      <c r="Q38" s="316" t="s">
        <v>320</v>
      </c>
      <c r="R38" s="316" t="n">
        <v>17956</v>
      </c>
      <c r="S38" s="316" t="s">
        <v>356</v>
      </c>
      <c r="T38" s="316" t="s">
        <v>310</v>
      </c>
      <c r="U38" s="316" t="s">
        <v>311</v>
      </c>
      <c r="V38" s="317" t="s">
        <v>58</v>
      </c>
      <c r="W38" s="317" t="s">
        <v>64</v>
      </c>
      <c r="X38" s="317" t="s">
        <v>286</v>
      </c>
      <c r="Y38" s="321" t="s">
        <v>287</v>
      </c>
      <c r="Z38" s="317" t="s">
        <v>356</v>
      </c>
      <c r="AA38" s="316" t="s">
        <v>311</v>
      </c>
      <c r="AB38" s="321" t="s">
        <v>357</v>
      </c>
      <c r="AC38" s="317" t="s">
        <v>289</v>
      </c>
      <c r="AD38" s="321" t="s">
        <v>290</v>
      </c>
      <c r="AE38" s="322" t="n">
        <f aca="false">IFERROR(INDEX('[3]Lookup_Rem Ranges'!$D$1:$D$1048576,MATCH($AL:$AL,'[3]Lookup_Rem Ranges'!$C$1:$C$1048576,0)),0)</f>
        <v>88700</v>
      </c>
      <c r="AF38" s="322" t="n">
        <f aca="false">IFERROR(INDEX('[3]Lookup_Rem Ranges'!$E$1:$E$1048576,MATCH($AL:$AL,'[3]Lookup_Rem Ranges'!$C$1:$C$1048576,0)),0)</f>
        <v>104300</v>
      </c>
      <c r="AG38" s="322" t="n">
        <f aca="false">IFERROR(INDEX('[3]Lookup_Rem Ranges'!$F$1:$F$1048576,MATCH($AL:$AL,'[3]Lookup_Rem Ranges'!$C$1:$C$1048576,0)),)</f>
        <v>119900</v>
      </c>
      <c r="AH38" s="317" t="s">
        <v>291</v>
      </c>
      <c r="AI38" s="319"/>
      <c r="AJ38" s="323" t="n">
        <v>0</v>
      </c>
      <c r="AK38" s="316"/>
      <c r="AL38" s="324" t="str">
        <f aca="false">CONCATENATE(AM38,"",AN38)</f>
        <v>GI5</v>
      </c>
      <c r="AM38" s="324" t="s">
        <v>312</v>
      </c>
      <c r="AN38" s="319" t="n">
        <v>5</v>
      </c>
      <c r="AO38" s="316"/>
      <c r="AP38" s="325" t="n">
        <v>98300</v>
      </c>
      <c r="AQ38" s="322" t="n">
        <f aca="false">ROUND(IF($P:$P&gt;1,$AP:$AP*1,$AP:$AP*$P:$P),0)</f>
        <v>98300</v>
      </c>
      <c r="AR38" s="322" t="n">
        <f aca="false">IF(BA38="Yes",AP38,0)</f>
        <v>98300</v>
      </c>
      <c r="AS38" s="326" t="n">
        <v>0.0250260688216893</v>
      </c>
      <c r="AT38" s="326" t="n">
        <v>0</v>
      </c>
      <c r="AU38" s="327"/>
      <c r="AV38" s="322"/>
      <c r="AW38" s="328" t="n">
        <v>0</v>
      </c>
      <c r="AX38" s="322" t="n">
        <v>0</v>
      </c>
      <c r="AY38" s="322" t="n">
        <v>98300</v>
      </c>
      <c r="AZ38" s="329" t="n">
        <f aca="false">IFERROR(($AY:$AY+$AJ:$AJ+$AK:$AK)/$AF:$AF,0)</f>
        <v>0.942473633748802</v>
      </c>
      <c r="BA38" s="330" t="s">
        <v>293</v>
      </c>
      <c r="BB38" s="331" t="n">
        <v>4</v>
      </c>
      <c r="BC38" s="326" t="n">
        <f aca="false">IFERROR($BD:$BD/$AY:$AY,0)</f>
        <v>0</v>
      </c>
      <c r="BD38" s="332" t="n">
        <f aca="false">ROUND(IF($AY:$AY&lt;$AE:$AE,$AE:$AE-$AY:$AY,0),0)</f>
        <v>0</v>
      </c>
      <c r="BE38" s="333" t="n">
        <v>0.0325</v>
      </c>
      <c r="BF38" s="334" t="n">
        <f aca="false">ROUND($AR:$AR*$BE:$BE,0)</f>
        <v>3195</v>
      </c>
      <c r="BG38" s="335" t="n">
        <v>0</v>
      </c>
      <c r="BH38" s="336" t="n">
        <f aca="false">ROUND($AR:$AR*$BG:$BG,0)</f>
        <v>0</v>
      </c>
      <c r="BI38" s="333" t="n">
        <v>0</v>
      </c>
      <c r="BJ38" s="334" t="n">
        <f aca="false">ROUND($AR:$AR*$BI:$BI,0)</f>
        <v>0</v>
      </c>
      <c r="BK38" s="334" t="n">
        <f aca="false">ROUND(IF($P:$P&gt;1,$BJ:$BJ*1,$BJ:$BJ*$P:$P),0)</f>
        <v>0</v>
      </c>
      <c r="BL38" s="337"/>
      <c r="BM38" s="338" t="n">
        <f aca="false">$BC:$BC+$BE:$BE+$BG:$BG</f>
        <v>0.0325</v>
      </c>
      <c r="BN38" s="339" t="n">
        <f aca="false">$BD:$BD+$BF:$BF+$BH:$BH</f>
        <v>3195</v>
      </c>
      <c r="BO38" s="340" t="n">
        <f aca="false">IFERROR(ROUND($AY:$AY+$BN:$BN,0),0)</f>
        <v>101495</v>
      </c>
      <c r="BP38" s="341" t="n">
        <f aca="false">ROUND(IF(SUM($BO:$BO&lt;249080),SUM(ROUND($BO:$BO*11%,0)),27398.8),0)</f>
        <v>11164</v>
      </c>
      <c r="BQ38" s="342" t="n">
        <f aca="false">$BO:$BO+$BP:$BP</f>
        <v>112659</v>
      </c>
      <c r="BR38" s="329" t="n">
        <f aca="false">IFERROR(($BO:$BO+$AJ:$AJ+$AK:$AK)/$AF:$AF,0)</f>
        <v>0.973106423777565</v>
      </c>
      <c r="BS38" s="343" t="n">
        <f aca="false">IF($N:$N="CASUAL","TBC",ROUND($BN:$BN/(NETWORKDAYS("01/07/2023","30/06/2024"))*NETWORKDAYS("10/07/2023","04/09/2023"),0)*$P:$P)</f>
        <v>504</v>
      </c>
      <c r="BT38" s="326" t="n">
        <f aca="false">$BM38+$BI38</f>
        <v>0.0325</v>
      </c>
      <c r="BU38" s="332" t="n">
        <f aca="false">$BN:$BN+$BJ:$BJ</f>
        <v>3195</v>
      </c>
      <c r="BV38" s="342" t="n">
        <f aca="false">$BO:$BO*$P:$P</f>
        <v>101495</v>
      </c>
      <c r="BW38" s="344" t="n">
        <f aca="false">ROUND($BO:$BO/1976,2)</f>
        <v>51.36</v>
      </c>
      <c r="BX38" s="316"/>
      <c r="BY38" s="342" t="n">
        <f aca="false">$BQ:$BQ+$BX:$BX</f>
        <v>112659</v>
      </c>
      <c r="BZ38" s="345" t="s">
        <v>294</v>
      </c>
      <c r="CA38" s="316"/>
      <c r="CB38" s="316"/>
      <c r="CC38" s="324" t="str">
        <f aca="false">CONCATENATE(CD38,"",CE38)</f>
        <v/>
      </c>
      <c r="CD38" s="319"/>
      <c r="CE38" s="319"/>
      <c r="CF38" s="322" t="str">
        <f aca="false">IFERROR(INDEX('[4]Lookup_Rem Ranges'!$D$1:$D$1048576,MATCH($CC:$CC,'[4]Lookup_Rem Ranges'!$C$1:$C$1048576,0)),"")</f>
        <v/>
      </c>
      <c r="CG38" s="346"/>
      <c r="CH38" s="346"/>
      <c r="CI38" s="347"/>
      <c r="CJ38" s="348"/>
      <c r="CK38" s="342" t="n">
        <f aca="false">IFERROR(ROUND($CI:$CI*$CJ:$CJ,0),0)</f>
        <v>0</v>
      </c>
      <c r="CL38" s="342" t="n">
        <f aca="false">$CI:$CI+$CK:$CK</f>
        <v>0</v>
      </c>
      <c r="CM38" s="349"/>
      <c r="CN38" s="350" t="n">
        <f aca="false">IF(SUM($CL:$CL&lt;249080),SUM(ROUND($CL:$CL*11%,0)),27398.8)</f>
        <v>0</v>
      </c>
      <c r="CO38" s="350" t="s">
        <v>324</v>
      </c>
      <c r="CP38" s="351" t="n">
        <f aca="false">IF(BA38="Yes",3.25%,0)</f>
        <v>0.0325</v>
      </c>
      <c r="CQ38" s="352" t="n">
        <f aca="false">ROUND(AR38*CP38,0)</f>
        <v>3195</v>
      </c>
      <c r="CR38" s="353" t="n">
        <f aca="false">IF($AW:$AW&lt;3.25%,$AW:$AW,3.25%)</f>
        <v>0</v>
      </c>
      <c r="CS38" s="354" t="n">
        <f aca="false">ROUND($AR:$AR*$CR:$CR,0)</f>
        <v>0</v>
      </c>
      <c r="CT38" s="353" t="n">
        <f aca="false">IF($AW:$AW&gt;=3.25%,$AW:$AW-$CR:$CR,0)</f>
        <v>0</v>
      </c>
      <c r="CU38" s="354" t="n">
        <f aca="false">ROUND($AR:$AR*$CT:$CT,0)</f>
        <v>0</v>
      </c>
      <c r="CV38" s="353" t="n">
        <f aca="false">IF($CR:$CR=3.25%,0,IF($BC:$BC&lt;3.25%,$BC:$BC,IF($BC:$BC&gt;3.25%,3.25%-$CR:$CR,0)))</f>
        <v>0</v>
      </c>
      <c r="CW38" s="354" t="n">
        <f aca="false">IFERROR(ROUND($AY:$AY*$CV:$CV,0),0)</f>
        <v>0</v>
      </c>
      <c r="CX38" s="353" t="n">
        <f aca="false">IF($CV:$CV=0,$BC:$BC,BC:BC-$CV:$CV)</f>
        <v>0</v>
      </c>
      <c r="CY38" s="354" t="n">
        <f aca="false">IFERROR(ROUND($AY:$AY*$CX:$CX,0),0)</f>
        <v>0</v>
      </c>
      <c r="CZ38" s="353" t="n">
        <f aca="false">$CR:$CR+$CT:CT+$CV:$CV+$CX:$CX</f>
        <v>0</v>
      </c>
      <c r="DA38" s="353" t="n">
        <f aca="false">(SUM($AW:$AW+$BC:$BC)-$CZ:$CZ)</f>
        <v>0</v>
      </c>
      <c r="DB38" s="353"/>
      <c r="DC38" s="353" t="n">
        <f aca="false">$BE:$BE</f>
        <v>0.0325</v>
      </c>
      <c r="DD38" s="354" t="n">
        <f aca="false">$BF:$BF</f>
        <v>3195</v>
      </c>
      <c r="DE38" s="355" t="n">
        <f aca="false">$BI:$BI</f>
        <v>0</v>
      </c>
      <c r="DF38" s="354" t="n">
        <f aca="false">$BJ:$BJ</f>
        <v>0</v>
      </c>
      <c r="DG38" s="355" t="n">
        <f aca="false">$BG:$BG</f>
        <v>0</v>
      </c>
      <c r="DH38" s="354" t="n">
        <f aca="false">IFERROR(ROUND($AP:$AP*$DG:$DG,0),0)</f>
        <v>0</v>
      </c>
      <c r="DI38" s="353" t="n">
        <f aca="false">$CR:$CR+$CV:$CV+$DC:$DC+$DE:$DE+$DG:$DG</f>
        <v>0.0325</v>
      </c>
      <c r="DJ38" s="354" t="n">
        <f aca="false">$CS:$CS+$CW:$CW+$DD:$DD+$DF:$DF+$DH:$DH</f>
        <v>3195</v>
      </c>
      <c r="DK38" s="353" t="n">
        <f aca="false">$CT:$CT+$CX:$CX</f>
        <v>0</v>
      </c>
      <c r="DL38" s="354" t="n">
        <f aca="false">$CU:$CU+$CY:$CY</f>
        <v>0</v>
      </c>
      <c r="DM38" s="356"/>
      <c r="DN38" s="357"/>
      <c r="DO38" s="357"/>
      <c r="DP38" s="357"/>
      <c r="DQ38" s="357"/>
      <c r="DR38" s="357"/>
      <c r="DS38" s="357"/>
      <c r="DT38" s="357"/>
      <c r="DU38" s="357"/>
      <c r="DV38" s="357"/>
      <c r="DW38" s="357" t="s">
        <v>296</v>
      </c>
    </row>
    <row r="39" customFormat="false" ht="33.75" hidden="false" customHeight="false" outlineLevel="0" collapsed="false">
      <c r="A39" s="314"/>
      <c r="B39" s="315" t="s">
        <v>273</v>
      </c>
      <c r="C39" s="315" t="s">
        <v>452</v>
      </c>
      <c r="D39" s="315" t="n">
        <v>18797</v>
      </c>
      <c r="E39" s="316" t="s">
        <v>453</v>
      </c>
      <c r="F39" s="316" t="s">
        <v>454</v>
      </c>
      <c r="G39" s="316" t="s">
        <v>277</v>
      </c>
      <c r="H39" s="317" t="s">
        <v>455</v>
      </c>
      <c r="I39" s="316" t="s">
        <v>374</v>
      </c>
      <c r="J39" s="316" t="s">
        <v>375</v>
      </c>
      <c r="K39" s="318" t="n">
        <v>43696</v>
      </c>
      <c r="L39" s="318"/>
      <c r="M39" s="318" t="n">
        <v>44865</v>
      </c>
      <c r="N39" s="319" t="s">
        <v>281</v>
      </c>
      <c r="O39" s="319" t="n">
        <v>38</v>
      </c>
      <c r="P39" s="320" t="n">
        <f aca="false">$O:$O/38</f>
        <v>1</v>
      </c>
      <c r="Q39" s="316" t="s">
        <v>320</v>
      </c>
      <c r="R39" s="316" t="n">
        <v>17956</v>
      </c>
      <c r="S39" s="316" t="s">
        <v>356</v>
      </c>
      <c r="T39" s="316" t="s">
        <v>310</v>
      </c>
      <c r="U39" s="316" t="s">
        <v>311</v>
      </c>
      <c r="V39" s="317" t="s">
        <v>58</v>
      </c>
      <c r="W39" s="317" t="s">
        <v>64</v>
      </c>
      <c r="X39" s="317" t="s">
        <v>286</v>
      </c>
      <c r="Y39" s="321" t="s">
        <v>287</v>
      </c>
      <c r="Z39" s="317" t="s">
        <v>356</v>
      </c>
      <c r="AA39" s="316" t="s">
        <v>311</v>
      </c>
      <c r="AB39" s="321" t="s">
        <v>357</v>
      </c>
      <c r="AC39" s="317" t="s">
        <v>289</v>
      </c>
      <c r="AD39" s="321" t="s">
        <v>290</v>
      </c>
      <c r="AE39" s="322" t="n">
        <f aca="false">IFERROR(INDEX('[3]Lookup_Rem Ranges'!$D$1:$D$1048576,MATCH($AL:$AL,'[3]Lookup_Rem Ranges'!$C$1:$C$1048576,0)),0)</f>
        <v>88700</v>
      </c>
      <c r="AF39" s="322" t="n">
        <f aca="false">IFERROR(INDEX('[3]Lookup_Rem Ranges'!$E$1:$E$1048576,MATCH($AL:$AL,'[3]Lookup_Rem Ranges'!$C$1:$C$1048576,0)),0)</f>
        <v>104300</v>
      </c>
      <c r="AG39" s="322" t="n">
        <f aca="false">IFERROR(INDEX('[3]Lookup_Rem Ranges'!$F$1:$F$1048576,MATCH($AL:$AL,'[3]Lookup_Rem Ranges'!$C$1:$C$1048576,0)),)</f>
        <v>119900</v>
      </c>
      <c r="AH39" s="317" t="s">
        <v>291</v>
      </c>
      <c r="AI39" s="319"/>
      <c r="AJ39" s="323" t="n">
        <v>0</v>
      </c>
      <c r="AK39" s="316"/>
      <c r="AL39" s="324" t="str">
        <f aca="false">CONCATENATE(AM39,"",AN39)</f>
        <v>GI5</v>
      </c>
      <c r="AM39" s="324" t="s">
        <v>312</v>
      </c>
      <c r="AN39" s="319" t="n">
        <v>5</v>
      </c>
      <c r="AO39" s="316"/>
      <c r="AP39" s="325" t="n">
        <v>113600</v>
      </c>
      <c r="AQ39" s="322" t="n">
        <f aca="false">ROUND(IF($P:$P&gt;1,$AP:$AP*1,$AP:$AP*$P:$P),0)</f>
        <v>113600</v>
      </c>
      <c r="AR39" s="322" t="n">
        <f aca="false">IF(BA39="Yes",AP39,0)</f>
        <v>113600</v>
      </c>
      <c r="AS39" s="326" t="n">
        <v>0.0225022502250225</v>
      </c>
      <c r="AT39" s="326" t="n">
        <v>0</v>
      </c>
      <c r="AU39" s="327"/>
      <c r="AV39" s="322"/>
      <c r="AW39" s="328" t="n">
        <v>0</v>
      </c>
      <c r="AX39" s="322" t="n">
        <v>0</v>
      </c>
      <c r="AY39" s="322" t="n">
        <v>113600</v>
      </c>
      <c r="AZ39" s="329" t="n">
        <f aca="false">IFERROR(($AY:$AY+$AJ:$AJ+$AK:$AK)/$AF:$AF,0)</f>
        <v>1.08916586768936</v>
      </c>
      <c r="BA39" s="330" t="s">
        <v>293</v>
      </c>
      <c r="BB39" s="331" t="n">
        <v>4</v>
      </c>
      <c r="BC39" s="326" t="n">
        <f aca="false">IFERROR($BD:$BD/$AY:$AY,0)</f>
        <v>0</v>
      </c>
      <c r="BD39" s="332" t="n">
        <f aca="false">ROUND(IF($AY:$AY&lt;$AE:$AE,$AE:$AE-$AY:$AY,0),0)</f>
        <v>0</v>
      </c>
      <c r="BE39" s="333" t="n">
        <v>0.0325</v>
      </c>
      <c r="BF39" s="334" t="n">
        <f aca="false">ROUND($AR:$AR*$BE:$BE,0)</f>
        <v>3692</v>
      </c>
      <c r="BG39" s="335" t="n">
        <v>0</v>
      </c>
      <c r="BH39" s="336" t="n">
        <f aca="false">ROUND($AR:$AR*$BG:$BG,0)</f>
        <v>0</v>
      </c>
      <c r="BI39" s="333" t="n">
        <v>0</v>
      </c>
      <c r="BJ39" s="334" t="n">
        <f aca="false">ROUND($AR:$AR*$BI:$BI,0)</f>
        <v>0</v>
      </c>
      <c r="BK39" s="334" t="n">
        <f aca="false">ROUND(IF($P:$P&gt;1,$BJ:$BJ*1,$BJ:$BJ*$P:$P),0)</f>
        <v>0</v>
      </c>
      <c r="BL39" s="337"/>
      <c r="BM39" s="338" t="n">
        <f aca="false">$BC:$BC+$BE:$BE+$BG:$BG</f>
        <v>0.0325</v>
      </c>
      <c r="BN39" s="339" t="n">
        <f aca="false">$BD:$BD+$BF:$BF+$BH:$BH</f>
        <v>3692</v>
      </c>
      <c r="BO39" s="340" t="n">
        <f aca="false">IFERROR(ROUND($AY:$AY+$BN:$BN,0),0)</f>
        <v>117292</v>
      </c>
      <c r="BP39" s="341" t="n">
        <f aca="false">ROUND(IF(SUM($BO:$BO&lt;249080),SUM(ROUND($BO:$BO*11%,0)),27398.8),0)</f>
        <v>12902</v>
      </c>
      <c r="BQ39" s="342" t="n">
        <f aca="false">$BO:$BO+$BP:$BP</f>
        <v>130194</v>
      </c>
      <c r="BR39" s="329" t="n">
        <f aca="false">IFERROR(($BO:$BO+$AJ:$AJ+$AK:$AK)/$AF:$AF,0)</f>
        <v>1.12456375838926</v>
      </c>
      <c r="BS39" s="343" t="n">
        <f aca="false">IF($N:$N="CASUAL","TBC",ROUND($BN:$BN/(NETWORKDAYS("01/07/2023","30/06/2024"))*NETWORKDAYS("10/07/2023","04/09/2023"),0)*$P:$P)</f>
        <v>582</v>
      </c>
      <c r="BT39" s="326" t="n">
        <f aca="false">$BM39+$BI39</f>
        <v>0.0325</v>
      </c>
      <c r="BU39" s="332" t="n">
        <f aca="false">$BN:$BN+$BJ:$BJ</f>
        <v>3692</v>
      </c>
      <c r="BV39" s="342" t="n">
        <f aca="false">$BO:$BO*$P:$P</f>
        <v>117292</v>
      </c>
      <c r="BW39" s="344" t="n">
        <f aca="false">ROUND($BO:$BO/1976,2)</f>
        <v>59.36</v>
      </c>
      <c r="BX39" s="316"/>
      <c r="BY39" s="342" t="n">
        <f aca="false">$BQ:$BQ+$BX:$BX</f>
        <v>130194</v>
      </c>
      <c r="BZ39" s="345" t="s">
        <v>294</v>
      </c>
      <c r="CA39" s="316"/>
      <c r="CB39" s="316"/>
      <c r="CC39" s="324" t="str">
        <f aca="false">CONCATENATE(CD39,"",CE39)</f>
        <v/>
      </c>
      <c r="CD39" s="319"/>
      <c r="CE39" s="319"/>
      <c r="CF39" s="322" t="str">
        <f aca="false">IFERROR(INDEX('[4]Lookup_Rem Ranges'!$D$1:$D$1048576,MATCH($CC:$CC,'[4]Lookup_Rem Ranges'!$C$1:$C$1048576,0)),"")</f>
        <v/>
      </c>
      <c r="CG39" s="346"/>
      <c r="CH39" s="346"/>
      <c r="CI39" s="347"/>
      <c r="CJ39" s="348"/>
      <c r="CK39" s="342" t="n">
        <f aca="false">IFERROR(ROUND($CI:$CI*$CJ:$CJ,0),0)</f>
        <v>0</v>
      </c>
      <c r="CL39" s="342" t="n">
        <f aca="false">$CI:$CI+$CK:$CK</f>
        <v>0</v>
      </c>
      <c r="CM39" s="349"/>
      <c r="CN39" s="350" t="n">
        <f aca="false">IF(SUM($CL:$CL&lt;249080),SUM(ROUND($CL:$CL*11%,0)),27398.8)</f>
        <v>0</v>
      </c>
      <c r="CO39" s="350" t="s">
        <v>324</v>
      </c>
      <c r="CP39" s="351" t="n">
        <f aca="false">IF(BA39="Yes",3.25%,0)</f>
        <v>0.0325</v>
      </c>
      <c r="CQ39" s="352" t="n">
        <f aca="false">ROUND(AR39*CP39,0)</f>
        <v>3692</v>
      </c>
      <c r="CR39" s="353" t="n">
        <f aca="false">IF($AW:$AW&lt;3.25%,$AW:$AW,3.25%)</f>
        <v>0</v>
      </c>
      <c r="CS39" s="354" t="n">
        <f aca="false">ROUND($AR:$AR*$CR:$CR,0)</f>
        <v>0</v>
      </c>
      <c r="CT39" s="353" t="n">
        <f aca="false">IF($AW:$AW&gt;=3.25%,$AW:$AW-$CR:$CR,0)</f>
        <v>0</v>
      </c>
      <c r="CU39" s="354" t="n">
        <f aca="false">ROUND($AR:$AR*$CT:$CT,0)</f>
        <v>0</v>
      </c>
      <c r="CV39" s="353" t="n">
        <f aca="false">IF($CR:$CR=3.25%,0,IF($BC:$BC&lt;3.25%,$BC:$BC,IF($BC:$BC&gt;3.25%,3.25%-$CR:$CR,0)))</f>
        <v>0</v>
      </c>
      <c r="CW39" s="354" t="n">
        <f aca="false">IFERROR(ROUND($AY:$AY*$CV:$CV,0),0)</f>
        <v>0</v>
      </c>
      <c r="CX39" s="353" t="n">
        <f aca="false">IF($CV:$CV=0,$BC:$BC,BC:BC-$CV:$CV)</f>
        <v>0</v>
      </c>
      <c r="CY39" s="354" t="n">
        <f aca="false">IFERROR(ROUND($AY:$AY*$CX:$CX,0),0)</f>
        <v>0</v>
      </c>
      <c r="CZ39" s="353" t="n">
        <f aca="false">$CR:$CR+$CT:CT+$CV:$CV+$CX:$CX</f>
        <v>0</v>
      </c>
      <c r="DA39" s="353" t="n">
        <f aca="false">(SUM($AW:$AW+$BC:$BC)-$CZ:$CZ)</f>
        <v>0</v>
      </c>
      <c r="DB39" s="353"/>
      <c r="DC39" s="353" t="n">
        <f aca="false">$BE:$BE</f>
        <v>0.0325</v>
      </c>
      <c r="DD39" s="354" t="n">
        <f aca="false">$BF:$BF</f>
        <v>3692</v>
      </c>
      <c r="DE39" s="355" t="n">
        <f aca="false">$BI:$BI</f>
        <v>0</v>
      </c>
      <c r="DF39" s="354" t="n">
        <f aca="false">$BJ:$BJ</f>
        <v>0</v>
      </c>
      <c r="DG39" s="355" t="n">
        <f aca="false">$BG:$BG</f>
        <v>0</v>
      </c>
      <c r="DH39" s="354" t="n">
        <f aca="false">IFERROR(ROUND($AP:$AP*$DG:$DG,0),0)</f>
        <v>0</v>
      </c>
      <c r="DI39" s="353" t="n">
        <f aca="false">$CR:$CR+$CV:$CV+$DC:$DC+$DE:$DE+$DG:$DG</f>
        <v>0.0325</v>
      </c>
      <c r="DJ39" s="354" t="n">
        <f aca="false">$CS:$CS+$CW:$CW+$DD:$DD+$DF:$DF+$DH:$DH</f>
        <v>3692</v>
      </c>
      <c r="DK39" s="353" t="n">
        <f aca="false">$CT:$CT+$CX:$CX</f>
        <v>0</v>
      </c>
      <c r="DL39" s="354" t="n">
        <f aca="false">$CU:$CU+$CY:$CY</f>
        <v>0</v>
      </c>
      <c r="DM39" s="356"/>
      <c r="DN39" s="357"/>
      <c r="DO39" s="357"/>
      <c r="DP39" s="357"/>
      <c r="DQ39" s="357"/>
      <c r="DR39" s="357"/>
      <c r="DS39" s="357"/>
      <c r="DT39" s="357"/>
      <c r="DU39" s="357"/>
      <c r="DV39" s="357"/>
      <c r="DW39" s="357" t="s">
        <v>296</v>
      </c>
    </row>
    <row r="40" customFormat="false" ht="33.75" hidden="false" customHeight="false" outlineLevel="0" collapsed="false">
      <c r="A40" s="314"/>
      <c r="B40" s="315" t="s">
        <v>273</v>
      </c>
      <c r="C40" s="315" t="s">
        <v>456</v>
      </c>
      <c r="D40" s="315" t="n">
        <v>5140</v>
      </c>
      <c r="E40" s="316" t="s">
        <v>457</v>
      </c>
      <c r="F40" s="316" t="s">
        <v>458</v>
      </c>
      <c r="G40" s="316" t="s">
        <v>300</v>
      </c>
      <c r="H40" s="317" t="s">
        <v>434</v>
      </c>
      <c r="I40" s="316" t="s">
        <v>459</v>
      </c>
      <c r="J40" s="316" t="s">
        <v>436</v>
      </c>
      <c r="K40" s="318" t="n">
        <v>35562</v>
      </c>
      <c r="L40" s="318"/>
      <c r="M40" s="318" t="n">
        <v>43927</v>
      </c>
      <c r="N40" s="319" t="s">
        <v>281</v>
      </c>
      <c r="O40" s="319" t="n">
        <v>38</v>
      </c>
      <c r="P40" s="320" t="n">
        <f aca="false">$O:$O/38</f>
        <v>1</v>
      </c>
      <c r="Q40" s="316" t="s">
        <v>320</v>
      </c>
      <c r="R40" s="316" t="n">
        <v>17956</v>
      </c>
      <c r="S40" s="316" t="s">
        <v>356</v>
      </c>
      <c r="T40" s="316" t="s">
        <v>310</v>
      </c>
      <c r="U40" s="316" t="s">
        <v>311</v>
      </c>
      <c r="V40" s="317" t="s">
        <v>58</v>
      </c>
      <c r="W40" s="317" t="s">
        <v>64</v>
      </c>
      <c r="X40" s="317" t="s">
        <v>286</v>
      </c>
      <c r="Y40" s="360" t="s">
        <v>287</v>
      </c>
      <c r="Z40" s="317" t="s">
        <v>356</v>
      </c>
      <c r="AA40" s="316" t="s">
        <v>311</v>
      </c>
      <c r="AB40" s="321" t="s">
        <v>357</v>
      </c>
      <c r="AC40" s="317" t="s">
        <v>289</v>
      </c>
      <c r="AD40" s="360" t="s">
        <v>290</v>
      </c>
      <c r="AE40" s="322" t="n">
        <f aca="false">IFERROR(INDEX('[3]Lookup_Rem Ranges'!$D$1:$D$1048576,MATCH($AL:$AL,'[3]Lookup_Rem Ranges'!$C$1:$C$1048576,0)),0)</f>
        <v>114200</v>
      </c>
      <c r="AF40" s="322" t="n">
        <f aca="false">IFERROR(INDEX('[3]Lookup_Rem Ranges'!$E$1:$E$1048576,MATCH($AL:$AL,'[3]Lookup_Rem Ranges'!$C$1:$C$1048576,0)),0)</f>
        <v>134400</v>
      </c>
      <c r="AG40" s="322" t="n">
        <f aca="false">IFERROR(INDEX('[3]Lookup_Rem Ranges'!$F$1:$F$1048576,MATCH($AL:$AL,'[3]Lookup_Rem Ranges'!$C$1:$C$1048576,0)),)</f>
        <v>154600</v>
      </c>
      <c r="AH40" s="317" t="s">
        <v>291</v>
      </c>
      <c r="AI40" s="319"/>
      <c r="AJ40" s="323" t="n">
        <v>0</v>
      </c>
      <c r="AK40" s="316"/>
      <c r="AL40" s="324" t="str">
        <f aca="false">CONCATENATE(AM40,"",AN40)</f>
        <v>GI6</v>
      </c>
      <c r="AM40" s="324" t="s">
        <v>312</v>
      </c>
      <c r="AN40" s="319" t="n">
        <v>6</v>
      </c>
      <c r="AO40" s="316"/>
      <c r="AP40" s="325" t="n">
        <v>102000</v>
      </c>
      <c r="AQ40" s="322" t="n">
        <f aca="false">ROUND(IF($P:$P&gt;1,$AP:$AP*1,$AP:$AP*$P:$P),0)</f>
        <v>102000</v>
      </c>
      <c r="AR40" s="322" t="n">
        <f aca="false">IF(BA40="Yes",AP40,0)</f>
        <v>102000</v>
      </c>
      <c r="AS40" s="326" t="n">
        <v>0.02</v>
      </c>
      <c r="AT40" s="326" t="n">
        <v>0</v>
      </c>
      <c r="AU40" s="327"/>
      <c r="AV40" s="322"/>
      <c r="AW40" s="328" t="n">
        <v>0</v>
      </c>
      <c r="AX40" s="322" t="n">
        <v>0</v>
      </c>
      <c r="AY40" s="322" t="n">
        <v>102000</v>
      </c>
      <c r="AZ40" s="329" t="n">
        <f aca="false">IFERROR(($AY:$AY+$AJ:$AJ+$AK:$AK)/$AF:$AF,0)</f>
        <v>0.758928571428571</v>
      </c>
      <c r="BA40" s="330" t="s">
        <v>293</v>
      </c>
      <c r="BB40" s="331" t="n">
        <v>3</v>
      </c>
      <c r="BC40" s="326" t="n">
        <f aca="false">IFERROR($BD:$BD/$AY:$AY,0)</f>
        <v>0.119607843137255</v>
      </c>
      <c r="BD40" s="332" t="n">
        <f aca="false">ROUND(IF($AY:$AY&lt;$AE:$AE,$AE:$AE-$AY:$AY,0),0)</f>
        <v>12200</v>
      </c>
      <c r="BE40" s="333" t="n">
        <v>0</v>
      </c>
      <c r="BF40" s="334" t="n">
        <f aca="false">ROUND($AR:$AR*$BE:$BE,0)</f>
        <v>0</v>
      </c>
      <c r="BG40" s="335" t="n">
        <v>0</v>
      </c>
      <c r="BH40" s="336" t="n">
        <f aca="false">ROUND($AR:$AR*$BG:$BG,0)</f>
        <v>0</v>
      </c>
      <c r="BI40" s="333" t="n">
        <v>0</v>
      </c>
      <c r="BJ40" s="334" t="n">
        <f aca="false">ROUND($AR:$AR*$BI:$BI,0)</f>
        <v>0</v>
      </c>
      <c r="BK40" s="334" t="n">
        <f aca="false">ROUND(IF($P:$P&gt;1,$BJ:$BJ*1,$BJ:$BJ*$P:$P),0)</f>
        <v>0</v>
      </c>
      <c r="BL40" s="337"/>
      <c r="BM40" s="338" t="n">
        <f aca="false">$BC:$BC+$BE:$BE+$BG:$BG</f>
        <v>0.119607843137255</v>
      </c>
      <c r="BN40" s="339" t="n">
        <f aca="false">$BD:$BD+$BF:$BF+$BH:$BH</f>
        <v>12200</v>
      </c>
      <c r="BO40" s="340" t="n">
        <f aca="false">IFERROR(ROUND($AY:$AY+$BN:$BN,0),0)</f>
        <v>114200</v>
      </c>
      <c r="BP40" s="341" t="n">
        <f aca="false">ROUND(IF(SUM($BO:$BO&lt;249080),SUM(ROUND($BO:$BO*11%,0)),27398.8),0)</f>
        <v>12562</v>
      </c>
      <c r="BQ40" s="342" t="n">
        <f aca="false">$BO:$BO+$BP:$BP</f>
        <v>126762</v>
      </c>
      <c r="BR40" s="329" t="n">
        <f aca="false">IFERROR(($BO:$BO+$AJ:$AJ+$AK:$AK)/$AF:$AF,0)</f>
        <v>0.849702380952381</v>
      </c>
      <c r="BS40" s="343" t="n">
        <f aca="false">IF($N:$N="CASUAL","TBC",ROUND($BN:$BN/(NETWORKDAYS("01/07/2023","30/06/2024"))*NETWORKDAYS("10/07/2023","04/09/2023"),0)*$P:$P)</f>
        <v>1924</v>
      </c>
      <c r="BT40" s="326" t="n">
        <f aca="false">$BM40+$BI40</f>
        <v>0.119607843137255</v>
      </c>
      <c r="BU40" s="332" t="n">
        <f aca="false">$BN:$BN+$BJ:$BJ</f>
        <v>12200</v>
      </c>
      <c r="BV40" s="342" t="n">
        <f aca="false">$BO:$BO*$P:$P</f>
        <v>114200</v>
      </c>
      <c r="BW40" s="344" t="n">
        <f aca="false">ROUND($BO:$BO/1976,2)</f>
        <v>57.79</v>
      </c>
      <c r="BX40" s="316"/>
      <c r="BY40" s="342" t="n">
        <f aca="false">$BQ:$BQ+$BX:$BX</f>
        <v>126762</v>
      </c>
      <c r="BZ40" s="345" t="s">
        <v>294</v>
      </c>
      <c r="CA40" s="316"/>
      <c r="CB40" s="316"/>
      <c r="CC40" s="324" t="str">
        <f aca="false">CONCATENATE(CD40,"",CE40)</f>
        <v/>
      </c>
      <c r="CD40" s="319"/>
      <c r="CE40" s="319"/>
      <c r="CF40" s="322" t="str">
        <f aca="false">IFERROR(INDEX('[4]Lookup_Rem Ranges'!$D$1:$D$1048576,MATCH($CC:$CC,'[4]Lookup_Rem Ranges'!$C$1:$C$1048576,0)),"")</f>
        <v/>
      </c>
      <c r="CG40" s="318"/>
      <c r="CH40" s="318"/>
      <c r="CI40" s="361"/>
      <c r="CJ40" s="348"/>
      <c r="CK40" s="342" t="n">
        <f aca="false">IFERROR(ROUND($CI:$CI*$CJ:$CJ,0),0)</f>
        <v>0</v>
      </c>
      <c r="CL40" s="342" t="n">
        <f aca="false">$CI:$CI+$CK:$CK</f>
        <v>0</v>
      </c>
      <c r="CM40" s="349"/>
      <c r="CN40" s="350" t="n">
        <f aca="false">IF(SUM($CL:$CL&lt;249080),SUM(ROUND($CL:$CL*11%,0)),27398.8)</f>
        <v>0</v>
      </c>
      <c r="CO40" s="350" t="s">
        <v>324</v>
      </c>
      <c r="CP40" s="351" t="n">
        <f aca="false">IF(BA40="Yes",3.25%,0)</f>
        <v>0.0325</v>
      </c>
      <c r="CQ40" s="352" t="n">
        <f aca="false">ROUND(AR40*CP40,0)</f>
        <v>3315</v>
      </c>
      <c r="CR40" s="353" t="n">
        <f aca="false">IF($AW:$AW&lt;3.25%,$AW:$AW,3.25%)</f>
        <v>0</v>
      </c>
      <c r="CS40" s="354" t="n">
        <f aca="false">ROUND($AR:$AR*$CR:$CR,0)</f>
        <v>0</v>
      </c>
      <c r="CT40" s="353" t="n">
        <f aca="false">IF($AW:$AW&gt;=3.25%,$AW:$AW-$CR:$CR,0)</f>
        <v>0</v>
      </c>
      <c r="CU40" s="354" t="n">
        <f aca="false">ROUND($AR:$AR*$CT:$CT,0)</f>
        <v>0</v>
      </c>
      <c r="CV40" s="353" t="n">
        <f aca="false">IF($CR:$CR=3.25%,0,IF($BC:$BC&lt;3.25%,$BC:$BC,IF($BC:$BC&gt;3.25%,3.25%-$CR:$CR,0)))</f>
        <v>0.0325</v>
      </c>
      <c r="CW40" s="354" t="n">
        <f aca="false">IFERROR(ROUND($AY:$AY*$CV:$CV,0),0)</f>
        <v>3315</v>
      </c>
      <c r="CX40" s="353" t="n">
        <f aca="false">IF($CV:$CV=0,$BC:$BC,BC:BC-$CV:$CV)</f>
        <v>0.0871078431372549</v>
      </c>
      <c r="CY40" s="354" t="n">
        <f aca="false">IFERROR(ROUND($AY:$AY*$CX:$CX,0),0)</f>
        <v>8885</v>
      </c>
      <c r="CZ40" s="353" t="n">
        <f aca="false">$CR:$CR+$CT:CT+$CV:$CV+$CX:$CX</f>
        <v>0.119607843137255</v>
      </c>
      <c r="DA40" s="353" t="n">
        <f aca="false">(SUM($AW:$AW+$BC:$BC)-$CZ:$CZ)</f>
        <v>0</v>
      </c>
      <c r="DB40" s="353"/>
      <c r="DC40" s="353" t="n">
        <f aca="false">$BE:$BE</f>
        <v>0</v>
      </c>
      <c r="DD40" s="354" t="n">
        <f aca="false">$BF:$BF</f>
        <v>0</v>
      </c>
      <c r="DE40" s="355" t="n">
        <f aca="false">$BI:$BI</f>
        <v>0</v>
      </c>
      <c r="DF40" s="354" t="n">
        <f aca="false">$BJ:$BJ</f>
        <v>0</v>
      </c>
      <c r="DG40" s="355" t="n">
        <f aca="false">$BG:$BG</f>
        <v>0</v>
      </c>
      <c r="DH40" s="354" t="n">
        <f aca="false">IFERROR(ROUND($AP:$AP*$DG:$DG,0),0)</f>
        <v>0</v>
      </c>
      <c r="DI40" s="353" t="n">
        <f aca="false">$CR:$CR+$CV:$CV+$DC:$DC+$DE:$DE+$DG:$DG</f>
        <v>0.0325</v>
      </c>
      <c r="DJ40" s="354" t="n">
        <f aca="false">$CS:$CS+$CW:$CW+$DD:$DD+$DF:$DF+$DH:$DH</f>
        <v>3315</v>
      </c>
      <c r="DK40" s="353" t="n">
        <f aca="false">$CT:$CT+$CX:$CX</f>
        <v>0.0871078431372549</v>
      </c>
      <c r="DL40" s="354" t="n">
        <f aca="false">$CU:$CU+$CY:$CY</f>
        <v>8885</v>
      </c>
      <c r="DM40" s="356"/>
      <c r="DN40" s="357"/>
      <c r="DO40" s="357"/>
      <c r="DP40" s="357"/>
      <c r="DQ40" s="357"/>
      <c r="DR40" s="357"/>
      <c r="DS40" s="357"/>
      <c r="DT40" s="357"/>
      <c r="DU40" s="357"/>
      <c r="DV40" s="357"/>
      <c r="DW40" s="357" t="s">
        <v>296</v>
      </c>
    </row>
    <row r="41" customFormat="false" ht="33.75" hidden="false" customHeight="false" outlineLevel="0" collapsed="false">
      <c r="A41" s="314"/>
      <c r="B41" s="315" t="s">
        <v>273</v>
      </c>
      <c r="C41" s="315" t="s">
        <v>460</v>
      </c>
      <c r="D41" s="315" t="n">
        <v>18151</v>
      </c>
      <c r="E41" s="316" t="s">
        <v>461</v>
      </c>
      <c r="F41" s="316" t="s">
        <v>462</v>
      </c>
      <c r="G41" s="316" t="s">
        <v>300</v>
      </c>
      <c r="H41" s="317" t="s">
        <v>463</v>
      </c>
      <c r="I41" s="316" t="s">
        <v>391</v>
      </c>
      <c r="J41" s="316" t="s">
        <v>392</v>
      </c>
      <c r="K41" s="318" t="n">
        <v>43437</v>
      </c>
      <c r="L41" s="318"/>
      <c r="M41" s="318" t="n">
        <v>44737</v>
      </c>
      <c r="N41" s="319" t="s">
        <v>281</v>
      </c>
      <c r="O41" s="319" t="n">
        <v>38</v>
      </c>
      <c r="P41" s="320" t="n">
        <f aca="false">$O:$O/38</f>
        <v>1</v>
      </c>
      <c r="Q41" s="316" t="s">
        <v>320</v>
      </c>
      <c r="R41" s="316" t="n">
        <v>17956</v>
      </c>
      <c r="S41" s="316" t="s">
        <v>356</v>
      </c>
      <c r="T41" s="316" t="s">
        <v>310</v>
      </c>
      <c r="U41" s="316" t="s">
        <v>311</v>
      </c>
      <c r="V41" s="317" t="s">
        <v>58</v>
      </c>
      <c r="W41" s="317" t="s">
        <v>64</v>
      </c>
      <c r="X41" s="317" t="s">
        <v>286</v>
      </c>
      <c r="Y41" s="321" t="s">
        <v>287</v>
      </c>
      <c r="Z41" s="317" t="s">
        <v>356</v>
      </c>
      <c r="AA41" s="316" t="s">
        <v>311</v>
      </c>
      <c r="AB41" s="321" t="s">
        <v>357</v>
      </c>
      <c r="AC41" s="317" t="s">
        <v>289</v>
      </c>
      <c r="AD41" s="321" t="s">
        <v>290</v>
      </c>
      <c r="AE41" s="322" t="n">
        <f aca="false">IFERROR(INDEX('[3]Lookup_Rem Ranges'!$D$1:$D$1048576,MATCH($AL:$AL,'[3]Lookup_Rem Ranges'!$C$1:$C$1048576,0)),0)</f>
        <v>114200</v>
      </c>
      <c r="AF41" s="322" t="n">
        <f aca="false">IFERROR(INDEX('[3]Lookup_Rem Ranges'!$E$1:$E$1048576,MATCH($AL:$AL,'[3]Lookup_Rem Ranges'!$C$1:$C$1048576,0)),0)</f>
        <v>134400</v>
      </c>
      <c r="AG41" s="322" t="n">
        <f aca="false">IFERROR(INDEX('[3]Lookup_Rem Ranges'!$F$1:$F$1048576,MATCH($AL:$AL,'[3]Lookup_Rem Ranges'!$C$1:$C$1048576,0)),)</f>
        <v>154600</v>
      </c>
      <c r="AH41" s="317" t="s">
        <v>291</v>
      </c>
      <c r="AI41" s="319"/>
      <c r="AJ41" s="323" t="n">
        <v>0</v>
      </c>
      <c r="AK41" s="316"/>
      <c r="AL41" s="324" t="str">
        <f aca="false">CONCATENATE(AM41,"",AN41)</f>
        <v>GI6</v>
      </c>
      <c r="AM41" s="324" t="s">
        <v>312</v>
      </c>
      <c r="AN41" s="319" t="n">
        <v>6</v>
      </c>
      <c r="AO41" s="316"/>
      <c r="AP41" s="325" t="n">
        <v>130100</v>
      </c>
      <c r="AQ41" s="322" t="n">
        <f aca="false">ROUND(IF($P:$P&gt;1,$AP:$AP*1,$AP:$AP*$P:$P),0)</f>
        <v>130100</v>
      </c>
      <c r="AR41" s="322" t="n">
        <f aca="false">IF(BA41="Yes",AP41,0)</f>
        <v>130100</v>
      </c>
      <c r="AS41" s="326" t="n">
        <v>0.0203921568627451</v>
      </c>
      <c r="AT41" s="326" t="n">
        <v>0</v>
      </c>
      <c r="AU41" s="327"/>
      <c r="AV41" s="322"/>
      <c r="AW41" s="328" t="n">
        <v>0</v>
      </c>
      <c r="AX41" s="322" t="n">
        <v>0</v>
      </c>
      <c r="AY41" s="322" t="n">
        <v>130100</v>
      </c>
      <c r="AZ41" s="329" t="n">
        <f aca="false">IFERROR(($AY:$AY+$AJ:$AJ+$AK:$AK)/$AF:$AF,0)</f>
        <v>0.968005952380952</v>
      </c>
      <c r="BA41" s="330" t="s">
        <v>293</v>
      </c>
      <c r="BB41" s="331" t="n">
        <v>4</v>
      </c>
      <c r="BC41" s="326" t="n">
        <f aca="false">IFERROR($BD:$BD/$AY:$AY,0)</f>
        <v>0</v>
      </c>
      <c r="BD41" s="332" t="n">
        <f aca="false">ROUND(IF($AY:$AY&lt;$AE:$AE,$AE:$AE-$AY:$AY,0),0)</f>
        <v>0</v>
      </c>
      <c r="BE41" s="333" t="n">
        <v>0.0325</v>
      </c>
      <c r="BF41" s="334" t="n">
        <f aca="false">ROUND($AR:$AR*$BE:$BE,0)</f>
        <v>4228</v>
      </c>
      <c r="BG41" s="335" t="n">
        <v>0</v>
      </c>
      <c r="BH41" s="336" t="n">
        <f aca="false">ROUND($AR:$AR*$BG:$BG,0)</f>
        <v>0</v>
      </c>
      <c r="BI41" s="333" t="n">
        <v>0</v>
      </c>
      <c r="BJ41" s="334" t="n">
        <f aca="false">ROUND($AR:$AR*$BI:$BI,0)</f>
        <v>0</v>
      </c>
      <c r="BK41" s="334" t="n">
        <f aca="false">ROUND(IF($P:$P&gt;1,$BJ:$BJ*1,$BJ:$BJ*$P:$P),0)</f>
        <v>0</v>
      </c>
      <c r="BL41" s="337"/>
      <c r="BM41" s="338" t="n">
        <f aca="false">$BC:$BC+$BE:$BE+$BG:$BG</f>
        <v>0.0325</v>
      </c>
      <c r="BN41" s="339" t="n">
        <f aca="false">$BD:$BD+$BF:$BF+$BH:$BH</f>
        <v>4228</v>
      </c>
      <c r="BO41" s="340" t="n">
        <f aca="false">IFERROR(ROUND($AY:$AY+$BN:$BN,0),0)</f>
        <v>134328</v>
      </c>
      <c r="BP41" s="341" t="n">
        <f aca="false">ROUND(IF(SUM($BO:$BO&lt;249080),SUM(ROUND($BO:$BO*11%,0)),27398.8),0)</f>
        <v>14776</v>
      </c>
      <c r="BQ41" s="342" t="n">
        <f aca="false">$BO:$BO+$BP:$BP</f>
        <v>149104</v>
      </c>
      <c r="BR41" s="329" t="n">
        <f aca="false">IFERROR(($BO:$BO+$AJ:$AJ+$AK:$AK)/$AF:$AF,0)</f>
        <v>0.999464285714286</v>
      </c>
      <c r="BS41" s="343" t="n">
        <f aca="false">IF($N:$N="CASUAL","TBC",ROUND($BN:$BN/(NETWORKDAYS("01/07/2023","30/06/2024"))*NETWORKDAYS("10/07/2023","04/09/2023"),0)*$P:$P)</f>
        <v>667</v>
      </c>
      <c r="BT41" s="326" t="n">
        <f aca="false">$BM41+$BI41</f>
        <v>0.0325</v>
      </c>
      <c r="BU41" s="332" t="n">
        <f aca="false">$BN:$BN+$BJ:$BJ</f>
        <v>4228</v>
      </c>
      <c r="BV41" s="342" t="n">
        <f aca="false">$BO:$BO*$P:$P</f>
        <v>134328</v>
      </c>
      <c r="BW41" s="344" t="n">
        <f aca="false">ROUND($BO:$BO/1976,2)</f>
        <v>67.98</v>
      </c>
      <c r="BX41" s="316"/>
      <c r="BY41" s="342" t="n">
        <f aca="false">$BQ:$BQ+$BX:$BX</f>
        <v>149104</v>
      </c>
      <c r="BZ41" s="345" t="s">
        <v>294</v>
      </c>
      <c r="CA41" s="316"/>
      <c r="CB41" s="316"/>
      <c r="CC41" s="324" t="str">
        <f aca="false">CONCATENATE(CD41,"",CE41)</f>
        <v/>
      </c>
      <c r="CD41" s="319"/>
      <c r="CE41" s="319"/>
      <c r="CF41" s="322" t="str">
        <f aca="false">IFERROR(INDEX('[4]Lookup_Rem Ranges'!$D$1:$D$1048576,MATCH($CC:$CC,'[4]Lookup_Rem Ranges'!$C$1:$C$1048576,0)),"")</f>
        <v/>
      </c>
      <c r="CG41" s="346"/>
      <c r="CH41" s="346"/>
      <c r="CI41" s="347"/>
      <c r="CJ41" s="348"/>
      <c r="CK41" s="342" t="n">
        <f aca="false">IFERROR(ROUND($CI:$CI*$CJ:$CJ,0),0)</f>
        <v>0</v>
      </c>
      <c r="CL41" s="342" t="n">
        <f aca="false">$CI:$CI+$CK:$CK</f>
        <v>0</v>
      </c>
      <c r="CM41" s="349"/>
      <c r="CN41" s="350" t="n">
        <f aca="false">IF(SUM($CL:$CL&lt;249080),SUM(ROUND($CL:$CL*11%,0)),27398.8)</f>
        <v>0</v>
      </c>
      <c r="CO41" s="350" t="s">
        <v>324</v>
      </c>
      <c r="CP41" s="351" t="n">
        <f aca="false">IF(BA41="Yes",3.25%,0)</f>
        <v>0.0325</v>
      </c>
      <c r="CQ41" s="352" t="n">
        <f aca="false">ROUND(AR41*CP41,0)</f>
        <v>4228</v>
      </c>
      <c r="CR41" s="353" t="n">
        <f aca="false">IF($AW:$AW&lt;3.25%,$AW:$AW,3.25%)</f>
        <v>0</v>
      </c>
      <c r="CS41" s="354" t="n">
        <f aca="false">ROUND($AR:$AR*$CR:$CR,0)</f>
        <v>0</v>
      </c>
      <c r="CT41" s="353" t="n">
        <f aca="false">IF($AW:$AW&gt;=3.25%,$AW:$AW-$CR:$CR,0)</f>
        <v>0</v>
      </c>
      <c r="CU41" s="354" t="n">
        <f aca="false">ROUND($AR:$AR*$CT:$CT,0)</f>
        <v>0</v>
      </c>
      <c r="CV41" s="353" t="n">
        <f aca="false">IF($CR:$CR=3.25%,0,IF($BC:$BC&lt;3.25%,$BC:$BC,IF($BC:$BC&gt;3.25%,3.25%-$CR:$CR,0)))</f>
        <v>0</v>
      </c>
      <c r="CW41" s="354" t="n">
        <f aca="false">IFERROR(ROUND($AY:$AY*$CV:$CV,0),0)</f>
        <v>0</v>
      </c>
      <c r="CX41" s="353" t="n">
        <f aca="false">IF($CV:$CV=0,$BC:$BC,BC:BC-$CV:$CV)</f>
        <v>0</v>
      </c>
      <c r="CY41" s="354" t="n">
        <f aca="false">IFERROR(ROUND($AY:$AY*$CX:$CX,0),0)</f>
        <v>0</v>
      </c>
      <c r="CZ41" s="353" t="n">
        <f aca="false">$CR:$CR+$CT:CT+$CV:$CV+$CX:$CX</f>
        <v>0</v>
      </c>
      <c r="DA41" s="353" t="n">
        <f aca="false">(SUM($AW:$AW+$BC:$BC)-$CZ:$CZ)</f>
        <v>0</v>
      </c>
      <c r="DB41" s="353"/>
      <c r="DC41" s="353" t="n">
        <f aca="false">$BE:$BE</f>
        <v>0.0325</v>
      </c>
      <c r="DD41" s="354" t="n">
        <f aca="false">$BF:$BF</f>
        <v>4228</v>
      </c>
      <c r="DE41" s="355" t="n">
        <f aca="false">$BI:$BI</f>
        <v>0</v>
      </c>
      <c r="DF41" s="354" t="n">
        <f aca="false">$BJ:$BJ</f>
        <v>0</v>
      </c>
      <c r="DG41" s="355" t="n">
        <f aca="false">$BG:$BG</f>
        <v>0</v>
      </c>
      <c r="DH41" s="354" t="n">
        <f aca="false">IFERROR(ROUND($AP:$AP*$DG:$DG,0),0)</f>
        <v>0</v>
      </c>
      <c r="DI41" s="353" t="n">
        <f aca="false">$CR:$CR+$CV:$CV+$DC:$DC+$DE:$DE+$DG:$DG</f>
        <v>0.0325</v>
      </c>
      <c r="DJ41" s="354" t="n">
        <f aca="false">$CS:$CS+$CW:$CW+$DD:$DD+$DF:$DF+$DH:$DH</f>
        <v>4228</v>
      </c>
      <c r="DK41" s="353" t="n">
        <f aca="false">$CT:$CT+$CX:$CX</f>
        <v>0</v>
      </c>
      <c r="DL41" s="354" t="n">
        <f aca="false">$CU:$CU+$CY:$CY</f>
        <v>0</v>
      </c>
      <c r="DM41" s="356"/>
      <c r="DN41" s="357"/>
      <c r="DO41" s="357"/>
      <c r="DP41" s="357"/>
      <c r="DQ41" s="357"/>
      <c r="DR41" s="357"/>
      <c r="DS41" s="357"/>
      <c r="DT41" s="357"/>
      <c r="DU41" s="357"/>
      <c r="DV41" s="357"/>
      <c r="DW41" s="357" t="s">
        <v>296</v>
      </c>
    </row>
    <row r="42" customFormat="false" ht="33.75" hidden="false" customHeight="false" outlineLevel="0" collapsed="false">
      <c r="A42" s="314"/>
      <c r="B42" s="315" t="s">
        <v>273</v>
      </c>
      <c r="C42" s="315" t="s">
        <v>464</v>
      </c>
      <c r="D42" s="315" t="n">
        <v>18959</v>
      </c>
      <c r="E42" s="316" t="s">
        <v>465</v>
      </c>
      <c r="F42" s="316" t="s">
        <v>466</v>
      </c>
      <c r="G42" s="316" t="s">
        <v>277</v>
      </c>
      <c r="H42" s="317" t="s">
        <v>434</v>
      </c>
      <c r="I42" s="316" t="s">
        <v>412</v>
      </c>
      <c r="J42" s="316" t="s">
        <v>413</v>
      </c>
      <c r="K42" s="318" t="n">
        <v>43773</v>
      </c>
      <c r="L42" s="318"/>
      <c r="M42" s="318" t="n">
        <v>43773</v>
      </c>
      <c r="N42" s="319" t="s">
        <v>281</v>
      </c>
      <c r="O42" s="319" t="n">
        <v>38</v>
      </c>
      <c r="P42" s="320" t="n">
        <f aca="false">$O:$O/38</f>
        <v>1</v>
      </c>
      <c r="Q42" s="316" t="s">
        <v>320</v>
      </c>
      <c r="R42" s="316" t="n">
        <v>17956</v>
      </c>
      <c r="S42" s="316" t="s">
        <v>356</v>
      </c>
      <c r="T42" s="316" t="s">
        <v>310</v>
      </c>
      <c r="U42" s="316" t="s">
        <v>311</v>
      </c>
      <c r="V42" s="317" t="s">
        <v>58</v>
      </c>
      <c r="W42" s="317" t="s">
        <v>64</v>
      </c>
      <c r="X42" s="317" t="s">
        <v>286</v>
      </c>
      <c r="Y42" s="321" t="s">
        <v>287</v>
      </c>
      <c r="Z42" s="317" t="s">
        <v>356</v>
      </c>
      <c r="AA42" s="316" t="s">
        <v>311</v>
      </c>
      <c r="AB42" s="321" t="s">
        <v>357</v>
      </c>
      <c r="AC42" s="317" t="s">
        <v>289</v>
      </c>
      <c r="AD42" s="321" t="s">
        <v>290</v>
      </c>
      <c r="AE42" s="322" t="n">
        <f aca="false">IFERROR(INDEX('[3]Lookup_Rem Ranges'!$D$1:$D$1048576,MATCH($AL:$AL,'[3]Lookup_Rem Ranges'!$C$1:$C$1048576,0)),0)</f>
        <v>114200</v>
      </c>
      <c r="AF42" s="322" t="n">
        <f aca="false">IFERROR(INDEX('[3]Lookup_Rem Ranges'!$E$1:$E$1048576,MATCH($AL:$AL,'[3]Lookup_Rem Ranges'!$C$1:$C$1048576,0)),0)</f>
        <v>134400</v>
      </c>
      <c r="AG42" s="322" t="n">
        <f aca="false">IFERROR(INDEX('[3]Lookup_Rem Ranges'!$F$1:$F$1048576,MATCH($AL:$AL,'[3]Lookup_Rem Ranges'!$C$1:$C$1048576,0)),)</f>
        <v>154600</v>
      </c>
      <c r="AH42" s="317" t="s">
        <v>291</v>
      </c>
      <c r="AI42" s="319"/>
      <c r="AJ42" s="323" t="n">
        <v>0</v>
      </c>
      <c r="AK42" s="316"/>
      <c r="AL42" s="324" t="str">
        <f aca="false">CONCATENATE(AM42,"",AN42)</f>
        <v>GI6</v>
      </c>
      <c r="AM42" s="324" t="s">
        <v>312</v>
      </c>
      <c r="AN42" s="319" t="n">
        <v>6</v>
      </c>
      <c r="AO42" s="316"/>
      <c r="AP42" s="325" t="n">
        <v>104600</v>
      </c>
      <c r="AQ42" s="322" t="n">
        <f aca="false">ROUND(IF($P:$P&gt;1,$AP:$AP*1,$AP:$AP*$P:$P),0)</f>
        <v>104600</v>
      </c>
      <c r="AR42" s="322" t="n">
        <f aca="false">IF(BA42="Yes",AP42,0)</f>
        <v>104600</v>
      </c>
      <c r="AS42" s="326" t="n">
        <v>0.0254901960784314</v>
      </c>
      <c r="AT42" s="326" t="n">
        <v>0</v>
      </c>
      <c r="AU42" s="327"/>
      <c r="AV42" s="322"/>
      <c r="AW42" s="328" t="n">
        <v>0</v>
      </c>
      <c r="AX42" s="322" t="n">
        <v>0</v>
      </c>
      <c r="AY42" s="322" t="n">
        <v>104600</v>
      </c>
      <c r="AZ42" s="329" t="n">
        <f aca="false">IFERROR(($AY:$AY+$AJ:$AJ+$AK:$AK)/$AF:$AF,0)</f>
        <v>0.77827380952381</v>
      </c>
      <c r="BA42" s="330" t="s">
        <v>293</v>
      </c>
      <c r="BB42" s="331" t="n">
        <v>3</v>
      </c>
      <c r="BC42" s="326" t="n">
        <f aca="false">IFERROR($BD:$BD/$AY:$AY,0)</f>
        <v>0.0917782026768643</v>
      </c>
      <c r="BD42" s="332" t="n">
        <f aca="false">ROUND(IF($AY:$AY&lt;$AE:$AE,$AE:$AE-$AY:$AY,0),0)</f>
        <v>9600</v>
      </c>
      <c r="BE42" s="333" t="n">
        <v>0</v>
      </c>
      <c r="BF42" s="334" t="n">
        <f aca="false">ROUND($AR:$AR*$BE:$BE,0)</f>
        <v>0</v>
      </c>
      <c r="BG42" s="335" t="n">
        <v>0</v>
      </c>
      <c r="BH42" s="336" t="n">
        <f aca="false">ROUND($AR:$AR*$BG:$BG,0)</f>
        <v>0</v>
      </c>
      <c r="BI42" s="333" t="n">
        <v>0</v>
      </c>
      <c r="BJ42" s="334" t="n">
        <f aca="false">ROUND($AR:$AR*$BI:$BI,0)</f>
        <v>0</v>
      </c>
      <c r="BK42" s="334" t="n">
        <f aca="false">ROUND(IF($P:$P&gt;1,$BJ:$BJ*1,$BJ:$BJ*$P:$P),0)</f>
        <v>0</v>
      </c>
      <c r="BL42" s="337"/>
      <c r="BM42" s="338" t="n">
        <f aca="false">$BC:$BC+$BE:$BE+$BG:$BG</f>
        <v>0.0917782026768643</v>
      </c>
      <c r="BN42" s="339" t="n">
        <f aca="false">$BD:$BD+$BF:$BF+$BH:$BH</f>
        <v>9600</v>
      </c>
      <c r="BO42" s="340" t="n">
        <f aca="false">IFERROR(ROUND($AY:$AY+$BN:$BN,0),0)</f>
        <v>114200</v>
      </c>
      <c r="BP42" s="341" t="n">
        <f aca="false">ROUND(IF(SUM($BO:$BO&lt;249080),SUM(ROUND($BO:$BO*11%,0)),27398.8),0)</f>
        <v>12562</v>
      </c>
      <c r="BQ42" s="342" t="n">
        <f aca="false">$BO:$BO+$BP:$BP</f>
        <v>126762</v>
      </c>
      <c r="BR42" s="329" t="n">
        <f aca="false">IFERROR(($BO:$BO+$AJ:$AJ+$AK:$AK)/$AF:$AF,0)</f>
        <v>0.849702380952381</v>
      </c>
      <c r="BS42" s="343" t="n">
        <f aca="false">IF($N:$N="CASUAL","TBC",ROUND($BN:$BN/(NETWORKDAYS("01/07/2023","30/06/2024"))*NETWORKDAYS("10/07/2023","04/09/2023"),0)*$P:$P)</f>
        <v>1514</v>
      </c>
      <c r="BT42" s="326" t="n">
        <f aca="false">$BM42+$BI42</f>
        <v>0.0917782026768643</v>
      </c>
      <c r="BU42" s="332" t="n">
        <f aca="false">$BN:$BN+$BJ:$BJ</f>
        <v>9600</v>
      </c>
      <c r="BV42" s="342" t="n">
        <f aca="false">$BO:$BO*$P:$P</f>
        <v>114200</v>
      </c>
      <c r="BW42" s="344" t="n">
        <f aca="false">ROUND($BO:$BO/1976,2)</f>
        <v>57.79</v>
      </c>
      <c r="BX42" s="316"/>
      <c r="BY42" s="342" t="n">
        <f aca="false">$BQ:$BQ+$BX:$BX</f>
        <v>126762</v>
      </c>
      <c r="BZ42" s="345" t="s">
        <v>294</v>
      </c>
      <c r="CA42" s="316"/>
      <c r="CB42" s="316"/>
      <c r="CC42" s="324" t="str">
        <f aca="false">CONCATENATE(CD42,"",CE42)</f>
        <v/>
      </c>
      <c r="CD42" s="319"/>
      <c r="CE42" s="319"/>
      <c r="CF42" s="322" t="str">
        <f aca="false">IFERROR(INDEX('[4]Lookup_Rem Ranges'!$D$1:$D$1048576,MATCH($CC:$CC,'[4]Lookup_Rem Ranges'!$C$1:$C$1048576,0)),"")</f>
        <v/>
      </c>
      <c r="CG42" s="346"/>
      <c r="CH42" s="346"/>
      <c r="CI42" s="347"/>
      <c r="CJ42" s="348"/>
      <c r="CK42" s="342" t="n">
        <f aca="false">IFERROR(ROUND($CI:$CI*$CJ:$CJ,0),0)</f>
        <v>0</v>
      </c>
      <c r="CL42" s="342" t="n">
        <f aca="false">$CI:$CI+$CK:$CK</f>
        <v>0</v>
      </c>
      <c r="CM42" s="349"/>
      <c r="CN42" s="350" t="n">
        <f aca="false">IF(SUM($CL:$CL&lt;249080),SUM(ROUND($CL:$CL*11%,0)),27398.8)</f>
        <v>0</v>
      </c>
      <c r="CO42" s="350" t="s">
        <v>324</v>
      </c>
      <c r="CP42" s="351" t="n">
        <f aca="false">IF(BA42="Yes",3.25%,0)</f>
        <v>0.0325</v>
      </c>
      <c r="CQ42" s="352" t="n">
        <f aca="false">ROUND(AR42*CP42,0)</f>
        <v>3400</v>
      </c>
      <c r="CR42" s="353" t="n">
        <f aca="false">IF($AW:$AW&lt;3.25%,$AW:$AW,3.25%)</f>
        <v>0</v>
      </c>
      <c r="CS42" s="354" t="n">
        <f aca="false">ROUND($AR:$AR*$CR:$CR,0)</f>
        <v>0</v>
      </c>
      <c r="CT42" s="353" t="n">
        <f aca="false">IF($AW:$AW&gt;=3.25%,$AW:$AW-$CR:$CR,0)</f>
        <v>0</v>
      </c>
      <c r="CU42" s="354" t="n">
        <f aca="false">ROUND($AR:$AR*$CT:$CT,0)</f>
        <v>0</v>
      </c>
      <c r="CV42" s="353" t="n">
        <f aca="false">IF($CR:$CR=3.25%,0,IF($BC:$BC&lt;3.25%,$BC:$BC,IF($BC:$BC&gt;3.25%,3.25%-$CR:$CR,0)))</f>
        <v>0.0325</v>
      </c>
      <c r="CW42" s="354" t="n">
        <f aca="false">IFERROR(ROUND($AY:$AY*$CV:$CV,0),0)</f>
        <v>3400</v>
      </c>
      <c r="CX42" s="353" t="n">
        <f aca="false">IF($CV:$CV=0,$BC:$BC,BC:BC-$CV:$CV)</f>
        <v>0.0592782026768643</v>
      </c>
      <c r="CY42" s="354" t="n">
        <f aca="false">IFERROR(ROUND($AY:$AY*$CX:$CX,0),0)</f>
        <v>6201</v>
      </c>
      <c r="CZ42" s="353" t="n">
        <f aca="false">$CR:$CR+$CT:CT+$CV:$CV+$CX:$CX</f>
        <v>0.0917782026768643</v>
      </c>
      <c r="DA42" s="353" t="n">
        <f aca="false">(SUM($AW:$AW+$BC:$BC)-$CZ:$CZ)</f>
        <v>0</v>
      </c>
      <c r="DB42" s="353"/>
      <c r="DC42" s="353" t="n">
        <f aca="false">$BE:$BE</f>
        <v>0</v>
      </c>
      <c r="DD42" s="354" t="n">
        <f aca="false">$BF:$BF</f>
        <v>0</v>
      </c>
      <c r="DE42" s="355" t="n">
        <f aca="false">$BI:$BI</f>
        <v>0</v>
      </c>
      <c r="DF42" s="354" t="n">
        <f aca="false">$BJ:$BJ</f>
        <v>0</v>
      </c>
      <c r="DG42" s="355" t="n">
        <f aca="false">$BG:$BG</f>
        <v>0</v>
      </c>
      <c r="DH42" s="354" t="n">
        <f aca="false">IFERROR(ROUND($AP:$AP*$DG:$DG,0),0)</f>
        <v>0</v>
      </c>
      <c r="DI42" s="353" t="n">
        <f aca="false">$CR:$CR+$CV:$CV+$DC:$DC+$DE:$DE+$DG:$DG</f>
        <v>0.0325</v>
      </c>
      <c r="DJ42" s="354" t="n">
        <f aca="false">$CS:$CS+$CW:$CW+$DD:$DD+$DF:$DF+$DH:$DH</f>
        <v>3400</v>
      </c>
      <c r="DK42" s="353" t="n">
        <f aca="false">$CT:$CT+$CX:$CX</f>
        <v>0.0592782026768643</v>
      </c>
      <c r="DL42" s="354" t="n">
        <f aca="false">$CU:$CU+$CY:$CY</f>
        <v>6201</v>
      </c>
      <c r="DM42" s="356"/>
      <c r="DN42" s="357"/>
      <c r="DO42" s="357"/>
      <c r="DP42" s="357"/>
      <c r="DQ42" s="357"/>
      <c r="DR42" s="357"/>
      <c r="DS42" s="357"/>
      <c r="DT42" s="357"/>
      <c r="DU42" s="357"/>
      <c r="DV42" s="357"/>
      <c r="DW42" s="357" t="s">
        <v>296</v>
      </c>
    </row>
    <row r="43" customFormat="false" ht="33.75" hidden="false" customHeight="false" outlineLevel="0" collapsed="false">
      <c r="A43" s="314"/>
      <c r="B43" s="315" t="s">
        <v>273</v>
      </c>
      <c r="C43" s="315" t="s">
        <v>467</v>
      </c>
      <c r="D43" s="315" t="n">
        <v>5136</v>
      </c>
      <c r="E43" s="316" t="s">
        <v>468</v>
      </c>
      <c r="F43" s="316" t="s">
        <v>469</v>
      </c>
      <c r="G43" s="316" t="s">
        <v>277</v>
      </c>
      <c r="H43" s="317" t="s">
        <v>470</v>
      </c>
      <c r="I43" s="316" t="s">
        <v>471</v>
      </c>
      <c r="J43" s="316" t="s">
        <v>472</v>
      </c>
      <c r="K43" s="318" t="n">
        <v>35417</v>
      </c>
      <c r="L43" s="318"/>
      <c r="M43" s="318" t="n">
        <v>44795</v>
      </c>
      <c r="N43" s="319" t="s">
        <v>281</v>
      </c>
      <c r="O43" s="319" t="n">
        <v>38</v>
      </c>
      <c r="P43" s="320" t="n">
        <f aca="false">$O:$O/38</f>
        <v>1</v>
      </c>
      <c r="Q43" s="316" t="s">
        <v>372</v>
      </c>
      <c r="R43" s="316" t="n">
        <v>17956</v>
      </c>
      <c r="S43" s="316" t="s">
        <v>356</v>
      </c>
      <c r="T43" s="316" t="s">
        <v>310</v>
      </c>
      <c r="U43" s="316" t="s">
        <v>311</v>
      </c>
      <c r="V43" s="317" t="s">
        <v>58</v>
      </c>
      <c r="W43" s="317" t="s">
        <v>64</v>
      </c>
      <c r="X43" s="317" t="s">
        <v>286</v>
      </c>
      <c r="Y43" s="321" t="s">
        <v>287</v>
      </c>
      <c r="Z43" s="317" t="s">
        <v>356</v>
      </c>
      <c r="AA43" s="316" t="s">
        <v>311</v>
      </c>
      <c r="AB43" s="321" t="s">
        <v>357</v>
      </c>
      <c r="AC43" s="317" t="s">
        <v>289</v>
      </c>
      <c r="AD43" s="321" t="s">
        <v>290</v>
      </c>
      <c r="AE43" s="322" t="n">
        <f aca="false">IFERROR(INDEX('[3]Lookup_Rem Ranges'!$D$1:$D$1048576,MATCH($AL:$AL,'[3]Lookup_Rem Ranges'!$C$1:$C$1048576,0)),0)</f>
        <v>64900</v>
      </c>
      <c r="AF43" s="322" t="n">
        <f aca="false">IFERROR(INDEX('[3]Lookup_Rem Ranges'!$E$1:$E$1048576,MATCH($AL:$AL,'[3]Lookup_Rem Ranges'!$C$1:$C$1048576,0)),0)</f>
        <v>76300</v>
      </c>
      <c r="AG43" s="322" t="n">
        <f aca="false">IFERROR(INDEX('[3]Lookup_Rem Ranges'!$F$1:$F$1048576,MATCH($AL:$AL,'[3]Lookup_Rem Ranges'!$C$1:$C$1048576,0)),)</f>
        <v>87700</v>
      </c>
      <c r="AH43" s="317" t="s">
        <v>291</v>
      </c>
      <c r="AI43" s="319"/>
      <c r="AJ43" s="323" t="n">
        <v>0</v>
      </c>
      <c r="AK43" s="316"/>
      <c r="AL43" s="324" t="str">
        <f aca="false">CONCATENATE(AM43,"",AN43)</f>
        <v>GI3</v>
      </c>
      <c r="AM43" s="324" t="s">
        <v>312</v>
      </c>
      <c r="AN43" s="319" t="n">
        <v>3</v>
      </c>
      <c r="AO43" s="316" t="s">
        <v>358</v>
      </c>
      <c r="AP43" s="325" t="n">
        <v>68000</v>
      </c>
      <c r="AQ43" s="322" t="n">
        <f aca="false">ROUND(IF($P:$P&gt;1,$AP:$AP*1,$AP:$AP*$P:$P),0)</f>
        <v>68000</v>
      </c>
      <c r="AR43" s="322" t="n">
        <f aca="false">IF(BA43="Yes",AP43,0)</f>
        <v>0</v>
      </c>
      <c r="AS43" s="326" t="n">
        <v>0.0109092028126971</v>
      </c>
      <c r="AT43" s="326" t="n">
        <v>0</v>
      </c>
      <c r="AU43" s="327"/>
      <c r="AV43" s="322"/>
      <c r="AW43" s="328" t="n">
        <v>0</v>
      </c>
      <c r="AX43" s="322" t="n">
        <v>0</v>
      </c>
      <c r="AY43" s="322" t="n">
        <v>68000</v>
      </c>
      <c r="AZ43" s="329" t="n">
        <f aca="false">IFERROR(($AY:$AY+$AJ:$AJ+$AK:$AK)/$AF:$AF,0)</f>
        <v>0.891218872870249</v>
      </c>
      <c r="BA43" s="330" t="s">
        <v>294</v>
      </c>
      <c r="BB43" s="331" t="n">
        <v>3</v>
      </c>
      <c r="BC43" s="326" t="n">
        <f aca="false">IFERROR($BD:$BD/$AY:$AY,0)</f>
        <v>0</v>
      </c>
      <c r="BD43" s="332" t="n">
        <f aca="false">ROUND(IF($AY:$AY&lt;$AE:$AE,$AE:$AE-$AY:$AY,0),0)</f>
        <v>0</v>
      </c>
      <c r="BE43" s="333" t="n">
        <v>0</v>
      </c>
      <c r="BF43" s="334" t="n">
        <f aca="false">ROUND($AR:$AR*$BE:$BE,0)</f>
        <v>0</v>
      </c>
      <c r="BG43" s="335" t="n">
        <v>0</v>
      </c>
      <c r="BH43" s="336" t="n">
        <f aca="false">ROUND($AR:$AR*$BG:$BG,0)</f>
        <v>0</v>
      </c>
      <c r="BI43" s="333" t="n">
        <v>0</v>
      </c>
      <c r="BJ43" s="334" t="n">
        <f aca="false">ROUND($AR:$AR*$BI:$BI,0)</f>
        <v>0</v>
      </c>
      <c r="BK43" s="334" t="n">
        <f aca="false">ROUND(IF($P:$P&gt;1,$BJ:$BJ*1,$BJ:$BJ*$P:$P),0)</f>
        <v>0</v>
      </c>
      <c r="BL43" s="337"/>
      <c r="BM43" s="338" t="n">
        <f aca="false">$BC:$BC+$BE:$BE+$BG:$BG</f>
        <v>0</v>
      </c>
      <c r="BN43" s="339" t="n">
        <f aca="false">$BD:$BD+$BF:$BF+$BH:$BH</f>
        <v>0</v>
      </c>
      <c r="BO43" s="340" t="n">
        <f aca="false">IFERROR(ROUND($AY:$AY+$BN:$BN,0),0)</f>
        <v>68000</v>
      </c>
      <c r="BP43" s="341" t="n">
        <f aca="false">ROUND(IF(SUM($BO:$BO&lt;249080),SUM(ROUND($BO:$BO*11%,0)),27398.8),0)</f>
        <v>7480</v>
      </c>
      <c r="BQ43" s="342" t="n">
        <f aca="false">$BO:$BO+$BP:$BP</f>
        <v>75480</v>
      </c>
      <c r="BR43" s="329" t="n">
        <f aca="false">IFERROR(($BO:$BO+$AJ:$AJ+$AK:$AK)/$AF:$AF,0)</f>
        <v>0.891218872870249</v>
      </c>
      <c r="BS43" s="343" t="n">
        <f aca="false">IF($N:$N="CASUAL","TBC",ROUND($BN:$BN/(NETWORKDAYS("01/07/2023","30/06/2024"))*NETWORKDAYS("10/07/2023","04/09/2023"),0)*$P:$P)</f>
        <v>0</v>
      </c>
      <c r="BT43" s="326" t="n">
        <f aca="false">$BM43+$BI43</f>
        <v>0</v>
      </c>
      <c r="BU43" s="332" t="n">
        <f aca="false">$BN:$BN+$BJ:$BJ</f>
        <v>0</v>
      </c>
      <c r="BV43" s="342" t="n">
        <f aca="false">$BO:$BO*$P:$P</f>
        <v>68000</v>
      </c>
      <c r="BW43" s="344" t="n">
        <f aca="false">ROUND($BO:$BO/1976,2)</f>
        <v>34.41</v>
      </c>
      <c r="BX43" s="316"/>
      <c r="BY43" s="342" t="n">
        <f aca="false">$BQ:$BQ+$BX:$BX</f>
        <v>75480</v>
      </c>
      <c r="BZ43" s="345" t="s">
        <v>294</v>
      </c>
      <c r="CA43" s="316"/>
      <c r="CB43" s="316"/>
      <c r="CC43" s="324" t="str">
        <f aca="false">CONCATENATE(CD43,"",CE43)</f>
        <v/>
      </c>
      <c r="CD43" s="319"/>
      <c r="CE43" s="319"/>
      <c r="CF43" s="322" t="str">
        <f aca="false">IFERROR(INDEX('[4]Lookup_Rem Ranges'!$D$1:$D$1048576,MATCH($CC:$CC,'[4]Lookup_Rem Ranges'!$C$1:$C$1048576,0)),"")</f>
        <v/>
      </c>
      <c r="CG43" s="346"/>
      <c r="CH43" s="346"/>
      <c r="CI43" s="347"/>
      <c r="CJ43" s="348"/>
      <c r="CK43" s="342" t="n">
        <f aca="false">IFERROR(ROUND($CI:$CI*$CJ:$CJ,0),0)</f>
        <v>0</v>
      </c>
      <c r="CL43" s="342" t="n">
        <f aca="false">$CI:$CI+$CK:$CK</f>
        <v>0</v>
      </c>
      <c r="CM43" s="349"/>
      <c r="CN43" s="350" t="n">
        <f aca="false">IF(SUM($CL:$CL&lt;249080),SUM(ROUND($CL:$CL*11%,0)),27398.8)</f>
        <v>0</v>
      </c>
      <c r="CO43" s="350" t="s">
        <v>324</v>
      </c>
      <c r="CP43" s="351" t="n">
        <f aca="false">IF(BA43="Yes",3.25%,0)</f>
        <v>0</v>
      </c>
      <c r="CQ43" s="352" t="n">
        <f aca="false">ROUND(AR43*CP43,0)</f>
        <v>0</v>
      </c>
      <c r="CR43" s="353" t="n">
        <f aca="false">IF($AW:$AW&lt;3.25%,$AW:$AW,3.25%)</f>
        <v>0</v>
      </c>
      <c r="CS43" s="354" t="n">
        <f aca="false">ROUND($AR:$AR*$CR:$CR,0)</f>
        <v>0</v>
      </c>
      <c r="CT43" s="353" t="n">
        <f aca="false">IF($AW:$AW&gt;=3.25%,$AW:$AW-$CR:$CR,0)</f>
        <v>0</v>
      </c>
      <c r="CU43" s="354" t="n">
        <f aca="false">ROUND($AR:$AR*$CT:$CT,0)</f>
        <v>0</v>
      </c>
      <c r="CV43" s="353" t="n">
        <f aca="false">IF($CR:$CR=3.25%,0,IF($BC:$BC&lt;3.25%,$BC:$BC,IF($BC:$BC&gt;3.25%,3.25%-$CR:$CR,0)))</f>
        <v>0</v>
      </c>
      <c r="CW43" s="354" t="n">
        <f aca="false">IFERROR(ROUND($AY:$AY*$CV:$CV,0),0)</f>
        <v>0</v>
      </c>
      <c r="CX43" s="353" t="n">
        <f aca="false">IF($CV:$CV=0,$BC:$BC,BC:BC-$CV:$CV)</f>
        <v>0</v>
      </c>
      <c r="CY43" s="354" t="n">
        <f aca="false">IFERROR(ROUND($AY:$AY*$CX:$CX,0),0)</f>
        <v>0</v>
      </c>
      <c r="CZ43" s="353" t="n">
        <f aca="false">$CR:$CR+$CT:CT+$CV:$CV+$CX:$CX</f>
        <v>0</v>
      </c>
      <c r="DA43" s="353" t="n">
        <f aca="false">(SUM($AW:$AW+$BC:$BC)-$CZ:$CZ)</f>
        <v>0</v>
      </c>
      <c r="DB43" s="353"/>
      <c r="DC43" s="353" t="n">
        <f aca="false">$BE:$BE</f>
        <v>0</v>
      </c>
      <c r="DD43" s="354" t="n">
        <f aca="false">$BF:$BF</f>
        <v>0</v>
      </c>
      <c r="DE43" s="355" t="n">
        <f aca="false">$BI:$BI</f>
        <v>0</v>
      </c>
      <c r="DF43" s="354" t="n">
        <f aca="false">$BJ:$BJ</f>
        <v>0</v>
      </c>
      <c r="DG43" s="355" t="n">
        <f aca="false">$BG:$BG</f>
        <v>0</v>
      </c>
      <c r="DH43" s="354" t="n">
        <f aca="false">IFERROR(ROUND($AP:$AP*$DG:$DG,0),0)</f>
        <v>0</v>
      </c>
      <c r="DI43" s="353" t="n">
        <f aca="false">$CR:$CR+$CV:$CV+$DC:$DC+$DE:$DE+$DG:$DG</f>
        <v>0</v>
      </c>
      <c r="DJ43" s="354" t="n">
        <f aca="false">$CS:$CS+$CW:$CW+$DD:$DD+$DF:$DF+$DH:$DH</f>
        <v>0</v>
      </c>
      <c r="DK43" s="353" t="n">
        <f aca="false">$CT:$CT+$CX:$CX</f>
        <v>0</v>
      </c>
      <c r="DL43" s="354" t="n">
        <f aca="false">$CU:$CU+$CY:$CY</f>
        <v>0</v>
      </c>
      <c r="DM43" s="356"/>
      <c r="DN43" s="357"/>
      <c r="DO43" s="357"/>
      <c r="DP43" s="357"/>
      <c r="DQ43" s="357"/>
      <c r="DR43" s="357"/>
      <c r="DS43" s="357"/>
      <c r="DT43" s="357"/>
      <c r="DU43" s="357"/>
      <c r="DV43" s="357"/>
      <c r="DW43" s="357" t="s">
        <v>296</v>
      </c>
    </row>
    <row r="44" customFormat="false" ht="33.75" hidden="false" customHeight="false" outlineLevel="0" collapsed="false">
      <c r="A44" s="314"/>
      <c r="B44" s="315" t="s">
        <v>273</v>
      </c>
      <c r="C44" s="315" t="s">
        <v>473</v>
      </c>
      <c r="D44" s="315" t="n">
        <v>18243</v>
      </c>
      <c r="E44" s="316" t="s">
        <v>474</v>
      </c>
      <c r="F44" s="316" t="s">
        <v>475</v>
      </c>
      <c r="G44" s="316" t="s">
        <v>300</v>
      </c>
      <c r="H44" s="317" t="s">
        <v>476</v>
      </c>
      <c r="I44" s="316" t="s">
        <v>477</v>
      </c>
      <c r="J44" s="316" t="s">
        <v>478</v>
      </c>
      <c r="K44" s="318" t="n">
        <v>43472</v>
      </c>
      <c r="L44" s="318"/>
      <c r="M44" s="318" t="n">
        <v>43556</v>
      </c>
      <c r="N44" s="319" t="s">
        <v>281</v>
      </c>
      <c r="O44" s="319" t="n">
        <v>38</v>
      </c>
      <c r="P44" s="320" t="n">
        <f aca="false">$O:$O/38</f>
        <v>1</v>
      </c>
      <c r="Q44" s="316" t="s">
        <v>332</v>
      </c>
      <c r="R44" s="316" t="n">
        <v>17956</v>
      </c>
      <c r="S44" s="316" t="s">
        <v>356</v>
      </c>
      <c r="T44" s="316" t="s">
        <v>310</v>
      </c>
      <c r="U44" s="316" t="s">
        <v>311</v>
      </c>
      <c r="V44" s="317" t="s">
        <v>58</v>
      </c>
      <c r="W44" s="317" t="s">
        <v>64</v>
      </c>
      <c r="X44" s="317" t="s">
        <v>286</v>
      </c>
      <c r="Y44" s="321" t="s">
        <v>287</v>
      </c>
      <c r="Z44" s="317" t="s">
        <v>356</v>
      </c>
      <c r="AA44" s="316" t="s">
        <v>311</v>
      </c>
      <c r="AB44" s="321" t="s">
        <v>357</v>
      </c>
      <c r="AC44" s="317" t="s">
        <v>289</v>
      </c>
      <c r="AD44" s="321" t="s">
        <v>290</v>
      </c>
      <c r="AE44" s="322" t="n">
        <f aca="false">IFERROR(INDEX('[3]Lookup_Rem Ranges'!$D$1:$D$1048576,MATCH($AL:$AL,'[3]Lookup_Rem Ranges'!$C$1:$C$1048576,0)),0)</f>
        <v>114200</v>
      </c>
      <c r="AF44" s="322" t="n">
        <f aca="false">IFERROR(INDEX('[3]Lookup_Rem Ranges'!$E$1:$E$1048576,MATCH($AL:$AL,'[3]Lookup_Rem Ranges'!$C$1:$C$1048576,0)),0)</f>
        <v>134400</v>
      </c>
      <c r="AG44" s="322" t="n">
        <f aca="false">IFERROR(INDEX('[3]Lookup_Rem Ranges'!$F$1:$F$1048576,MATCH($AL:$AL,'[3]Lookup_Rem Ranges'!$C$1:$C$1048576,0)),)</f>
        <v>154600</v>
      </c>
      <c r="AH44" s="317" t="s">
        <v>291</v>
      </c>
      <c r="AI44" s="319"/>
      <c r="AJ44" s="323" t="n">
        <v>0</v>
      </c>
      <c r="AK44" s="316"/>
      <c r="AL44" s="324" t="str">
        <f aca="false">CONCATENATE(AM44,"",AN44)</f>
        <v>GI6</v>
      </c>
      <c r="AM44" s="324" t="s">
        <v>312</v>
      </c>
      <c r="AN44" s="319" t="n">
        <v>6</v>
      </c>
      <c r="AO44" s="316"/>
      <c r="AP44" s="325" t="n">
        <v>111100</v>
      </c>
      <c r="AQ44" s="322" t="n">
        <f aca="false">ROUND(IF($P:$P&gt;1,$AP:$AP*1,$AP:$AP*$P:$P),0)</f>
        <v>111100</v>
      </c>
      <c r="AR44" s="322" t="n">
        <f aca="false">IF(BA44="Yes",AP44,0)</f>
        <v>111100</v>
      </c>
      <c r="AS44" s="326" t="n">
        <v>0.0306122448979592</v>
      </c>
      <c r="AT44" s="326" t="n">
        <v>0</v>
      </c>
      <c r="AU44" s="327"/>
      <c r="AV44" s="322"/>
      <c r="AW44" s="328" t="n">
        <v>0</v>
      </c>
      <c r="AX44" s="322" t="n">
        <v>0</v>
      </c>
      <c r="AY44" s="322" t="n">
        <v>111100</v>
      </c>
      <c r="AZ44" s="329" t="n">
        <f aca="false">IFERROR(($AY:$AY+$AJ:$AJ+$AK:$AK)/$AF:$AF,0)</f>
        <v>0.826636904761905</v>
      </c>
      <c r="BA44" s="330" t="s">
        <v>293</v>
      </c>
      <c r="BB44" s="331" t="n">
        <v>4</v>
      </c>
      <c r="BC44" s="326" t="n">
        <f aca="false">IFERROR($BD:$BD/$AY:$AY,0)</f>
        <v>0.0279027902790279</v>
      </c>
      <c r="BD44" s="332" t="n">
        <f aca="false">ROUND(IF($AY:$AY&lt;$AE:$AE,$AE:$AE-$AY:$AY,0),0)</f>
        <v>3100</v>
      </c>
      <c r="BE44" s="333" t="n">
        <v>0.0045972097209721</v>
      </c>
      <c r="BF44" s="334" t="n">
        <f aca="false">ROUND($AR:$AR*$BE:$BE,0)</f>
        <v>511</v>
      </c>
      <c r="BG44" s="335" t="n">
        <v>0</v>
      </c>
      <c r="BH44" s="336" t="n">
        <f aca="false">ROUND($AR:$AR*$BG:$BG,0)</f>
        <v>0</v>
      </c>
      <c r="BI44" s="333" t="n">
        <v>0</v>
      </c>
      <c r="BJ44" s="334" t="n">
        <f aca="false">ROUND($AR:$AR*$BI:$BI,0)</f>
        <v>0</v>
      </c>
      <c r="BK44" s="334" t="n">
        <f aca="false">ROUND(IF($P:$P&gt;1,$BJ:$BJ*1,$BJ:$BJ*$P:$P),0)</f>
        <v>0</v>
      </c>
      <c r="BL44" s="337"/>
      <c r="BM44" s="338" t="n">
        <f aca="false">$BC:$BC+$BE:$BE+$BG:$BG</f>
        <v>0.0325</v>
      </c>
      <c r="BN44" s="339" t="n">
        <f aca="false">$BD:$BD+$BF:$BF+$BH:$BH</f>
        <v>3611</v>
      </c>
      <c r="BO44" s="340" t="n">
        <f aca="false">IFERROR(ROUND($AY:$AY+$BN:$BN,0),0)</f>
        <v>114711</v>
      </c>
      <c r="BP44" s="341" t="n">
        <f aca="false">ROUND(IF(SUM($BO:$BO&lt;249080),SUM(ROUND($BO:$BO*11%,0)),27398.8),0)</f>
        <v>12618</v>
      </c>
      <c r="BQ44" s="342" t="n">
        <f aca="false">$BO:$BO+$BP:$BP</f>
        <v>127329</v>
      </c>
      <c r="BR44" s="329" t="n">
        <f aca="false">IFERROR(($BO:$BO+$AJ:$AJ+$AK:$AK)/$AF:$AF,0)</f>
        <v>0.853504464285714</v>
      </c>
      <c r="BS44" s="343" t="n">
        <f aca="false">IF($N:$N="CASUAL","TBC",ROUND($BN:$BN/(NETWORKDAYS("01/07/2023","30/06/2024"))*NETWORKDAYS("10/07/2023","04/09/2023"),0)*$P:$P)</f>
        <v>569</v>
      </c>
      <c r="BT44" s="326" t="n">
        <f aca="false">$BM44+$BI44</f>
        <v>0.0325</v>
      </c>
      <c r="BU44" s="332" t="n">
        <f aca="false">$BN:$BN+$BJ:$BJ</f>
        <v>3611</v>
      </c>
      <c r="BV44" s="342" t="n">
        <f aca="false">$BO:$BO*$P:$P</f>
        <v>114711</v>
      </c>
      <c r="BW44" s="344" t="n">
        <f aca="false">ROUND($BO:$BO/1976,2)</f>
        <v>58.05</v>
      </c>
      <c r="BX44" s="316"/>
      <c r="BY44" s="342" t="n">
        <f aca="false">$BQ:$BQ+$BX:$BX</f>
        <v>127329</v>
      </c>
      <c r="BZ44" s="345" t="s">
        <v>294</v>
      </c>
      <c r="CA44" s="316"/>
      <c r="CB44" s="316"/>
      <c r="CC44" s="324" t="str">
        <f aca="false">CONCATENATE(CD44,"",CE44)</f>
        <v/>
      </c>
      <c r="CD44" s="319"/>
      <c r="CE44" s="319"/>
      <c r="CF44" s="322" t="str">
        <f aca="false">IFERROR(INDEX('[4]Lookup_Rem Ranges'!$D$1:$D$1048576,MATCH($CC:$CC,'[4]Lookup_Rem Ranges'!$C$1:$C$1048576,0)),"")</f>
        <v/>
      </c>
      <c r="CG44" s="346"/>
      <c r="CH44" s="346"/>
      <c r="CI44" s="347"/>
      <c r="CJ44" s="348"/>
      <c r="CK44" s="342" t="n">
        <f aca="false">IFERROR(ROUND($CI:$CI*$CJ:$CJ,0),0)</f>
        <v>0</v>
      </c>
      <c r="CL44" s="342" t="n">
        <f aca="false">$CI:$CI+$CK:$CK</f>
        <v>0</v>
      </c>
      <c r="CM44" s="349"/>
      <c r="CN44" s="350" t="n">
        <f aca="false">IF(SUM($CL:$CL&lt;249080),SUM(ROUND($CL:$CL*11%,0)),27398.8)</f>
        <v>0</v>
      </c>
      <c r="CO44" s="350" t="s">
        <v>324</v>
      </c>
      <c r="CP44" s="351" t="n">
        <f aca="false">IF(BA44="Yes",3.25%,0)</f>
        <v>0.0325</v>
      </c>
      <c r="CQ44" s="352" t="n">
        <f aca="false">ROUND(AR44*CP44,0)</f>
        <v>3611</v>
      </c>
      <c r="CR44" s="353" t="n">
        <f aca="false">IF($AW:$AW&lt;3.25%,$AW:$AW,3.25%)</f>
        <v>0</v>
      </c>
      <c r="CS44" s="354" t="n">
        <f aca="false">ROUND($AR:$AR*$CR:$CR,0)</f>
        <v>0</v>
      </c>
      <c r="CT44" s="353" t="n">
        <f aca="false">IF($AW:$AW&gt;=3.25%,$AW:$AW-$CR:$CR,0)</f>
        <v>0</v>
      </c>
      <c r="CU44" s="354" t="n">
        <f aca="false">ROUND($AR:$AR*$CT:$CT,0)</f>
        <v>0</v>
      </c>
      <c r="CV44" s="353" t="n">
        <f aca="false">IF($CR:$CR=3.25%,0,IF($BC:$BC&lt;3.25%,$BC:$BC,IF($BC:$BC&gt;3.25%,3.25%-$CR:$CR,0)))</f>
        <v>0.0279027902790279</v>
      </c>
      <c r="CW44" s="354" t="n">
        <f aca="false">IFERROR(ROUND($AY:$AY*$CV:$CV,0),0)</f>
        <v>3100</v>
      </c>
      <c r="CX44" s="353" t="n">
        <f aca="false">IF($CV:$CV=0,$BC:$BC,BC:BC-$CV:$CV)</f>
        <v>0</v>
      </c>
      <c r="CY44" s="354" t="n">
        <f aca="false">IFERROR(ROUND($AY:$AY*$CX:$CX,0),0)</f>
        <v>0</v>
      </c>
      <c r="CZ44" s="353" t="n">
        <f aca="false">$CR:$CR+$CT:CT+$CV:$CV+$CX:$CX</f>
        <v>0.0279027902790279</v>
      </c>
      <c r="DA44" s="353" t="n">
        <f aca="false">(SUM($AW:$AW+$BC:$BC)-$CZ:$CZ)</f>
        <v>0</v>
      </c>
      <c r="DB44" s="353"/>
      <c r="DC44" s="353" t="n">
        <f aca="false">$BE:$BE</f>
        <v>0.0045972097209721</v>
      </c>
      <c r="DD44" s="354" t="n">
        <f aca="false">$BF:$BF</f>
        <v>511</v>
      </c>
      <c r="DE44" s="355" t="n">
        <f aca="false">$BI:$BI</f>
        <v>0</v>
      </c>
      <c r="DF44" s="354" t="n">
        <f aca="false">$BJ:$BJ</f>
        <v>0</v>
      </c>
      <c r="DG44" s="355" t="n">
        <f aca="false">$BG:$BG</f>
        <v>0</v>
      </c>
      <c r="DH44" s="354" t="n">
        <f aca="false">IFERROR(ROUND($AP:$AP*$DG:$DG,0),0)</f>
        <v>0</v>
      </c>
      <c r="DI44" s="353" t="n">
        <f aca="false">$CR:$CR+$CV:$CV+$DC:$DC+$DE:$DE+$DG:$DG</f>
        <v>0.0325</v>
      </c>
      <c r="DJ44" s="354" t="n">
        <f aca="false">$CS:$CS+$CW:$CW+$DD:$DD+$DF:$DF+$DH:$DH</f>
        <v>3611</v>
      </c>
      <c r="DK44" s="353" t="n">
        <f aca="false">$CT:$CT+$CX:$CX</f>
        <v>0</v>
      </c>
      <c r="DL44" s="354" t="n">
        <f aca="false">$CU:$CU+$CY:$CY</f>
        <v>0</v>
      </c>
      <c r="DM44" s="356"/>
      <c r="DN44" s="357"/>
      <c r="DO44" s="357"/>
      <c r="DP44" s="357"/>
      <c r="DQ44" s="357"/>
      <c r="DR44" s="357"/>
      <c r="DS44" s="357"/>
      <c r="DT44" s="357"/>
      <c r="DU44" s="357"/>
      <c r="DV44" s="357"/>
      <c r="DW44" s="357" t="s">
        <v>296</v>
      </c>
    </row>
    <row r="45" customFormat="false" ht="36" hidden="false" customHeight="false" outlineLevel="0" collapsed="false">
      <c r="A45" s="314"/>
      <c r="B45" s="315" t="s">
        <v>273</v>
      </c>
      <c r="C45" s="315" t="s">
        <v>479</v>
      </c>
      <c r="D45" s="315" t="n">
        <v>18779</v>
      </c>
      <c r="E45" s="316" t="s">
        <v>480</v>
      </c>
      <c r="F45" s="316" t="s">
        <v>481</v>
      </c>
      <c r="G45" s="316" t="s">
        <v>277</v>
      </c>
      <c r="H45" s="317" t="s">
        <v>482</v>
      </c>
      <c r="I45" s="316" t="s">
        <v>483</v>
      </c>
      <c r="J45" s="316" t="s">
        <v>484</v>
      </c>
      <c r="K45" s="318" t="n">
        <v>43696</v>
      </c>
      <c r="L45" s="318"/>
      <c r="M45" s="318" t="n">
        <v>43696</v>
      </c>
      <c r="N45" s="319" t="s">
        <v>281</v>
      </c>
      <c r="O45" s="319" t="n">
        <v>38</v>
      </c>
      <c r="P45" s="320" t="n">
        <f aca="false">$O:$O/38</f>
        <v>1</v>
      </c>
      <c r="Q45" s="316" t="s">
        <v>320</v>
      </c>
      <c r="R45" s="316" t="n">
        <v>17956</v>
      </c>
      <c r="S45" s="316" t="s">
        <v>356</v>
      </c>
      <c r="T45" s="316" t="s">
        <v>310</v>
      </c>
      <c r="U45" s="316" t="s">
        <v>311</v>
      </c>
      <c r="V45" s="317" t="s">
        <v>58</v>
      </c>
      <c r="W45" s="317" t="s">
        <v>64</v>
      </c>
      <c r="X45" s="317" t="s">
        <v>286</v>
      </c>
      <c r="Y45" s="321" t="s">
        <v>287</v>
      </c>
      <c r="Z45" s="317" t="s">
        <v>356</v>
      </c>
      <c r="AA45" s="316" t="s">
        <v>311</v>
      </c>
      <c r="AB45" s="321" t="s">
        <v>357</v>
      </c>
      <c r="AC45" s="317" t="s">
        <v>289</v>
      </c>
      <c r="AD45" s="321" t="s">
        <v>290</v>
      </c>
      <c r="AE45" s="322" t="n">
        <f aca="false">IFERROR(INDEX('[3]Lookup_Rem Ranges'!$D$1:$D$1048576,MATCH($AL:$AL,'[3]Lookup_Rem Ranges'!$C$1:$C$1048576,0)),0)</f>
        <v>88700</v>
      </c>
      <c r="AF45" s="322" t="n">
        <f aca="false">IFERROR(INDEX('[3]Lookup_Rem Ranges'!$E$1:$E$1048576,MATCH($AL:$AL,'[3]Lookup_Rem Ranges'!$C$1:$C$1048576,0)),0)</f>
        <v>104300</v>
      </c>
      <c r="AG45" s="322" t="n">
        <f aca="false">IFERROR(INDEX('[3]Lookup_Rem Ranges'!$F$1:$F$1048576,MATCH($AL:$AL,'[3]Lookup_Rem Ranges'!$C$1:$C$1048576,0)),)</f>
        <v>119900</v>
      </c>
      <c r="AH45" s="317" t="s">
        <v>291</v>
      </c>
      <c r="AI45" s="319"/>
      <c r="AJ45" s="323" t="n">
        <v>0</v>
      </c>
      <c r="AK45" s="316"/>
      <c r="AL45" s="324" t="str">
        <f aca="false">CONCATENATE(AM45,"",AN45)</f>
        <v>GI5</v>
      </c>
      <c r="AM45" s="324" t="s">
        <v>312</v>
      </c>
      <c r="AN45" s="319" t="n">
        <v>5</v>
      </c>
      <c r="AO45" s="316" t="s">
        <v>365</v>
      </c>
      <c r="AP45" s="325" t="n">
        <v>84500</v>
      </c>
      <c r="AQ45" s="322" t="n">
        <f aca="false">ROUND(IF($P:$P&gt;1,$AP:$AP*1,$AP:$AP*$P:$P),0)</f>
        <v>84500</v>
      </c>
      <c r="AR45" s="322" t="n">
        <f aca="false">IF(BA45="Yes",AP45,0)</f>
        <v>0</v>
      </c>
      <c r="AS45" s="326" t="n">
        <v>0.04064039408867</v>
      </c>
      <c r="AT45" s="326" t="n">
        <v>0</v>
      </c>
      <c r="AU45" s="327"/>
      <c r="AV45" s="322"/>
      <c r="AW45" s="328" t="n">
        <v>0</v>
      </c>
      <c r="AX45" s="322" t="n">
        <v>0</v>
      </c>
      <c r="AY45" s="322" t="n">
        <v>84500</v>
      </c>
      <c r="AZ45" s="329" t="n">
        <f aca="false">IFERROR(($AY:$AY+$AJ:$AJ+$AK:$AK)/$AF:$AF,0)</f>
        <v>0.810162991371045</v>
      </c>
      <c r="BA45" s="330" t="s">
        <v>294</v>
      </c>
      <c r="BB45" s="331" t="n">
        <v>4</v>
      </c>
      <c r="BC45" s="326" t="n">
        <f aca="false">IFERROR($BD:$BD/$AY:$AY,0)</f>
        <v>0</v>
      </c>
      <c r="BD45" s="332" t="n">
        <v>0</v>
      </c>
      <c r="BE45" s="333" t="n">
        <v>0</v>
      </c>
      <c r="BF45" s="334" t="n">
        <f aca="false">ROUND($AR:$AR*$BE:$BE,0)</f>
        <v>0</v>
      </c>
      <c r="BG45" s="335" t="n">
        <v>0</v>
      </c>
      <c r="BH45" s="336" t="n">
        <f aca="false">ROUND($AR:$AR*$BG:$BG,0)</f>
        <v>0</v>
      </c>
      <c r="BI45" s="333" t="n">
        <v>0</v>
      </c>
      <c r="BJ45" s="334" t="n">
        <f aca="false">ROUND($AR:$AR*$BI:$BI,0)</f>
        <v>0</v>
      </c>
      <c r="BK45" s="334" t="n">
        <f aca="false">ROUND(IF($P:$P&gt;1,$BJ:$BJ*1,$BJ:$BJ*$P:$P),0)</f>
        <v>0</v>
      </c>
      <c r="BL45" s="337"/>
      <c r="BM45" s="338" t="n">
        <f aca="false">$BC:$BC+$BE:$BE+$BG:$BG</f>
        <v>0</v>
      </c>
      <c r="BN45" s="339" t="n">
        <f aca="false">$BD:$BD+$BF:$BF+$BH:$BH</f>
        <v>0</v>
      </c>
      <c r="BO45" s="340" t="n">
        <f aca="false">IFERROR(ROUND($AY:$AY+$BN:$BN,0),0)</f>
        <v>84500</v>
      </c>
      <c r="BP45" s="341" t="n">
        <f aca="false">ROUND(IF(SUM($BO:$BO&lt;249080),SUM(ROUND($BO:$BO*11%,0)),27398.8),0)</f>
        <v>9295</v>
      </c>
      <c r="BQ45" s="342" t="n">
        <f aca="false">$BO:$BO+$BP:$BP</f>
        <v>93795</v>
      </c>
      <c r="BR45" s="329" t="n">
        <f aca="false">IFERROR(($BO:$BO+$AJ:$AJ+$AK:$AK)/$AF:$AF,0)</f>
        <v>0.810162991371045</v>
      </c>
      <c r="BS45" s="343" t="n">
        <f aca="false">IF($N:$N="CASUAL","TBC",ROUND($BN:$BN/(NETWORKDAYS("01/07/2023","30/06/2024"))*NETWORKDAYS("10/07/2023","04/09/2023"),0)*$P:$P)</f>
        <v>0</v>
      </c>
      <c r="BT45" s="326" t="n">
        <f aca="false">$BM45+$BI45</f>
        <v>0</v>
      </c>
      <c r="BU45" s="332" t="n">
        <f aca="false">$BN:$BN+$BJ:$BJ</f>
        <v>0</v>
      </c>
      <c r="BV45" s="342" t="n">
        <f aca="false">$BO:$BO*$P:$P</f>
        <v>84500</v>
      </c>
      <c r="BW45" s="344" t="n">
        <f aca="false">ROUND($BO:$BO/1976,2)</f>
        <v>42.76</v>
      </c>
      <c r="BX45" s="316"/>
      <c r="BY45" s="342" t="n">
        <f aca="false">$BQ:$BQ+$BX:$BX</f>
        <v>93795</v>
      </c>
      <c r="BZ45" s="345" t="s">
        <v>294</v>
      </c>
      <c r="CA45" s="316"/>
      <c r="CB45" s="316"/>
      <c r="CC45" s="324" t="str">
        <f aca="false">CONCATENATE(CD45,"",CE45)</f>
        <v/>
      </c>
      <c r="CD45" s="319"/>
      <c r="CE45" s="319"/>
      <c r="CF45" s="322" t="str">
        <f aca="false">IFERROR(INDEX('[4]Lookup_Rem Ranges'!$D$1:$D$1048576,MATCH($CC:$CC,'[4]Lookup_Rem Ranges'!$C$1:$C$1048576,0)),"")</f>
        <v/>
      </c>
      <c r="CG45" s="346"/>
      <c r="CH45" s="346"/>
      <c r="CI45" s="347"/>
      <c r="CJ45" s="348"/>
      <c r="CK45" s="342" t="n">
        <f aca="false">IFERROR(ROUND($CI:$CI*$CJ:$CJ,0),0)</f>
        <v>0</v>
      </c>
      <c r="CL45" s="342" t="n">
        <f aca="false">$CI:$CI+$CK:$CK</f>
        <v>0</v>
      </c>
      <c r="CM45" s="349"/>
      <c r="CN45" s="350" t="n">
        <f aca="false">IF(SUM($CL:$CL&lt;249080),SUM(ROUND($CL:$CL*11%,0)),27398.8)</f>
        <v>0</v>
      </c>
      <c r="CO45" s="350" t="s">
        <v>324</v>
      </c>
      <c r="CP45" s="351" t="n">
        <f aca="false">IF(BA45="Yes",3.25%,0)</f>
        <v>0</v>
      </c>
      <c r="CQ45" s="352" t="n">
        <f aca="false">ROUND(AR45*CP45,0)</f>
        <v>0</v>
      </c>
      <c r="CR45" s="353" t="n">
        <f aca="false">IF($AW:$AW&lt;3.25%,$AW:$AW,3.25%)</f>
        <v>0</v>
      </c>
      <c r="CS45" s="354" t="n">
        <f aca="false">ROUND($AR:$AR*$CR:$CR,0)</f>
        <v>0</v>
      </c>
      <c r="CT45" s="353" t="n">
        <f aca="false">IF($AW:$AW&gt;=3.25%,$AW:$AW-$CR:$CR,0)</f>
        <v>0</v>
      </c>
      <c r="CU45" s="354" t="n">
        <f aca="false">ROUND($AR:$AR*$CT:$CT,0)</f>
        <v>0</v>
      </c>
      <c r="CV45" s="353" t="n">
        <f aca="false">IF($CR:$CR=3.25%,0,IF($BC:$BC&lt;3.25%,$BC:$BC,IF($BC:$BC&gt;3.25%,3.25%-$CR:$CR,0)))</f>
        <v>0</v>
      </c>
      <c r="CW45" s="354" t="n">
        <f aca="false">IFERROR(ROUND($AY:$AY*$CV:$CV,0),0)</f>
        <v>0</v>
      </c>
      <c r="CX45" s="353" t="n">
        <f aca="false">IF($CV:$CV=0,$BC:$BC,BC:BC-$CV:$CV)</f>
        <v>0</v>
      </c>
      <c r="CY45" s="354" t="n">
        <f aca="false">IFERROR(ROUND($AY:$AY*$CX:$CX,0),0)</f>
        <v>0</v>
      </c>
      <c r="CZ45" s="353" t="n">
        <f aca="false">$CR:$CR+$CT:CT+$CV:$CV+$CX:$CX</f>
        <v>0</v>
      </c>
      <c r="DA45" s="353" t="n">
        <f aca="false">(SUM($AW:$AW+$BC:$BC)-$CZ:$CZ)</f>
        <v>0</v>
      </c>
      <c r="DB45" s="353"/>
      <c r="DC45" s="353" t="n">
        <f aca="false">$BE:$BE</f>
        <v>0</v>
      </c>
      <c r="DD45" s="354" t="n">
        <f aca="false">$BF:$BF</f>
        <v>0</v>
      </c>
      <c r="DE45" s="355" t="n">
        <f aca="false">$BI:$BI</f>
        <v>0</v>
      </c>
      <c r="DF45" s="354" t="n">
        <f aca="false">$BJ:$BJ</f>
        <v>0</v>
      </c>
      <c r="DG45" s="355" t="n">
        <f aca="false">$BG:$BG</f>
        <v>0</v>
      </c>
      <c r="DH45" s="354" t="n">
        <f aca="false">IFERROR(ROUND($AP:$AP*$DG:$DG,0),0)</f>
        <v>0</v>
      </c>
      <c r="DI45" s="353" t="n">
        <f aca="false">$CR:$CR+$CV:$CV+$DC:$DC+$DE:$DE+$DG:$DG</f>
        <v>0</v>
      </c>
      <c r="DJ45" s="354" t="n">
        <f aca="false">$CS:$CS+$CW:$CW+$DD:$DD+$DF:$DF+$DH:$DH</f>
        <v>0</v>
      </c>
      <c r="DK45" s="353" t="n">
        <f aca="false">$CT:$CT+$CX:$CX</f>
        <v>0</v>
      </c>
      <c r="DL45" s="354" t="n">
        <f aca="false">$CU:$CU+$CY:$CY</f>
        <v>0</v>
      </c>
      <c r="DM45" s="356"/>
      <c r="DN45" s="357"/>
      <c r="DO45" s="357"/>
      <c r="DP45" s="357"/>
      <c r="DQ45" s="357"/>
      <c r="DR45" s="357"/>
      <c r="DS45" s="357"/>
      <c r="DT45" s="357"/>
      <c r="DU45" s="357"/>
      <c r="DV45" s="357"/>
      <c r="DW45" s="357" t="s">
        <v>296</v>
      </c>
    </row>
    <row r="46" customFormat="false" ht="22.5" hidden="false" customHeight="false" outlineLevel="0" collapsed="false">
      <c r="A46" s="314"/>
      <c r="B46" s="315" t="s">
        <v>273</v>
      </c>
      <c r="C46" s="315" t="s">
        <v>485</v>
      </c>
      <c r="D46" s="315" t="n">
        <v>18794</v>
      </c>
      <c r="E46" s="316" t="s">
        <v>486</v>
      </c>
      <c r="F46" s="316" t="s">
        <v>487</v>
      </c>
      <c r="G46" s="316" t="s">
        <v>277</v>
      </c>
      <c r="H46" s="317" t="s">
        <v>434</v>
      </c>
      <c r="I46" s="316" t="s">
        <v>488</v>
      </c>
      <c r="J46" s="316" t="s">
        <v>489</v>
      </c>
      <c r="K46" s="318" t="n">
        <v>43696</v>
      </c>
      <c r="L46" s="318"/>
      <c r="M46" s="318" t="n">
        <v>44355</v>
      </c>
      <c r="N46" s="319" t="s">
        <v>281</v>
      </c>
      <c r="O46" s="319" t="n">
        <v>38</v>
      </c>
      <c r="P46" s="320" t="n">
        <f aca="false">$O:$O/38</f>
        <v>1</v>
      </c>
      <c r="Q46" s="316" t="s">
        <v>320</v>
      </c>
      <c r="R46" s="316" t="n">
        <v>17956</v>
      </c>
      <c r="S46" s="316" t="s">
        <v>356</v>
      </c>
      <c r="T46" s="316" t="s">
        <v>310</v>
      </c>
      <c r="U46" s="316" t="s">
        <v>311</v>
      </c>
      <c r="V46" s="317" t="s">
        <v>58</v>
      </c>
      <c r="W46" s="317" t="s">
        <v>64</v>
      </c>
      <c r="X46" s="317" t="s">
        <v>286</v>
      </c>
      <c r="Y46" s="321" t="s">
        <v>287</v>
      </c>
      <c r="Z46" s="317" t="s">
        <v>356</v>
      </c>
      <c r="AA46" s="316" t="s">
        <v>311</v>
      </c>
      <c r="AB46" s="321" t="s">
        <v>357</v>
      </c>
      <c r="AC46" s="317" t="s">
        <v>289</v>
      </c>
      <c r="AD46" s="321" t="s">
        <v>290</v>
      </c>
      <c r="AE46" s="322" t="n">
        <f aca="false">IFERROR(INDEX('[3]Lookup_Rem Ranges'!$D$1:$D$1048576,MATCH($AL:$AL,'[3]Lookup_Rem Ranges'!$C$1:$C$1048576,0)),0)</f>
        <v>114200</v>
      </c>
      <c r="AF46" s="322" t="n">
        <f aca="false">IFERROR(INDEX('[3]Lookup_Rem Ranges'!$E$1:$E$1048576,MATCH($AL:$AL,'[3]Lookup_Rem Ranges'!$C$1:$C$1048576,0)),0)</f>
        <v>134400</v>
      </c>
      <c r="AG46" s="322" t="n">
        <f aca="false">IFERROR(INDEX('[3]Lookup_Rem Ranges'!$F$1:$F$1048576,MATCH($AL:$AL,'[3]Lookup_Rem Ranges'!$C$1:$C$1048576,0)),)</f>
        <v>154600</v>
      </c>
      <c r="AH46" s="317" t="s">
        <v>291</v>
      </c>
      <c r="AI46" s="319"/>
      <c r="AJ46" s="323" t="n">
        <v>0</v>
      </c>
      <c r="AK46" s="316"/>
      <c r="AL46" s="324" t="str">
        <f aca="false">CONCATENATE(AM46,"",AN46)</f>
        <v>GI6</v>
      </c>
      <c r="AM46" s="324" t="s">
        <v>312</v>
      </c>
      <c r="AN46" s="319" t="n">
        <v>6</v>
      </c>
      <c r="AO46" s="316"/>
      <c r="AP46" s="325" t="n">
        <v>101300</v>
      </c>
      <c r="AQ46" s="322" t="n">
        <f aca="false">ROUND(IF($P:$P&gt;1,$AP:$AP*1,$AP:$AP*$P:$P),0)</f>
        <v>101300</v>
      </c>
      <c r="AR46" s="322" t="n">
        <f aca="false">IF(BA46="Yes",AP46,0)</f>
        <v>101300</v>
      </c>
      <c r="AS46" s="326" t="n">
        <v>0.0253036437246964</v>
      </c>
      <c r="AT46" s="326" t="n">
        <v>0</v>
      </c>
      <c r="AU46" s="327"/>
      <c r="AV46" s="322"/>
      <c r="AW46" s="328" t="n">
        <v>0</v>
      </c>
      <c r="AX46" s="322" t="n">
        <v>0</v>
      </c>
      <c r="AY46" s="322" t="n">
        <v>101300</v>
      </c>
      <c r="AZ46" s="329" t="n">
        <f aca="false">IFERROR(($AY:$AY+$AJ:$AJ+$AK:$AK)/$AF:$AF,0)</f>
        <v>0.753720238095238</v>
      </c>
      <c r="BA46" s="330" t="s">
        <v>293</v>
      </c>
      <c r="BB46" s="331" t="n">
        <v>3</v>
      </c>
      <c r="BC46" s="326" t="n">
        <f aca="false">IFERROR($BD:$BD/$AY:$AY,0)</f>
        <v>0.127344521224087</v>
      </c>
      <c r="BD46" s="332" t="n">
        <f aca="false">ROUND(IF($AY:$AY&lt;$AE:$AE,$AE:$AE-$AY:$AY,0),0)</f>
        <v>12900</v>
      </c>
      <c r="BE46" s="333" t="n">
        <v>0</v>
      </c>
      <c r="BF46" s="334" t="n">
        <f aca="false">ROUND($AR:$AR*$BE:$BE,0)</f>
        <v>0</v>
      </c>
      <c r="BG46" s="335" t="n">
        <v>0</v>
      </c>
      <c r="BH46" s="336" t="n">
        <f aca="false">ROUND($AR:$AR*$BG:$BG,0)</f>
        <v>0</v>
      </c>
      <c r="BI46" s="333" t="n">
        <v>0</v>
      </c>
      <c r="BJ46" s="334" t="n">
        <f aca="false">ROUND($AR:$AR*$BI:$BI,0)</f>
        <v>0</v>
      </c>
      <c r="BK46" s="334" t="n">
        <f aca="false">ROUND(IF($P:$P&gt;1,$BJ:$BJ*1,$BJ:$BJ*$P:$P),0)</f>
        <v>0</v>
      </c>
      <c r="BL46" s="337"/>
      <c r="BM46" s="338" t="n">
        <f aca="false">$BC:$BC+$BE:$BE+$BG:$BG</f>
        <v>0.127344521224087</v>
      </c>
      <c r="BN46" s="339" t="n">
        <f aca="false">$BD:$BD+$BF:$BF+$BH:$BH</f>
        <v>12900</v>
      </c>
      <c r="BO46" s="340" t="n">
        <f aca="false">IFERROR(ROUND($AY:$AY+$BN:$BN,0),0)</f>
        <v>114200</v>
      </c>
      <c r="BP46" s="341" t="n">
        <f aca="false">ROUND(IF(SUM($BO:$BO&lt;249080),SUM(ROUND($BO:$BO*11%,0)),27398.8),0)</f>
        <v>12562</v>
      </c>
      <c r="BQ46" s="342" t="n">
        <f aca="false">$BO:$BO+$BP:$BP</f>
        <v>126762</v>
      </c>
      <c r="BR46" s="329" t="n">
        <f aca="false">IFERROR(($BO:$BO+$AJ:$AJ+$AK:$AK)/$AF:$AF,0)</f>
        <v>0.849702380952381</v>
      </c>
      <c r="BS46" s="343" t="n">
        <f aca="false">IF($N:$N="CASUAL","TBC",ROUND($BN:$BN/(NETWORKDAYS("01/07/2023","30/06/2024"))*NETWORKDAYS("10/07/2023","04/09/2023"),0)*$P:$P)</f>
        <v>2034</v>
      </c>
      <c r="BT46" s="326" t="n">
        <f aca="false">$BM46+$BI46</f>
        <v>0.127344521224087</v>
      </c>
      <c r="BU46" s="332" t="n">
        <f aca="false">$BN:$BN+$BJ:$BJ</f>
        <v>12900</v>
      </c>
      <c r="BV46" s="342" t="n">
        <f aca="false">$BO:$BO*$P:$P</f>
        <v>114200</v>
      </c>
      <c r="BW46" s="344" t="n">
        <f aca="false">ROUND($BO:$BO/1976,2)</f>
        <v>57.79</v>
      </c>
      <c r="BX46" s="316"/>
      <c r="BY46" s="342" t="n">
        <f aca="false">$BQ:$BQ+$BX:$BX</f>
        <v>126762</v>
      </c>
      <c r="BZ46" s="345" t="s">
        <v>294</v>
      </c>
      <c r="CA46" s="316"/>
      <c r="CB46" s="316"/>
      <c r="CC46" s="324" t="str">
        <f aca="false">CONCATENATE(CD46,"",CE46)</f>
        <v/>
      </c>
      <c r="CD46" s="319"/>
      <c r="CE46" s="319"/>
      <c r="CF46" s="322" t="str">
        <f aca="false">IFERROR(INDEX('[4]Lookup_Rem Ranges'!$D$1:$D$1048576,MATCH($CC:$CC,'[4]Lookup_Rem Ranges'!$C$1:$C$1048576,0)),"")</f>
        <v/>
      </c>
      <c r="CG46" s="346"/>
      <c r="CH46" s="346"/>
      <c r="CI46" s="347"/>
      <c r="CJ46" s="348"/>
      <c r="CK46" s="342" t="n">
        <f aca="false">IFERROR(ROUND($CI:$CI*$CJ:$CJ,0),0)</f>
        <v>0</v>
      </c>
      <c r="CL46" s="342" t="n">
        <f aca="false">$CI:$CI+$CK:$CK</f>
        <v>0</v>
      </c>
      <c r="CM46" s="349"/>
      <c r="CN46" s="350" t="n">
        <f aca="false">IF(SUM($CL:$CL&lt;249080),SUM(ROUND($CL:$CL*11%,0)),27398.8)</f>
        <v>0</v>
      </c>
      <c r="CO46" s="350" t="s">
        <v>305</v>
      </c>
      <c r="CP46" s="351" t="n">
        <f aca="false">IF(BA46="Yes",3.25%,0)</f>
        <v>0.0325</v>
      </c>
      <c r="CQ46" s="352" t="n">
        <f aca="false">ROUND(AR46*CP46,0)</f>
        <v>3292</v>
      </c>
      <c r="CR46" s="353" t="n">
        <f aca="false">IF($AW:$AW&lt;3.25%,$AW:$AW,3.25%)</f>
        <v>0</v>
      </c>
      <c r="CS46" s="354" t="n">
        <f aca="false">ROUND($AR:$AR*$CR:$CR,0)</f>
        <v>0</v>
      </c>
      <c r="CT46" s="353" t="n">
        <f aca="false">IF($AW:$AW&gt;=3.25%,$AW:$AW-$CR:$CR,0)</f>
        <v>0</v>
      </c>
      <c r="CU46" s="354" t="n">
        <f aca="false">ROUND($AR:$AR*$CT:$CT,0)</f>
        <v>0</v>
      </c>
      <c r="CV46" s="353" t="n">
        <f aca="false">IF($CR:$CR=3.25%,0,IF($BC:$BC&lt;3.25%,$BC:$BC,IF($BC:$BC&gt;3.25%,3.25%-$CR:$CR,0)))</f>
        <v>0.0325</v>
      </c>
      <c r="CW46" s="354" t="n">
        <f aca="false">IFERROR(ROUND($AY:$AY*$CV:$CV,0),0)</f>
        <v>3292</v>
      </c>
      <c r="CX46" s="353" t="n">
        <f aca="false">IF($CV:$CV=0,$BC:$BC,BC:BC-$CV:$CV)</f>
        <v>0.0948445212240869</v>
      </c>
      <c r="CY46" s="354" t="n">
        <f aca="false">IFERROR(ROUND($AY:$AY*$CX:$CX,0),0)</f>
        <v>9608</v>
      </c>
      <c r="CZ46" s="353" t="n">
        <f aca="false">$CR:$CR+$CT:CT+$CV:$CV+$CX:$CX</f>
        <v>0.127344521224087</v>
      </c>
      <c r="DA46" s="353" t="n">
        <f aca="false">(SUM($AW:$AW+$BC:$BC)-$CZ:$CZ)</f>
        <v>0</v>
      </c>
      <c r="DB46" s="353"/>
      <c r="DC46" s="353" t="n">
        <f aca="false">$BE:$BE</f>
        <v>0</v>
      </c>
      <c r="DD46" s="354" t="n">
        <f aca="false">$BF:$BF</f>
        <v>0</v>
      </c>
      <c r="DE46" s="355" t="n">
        <f aca="false">$BI:$BI</f>
        <v>0</v>
      </c>
      <c r="DF46" s="354" t="n">
        <f aca="false">$BJ:$BJ</f>
        <v>0</v>
      </c>
      <c r="DG46" s="355" t="n">
        <f aca="false">$BG:$BG</f>
        <v>0</v>
      </c>
      <c r="DH46" s="354" t="n">
        <f aca="false">IFERROR(ROUND($AP:$AP*$DG:$DG,0),0)</f>
        <v>0</v>
      </c>
      <c r="DI46" s="353" t="n">
        <f aca="false">$CR:$CR+$CV:$CV+$DC:$DC+$DE:$DE+$DG:$DG</f>
        <v>0.0325</v>
      </c>
      <c r="DJ46" s="354" t="n">
        <f aca="false">$CS:$CS+$CW:$CW+$DD:$DD+$DF:$DF+$DH:$DH</f>
        <v>3292</v>
      </c>
      <c r="DK46" s="353" t="n">
        <f aca="false">$CT:$CT+$CX:$CX</f>
        <v>0.0948445212240869</v>
      </c>
      <c r="DL46" s="354" t="n">
        <f aca="false">$CU:$CU+$CY:$CY</f>
        <v>9608</v>
      </c>
      <c r="DM46" s="356"/>
      <c r="DN46" s="357"/>
      <c r="DO46" s="357"/>
      <c r="DP46" s="357"/>
      <c r="DQ46" s="357"/>
      <c r="DR46" s="357"/>
      <c r="DS46" s="357"/>
      <c r="DT46" s="357"/>
      <c r="DU46" s="357"/>
      <c r="DV46" s="357"/>
      <c r="DW46" s="357" t="s">
        <v>296</v>
      </c>
    </row>
    <row r="47" customFormat="false" ht="22.5" hidden="false" customHeight="false" outlineLevel="0" collapsed="false">
      <c r="A47" s="314"/>
      <c r="B47" s="315" t="s">
        <v>273</v>
      </c>
      <c r="C47" s="315" t="s">
        <v>490</v>
      </c>
      <c r="D47" s="315" t="n">
        <v>4212</v>
      </c>
      <c r="E47" s="316" t="s">
        <v>491</v>
      </c>
      <c r="F47" s="316" t="s">
        <v>492</v>
      </c>
      <c r="G47" s="316" t="s">
        <v>277</v>
      </c>
      <c r="H47" s="317" t="s">
        <v>434</v>
      </c>
      <c r="I47" s="316" t="s">
        <v>383</v>
      </c>
      <c r="J47" s="316" t="s">
        <v>384</v>
      </c>
      <c r="K47" s="318" t="n">
        <v>37858</v>
      </c>
      <c r="L47" s="318"/>
      <c r="M47" s="318" t="n">
        <v>44858</v>
      </c>
      <c r="N47" s="319" t="s">
        <v>281</v>
      </c>
      <c r="O47" s="319" t="n">
        <v>38</v>
      </c>
      <c r="P47" s="320" t="n">
        <f aca="false">$O:$O/38</f>
        <v>1</v>
      </c>
      <c r="Q47" s="316" t="s">
        <v>320</v>
      </c>
      <c r="R47" s="316" t="n">
        <v>17956</v>
      </c>
      <c r="S47" s="316" t="s">
        <v>356</v>
      </c>
      <c r="T47" s="316" t="s">
        <v>310</v>
      </c>
      <c r="U47" s="316" t="s">
        <v>311</v>
      </c>
      <c r="V47" s="317" t="s">
        <v>58</v>
      </c>
      <c r="W47" s="317" t="s">
        <v>64</v>
      </c>
      <c r="X47" s="317" t="s">
        <v>286</v>
      </c>
      <c r="Y47" s="321" t="s">
        <v>287</v>
      </c>
      <c r="Z47" s="317" t="s">
        <v>356</v>
      </c>
      <c r="AA47" s="316" t="s">
        <v>311</v>
      </c>
      <c r="AB47" s="321" t="s">
        <v>357</v>
      </c>
      <c r="AC47" s="317" t="s">
        <v>289</v>
      </c>
      <c r="AD47" s="321" t="s">
        <v>290</v>
      </c>
      <c r="AE47" s="322" t="n">
        <f aca="false">IFERROR(INDEX('[3]Lookup_Rem Ranges'!$D$1:$D$1048576,MATCH($AL:$AL,'[3]Lookup_Rem Ranges'!$C$1:$C$1048576,0)),0)</f>
        <v>114200</v>
      </c>
      <c r="AF47" s="322" t="n">
        <f aca="false">IFERROR(INDEX('[3]Lookup_Rem Ranges'!$E$1:$E$1048576,MATCH($AL:$AL,'[3]Lookup_Rem Ranges'!$C$1:$C$1048576,0)),0)</f>
        <v>134400</v>
      </c>
      <c r="AG47" s="322" t="n">
        <f aca="false">IFERROR(INDEX('[3]Lookup_Rem Ranges'!$F$1:$F$1048576,MATCH($AL:$AL,'[3]Lookup_Rem Ranges'!$C$1:$C$1048576,0)),)</f>
        <v>154600</v>
      </c>
      <c r="AH47" s="317" t="s">
        <v>291</v>
      </c>
      <c r="AI47" s="319"/>
      <c r="AJ47" s="323" t="n">
        <v>0</v>
      </c>
      <c r="AK47" s="316"/>
      <c r="AL47" s="324" t="str">
        <f aca="false">CONCATENATE(AM47,"",AN47)</f>
        <v>GI6</v>
      </c>
      <c r="AM47" s="324" t="s">
        <v>312</v>
      </c>
      <c r="AN47" s="319" t="n">
        <v>6</v>
      </c>
      <c r="AO47" s="316"/>
      <c r="AP47" s="325" t="n">
        <v>102000</v>
      </c>
      <c r="AQ47" s="322" t="n">
        <f aca="false">ROUND(IF($P:$P&gt;1,$AP:$AP*1,$AP:$AP*$P:$P),0)</f>
        <v>102000</v>
      </c>
      <c r="AR47" s="322" t="n">
        <f aca="false">IF(BA47="Yes",AP47,0)</f>
        <v>102000</v>
      </c>
      <c r="AS47" s="326" t="n">
        <v>0.0208574739281576</v>
      </c>
      <c r="AT47" s="326" t="n">
        <v>0</v>
      </c>
      <c r="AU47" s="327"/>
      <c r="AV47" s="322"/>
      <c r="AW47" s="328" t="n">
        <v>0</v>
      </c>
      <c r="AX47" s="322" t="n">
        <v>0</v>
      </c>
      <c r="AY47" s="322" t="n">
        <v>102000</v>
      </c>
      <c r="AZ47" s="329" t="n">
        <f aca="false">IFERROR(($AY:$AY+$AJ:$AJ+$AK:$AK)/$AF:$AF,0)</f>
        <v>0.758928571428571</v>
      </c>
      <c r="BA47" s="330" t="s">
        <v>293</v>
      </c>
      <c r="BB47" s="331" t="n">
        <v>3</v>
      </c>
      <c r="BC47" s="326" t="n">
        <f aca="false">IFERROR($BD:$BD/$AY:$AY,0)</f>
        <v>0.119607843137255</v>
      </c>
      <c r="BD47" s="332" t="n">
        <f aca="false">ROUND(IF($AY:$AY&lt;$AE:$AE,$AE:$AE-$AY:$AY,0),0)</f>
        <v>12200</v>
      </c>
      <c r="BE47" s="333" t="n">
        <v>0</v>
      </c>
      <c r="BF47" s="334" t="n">
        <f aca="false">ROUND($AR:$AR*$BE:$BE,0)</f>
        <v>0</v>
      </c>
      <c r="BG47" s="335" t="n">
        <v>0</v>
      </c>
      <c r="BH47" s="336" t="n">
        <f aca="false">ROUND($AR:$AR*$BG:$BG,0)</f>
        <v>0</v>
      </c>
      <c r="BI47" s="333" t="n">
        <v>0</v>
      </c>
      <c r="BJ47" s="334" t="n">
        <f aca="false">ROUND($AR:$AR*$BI:$BI,0)</f>
        <v>0</v>
      </c>
      <c r="BK47" s="334" t="n">
        <f aca="false">ROUND(IF($P:$P&gt;1,$BJ:$BJ*1,$BJ:$BJ*$P:$P),0)</f>
        <v>0</v>
      </c>
      <c r="BL47" s="337"/>
      <c r="BM47" s="338" t="n">
        <f aca="false">$BC:$BC+$BE:$BE+$BG:$BG</f>
        <v>0.119607843137255</v>
      </c>
      <c r="BN47" s="339" t="n">
        <f aca="false">$BD:$BD+$BF:$BF+$BH:$BH</f>
        <v>12200</v>
      </c>
      <c r="BO47" s="340" t="n">
        <f aca="false">IFERROR(ROUND($AY:$AY+$BN:$BN,0),0)</f>
        <v>114200</v>
      </c>
      <c r="BP47" s="341" t="n">
        <f aca="false">ROUND(IF(SUM($BO:$BO&lt;249080),SUM(ROUND($BO:$BO*11%,0)),27398.8),0)</f>
        <v>12562</v>
      </c>
      <c r="BQ47" s="342" t="n">
        <f aca="false">$BO:$BO+$BP:$BP</f>
        <v>126762</v>
      </c>
      <c r="BR47" s="329" t="n">
        <f aca="false">IFERROR(($BO:$BO+$AJ:$AJ+$AK:$AK)/$AF:$AF,0)</f>
        <v>0.849702380952381</v>
      </c>
      <c r="BS47" s="343" t="n">
        <f aca="false">IF($N:$N="CASUAL","TBC",ROUND($BN:$BN/(NETWORKDAYS("01/07/2023","30/06/2024"))*NETWORKDAYS("10/07/2023","04/09/2023"),0)*$P:$P)</f>
        <v>1924</v>
      </c>
      <c r="BT47" s="326" t="n">
        <f aca="false">$BM47+$BI47</f>
        <v>0.119607843137255</v>
      </c>
      <c r="BU47" s="332" t="n">
        <f aca="false">$BN:$BN+$BJ:$BJ</f>
        <v>12200</v>
      </c>
      <c r="BV47" s="342" t="n">
        <f aca="false">$BO:$BO*$P:$P</f>
        <v>114200</v>
      </c>
      <c r="BW47" s="344" t="n">
        <f aca="false">ROUND($BO:$BO/1976,2)</f>
        <v>57.79</v>
      </c>
      <c r="BX47" s="316"/>
      <c r="BY47" s="342" t="n">
        <f aca="false">$BQ:$BQ+$BX:$BX</f>
        <v>126762</v>
      </c>
      <c r="BZ47" s="345" t="s">
        <v>294</v>
      </c>
      <c r="CA47" s="316"/>
      <c r="CB47" s="316"/>
      <c r="CC47" s="324" t="str">
        <f aca="false">CONCATENATE(CD47,"",CE47)</f>
        <v/>
      </c>
      <c r="CD47" s="319"/>
      <c r="CE47" s="319"/>
      <c r="CF47" s="322" t="str">
        <f aca="false">IFERROR(INDEX('[4]Lookup_Rem Ranges'!$D$1:$D$1048576,MATCH($CC:$CC,'[4]Lookup_Rem Ranges'!$C$1:$C$1048576,0)),"")</f>
        <v/>
      </c>
      <c r="CG47" s="346"/>
      <c r="CH47" s="346"/>
      <c r="CI47" s="347"/>
      <c r="CJ47" s="348"/>
      <c r="CK47" s="342" t="n">
        <f aca="false">IFERROR(ROUND($CI:$CI*$CJ:$CJ,0),0)</f>
        <v>0</v>
      </c>
      <c r="CL47" s="342" t="n">
        <f aca="false">$CI:$CI+$CK:$CK</f>
        <v>0</v>
      </c>
      <c r="CM47" s="349"/>
      <c r="CN47" s="350" t="n">
        <f aca="false">IF(SUM($CL:$CL&lt;249080),SUM(ROUND($CL:$CL*11%,0)),27398.8)</f>
        <v>0</v>
      </c>
      <c r="CO47" s="350" t="s">
        <v>313</v>
      </c>
      <c r="CP47" s="351" t="n">
        <f aca="false">IF(BA47="Yes",3.25%,0)</f>
        <v>0.0325</v>
      </c>
      <c r="CQ47" s="352" t="n">
        <f aca="false">ROUND(AR47*CP47,0)</f>
        <v>3315</v>
      </c>
      <c r="CR47" s="353" t="n">
        <f aca="false">IF($AW:$AW&lt;3.25%,$AW:$AW,3.25%)</f>
        <v>0</v>
      </c>
      <c r="CS47" s="354" t="n">
        <f aca="false">ROUND($AR:$AR*$CR:$CR,0)</f>
        <v>0</v>
      </c>
      <c r="CT47" s="353" t="n">
        <f aca="false">IF($AW:$AW&gt;=3.25%,$AW:$AW-$CR:$CR,0)</f>
        <v>0</v>
      </c>
      <c r="CU47" s="354" t="n">
        <f aca="false">ROUND($AR:$AR*$CT:$CT,0)</f>
        <v>0</v>
      </c>
      <c r="CV47" s="353" t="n">
        <f aca="false">IF($CR:$CR=3.25%,0,IF($BC:$BC&lt;3.25%,$BC:$BC,IF($BC:$BC&gt;3.25%,3.25%-$CR:$CR,0)))</f>
        <v>0.0325</v>
      </c>
      <c r="CW47" s="354" t="n">
        <f aca="false">IFERROR(ROUND($AY:$AY*$CV:$CV,0),0)</f>
        <v>3315</v>
      </c>
      <c r="CX47" s="353" t="n">
        <f aca="false">IF($CV:$CV=0,$BC:$BC,BC:BC-$CV:$CV)</f>
        <v>0.0871078431372549</v>
      </c>
      <c r="CY47" s="354" t="n">
        <f aca="false">IFERROR(ROUND($AY:$AY*$CX:$CX,0),0)</f>
        <v>8885</v>
      </c>
      <c r="CZ47" s="353" t="n">
        <f aca="false">$CR:$CR+$CT:CT+$CV:$CV+$CX:$CX</f>
        <v>0.119607843137255</v>
      </c>
      <c r="DA47" s="353" t="n">
        <f aca="false">(SUM($AW:$AW+$BC:$BC)-$CZ:$CZ)</f>
        <v>0</v>
      </c>
      <c r="DB47" s="353"/>
      <c r="DC47" s="353" t="n">
        <f aca="false">$BE:$BE</f>
        <v>0</v>
      </c>
      <c r="DD47" s="354" t="n">
        <f aca="false">$BF:$BF</f>
        <v>0</v>
      </c>
      <c r="DE47" s="355" t="n">
        <f aca="false">$BI:$BI</f>
        <v>0</v>
      </c>
      <c r="DF47" s="354" t="n">
        <f aca="false">$BJ:$BJ</f>
        <v>0</v>
      </c>
      <c r="DG47" s="355" t="n">
        <f aca="false">$BG:$BG</f>
        <v>0</v>
      </c>
      <c r="DH47" s="354" t="n">
        <f aca="false">IFERROR(ROUND($AP:$AP*$DG:$DG,0),0)</f>
        <v>0</v>
      </c>
      <c r="DI47" s="353" t="n">
        <f aca="false">$CR:$CR+$CV:$CV+$DC:$DC+$DE:$DE+$DG:$DG</f>
        <v>0.0325</v>
      </c>
      <c r="DJ47" s="354" t="n">
        <f aca="false">$CS:$CS+$CW:$CW+$DD:$DD+$DF:$DF+$DH:$DH</f>
        <v>3315</v>
      </c>
      <c r="DK47" s="353" t="n">
        <f aca="false">$CT:$CT+$CX:$CX</f>
        <v>0.0871078431372549</v>
      </c>
      <c r="DL47" s="354" t="n">
        <f aca="false">$CU:$CU+$CY:$CY</f>
        <v>8885</v>
      </c>
      <c r="DM47" s="356"/>
      <c r="DN47" s="357"/>
      <c r="DO47" s="357"/>
      <c r="DP47" s="357"/>
      <c r="DQ47" s="357"/>
      <c r="DR47" s="357"/>
      <c r="DS47" s="357"/>
      <c r="DT47" s="357"/>
      <c r="DU47" s="357"/>
      <c r="DV47" s="357"/>
      <c r="DW47" s="357" t="s">
        <v>296</v>
      </c>
    </row>
    <row r="48" customFormat="false" ht="33.75" hidden="false" customHeight="false" outlineLevel="0" collapsed="false">
      <c r="A48" s="314"/>
      <c r="B48" s="315" t="s">
        <v>273</v>
      </c>
      <c r="C48" s="315" t="s">
        <v>493</v>
      </c>
      <c r="D48" s="315" t="n">
        <v>21404</v>
      </c>
      <c r="E48" s="316" t="s">
        <v>419</v>
      </c>
      <c r="F48" s="316" t="s">
        <v>494</v>
      </c>
      <c r="G48" s="316" t="s">
        <v>300</v>
      </c>
      <c r="H48" s="317" t="s">
        <v>495</v>
      </c>
      <c r="I48" s="316" t="s">
        <v>496</v>
      </c>
      <c r="J48" s="316" t="s">
        <v>497</v>
      </c>
      <c r="K48" s="318" t="n">
        <v>44838</v>
      </c>
      <c r="L48" s="318"/>
      <c r="M48" s="318" t="n">
        <v>44838</v>
      </c>
      <c r="N48" s="319" t="s">
        <v>281</v>
      </c>
      <c r="O48" s="319" t="n">
        <v>38</v>
      </c>
      <c r="P48" s="320" t="n">
        <f aca="false">$O:$O/38</f>
        <v>1</v>
      </c>
      <c r="Q48" s="316" t="s">
        <v>352</v>
      </c>
      <c r="R48" s="316" t="n">
        <v>17956</v>
      </c>
      <c r="S48" s="316" t="s">
        <v>356</v>
      </c>
      <c r="T48" s="316" t="s">
        <v>310</v>
      </c>
      <c r="U48" s="316" t="s">
        <v>311</v>
      </c>
      <c r="V48" s="317" t="s">
        <v>58</v>
      </c>
      <c r="W48" s="317" t="s">
        <v>64</v>
      </c>
      <c r="X48" s="317" t="s">
        <v>286</v>
      </c>
      <c r="Y48" s="321" t="s">
        <v>287</v>
      </c>
      <c r="Z48" s="317" t="s">
        <v>356</v>
      </c>
      <c r="AA48" s="316" t="s">
        <v>311</v>
      </c>
      <c r="AB48" s="321" t="s">
        <v>357</v>
      </c>
      <c r="AC48" s="317" t="s">
        <v>289</v>
      </c>
      <c r="AD48" s="321" t="s">
        <v>290</v>
      </c>
      <c r="AE48" s="322" t="n">
        <f aca="false">IFERROR(INDEX('[3]Lookup_Rem Ranges'!$D$1:$D$1048576,MATCH($AL:$AL,'[3]Lookup_Rem Ranges'!$C$1:$C$1048576,0)),0)</f>
        <v>64900</v>
      </c>
      <c r="AF48" s="322" t="n">
        <f aca="false">IFERROR(INDEX('[3]Lookup_Rem Ranges'!$E$1:$E$1048576,MATCH($AL:$AL,'[3]Lookup_Rem Ranges'!$C$1:$C$1048576,0)),0)</f>
        <v>76300</v>
      </c>
      <c r="AG48" s="322" t="n">
        <f aca="false">IFERROR(INDEX('[3]Lookup_Rem Ranges'!$F$1:$F$1048576,MATCH($AL:$AL,'[3]Lookup_Rem Ranges'!$C$1:$C$1048576,0)),)</f>
        <v>87700</v>
      </c>
      <c r="AH48" s="317" t="s">
        <v>398</v>
      </c>
      <c r="AI48" s="319"/>
      <c r="AJ48" s="323" t="n">
        <v>0</v>
      </c>
      <c r="AK48" s="316"/>
      <c r="AL48" s="324" t="str">
        <f aca="false">CONCATENATE(AM48,"",AN48)</f>
        <v>GI3</v>
      </c>
      <c r="AM48" s="324" t="s">
        <v>312</v>
      </c>
      <c r="AN48" s="319" t="n">
        <v>3</v>
      </c>
      <c r="AO48" s="316" t="s">
        <v>358</v>
      </c>
      <c r="AP48" s="325" t="n">
        <v>79040</v>
      </c>
      <c r="AQ48" s="322" t="n">
        <f aca="false">ROUND(IF($P:$P&gt;1,$AP:$AP*1,$AP:$AP*$P:$P),0)</f>
        <v>79040</v>
      </c>
      <c r="AR48" s="322" t="n">
        <f aca="false">IF(BA48="Yes",AP48,0)</f>
        <v>0</v>
      </c>
      <c r="AS48" s="326" t="s">
        <v>339</v>
      </c>
      <c r="AT48" s="326" t="n">
        <v>0</v>
      </c>
      <c r="AU48" s="327"/>
      <c r="AV48" s="322"/>
      <c r="AW48" s="328" t="n">
        <v>0</v>
      </c>
      <c r="AX48" s="322" t="n">
        <v>0</v>
      </c>
      <c r="AY48" s="322" t="n">
        <v>79040</v>
      </c>
      <c r="AZ48" s="329" t="n">
        <f aca="false">IFERROR(($AY:$AY+$AJ:$AJ+$AK:$AK)/$AF:$AF,0)</f>
        <v>1.03591087811271</v>
      </c>
      <c r="BA48" s="330" t="s">
        <v>294</v>
      </c>
      <c r="BB48" s="331" t="n">
        <v>3</v>
      </c>
      <c r="BC48" s="326" t="n">
        <f aca="false">IFERROR($BD:$BD/$AY:$AY,0)</f>
        <v>0</v>
      </c>
      <c r="BD48" s="332" t="n">
        <f aca="false">ROUND(IF($AY:$AY&lt;$AE:$AE,$AE:$AE-$AY:$AY,0),0)</f>
        <v>0</v>
      </c>
      <c r="BE48" s="333" t="n">
        <v>0</v>
      </c>
      <c r="BF48" s="334" t="n">
        <f aca="false">ROUND($AR:$AR*$BE:$BE,0)</f>
        <v>0</v>
      </c>
      <c r="BG48" s="335" t="n">
        <v>0</v>
      </c>
      <c r="BH48" s="336" t="n">
        <f aca="false">ROUND($AR:$AR*$BG:$BG,0)</f>
        <v>0</v>
      </c>
      <c r="BI48" s="333" t="n">
        <v>0</v>
      </c>
      <c r="BJ48" s="334" t="n">
        <f aca="false">ROUND($AR:$AR*$BI:$BI,0)</f>
        <v>0</v>
      </c>
      <c r="BK48" s="334" t="n">
        <f aca="false">ROUND(IF($P:$P&gt;1,$BJ:$BJ*1,$BJ:$BJ*$P:$P),0)</f>
        <v>0</v>
      </c>
      <c r="BL48" s="337"/>
      <c r="BM48" s="338" t="n">
        <f aca="false">$BC:$BC+$BE:$BE+$BG:$BG</f>
        <v>0</v>
      </c>
      <c r="BN48" s="339" t="n">
        <f aca="false">$BD:$BD+$BF:$BF+$BH:$BH</f>
        <v>0</v>
      </c>
      <c r="BO48" s="340" t="n">
        <f aca="false">IFERROR(ROUND($AY:$AY+$BN:$BN,0),0)</f>
        <v>79040</v>
      </c>
      <c r="BP48" s="341" t="n">
        <f aca="false">ROUND(IF(SUM($BO:$BO&lt;249080),SUM(ROUND($BO:$BO*11%,0)),27398.8),0)</f>
        <v>8694</v>
      </c>
      <c r="BQ48" s="342" t="n">
        <f aca="false">$BO:$BO+$BP:$BP</f>
        <v>87734</v>
      </c>
      <c r="BR48" s="329" t="n">
        <f aca="false">IFERROR(($BO:$BO+$AJ:$AJ+$AK:$AK)/$AF:$AF,0)</f>
        <v>1.03591087811271</v>
      </c>
      <c r="BS48" s="343" t="n">
        <f aca="false">IF($N:$N="CASUAL","TBC",ROUND($BN:$BN/(NETWORKDAYS("01/07/2023","30/06/2024"))*NETWORKDAYS("10/07/2023","04/09/2023"),0)*$P:$P)</f>
        <v>0</v>
      </c>
      <c r="BT48" s="326" t="n">
        <f aca="false">$BM48+$BI48</f>
        <v>0</v>
      </c>
      <c r="BU48" s="332" t="n">
        <f aca="false">$BN:$BN+$BJ:$BJ</f>
        <v>0</v>
      </c>
      <c r="BV48" s="342" t="n">
        <f aca="false">$BO:$BO*$P:$P</f>
        <v>79040</v>
      </c>
      <c r="BW48" s="344" t="n">
        <f aca="false">ROUND($BO:$BO/1976,2)</f>
        <v>40</v>
      </c>
      <c r="BX48" s="316"/>
      <c r="BY48" s="342" t="n">
        <f aca="false">$BQ:$BQ+$BX:$BX</f>
        <v>87734</v>
      </c>
      <c r="BZ48" s="345" t="s">
        <v>294</v>
      </c>
      <c r="CA48" s="316"/>
      <c r="CB48" s="316"/>
      <c r="CC48" s="324" t="str">
        <f aca="false">CONCATENATE(CD48,"",CE48)</f>
        <v/>
      </c>
      <c r="CD48" s="319"/>
      <c r="CE48" s="319"/>
      <c r="CF48" s="322" t="str">
        <f aca="false">IFERROR(INDEX('[4]Lookup_Rem Ranges'!$D$1:$D$1048576,MATCH($CC:$CC,'[4]Lookup_Rem Ranges'!$C$1:$C$1048576,0)),"")</f>
        <v/>
      </c>
      <c r="CG48" s="346"/>
      <c r="CH48" s="346"/>
      <c r="CI48" s="347"/>
      <c r="CJ48" s="348"/>
      <c r="CK48" s="342" t="n">
        <f aca="false">IFERROR(ROUND($CI:$CI*$CJ:$CJ,0),0)</f>
        <v>0</v>
      </c>
      <c r="CL48" s="342" t="n">
        <f aca="false">$CI:$CI+$CK:$CK</f>
        <v>0</v>
      </c>
      <c r="CM48" s="349"/>
      <c r="CN48" s="350" t="n">
        <f aca="false">IF(SUM($CL:$CL&lt;249080),SUM(ROUND($CL:$CL*11%,0)),27398.8)</f>
        <v>0</v>
      </c>
      <c r="CO48" s="350" t="s">
        <v>324</v>
      </c>
      <c r="CP48" s="351" t="n">
        <f aca="false">IF(BA48="Yes",3.25%,0)</f>
        <v>0</v>
      </c>
      <c r="CQ48" s="352" t="n">
        <f aca="false">ROUND(AR48*CP48,0)</f>
        <v>0</v>
      </c>
      <c r="CR48" s="353" t="n">
        <f aca="false">IF($AW:$AW&lt;3.25%,$AW:$AW,3.25%)</f>
        <v>0</v>
      </c>
      <c r="CS48" s="354" t="n">
        <f aca="false">ROUND($AR:$AR*$CR:$CR,0)</f>
        <v>0</v>
      </c>
      <c r="CT48" s="353" t="n">
        <f aca="false">IF($AW:$AW&gt;=3.25%,$AW:$AW-$CR:$CR,0)</f>
        <v>0</v>
      </c>
      <c r="CU48" s="354" t="n">
        <f aca="false">ROUND($AR:$AR*$CT:$CT,0)</f>
        <v>0</v>
      </c>
      <c r="CV48" s="353" t="n">
        <f aca="false">IF($CR:$CR=3.25%,0,IF($BC:$BC&lt;3.25%,$BC:$BC,IF($BC:$BC&gt;3.25%,3.25%-$CR:$CR,0)))</f>
        <v>0</v>
      </c>
      <c r="CW48" s="354" t="n">
        <f aca="false">IFERROR(ROUND($AY:$AY*$CV:$CV,0),0)</f>
        <v>0</v>
      </c>
      <c r="CX48" s="353" t="n">
        <f aca="false">IF($CV:$CV=0,$BC:$BC,BC:BC-$CV:$CV)</f>
        <v>0</v>
      </c>
      <c r="CY48" s="354" t="n">
        <f aca="false">IFERROR(ROUND($AY:$AY*$CX:$CX,0),0)</f>
        <v>0</v>
      </c>
      <c r="CZ48" s="353" t="n">
        <f aca="false">$CR:$CR+$CT:CT+$CV:$CV+$CX:$CX</f>
        <v>0</v>
      </c>
      <c r="DA48" s="353" t="n">
        <f aca="false">(SUM($AW:$AW+$BC:$BC)-$CZ:$CZ)</f>
        <v>0</v>
      </c>
      <c r="DB48" s="353"/>
      <c r="DC48" s="353" t="n">
        <f aca="false">$BE:$BE</f>
        <v>0</v>
      </c>
      <c r="DD48" s="354" t="n">
        <f aca="false">$BF:$BF</f>
        <v>0</v>
      </c>
      <c r="DE48" s="355" t="n">
        <f aca="false">$BI:$BI</f>
        <v>0</v>
      </c>
      <c r="DF48" s="354" t="n">
        <f aca="false">$BJ:$BJ</f>
        <v>0</v>
      </c>
      <c r="DG48" s="355" t="n">
        <f aca="false">$BG:$BG</f>
        <v>0</v>
      </c>
      <c r="DH48" s="354" t="n">
        <f aca="false">IFERROR(ROUND($AP:$AP*$DG:$DG,0),0)</f>
        <v>0</v>
      </c>
      <c r="DI48" s="353" t="n">
        <f aca="false">$CR:$CR+$CV:$CV+$DC:$DC+$DE:$DE+$DG:$DG</f>
        <v>0</v>
      </c>
      <c r="DJ48" s="354" t="n">
        <f aca="false">$CS:$CS+$CW:$CW+$DD:$DD+$DF:$DF+$DH:$DH</f>
        <v>0</v>
      </c>
      <c r="DK48" s="353" t="n">
        <f aca="false">$CT:$CT+$CX:$CX</f>
        <v>0</v>
      </c>
      <c r="DL48" s="354" t="n">
        <f aca="false">$CU:$CU+$CY:$CY</f>
        <v>0</v>
      </c>
      <c r="DM48" s="356"/>
      <c r="DN48" s="357"/>
      <c r="DO48" s="357"/>
      <c r="DP48" s="357"/>
      <c r="DQ48" s="357"/>
      <c r="DR48" s="357"/>
      <c r="DS48" s="357"/>
      <c r="DT48" s="357"/>
      <c r="DU48" s="357"/>
      <c r="DV48" s="357"/>
      <c r="DW48" s="357" t="s">
        <v>498</v>
      </c>
    </row>
    <row r="49" customFormat="false" ht="33.75" hidden="false" customHeight="false" outlineLevel="0" collapsed="false">
      <c r="A49" s="314"/>
      <c r="B49" s="315" t="s">
        <v>273</v>
      </c>
      <c r="C49" s="315" t="s">
        <v>499</v>
      </c>
      <c r="D49" s="315" t="n">
        <v>22015</v>
      </c>
      <c r="E49" s="316" t="s">
        <v>500</v>
      </c>
      <c r="F49" s="316" t="s">
        <v>501</v>
      </c>
      <c r="G49" s="316" t="s">
        <v>300</v>
      </c>
      <c r="H49" s="317" t="s">
        <v>502</v>
      </c>
      <c r="I49" s="316" t="s">
        <v>503</v>
      </c>
      <c r="J49" s="316" t="s">
        <v>504</v>
      </c>
      <c r="K49" s="318" t="n">
        <v>45034</v>
      </c>
      <c r="L49" s="318"/>
      <c r="M49" s="318" t="n">
        <v>45034</v>
      </c>
      <c r="N49" s="319" t="s">
        <v>281</v>
      </c>
      <c r="O49" s="319" t="n">
        <v>38</v>
      </c>
      <c r="P49" s="320" t="n">
        <f aca="false">$O:$O/38</f>
        <v>1</v>
      </c>
      <c r="Q49" s="316" t="s">
        <v>352</v>
      </c>
      <c r="R49" s="316" t="n">
        <v>14167</v>
      </c>
      <c r="S49" s="316" t="s">
        <v>505</v>
      </c>
      <c r="T49" s="316" t="s">
        <v>444</v>
      </c>
      <c r="U49" s="316" t="s">
        <v>445</v>
      </c>
      <c r="V49" s="317" t="s">
        <v>58</v>
      </c>
      <c r="W49" s="317" t="s">
        <v>64</v>
      </c>
      <c r="X49" s="317" t="s">
        <v>286</v>
      </c>
      <c r="Y49" s="321" t="s">
        <v>287</v>
      </c>
      <c r="Z49" s="317" t="s">
        <v>356</v>
      </c>
      <c r="AA49" s="316" t="s">
        <v>311</v>
      </c>
      <c r="AB49" s="321" t="s">
        <v>357</v>
      </c>
      <c r="AC49" s="317" t="s">
        <v>289</v>
      </c>
      <c r="AD49" s="321" t="s">
        <v>290</v>
      </c>
      <c r="AE49" s="322" t="n">
        <f aca="false">IFERROR(INDEX('[3]Lookup_Rem Ranges'!$D$1:$D$1048576,MATCH($AL:$AL,'[3]Lookup_Rem Ranges'!$C$1:$C$1048576,0)),0)</f>
        <v>64900</v>
      </c>
      <c r="AF49" s="322" t="n">
        <f aca="false">IFERROR(INDEX('[3]Lookup_Rem Ranges'!$E$1:$E$1048576,MATCH($AL:$AL,'[3]Lookup_Rem Ranges'!$C$1:$C$1048576,0)),0)</f>
        <v>76300</v>
      </c>
      <c r="AG49" s="322" t="n">
        <f aca="false">IFERROR(INDEX('[3]Lookup_Rem Ranges'!$F$1:$F$1048576,MATCH($AL:$AL,'[3]Lookup_Rem Ranges'!$C$1:$C$1048576,0)),)</f>
        <v>87700</v>
      </c>
      <c r="AH49" s="317" t="s">
        <v>291</v>
      </c>
      <c r="AI49" s="319"/>
      <c r="AJ49" s="323" t="n">
        <v>0</v>
      </c>
      <c r="AK49" s="316"/>
      <c r="AL49" s="324" t="str">
        <f aca="false">CONCATENATE(AM49,"",AN49)</f>
        <v>GI3</v>
      </c>
      <c r="AM49" s="324" t="s">
        <v>312</v>
      </c>
      <c r="AN49" s="319" t="n">
        <v>3</v>
      </c>
      <c r="AO49" s="316" t="s">
        <v>393</v>
      </c>
      <c r="AP49" s="325" t="n">
        <v>60000</v>
      </c>
      <c r="AQ49" s="322" t="n">
        <f aca="false">ROUND(IF($P:$P&gt;1,$AP:$AP*1,$AP:$AP*$P:$P),0)</f>
        <v>60000</v>
      </c>
      <c r="AR49" s="322" t="n">
        <f aca="false">IF(BA49="Yes",AP49,0)</f>
        <v>60000</v>
      </c>
      <c r="AS49" s="326" t="s">
        <v>339</v>
      </c>
      <c r="AT49" s="326" t="n">
        <v>0</v>
      </c>
      <c r="AU49" s="327"/>
      <c r="AV49" s="322"/>
      <c r="AW49" s="328" t="n">
        <v>0</v>
      </c>
      <c r="AX49" s="322" t="n">
        <v>0</v>
      </c>
      <c r="AY49" s="322" t="n">
        <v>60000</v>
      </c>
      <c r="AZ49" s="329" t="n">
        <f aca="false">IFERROR(($AY:$AY+$AJ:$AJ+$AK:$AK)/$AF:$AF,0)</f>
        <v>0.786369593709043</v>
      </c>
      <c r="BA49" s="330" t="s">
        <v>293</v>
      </c>
      <c r="BB49" s="331" t="n">
        <v>3</v>
      </c>
      <c r="BC49" s="326" t="n">
        <f aca="false">IFERROR($BD:$BD/$AY:$AY,0)</f>
        <v>0.0816666666666667</v>
      </c>
      <c r="BD49" s="332" t="n">
        <f aca="false">ROUND(IF($AY:$AY&lt;$AE:$AE,$AE:$AE-$AY:$AY,0),0)</f>
        <v>4900</v>
      </c>
      <c r="BE49" s="333" t="n">
        <v>0</v>
      </c>
      <c r="BF49" s="334" t="n">
        <f aca="false">ROUND($AR:$AR*$BE:$BE,0)</f>
        <v>0</v>
      </c>
      <c r="BG49" s="335" t="n">
        <v>0</v>
      </c>
      <c r="BH49" s="336" t="n">
        <f aca="false">ROUND($AR:$AR*$BG:$BG,0)</f>
        <v>0</v>
      </c>
      <c r="BI49" s="333" t="n">
        <v>0</v>
      </c>
      <c r="BJ49" s="334" t="n">
        <f aca="false">ROUND($AR:$AR*$BI:$BI,0)</f>
        <v>0</v>
      </c>
      <c r="BK49" s="334" t="n">
        <f aca="false">ROUND(IF($P:$P&gt;1,$BJ:$BJ*1,$BJ:$BJ*$P:$P),0)</f>
        <v>0</v>
      </c>
      <c r="BL49" s="337"/>
      <c r="BM49" s="338" t="n">
        <f aca="false">$BC:$BC+$BE:$BE+$BG:$BG</f>
        <v>0.0816666666666667</v>
      </c>
      <c r="BN49" s="339" t="n">
        <f aca="false">$BD:$BD+$BF:$BF+$BH:$BH</f>
        <v>4900</v>
      </c>
      <c r="BO49" s="340" t="n">
        <f aca="false">IFERROR(ROUND($AY:$AY+$BN:$BN,0),0)</f>
        <v>64900</v>
      </c>
      <c r="BP49" s="341" t="n">
        <f aca="false">ROUND(IF(SUM($BO:$BO&lt;249080),SUM(ROUND($BO:$BO*11%,0)),27398.8),0)</f>
        <v>7139</v>
      </c>
      <c r="BQ49" s="342" t="n">
        <f aca="false">$BO:$BO+$BP:$BP</f>
        <v>72039</v>
      </c>
      <c r="BR49" s="329" t="n">
        <f aca="false">IFERROR(($BO:$BO+$AJ:$AJ+$AK:$AK)/$AF:$AF,0)</f>
        <v>0.850589777195282</v>
      </c>
      <c r="BS49" s="343" t="n">
        <f aca="false">IF($N:$N="CASUAL","TBC",ROUND($BN:$BN/(NETWORKDAYS("01/07/2023","30/06/2024"))*NETWORKDAYS("10/07/2023","04/09/2023"),0)*$P:$P)</f>
        <v>773</v>
      </c>
      <c r="BT49" s="326" t="n">
        <f aca="false">$BM49+$BI49</f>
        <v>0.0816666666666667</v>
      </c>
      <c r="BU49" s="332" t="n">
        <f aca="false">$BN:$BN+$BJ:$BJ</f>
        <v>4900</v>
      </c>
      <c r="BV49" s="342" t="n">
        <f aca="false">$BO:$BO*$P:$P</f>
        <v>64900</v>
      </c>
      <c r="BW49" s="344" t="n">
        <f aca="false">ROUND($BO:$BO/1976,2)</f>
        <v>32.84</v>
      </c>
      <c r="BX49" s="316"/>
      <c r="BY49" s="342" t="n">
        <f aca="false">$BQ:$BQ+$BX:$BX</f>
        <v>72039</v>
      </c>
      <c r="BZ49" s="345" t="s">
        <v>294</v>
      </c>
      <c r="CA49" s="316"/>
      <c r="CB49" s="316"/>
      <c r="CC49" s="324" t="str">
        <f aca="false">CONCATENATE(CD49,"",CE49)</f>
        <v/>
      </c>
      <c r="CD49" s="319"/>
      <c r="CE49" s="319"/>
      <c r="CF49" s="322" t="str">
        <f aca="false">IFERROR(INDEX('[4]Lookup_Rem Ranges'!$D$1:$D$1048576,MATCH($CC:$CC,'[4]Lookup_Rem Ranges'!$C$1:$C$1048576,0)),"")</f>
        <v/>
      </c>
      <c r="CG49" s="346"/>
      <c r="CH49" s="346"/>
      <c r="CI49" s="347"/>
      <c r="CJ49" s="348"/>
      <c r="CK49" s="342" t="n">
        <f aca="false">IFERROR(ROUND($CI:$CI*$CJ:$CJ,0),0)</f>
        <v>0</v>
      </c>
      <c r="CL49" s="342" t="n">
        <f aca="false">$CI:$CI+$CK:$CK</f>
        <v>0</v>
      </c>
      <c r="CM49" s="349"/>
      <c r="CN49" s="350" t="n">
        <f aca="false">IF(SUM($CL:$CL&lt;249080),SUM(ROUND($CL:$CL*11%,0)),27398.8)</f>
        <v>0</v>
      </c>
      <c r="CO49" s="350" t="s">
        <v>324</v>
      </c>
      <c r="CP49" s="351" t="n">
        <f aca="false">IF(BA49="Yes",3.25%,0)</f>
        <v>0.0325</v>
      </c>
      <c r="CQ49" s="352" t="n">
        <f aca="false">ROUND(AR49*CP49,0)</f>
        <v>1950</v>
      </c>
      <c r="CR49" s="353" t="n">
        <f aca="false">IF($AW:$AW&lt;3.25%,$AW:$AW,3.25%)</f>
        <v>0</v>
      </c>
      <c r="CS49" s="354" t="n">
        <f aca="false">ROUND($AR:$AR*$CR:$CR,0)</f>
        <v>0</v>
      </c>
      <c r="CT49" s="353" t="n">
        <f aca="false">IF($AW:$AW&gt;=3.25%,$AW:$AW-$CR:$CR,0)</f>
        <v>0</v>
      </c>
      <c r="CU49" s="354" t="n">
        <f aca="false">ROUND($AR:$AR*$CT:$CT,0)</f>
        <v>0</v>
      </c>
      <c r="CV49" s="353" t="n">
        <f aca="false">IF($CR:$CR=3.25%,0,IF($BC:$BC&lt;3.25%,$BC:$BC,IF($BC:$BC&gt;3.25%,3.25%-$CR:$CR,0)))</f>
        <v>0.0325</v>
      </c>
      <c r="CW49" s="354" t="n">
        <f aca="false">IFERROR(ROUND($AY:$AY*$CV:$CV,0),0)</f>
        <v>1950</v>
      </c>
      <c r="CX49" s="353" t="n">
        <f aca="false">IF($CV:$CV=0,$BC:$BC,BC:BC-$CV:$CV)</f>
        <v>0.0491666666666667</v>
      </c>
      <c r="CY49" s="354" t="n">
        <f aca="false">IFERROR(ROUND($AY:$AY*$CX:$CX,0),0)</f>
        <v>2950</v>
      </c>
      <c r="CZ49" s="353" t="n">
        <f aca="false">$CR:$CR+$CT:CT+$CV:$CV+$CX:$CX</f>
        <v>0.0816666666666667</v>
      </c>
      <c r="DA49" s="353" t="n">
        <f aca="false">(SUM($AW:$AW+$BC:$BC)-$CZ:$CZ)</f>
        <v>0</v>
      </c>
      <c r="DB49" s="353"/>
      <c r="DC49" s="353" t="n">
        <f aca="false">$BE:$BE</f>
        <v>0</v>
      </c>
      <c r="DD49" s="354" t="n">
        <f aca="false">$BF:$BF</f>
        <v>0</v>
      </c>
      <c r="DE49" s="355" t="n">
        <f aca="false">$BI:$BI</f>
        <v>0</v>
      </c>
      <c r="DF49" s="354" t="n">
        <f aca="false">$BJ:$BJ</f>
        <v>0</v>
      </c>
      <c r="DG49" s="355" t="n">
        <f aca="false">$BG:$BG</f>
        <v>0</v>
      </c>
      <c r="DH49" s="354" t="n">
        <f aca="false">IFERROR(ROUND($AP:$AP*$DG:$DG,0),0)</f>
        <v>0</v>
      </c>
      <c r="DI49" s="353" t="n">
        <f aca="false">$CR:$CR+$CV:$CV+$DC:$DC+$DE:$DE+$DG:$DG</f>
        <v>0.0325</v>
      </c>
      <c r="DJ49" s="354" t="n">
        <f aca="false">$CS:$CS+$CW:$CW+$DD:$DD+$DF:$DF+$DH:$DH</f>
        <v>1950</v>
      </c>
      <c r="DK49" s="353" t="n">
        <f aca="false">$CT:$CT+$CX:$CX</f>
        <v>0.0491666666666667</v>
      </c>
      <c r="DL49" s="354" t="n">
        <f aca="false">$CU:$CU+$CY:$CY</f>
        <v>2950</v>
      </c>
      <c r="DM49" s="356"/>
      <c r="DN49" s="357"/>
      <c r="DO49" s="357"/>
      <c r="DP49" s="357"/>
      <c r="DQ49" s="357"/>
      <c r="DR49" s="357"/>
      <c r="DS49" s="357"/>
      <c r="DT49" s="357"/>
      <c r="DU49" s="357"/>
      <c r="DV49" s="357"/>
      <c r="DW49" s="357" t="s">
        <v>498</v>
      </c>
    </row>
    <row r="50" customFormat="false" ht="36" hidden="false" customHeight="false" outlineLevel="0" collapsed="false">
      <c r="A50" s="314"/>
      <c r="B50" s="315" t="s">
        <v>273</v>
      </c>
      <c r="C50" s="315" t="s">
        <v>506</v>
      </c>
      <c r="D50" s="315" t="n">
        <v>13959</v>
      </c>
      <c r="E50" s="316" t="s">
        <v>507</v>
      </c>
      <c r="F50" s="316" t="s">
        <v>508</v>
      </c>
      <c r="G50" s="316" t="s">
        <v>300</v>
      </c>
      <c r="H50" s="317" t="s">
        <v>349</v>
      </c>
      <c r="I50" s="316" t="s">
        <v>509</v>
      </c>
      <c r="J50" s="316" t="s">
        <v>351</v>
      </c>
      <c r="K50" s="318" t="n">
        <v>41463</v>
      </c>
      <c r="L50" s="318"/>
      <c r="M50" s="318" t="n">
        <v>44746</v>
      </c>
      <c r="N50" s="319" t="s">
        <v>281</v>
      </c>
      <c r="O50" s="319" t="n">
        <v>38</v>
      </c>
      <c r="P50" s="320" t="n">
        <f aca="false">$O:$O/38</f>
        <v>1</v>
      </c>
      <c r="Q50" s="316" t="s">
        <v>352</v>
      </c>
      <c r="R50" s="316" t="n">
        <v>15882</v>
      </c>
      <c r="S50" s="316" t="s">
        <v>510</v>
      </c>
      <c r="T50" s="316" t="s">
        <v>350</v>
      </c>
      <c r="U50" s="316" t="s">
        <v>351</v>
      </c>
      <c r="V50" s="317" t="s">
        <v>58</v>
      </c>
      <c r="W50" s="317" t="s">
        <v>64</v>
      </c>
      <c r="X50" s="317" t="s">
        <v>286</v>
      </c>
      <c r="Y50" s="321" t="s">
        <v>287</v>
      </c>
      <c r="Z50" s="317" t="s">
        <v>356</v>
      </c>
      <c r="AA50" s="316" t="s">
        <v>311</v>
      </c>
      <c r="AB50" s="321" t="s">
        <v>357</v>
      </c>
      <c r="AC50" s="317" t="s">
        <v>289</v>
      </c>
      <c r="AD50" s="321" t="s">
        <v>290</v>
      </c>
      <c r="AE50" s="322" t="n">
        <f aca="false">IFERROR(INDEX('[3]Lookup_Rem Ranges'!$D$1:$D$1048576,MATCH($AL:$AL,'[3]Lookup_Rem Ranges'!$C$1:$C$1048576,0)),0)</f>
        <v>64900</v>
      </c>
      <c r="AF50" s="322" t="n">
        <f aca="false">IFERROR(INDEX('[3]Lookup_Rem Ranges'!$E$1:$E$1048576,MATCH($AL:$AL,'[3]Lookup_Rem Ranges'!$C$1:$C$1048576,0)),0)</f>
        <v>76300</v>
      </c>
      <c r="AG50" s="322" t="n">
        <f aca="false">IFERROR(INDEX('[3]Lookup_Rem Ranges'!$F$1:$F$1048576,MATCH($AL:$AL,'[3]Lookup_Rem Ranges'!$C$1:$C$1048576,0)),)</f>
        <v>87700</v>
      </c>
      <c r="AH50" s="317" t="s">
        <v>291</v>
      </c>
      <c r="AI50" s="319"/>
      <c r="AJ50" s="323" t="n">
        <v>0</v>
      </c>
      <c r="AK50" s="316"/>
      <c r="AL50" s="324" t="str">
        <f aca="false">CONCATENATE(AM50,"",AN50)</f>
        <v>GI3</v>
      </c>
      <c r="AM50" s="324" t="s">
        <v>312</v>
      </c>
      <c r="AN50" s="319" t="n">
        <v>3</v>
      </c>
      <c r="AO50" s="316" t="s">
        <v>365</v>
      </c>
      <c r="AP50" s="325" t="n">
        <v>61500</v>
      </c>
      <c r="AQ50" s="322" t="n">
        <f aca="false">ROUND(IF($P:$P&gt;1,$AP:$AP*1,$AP:$AP*$P:$P),0)</f>
        <v>61500</v>
      </c>
      <c r="AR50" s="322" t="n">
        <f aca="false">IF(BA50="Yes",AP50,0)</f>
        <v>0</v>
      </c>
      <c r="AS50" s="326" t="n">
        <v>0.0166666666666667</v>
      </c>
      <c r="AT50" s="326" t="n">
        <v>0</v>
      </c>
      <c r="AU50" s="327"/>
      <c r="AV50" s="322"/>
      <c r="AW50" s="328" t="n">
        <v>0</v>
      </c>
      <c r="AX50" s="322" t="n">
        <v>0</v>
      </c>
      <c r="AY50" s="322" t="n">
        <v>61500</v>
      </c>
      <c r="AZ50" s="329" t="n">
        <f aca="false">IFERROR(($AY:$AY+$AJ:$AJ+$AK:$AK)/$AF:$AF,0)</f>
        <v>0.806028833551769</v>
      </c>
      <c r="BA50" s="330" t="s">
        <v>294</v>
      </c>
      <c r="BB50" s="331" t="n">
        <v>3</v>
      </c>
      <c r="BC50" s="326" t="n">
        <f aca="false">IFERROR($BD:$BD/$AY:$AY,0)</f>
        <v>0</v>
      </c>
      <c r="BD50" s="332" t="n">
        <v>0</v>
      </c>
      <c r="BE50" s="333" t="n">
        <v>0</v>
      </c>
      <c r="BF50" s="334" t="n">
        <f aca="false">ROUND($AR:$AR*$BE:$BE,0)</f>
        <v>0</v>
      </c>
      <c r="BG50" s="335" t="n">
        <v>0</v>
      </c>
      <c r="BH50" s="336" t="n">
        <f aca="false">ROUND($AR:$AR*$BG:$BG,0)</f>
        <v>0</v>
      </c>
      <c r="BI50" s="333" t="n">
        <v>0</v>
      </c>
      <c r="BJ50" s="334" t="n">
        <f aca="false">ROUND($AR:$AR*$BI:$BI,0)</f>
        <v>0</v>
      </c>
      <c r="BK50" s="334" t="n">
        <f aca="false">ROUND(IF($P:$P&gt;1,$BJ:$BJ*1,$BJ:$BJ*$P:$P),0)</f>
        <v>0</v>
      </c>
      <c r="BL50" s="337"/>
      <c r="BM50" s="338" t="n">
        <f aca="false">$BC:$BC+$BE:$BE+$BG:$BG</f>
        <v>0</v>
      </c>
      <c r="BN50" s="339" t="n">
        <f aca="false">$BD:$BD+$BF:$BF+$BH:$BH</f>
        <v>0</v>
      </c>
      <c r="BO50" s="340" t="n">
        <f aca="false">IFERROR(ROUND($AY:$AY+$BN:$BN,0),0)</f>
        <v>61500</v>
      </c>
      <c r="BP50" s="341" t="n">
        <f aca="false">ROUND(IF(SUM($BO:$BO&lt;249080),SUM(ROUND($BO:$BO*11%,0)),27398.8),0)</f>
        <v>6765</v>
      </c>
      <c r="BQ50" s="342" t="n">
        <f aca="false">$BO:$BO+$BP:$BP</f>
        <v>68265</v>
      </c>
      <c r="BR50" s="329" t="n">
        <f aca="false">IFERROR(($BO:$BO+$AJ:$AJ+$AK:$AK)/$AF:$AF,0)</f>
        <v>0.806028833551769</v>
      </c>
      <c r="BS50" s="343" t="n">
        <f aca="false">IF($N:$N="CASUAL","TBC",ROUND($BN:$BN/(NETWORKDAYS("01/07/2023","30/06/2024"))*NETWORKDAYS("10/07/2023","04/09/2023"),0)*$P:$P)</f>
        <v>0</v>
      </c>
      <c r="BT50" s="326" t="n">
        <f aca="false">$BM50+$BI50</f>
        <v>0</v>
      </c>
      <c r="BU50" s="332" t="n">
        <f aca="false">$BN:$BN+$BJ:$BJ</f>
        <v>0</v>
      </c>
      <c r="BV50" s="342" t="n">
        <f aca="false">$BO:$BO*$P:$P</f>
        <v>61500</v>
      </c>
      <c r="BW50" s="344" t="n">
        <f aca="false">ROUND($BO:$BO/1976,2)</f>
        <v>31.12</v>
      </c>
      <c r="BX50" s="316"/>
      <c r="BY50" s="342" t="n">
        <f aca="false">$BQ:$BQ+$BX:$BX</f>
        <v>68265</v>
      </c>
      <c r="BZ50" s="345" t="s">
        <v>294</v>
      </c>
      <c r="CA50" s="316"/>
      <c r="CB50" s="316"/>
      <c r="CC50" s="324" t="str">
        <f aca="false">CONCATENATE(CD50,"",CE50)</f>
        <v/>
      </c>
      <c r="CD50" s="319"/>
      <c r="CE50" s="319"/>
      <c r="CF50" s="322" t="str">
        <f aca="false">IFERROR(INDEX('[4]Lookup_Rem Ranges'!$D$1:$D$1048576,MATCH($CC:$CC,'[4]Lookup_Rem Ranges'!$C$1:$C$1048576,0)),"")</f>
        <v/>
      </c>
      <c r="CG50" s="346"/>
      <c r="CH50" s="346"/>
      <c r="CI50" s="347"/>
      <c r="CJ50" s="348"/>
      <c r="CK50" s="342" t="n">
        <f aca="false">IFERROR(ROUND($CI:$CI*$CJ:$CJ,0),0)</f>
        <v>0</v>
      </c>
      <c r="CL50" s="342" t="n">
        <f aca="false">$CI:$CI+$CK:$CK</f>
        <v>0</v>
      </c>
      <c r="CM50" s="349"/>
      <c r="CN50" s="350" t="n">
        <f aca="false">IF(SUM($CL:$CL&lt;249080),SUM(ROUND($CL:$CL*11%,0)),27398.8)</f>
        <v>0</v>
      </c>
      <c r="CO50" s="350" t="s">
        <v>324</v>
      </c>
      <c r="CP50" s="351" t="n">
        <f aca="false">IF(BA50="Yes",3.25%,0)</f>
        <v>0</v>
      </c>
      <c r="CQ50" s="352" t="n">
        <f aca="false">ROUND(AR50*CP50,0)</f>
        <v>0</v>
      </c>
      <c r="CR50" s="353" t="n">
        <f aca="false">IF($AW:$AW&lt;3.25%,$AW:$AW,3.25%)</f>
        <v>0</v>
      </c>
      <c r="CS50" s="354" t="n">
        <f aca="false">ROUND($AR:$AR*$CR:$CR,0)</f>
        <v>0</v>
      </c>
      <c r="CT50" s="353" t="n">
        <f aca="false">IF($AW:$AW&gt;=3.25%,$AW:$AW-$CR:$CR,0)</f>
        <v>0</v>
      </c>
      <c r="CU50" s="354" t="n">
        <f aca="false">ROUND($AR:$AR*$CT:$CT,0)</f>
        <v>0</v>
      </c>
      <c r="CV50" s="353" t="n">
        <f aca="false">IF($CR:$CR=3.25%,0,IF($BC:$BC&lt;3.25%,$BC:$BC,IF($BC:$BC&gt;3.25%,3.25%-$CR:$CR,0)))</f>
        <v>0</v>
      </c>
      <c r="CW50" s="354" t="n">
        <f aca="false">IFERROR(ROUND($AY:$AY*$CV:$CV,0),0)</f>
        <v>0</v>
      </c>
      <c r="CX50" s="353" t="n">
        <f aca="false">IF($CV:$CV=0,$BC:$BC,BC:BC-$CV:$CV)</f>
        <v>0</v>
      </c>
      <c r="CY50" s="354" t="n">
        <f aca="false">IFERROR(ROUND($AY:$AY*$CX:$CX,0),0)</f>
        <v>0</v>
      </c>
      <c r="CZ50" s="353" t="n">
        <f aca="false">$CR:$CR+$CT:CT+$CV:$CV+$CX:$CX</f>
        <v>0</v>
      </c>
      <c r="DA50" s="353" t="n">
        <f aca="false">(SUM($AW:$AW+$BC:$BC)-$CZ:$CZ)</f>
        <v>0</v>
      </c>
      <c r="DB50" s="353"/>
      <c r="DC50" s="353" t="n">
        <f aca="false">$BE:$BE</f>
        <v>0</v>
      </c>
      <c r="DD50" s="354" t="n">
        <f aca="false">$BF:$BF</f>
        <v>0</v>
      </c>
      <c r="DE50" s="355" t="n">
        <f aca="false">$BI:$BI</f>
        <v>0</v>
      </c>
      <c r="DF50" s="354" t="n">
        <f aca="false">$BJ:$BJ</f>
        <v>0</v>
      </c>
      <c r="DG50" s="355" t="n">
        <f aca="false">$BG:$BG</f>
        <v>0</v>
      </c>
      <c r="DH50" s="354" t="n">
        <f aca="false">IFERROR(ROUND($AP:$AP*$DG:$DG,0),0)</f>
        <v>0</v>
      </c>
      <c r="DI50" s="353" t="n">
        <f aca="false">$CR:$CR+$CV:$CV+$DC:$DC+$DE:$DE+$DG:$DG</f>
        <v>0</v>
      </c>
      <c r="DJ50" s="354" t="n">
        <f aca="false">$CS:$CS+$CW:$CW+$DD:$DD+$DF:$DF+$DH:$DH</f>
        <v>0</v>
      </c>
      <c r="DK50" s="353" t="n">
        <f aca="false">$CT:$CT+$CX:$CX</f>
        <v>0</v>
      </c>
      <c r="DL50" s="354" t="n">
        <f aca="false">$CU:$CU+$CY:$CY</f>
        <v>0</v>
      </c>
      <c r="DM50" s="356"/>
      <c r="DN50" s="357"/>
      <c r="DO50" s="357"/>
      <c r="DP50" s="357"/>
      <c r="DQ50" s="357"/>
      <c r="DR50" s="357"/>
      <c r="DS50" s="357"/>
      <c r="DT50" s="357"/>
      <c r="DU50" s="357"/>
      <c r="DV50" s="357"/>
      <c r="DW50" s="357" t="s">
        <v>498</v>
      </c>
    </row>
    <row r="51" customFormat="false" ht="36" hidden="false" customHeight="false" outlineLevel="0" collapsed="false">
      <c r="A51" s="314"/>
      <c r="B51" s="315" t="s">
        <v>273</v>
      </c>
      <c r="C51" s="315" t="s">
        <v>511</v>
      </c>
      <c r="D51" s="315" t="n">
        <v>16745</v>
      </c>
      <c r="E51" s="316" t="s">
        <v>512</v>
      </c>
      <c r="F51" s="316" t="s">
        <v>513</v>
      </c>
      <c r="G51" s="316" t="s">
        <v>300</v>
      </c>
      <c r="H51" s="317" t="s">
        <v>349</v>
      </c>
      <c r="I51" s="316" t="s">
        <v>514</v>
      </c>
      <c r="J51" s="316" t="s">
        <v>351</v>
      </c>
      <c r="K51" s="318" t="n">
        <v>42786</v>
      </c>
      <c r="L51" s="318"/>
      <c r="M51" s="318" t="n">
        <v>44866</v>
      </c>
      <c r="N51" s="319" t="s">
        <v>281</v>
      </c>
      <c r="O51" s="319" t="n">
        <v>38</v>
      </c>
      <c r="P51" s="320" t="n">
        <f aca="false">$O:$O/38</f>
        <v>1</v>
      </c>
      <c r="Q51" s="316" t="s">
        <v>352</v>
      </c>
      <c r="R51" s="316" t="n">
        <v>5140</v>
      </c>
      <c r="S51" s="316" t="s">
        <v>515</v>
      </c>
      <c r="T51" s="316" t="s">
        <v>459</v>
      </c>
      <c r="U51" s="316" t="s">
        <v>436</v>
      </c>
      <c r="V51" s="317" t="s">
        <v>58</v>
      </c>
      <c r="W51" s="317" t="s">
        <v>64</v>
      </c>
      <c r="X51" s="317" t="s">
        <v>286</v>
      </c>
      <c r="Y51" s="321" t="s">
        <v>287</v>
      </c>
      <c r="Z51" s="317" t="s">
        <v>356</v>
      </c>
      <c r="AA51" s="316" t="s">
        <v>311</v>
      </c>
      <c r="AB51" s="321" t="s">
        <v>357</v>
      </c>
      <c r="AC51" s="317" t="s">
        <v>289</v>
      </c>
      <c r="AD51" s="321" t="s">
        <v>290</v>
      </c>
      <c r="AE51" s="322" t="n">
        <f aca="false">IFERROR(INDEX('[3]Lookup_Rem Ranges'!$D$1:$D$1048576,MATCH($AL:$AL,'[3]Lookup_Rem Ranges'!$C$1:$C$1048576,0)),0)</f>
        <v>64900</v>
      </c>
      <c r="AF51" s="322" t="n">
        <f aca="false">IFERROR(INDEX('[3]Lookup_Rem Ranges'!$E$1:$E$1048576,MATCH($AL:$AL,'[3]Lookup_Rem Ranges'!$C$1:$C$1048576,0)),0)</f>
        <v>76300</v>
      </c>
      <c r="AG51" s="322" t="n">
        <f aca="false">IFERROR(INDEX('[3]Lookup_Rem Ranges'!$F$1:$F$1048576,MATCH($AL:$AL,'[3]Lookup_Rem Ranges'!$C$1:$C$1048576,0)),)</f>
        <v>87700</v>
      </c>
      <c r="AH51" s="317" t="s">
        <v>291</v>
      </c>
      <c r="AI51" s="319"/>
      <c r="AJ51" s="323" t="n">
        <v>0</v>
      </c>
      <c r="AK51" s="316"/>
      <c r="AL51" s="324" t="str">
        <f aca="false">CONCATENATE(AM51,"",AN51)</f>
        <v>GI3</v>
      </c>
      <c r="AM51" s="324" t="s">
        <v>312</v>
      </c>
      <c r="AN51" s="319" t="n">
        <v>3</v>
      </c>
      <c r="AO51" s="316" t="s">
        <v>365</v>
      </c>
      <c r="AP51" s="325" t="n">
        <v>60248</v>
      </c>
      <c r="AQ51" s="322" t="n">
        <f aca="false">ROUND(IF($P:$P&gt;1,$AP:$AP*1,$AP:$AP*$P:$P),0)</f>
        <v>60248</v>
      </c>
      <c r="AR51" s="322" t="n">
        <f aca="false">IF(BA51="Yes",AP51,0)</f>
        <v>0</v>
      </c>
      <c r="AS51" s="326" t="n">
        <v>0.0311355311355311</v>
      </c>
      <c r="AT51" s="326" t="n">
        <v>0</v>
      </c>
      <c r="AU51" s="327"/>
      <c r="AV51" s="322"/>
      <c r="AW51" s="328" t="n">
        <v>0</v>
      </c>
      <c r="AX51" s="322" t="n">
        <v>0</v>
      </c>
      <c r="AY51" s="322" t="n">
        <v>60248</v>
      </c>
      <c r="AZ51" s="329" t="n">
        <f aca="false">IFERROR(($AY:$AY+$AJ:$AJ+$AK:$AK)/$AF:$AF,0)</f>
        <v>0.789619921363041</v>
      </c>
      <c r="BA51" s="330" t="s">
        <v>294</v>
      </c>
      <c r="BB51" s="331" t="n">
        <v>3</v>
      </c>
      <c r="BC51" s="326" t="n">
        <f aca="false">IFERROR($BD:$BD/$AY:$AY,0)</f>
        <v>0</v>
      </c>
      <c r="BD51" s="332" t="n">
        <v>0</v>
      </c>
      <c r="BE51" s="333" t="n">
        <v>0</v>
      </c>
      <c r="BF51" s="334" t="n">
        <f aca="false">ROUND($AR:$AR*$BE:$BE,0)</f>
        <v>0</v>
      </c>
      <c r="BG51" s="335" t="n">
        <v>0</v>
      </c>
      <c r="BH51" s="336" t="n">
        <f aca="false">ROUND($AR:$AR*$BG:$BG,0)</f>
        <v>0</v>
      </c>
      <c r="BI51" s="333" t="n">
        <v>0</v>
      </c>
      <c r="BJ51" s="334" t="n">
        <f aca="false">ROUND($AR:$AR*$BI:$BI,0)</f>
        <v>0</v>
      </c>
      <c r="BK51" s="334" t="n">
        <f aca="false">ROUND(IF($P:$P&gt;1,$BJ:$BJ*1,$BJ:$BJ*$P:$P),0)</f>
        <v>0</v>
      </c>
      <c r="BL51" s="337"/>
      <c r="BM51" s="338" t="n">
        <f aca="false">$BC:$BC+$BE:$BE+$BG:$BG</f>
        <v>0</v>
      </c>
      <c r="BN51" s="339" t="n">
        <f aca="false">$BD:$BD+$BF:$BF+$BH:$BH</f>
        <v>0</v>
      </c>
      <c r="BO51" s="340" t="n">
        <f aca="false">IFERROR(ROUND($AY:$AY+$BN:$BN,0),0)</f>
        <v>60248</v>
      </c>
      <c r="BP51" s="341" t="n">
        <f aca="false">ROUND(IF(SUM($BO:$BO&lt;249080),SUM(ROUND($BO:$BO*11%,0)),27398.8),0)</f>
        <v>6627</v>
      </c>
      <c r="BQ51" s="342" t="n">
        <f aca="false">$BO:$BO+$BP:$BP</f>
        <v>66875</v>
      </c>
      <c r="BR51" s="329" t="n">
        <f aca="false">IFERROR(($BO:$BO+$AJ:$AJ+$AK:$AK)/$AF:$AF,0)</f>
        <v>0.789619921363041</v>
      </c>
      <c r="BS51" s="343" t="n">
        <f aca="false">IF($N:$N="CASUAL","TBC",ROUND($BN:$BN/(NETWORKDAYS("01/07/2023","30/06/2024"))*NETWORKDAYS("10/07/2023","04/09/2023"),0)*$P:$P)</f>
        <v>0</v>
      </c>
      <c r="BT51" s="326" t="n">
        <f aca="false">$BM51+$BI51</f>
        <v>0</v>
      </c>
      <c r="BU51" s="332" t="n">
        <f aca="false">$BN:$BN+$BJ:$BJ</f>
        <v>0</v>
      </c>
      <c r="BV51" s="342" t="n">
        <f aca="false">$BO:$BO*$P:$P</f>
        <v>60248</v>
      </c>
      <c r="BW51" s="344" t="n">
        <f aca="false">ROUND($BO:$BO/1976,2)</f>
        <v>30.49</v>
      </c>
      <c r="BX51" s="316"/>
      <c r="BY51" s="342" t="n">
        <f aca="false">$BQ:$BQ+$BX:$BX</f>
        <v>66875</v>
      </c>
      <c r="BZ51" s="345" t="s">
        <v>294</v>
      </c>
      <c r="CA51" s="316"/>
      <c r="CB51" s="316"/>
      <c r="CC51" s="324" t="str">
        <f aca="false">CONCATENATE(CD51,"",CE51)</f>
        <v/>
      </c>
      <c r="CD51" s="319"/>
      <c r="CE51" s="319"/>
      <c r="CF51" s="322" t="str">
        <f aca="false">IFERROR(INDEX('[4]Lookup_Rem Ranges'!$D$1:$D$1048576,MATCH($CC:$CC,'[4]Lookup_Rem Ranges'!$C$1:$C$1048576,0)),"")</f>
        <v/>
      </c>
      <c r="CG51" s="346"/>
      <c r="CH51" s="346"/>
      <c r="CI51" s="347"/>
      <c r="CJ51" s="348"/>
      <c r="CK51" s="342" t="n">
        <f aca="false">IFERROR(ROUND($CI:$CI*$CJ:$CJ,0),0)</f>
        <v>0</v>
      </c>
      <c r="CL51" s="342" t="n">
        <f aca="false">$CI:$CI+$CK:$CK</f>
        <v>0</v>
      </c>
      <c r="CM51" s="349"/>
      <c r="CN51" s="350" t="n">
        <f aca="false">IF(SUM($CL:$CL&lt;249080),SUM(ROUND($CL:$CL*11%,0)),27398.8)</f>
        <v>0</v>
      </c>
      <c r="CO51" s="350" t="s">
        <v>324</v>
      </c>
      <c r="CP51" s="351" t="n">
        <f aca="false">IF(BA51="Yes",3.25%,0)</f>
        <v>0</v>
      </c>
      <c r="CQ51" s="352" t="n">
        <f aca="false">ROUND(AR51*CP51,0)</f>
        <v>0</v>
      </c>
      <c r="CR51" s="353" t="n">
        <f aca="false">IF($AW:$AW&lt;3.25%,$AW:$AW,3.25%)</f>
        <v>0</v>
      </c>
      <c r="CS51" s="354" t="n">
        <f aca="false">ROUND($AR:$AR*$CR:$CR,0)</f>
        <v>0</v>
      </c>
      <c r="CT51" s="353" t="n">
        <f aca="false">IF($AW:$AW&gt;=3.25%,$AW:$AW-$CR:$CR,0)</f>
        <v>0</v>
      </c>
      <c r="CU51" s="354" t="n">
        <f aca="false">ROUND($AR:$AR*$CT:$CT,0)</f>
        <v>0</v>
      </c>
      <c r="CV51" s="353" t="n">
        <f aca="false">IF($CR:$CR=3.25%,0,IF($BC:$BC&lt;3.25%,$BC:$BC,IF($BC:$BC&gt;3.25%,3.25%-$CR:$CR,0)))</f>
        <v>0</v>
      </c>
      <c r="CW51" s="354" t="n">
        <f aca="false">IFERROR(ROUND($AY:$AY*$CV:$CV,0),0)</f>
        <v>0</v>
      </c>
      <c r="CX51" s="353" t="n">
        <f aca="false">IF($CV:$CV=0,$BC:$BC,BC:BC-$CV:$CV)</f>
        <v>0</v>
      </c>
      <c r="CY51" s="354" t="n">
        <f aca="false">IFERROR(ROUND($AY:$AY*$CX:$CX,0),0)</f>
        <v>0</v>
      </c>
      <c r="CZ51" s="353" t="n">
        <f aca="false">$CR:$CR+$CT:CT+$CV:$CV+$CX:$CX</f>
        <v>0</v>
      </c>
      <c r="DA51" s="353" t="n">
        <f aca="false">(SUM($AW:$AW+$BC:$BC)-$CZ:$CZ)</f>
        <v>0</v>
      </c>
      <c r="DB51" s="353"/>
      <c r="DC51" s="353" t="n">
        <f aca="false">$BE:$BE</f>
        <v>0</v>
      </c>
      <c r="DD51" s="354" t="n">
        <f aca="false">$BF:$BF</f>
        <v>0</v>
      </c>
      <c r="DE51" s="355" t="n">
        <f aca="false">$BI:$BI</f>
        <v>0</v>
      </c>
      <c r="DF51" s="354" t="n">
        <f aca="false">$BJ:$BJ</f>
        <v>0</v>
      </c>
      <c r="DG51" s="355" t="n">
        <f aca="false">$BG:$BG</f>
        <v>0</v>
      </c>
      <c r="DH51" s="354" t="n">
        <f aca="false">IFERROR(ROUND($AP:$AP*$DG:$DG,0),0)</f>
        <v>0</v>
      </c>
      <c r="DI51" s="353" t="n">
        <f aca="false">$CR:$CR+$CV:$CV+$DC:$DC+$DE:$DE+$DG:$DG</f>
        <v>0</v>
      </c>
      <c r="DJ51" s="354" t="n">
        <f aca="false">$CS:$CS+$CW:$CW+$DD:$DD+$DF:$DF+$DH:$DH</f>
        <v>0</v>
      </c>
      <c r="DK51" s="353" t="n">
        <f aca="false">$CT:$CT+$CX:$CX</f>
        <v>0</v>
      </c>
      <c r="DL51" s="354" t="n">
        <f aca="false">$CU:$CU+$CY:$CY</f>
        <v>0</v>
      </c>
      <c r="DM51" s="356"/>
      <c r="DN51" s="357"/>
      <c r="DO51" s="357"/>
      <c r="DP51" s="357"/>
      <c r="DQ51" s="357"/>
      <c r="DR51" s="357"/>
      <c r="DS51" s="357"/>
      <c r="DT51" s="357"/>
      <c r="DU51" s="357"/>
      <c r="DV51" s="357"/>
      <c r="DW51" s="357" t="s">
        <v>498</v>
      </c>
    </row>
    <row r="52" customFormat="false" ht="33.75" hidden="false" customHeight="false" outlineLevel="0" collapsed="false">
      <c r="A52" s="314"/>
      <c r="B52" s="315" t="s">
        <v>273</v>
      </c>
      <c r="C52" s="315" t="s">
        <v>516</v>
      </c>
      <c r="D52" s="315" t="n">
        <v>13066</v>
      </c>
      <c r="E52" s="316" t="s">
        <v>517</v>
      </c>
      <c r="F52" s="316" t="s">
        <v>518</v>
      </c>
      <c r="G52" s="316" t="s">
        <v>277</v>
      </c>
      <c r="H52" s="317" t="s">
        <v>519</v>
      </c>
      <c r="I52" s="316" t="s">
        <v>520</v>
      </c>
      <c r="J52" s="316" t="s">
        <v>521</v>
      </c>
      <c r="K52" s="318" t="n">
        <v>41100</v>
      </c>
      <c r="L52" s="318"/>
      <c r="M52" s="318" t="n">
        <v>43890</v>
      </c>
      <c r="N52" s="319" t="s">
        <v>281</v>
      </c>
      <c r="O52" s="319" t="n">
        <v>38</v>
      </c>
      <c r="P52" s="320" t="n">
        <f aca="false">$O:$O/38</f>
        <v>1</v>
      </c>
      <c r="Q52" s="316" t="s">
        <v>320</v>
      </c>
      <c r="R52" s="316" t="n">
        <v>19129</v>
      </c>
      <c r="S52" s="316" t="s">
        <v>522</v>
      </c>
      <c r="T52" s="316" t="s">
        <v>435</v>
      </c>
      <c r="U52" s="316" t="s">
        <v>436</v>
      </c>
      <c r="V52" s="317" t="s">
        <v>58</v>
      </c>
      <c r="W52" s="317" t="s">
        <v>64</v>
      </c>
      <c r="X52" s="317" t="s">
        <v>286</v>
      </c>
      <c r="Y52" s="321" t="s">
        <v>287</v>
      </c>
      <c r="Z52" s="317" t="s">
        <v>356</v>
      </c>
      <c r="AA52" s="316" t="s">
        <v>311</v>
      </c>
      <c r="AB52" s="321" t="s">
        <v>357</v>
      </c>
      <c r="AC52" s="317" t="s">
        <v>289</v>
      </c>
      <c r="AD52" s="321" t="s">
        <v>290</v>
      </c>
      <c r="AE52" s="322" t="n">
        <f aca="false">IFERROR(INDEX('[3]Lookup_Rem Ranges'!$D$1:$D$1048576,MATCH($AL:$AL,'[3]Lookup_Rem Ranges'!$C$1:$C$1048576,0)),0)</f>
        <v>73500</v>
      </c>
      <c r="AF52" s="322" t="n">
        <f aca="false">IFERROR(INDEX('[3]Lookup_Rem Ranges'!$E$1:$E$1048576,MATCH($AL:$AL,'[3]Lookup_Rem Ranges'!$C$1:$C$1048576,0)),0)</f>
        <v>86500</v>
      </c>
      <c r="AG52" s="322" t="n">
        <f aca="false">IFERROR(INDEX('[3]Lookup_Rem Ranges'!$F$1:$F$1048576,MATCH($AL:$AL,'[3]Lookup_Rem Ranges'!$C$1:$C$1048576,0)),)</f>
        <v>99500</v>
      </c>
      <c r="AH52" s="317" t="s">
        <v>291</v>
      </c>
      <c r="AI52" s="319"/>
      <c r="AJ52" s="323" t="n">
        <v>0</v>
      </c>
      <c r="AK52" s="316"/>
      <c r="AL52" s="324" t="str">
        <f aca="false">CONCATENATE(AM52,"",AN52)</f>
        <v>GI4</v>
      </c>
      <c r="AM52" s="324" t="s">
        <v>312</v>
      </c>
      <c r="AN52" s="319" t="n">
        <v>4</v>
      </c>
      <c r="AO52" s="316" t="s">
        <v>358</v>
      </c>
      <c r="AP52" s="325" t="n">
        <v>77100</v>
      </c>
      <c r="AQ52" s="322" t="n">
        <f aca="false">ROUND(IF($P:$P&gt;1,$AP:$AP*1,$AP:$AP*$P:$P),0)</f>
        <v>77100</v>
      </c>
      <c r="AR52" s="322" t="n">
        <f aca="false">IF(BA52="Yes",AP52,0)</f>
        <v>0</v>
      </c>
      <c r="AS52" s="326" t="n">
        <v>0.0252659574468085</v>
      </c>
      <c r="AT52" s="326" t="n">
        <v>0</v>
      </c>
      <c r="AU52" s="327"/>
      <c r="AV52" s="322"/>
      <c r="AW52" s="328" t="n">
        <v>0</v>
      </c>
      <c r="AX52" s="322" t="n">
        <v>0</v>
      </c>
      <c r="AY52" s="322" t="n">
        <v>77100</v>
      </c>
      <c r="AZ52" s="329" t="n">
        <f aca="false">IFERROR(($AY:$AY+$AJ:$AJ+$AK:$AK)/$AF:$AF,0)</f>
        <v>0.891329479768786</v>
      </c>
      <c r="BA52" s="330" t="s">
        <v>294</v>
      </c>
      <c r="BB52" s="331" t="n">
        <v>3</v>
      </c>
      <c r="BC52" s="326" t="n">
        <f aca="false">IFERROR($BD:$BD/$AY:$AY,0)</f>
        <v>0</v>
      </c>
      <c r="BD52" s="332" t="n">
        <f aca="false">ROUND(IF($AY:$AY&lt;$AE:$AE,$AE:$AE-$AY:$AY,0),0)</f>
        <v>0</v>
      </c>
      <c r="BE52" s="333" t="n">
        <v>0</v>
      </c>
      <c r="BF52" s="334" t="n">
        <f aca="false">ROUND($AR:$AR*$BE:$BE,0)</f>
        <v>0</v>
      </c>
      <c r="BG52" s="335" t="n">
        <v>0</v>
      </c>
      <c r="BH52" s="336" t="n">
        <f aca="false">ROUND($AR:$AR*$BG:$BG,0)</f>
        <v>0</v>
      </c>
      <c r="BI52" s="333" t="n">
        <v>0</v>
      </c>
      <c r="BJ52" s="334" t="n">
        <f aca="false">ROUND($AR:$AR*$BI:$BI,0)</f>
        <v>0</v>
      </c>
      <c r="BK52" s="334" t="n">
        <f aca="false">ROUND(IF($P:$P&gt;1,$BJ:$BJ*1,$BJ:$BJ*$P:$P),0)</f>
        <v>0</v>
      </c>
      <c r="BL52" s="337"/>
      <c r="BM52" s="338" t="n">
        <f aca="false">$BC:$BC+$BE:$BE+$BG:$BG</f>
        <v>0</v>
      </c>
      <c r="BN52" s="339" t="n">
        <f aca="false">$BD:$BD+$BF:$BF+$BH:$BH</f>
        <v>0</v>
      </c>
      <c r="BO52" s="340" t="n">
        <f aca="false">IFERROR(ROUND($AY:$AY+$BN:$BN,0),0)</f>
        <v>77100</v>
      </c>
      <c r="BP52" s="341" t="n">
        <f aca="false">ROUND(IF(SUM($BO:$BO&lt;249080),SUM(ROUND($BO:$BO*11%,0)),27398.8),0)</f>
        <v>8481</v>
      </c>
      <c r="BQ52" s="342" t="n">
        <f aca="false">$BO:$BO+$BP:$BP</f>
        <v>85581</v>
      </c>
      <c r="BR52" s="329" t="n">
        <f aca="false">IFERROR(($BO:$BO+$AJ:$AJ+$AK:$AK)/$AF:$AF,0)</f>
        <v>0.891329479768786</v>
      </c>
      <c r="BS52" s="343" t="n">
        <f aca="false">IF($N:$N="CASUAL","TBC",ROUND($BN:$BN/(NETWORKDAYS("01/07/2023","30/06/2024"))*NETWORKDAYS("10/07/2023","04/09/2023"),0)*$P:$P)</f>
        <v>0</v>
      </c>
      <c r="BT52" s="326" t="n">
        <f aca="false">$BM52+$BI52</f>
        <v>0</v>
      </c>
      <c r="BU52" s="332" t="n">
        <f aca="false">$BN:$BN+$BJ:$BJ</f>
        <v>0</v>
      </c>
      <c r="BV52" s="342" t="n">
        <f aca="false">$BO:$BO*$P:$P</f>
        <v>77100</v>
      </c>
      <c r="BW52" s="344" t="n">
        <f aca="false">ROUND($BO:$BO/1976,2)</f>
        <v>39.02</v>
      </c>
      <c r="BX52" s="316"/>
      <c r="BY52" s="342" t="n">
        <f aca="false">$BQ:$BQ+$BX:$BX</f>
        <v>85581</v>
      </c>
      <c r="BZ52" s="345" t="s">
        <v>294</v>
      </c>
      <c r="CA52" s="316"/>
      <c r="CB52" s="316"/>
      <c r="CC52" s="324" t="str">
        <f aca="false">CONCATENATE(CD52,"",CE52)</f>
        <v/>
      </c>
      <c r="CD52" s="319"/>
      <c r="CE52" s="319"/>
      <c r="CF52" s="322" t="str">
        <f aca="false">IFERROR(INDEX('[4]Lookup_Rem Ranges'!$D$1:$D$1048576,MATCH($CC:$CC,'[4]Lookup_Rem Ranges'!$C$1:$C$1048576,0)),"")</f>
        <v/>
      </c>
      <c r="CG52" s="346"/>
      <c r="CH52" s="346"/>
      <c r="CI52" s="347"/>
      <c r="CJ52" s="348"/>
      <c r="CK52" s="342" t="n">
        <f aca="false">IFERROR(ROUND($CI:$CI*$CJ:$CJ,0),0)</f>
        <v>0</v>
      </c>
      <c r="CL52" s="342" t="n">
        <f aca="false">$CI:$CI+$CK:$CK</f>
        <v>0</v>
      </c>
      <c r="CM52" s="349"/>
      <c r="CN52" s="350" t="n">
        <f aca="false">IF(SUM($CL:$CL&lt;249080),SUM(ROUND($CL:$CL*11%,0)),27398.8)</f>
        <v>0</v>
      </c>
      <c r="CO52" s="350" t="s">
        <v>324</v>
      </c>
      <c r="CP52" s="351" t="n">
        <f aca="false">IF(BA52="Yes",3.25%,0)</f>
        <v>0</v>
      </c>
      <c r="CQ52" s="352" t="n">
        <f aca="false">ROUND(AR52*CP52,0)</f>
        <v>0</v>
      </c>
      <c r="CR52" s="353" t="n">
        <f aca="false">IF($AW:$AW&lt;3.25%,$AW:$AW,3.25%)</f>
        <v>0</v>
      </c>
      <c r="CS52" s="354" t="n">
        <f aca="false">ROUND($AR:$AR*$CR:$CR,0)</f>
        <v>0</v>
      </c>
      <c r="CT52" s="353" t="n">
        <f aca="false">IF($AW:$AW&gt;=3.25%,$AW:$AW-$CR:$CR,0)</f>
        <v>0</v>
      </c>
      <c r="CU52" s="354" t="n">
        <f aca="false">ROUND($AR:$AR*$CT:$CT,0)</f>
        <v>0</v>
      </c>
      <c r="CV52" s="353" t="n">
        <f aca="false">IF($CR:$CR=3.25%,0,IF($BC:$BC&lt;3.25%,$BC:$BC,IF($BC:$BC&gt;3.25%,3.25%-$CR:$CR,0)))</f>
        <v>0</v>
      </c>
      <c r="CW52" s="354" t="n">
        <f aca="false">IFERROR(ROUND($AY:$AY*$CV:$CV,0),0)</f>
        <v>0</v>
      </c>
      <c r="CX52" s="353" t="n">
        <f aca="false">IF($CV:$CV=0,$BC:$BC,BC:BC-$CV:$CV)</f>
        <v>0</v>
      </c>
      <c r="CY52" s="354" t="n">
        <f aca="false">IFERROR(ROUND($AY:$AY*$CX:$CX,0),0)</f>
        <v>0</v>
      </c>
      <c r="CZ52" s="353" t="n">
        <f aca="false">$CR:$CR+$CT:CT+$CV:$CV+$CX:$CX</f>
        <v>0</v>
      </c>
      <c r="DA52" s="353" t="n">
        <f aca="false">(SUM($AW:$AW+$BC:$BC)-$CZ:$CZ)</f>
        <v>0</v>
      </c>
      <c r="DB52" s="353"/>
      <c r="DC52" s="353" t="n">
        <f aca="false">$BE:$BE</f>
        <v>0</v>
      </c>
      <c r="DD52" s="354" t="n">
        <f aca="false">$BF:$BF</f>
        <v>0</v>
      </c>
      <c r="DE52" s="355" t="n">
        <f aca="false">$BI:$BI</f>
        <v>0</v>
      </c>
      <c r="DF52" s="354" t="n">
        <f aca="false">$BJ:$BJ</f>
        <v>0</v>
      </c>
      <c r="DG52" s="355" t="n">
        <f aca="false">$BG:$BG</f>
        <v>0</v>
      </c>
      <c r="DH52" s="354" t="n">
        <f aca="false">IFERROR(ROUND($AP:$AP*$DG:$DG,0),0)</f>
        <v>0</v>
      </c>
      <c r="DI52" s="353" t="n">
        <f aca="false">$CR:$CR+$CV:$CV+$DC:$DC+$DE:$DE+$DG:$DG</f>
        <v>0</v>
      </c>
      <c r="DJ52" s="354" t="n">
        <f aca="false">$CS:$CS+$CW:$CW+$DD:$DD+$DF:$DF+$DH:$DH</f>
        <v>0</v>
      </c>
      <c r="DK52" s="353" t="n">
        <f aca="false">$CT:$CT+$CX:$CX</f>
        <v>0</v>
      </c>
      <c r="DL52" s="354" t="n">
        <f aca="false">$CU:$CU+$CY:$CY</f>
        <v>0</v>
      </c>
      <c r="DM52" s="356"/>
      <c r="DN52" s="357"/>
      <c r="DO52" s="357"/>
      <c r="DP52" s="357"/>
      <c r="DQ52" s="357"/>
      <c r="DR52" s="357"/>
      <c r="DS52" s="357"/>
      <c r="DT52" s="357"/>
      <c r="DU52" s="357"/>
      <c r="DV52" s="357"/>
      <c r="DW52" s="357" t="s">
        <v>498</v>
      </c>
    </row>
    <row r="53" customFormat="false" ht="36" hidden="false" customHeight="false" outlineLevel="0" collapsed="false">
      <c r="A53" s="314"/>
      <c r="B53" s="315" t="s">
        <v>273</v>
      </c>
      <c r="C53" s="315" t="s">
        <v>523</v>
      </c>
      <c r="D53" s="315" t="n">
        <v>5079</v>
      </c>
      <c r="E53" s="316" t="s">
        <v>524</v>
      </c>
      <c r="F53" s="316" t="s">
        <v>525</v>
      </c>
      <c r="G53" s="316" t="s">
        <v>300</v>
      </c>
      <c r="H53" s="317" t="s">
        <v>526</v>
      </c>
      <c r="I53" s="316" t="s">
        <v>527</v>
      </c>
      <c r="J53" s="316" t="s">
        <v>528</v>
      </c>
      <c r="K53" s="318" t="n">
        <v>37379</v>
      </c>
      <c r="L53" s="318"/>
      <c r="M53" s="318" t="n">
        <v>44796</v>
      </c>
      <c r="N53" s="319" t="s">
        <v>281</v>
      </c>
      <c r="O53" s="319" t="n">
        <v>38</v>
      </c>
      <c r="P53" s="320" t="n">
        <f aca="false">$O:$O/38</f>
        <v>1</v>
      </c>
      <c r="Q53" s="316" t="s">
        <v>529</v>
      </c>
      <c r="R53" s="316" t="n">
        <v>5088</v>
      </c>
      <c r="S53" s="316" t="s">
        <v>530</v>
      </c>
      <c r="T53" s="316" t="s">
        <v>363</v>
      </c>
      <c r="U53" s="316" t="s">
        <v>364</v>
      </c>
      <c r="V53" s="317" t="s">
        <v>58</v>
      </c>
      <c r="W53" s="317" t="s">
        <v>64</v>
      </c>
      <c r="X53" s="317" t="s">
        <v>286</v>
      </c>
      <c r="Y53" s="321" t="s">
        <v>287</v>
      </c>
      <c r="Z53" s="317" t="s">
        <v>356</v>
      </c>
      <c r="AA53" s="316" t="s">
        <v>311</v>
      </c>
      <c r="AB53" s="321" t="s">
        <v>357</v>
      </c>
      <c r="AC53" s="317" t="s">
        <v>289</v>
      </c>
      <c r="AD53" s="321" t="s">
        <v>290</v>
      </c>
      <c r="AE53" s="322" t="n">
        <f aca="false">IFERROR(INDEX('[3]Lookup_Rem Ranges'!$D$1:$D$1048576,MATCH($AL:$AL,'[3]Lookup_Rem Ranges'!$C$1:$C$1048576,0)),0)</f>
        <v>50400</v>
      </c>
      <c r="AF53" s="322" t="n">
        <f aca="false">IFERROR(INDEX('[3]Lookup_Rem Ranges'!$E$1:$E$1048576,MATCH($AL:$AL,'[3]Lookup_Rem Ranges'!$C$1:$C$1048576,0)),0)</f>
        <v>59300</v>
      </c>
      <c r="AG53" s="322" t="n">
        <f aca="false">IFERROR(INDEX('[3]Lookup_Rem Ranges'!$F$1:$F$1048576,MATCH($AL:$AL,'[3]Lookup_Rem Ranges'!$C$1:$C$1048576,0)),)</f>
        <v>68200</v>
      </c>
      <c r="AH53" s="317" t="s">
        <v>398</v>
      </c>
      <c r="AI53" s="319"/>
      <c r="AJ53" s="323" t="n">
        <v>0</v>
      </c>
      <c r="AK53" s="316"/>
      <c r="AL53" s="324" t="str">
        <f aca="false">CONCATENATE(AM53,"",AN53)</f>
        <v>GI1</v>
      </c>
      <c r="AM53" s="324" t="s">
        <v>312</v>
      </c>
      <c r="AN53" s="319" t="n">
        <v>1</v>
      </c>
      <c r="AO53" s="316" t="s">
        <v>365</v>
      </c>
      <c r="AP53" s="325" t="n">
        <v>49900</v>
      </c>
      <c r="AQ53" s="322" t="n">
        <f aca="false">ROUND(IF($P:$P&gt;1,$AP:$AP*1,$AP:$AP*$P:$P),0)</f>
        <v>49900</v>
      </c>
      <c r="AR53" s="322" t="n">
        <f aca="false">IF(BA53="Yes",AP53,0)</f>
        <v>0</v>
      </c>
      <c r="AS53" s="326" t="n">
        <v>0.0731182795698925</v>
      </c>
      <c r="AT53" s="326" t="n">
        <v>0</v>
      </c>
      <c r="AU53" s="327"/>
      <c r="AV53" s="322"/>
      <c r="AW53" s="328" t="n">
        <v>0</v>
      </c>
      <c r="AX53" s="322" t="n">
        <v>0</v>
      </c>
      <c r="AY53" s="322" t="n">
        <v>49900</v>
      </c>
      <c r="AZ53" s="329" t="n">
        <f aca="false">IFERROR(($AY:$AY+$AJ:$AJ+$AK:$AK)/$AF:$AF,0)</f>
        <v>0.841483979763912</v>
      </c>
      <c r="BA53" s="330" t="s">
        <v>294</v>
      </c>
      <c r="BB53" s="331" t="n">
        <v>3</v>
      </c>
      <c r="BC53" s="326" t="n">
        <f aca="false">IFERROR($BD:$BD/$AY:$AY,0)</f>
        <v>0</v>
      </c>
      <c r="BD53" s="332" t="n">
        <v>0</v>
      </c>
      <c r="BE53" s="333" t="n">
        <v>0</v>
      </c>
      <c r="BF53" s="334" t="n">
        <f aca="false">ROUND($AR:$AR*$BE:$BE,0)</f>
        <v>0</v>
      </c>
      <c r="BG53" s="335" t="n">
        <v>0</v>
      </c>
      <c r="BH53" s="336" t="n">
        <f aca="false">ROUND($AR:$AR*$BG:$BG,0)</f>
        <v>0</v>
      </c>
      <c r="BI53" s="333" t="n">
        <v>0</v>
      </c>
      <c r="BJ53" s="334" t="n">
        <f aca="false">ROUND($AR:$AR*$BI:$BI,0)</f>
        <v>0</v>
      </c>
      <c r="BK53" s="334" t="n">
        <f aca="false">ROUND(IF($P:$P&gt;1,$BJ:$BJ*1,$BJ:$BJ*$P:$P),0)</f>
        <v>0</v>
      </c>
      <c r="BL53" s="337"/>
      <c r="BM53" s="338" t="n">
        <f aca="false">$BC:$BC+$BE:$BE+$BG:$BG</f>
        <v>0</v>
      </c>
      <c r="BN53" s="339" t="n">
        <f aca="false">$BD:$BD+$BF:$BF+$BH:$BH</f>
        <v>0</v>
      </c>
      <c r="BO53" s="340" t="n">
        <f aca="false">IFERROR(ROUND($AY:$AY+$BN:$BN,0),0)</f>
        <v>49900</v>
      </c>
      <c r="BP53" s="341" t="n">
        <f aca="false">ROUND(IF(SUM($BO:$BO&lt;249080),SUM(ROUND($BO:$BO*11%,0)),27398.8),0)</f>
        <v>5489</v>
      </c>
      <c r="BQ53" s="342" t="n">
        <f aca="false">$BO:$BO+$BP:$BP</f>
        <v>55389</v>
      </c>
      <c r="BR53" s="329" t="n">
        <f aca="false">IFERROR(($BO:$BO+$AJ:$AJ+$AK:$AK)/$AF:$AF,0)</f>
        <v>0.841483979763912</v>
      </c>
      <c r="BS53" s="343" t="n">
        <f aca="false">IF($N:$N="CASUAL","TBC",ROUND($BN:$BN/(NETWORKDAYS("01/07/2023","30/06/2024"))*NETWORKDAYS("10/07/2023","04/09/2023"),0)*$P:$P)</f>
        <v>0</v>
      </c>
      <c r="BT53" s="326" t="n">
        <f aca="false">$BM53+$BI53</f>
        <v>0</v>
      </c>
      <c r="BU53" s="332" t="n">
        <f aca="false">$BN:$BN+$BJ:$BJ</f>
        <v>0</v>
      </c>
      <c r="BV53" s="342" t="n">
        <f aca="false">$BO:$BO*$P:$P</f>
        <v>49900</v>
      </c>
      <c r="BW53" s="344" t="n">
        <f aca="false">ROUND($BO:$BO/1976,2)</f>
        <v>25.25</v>
      </c>
      <c r="BX53" s="316"/>
      <c r="BY53" s="342" t="n">
        <f aca="false">$BQ:$BQ+$BX:$BX</f>
        <v>55389</v>
      </c>
      <c r="BZ53" s="345" t="s">
        <v>294</v>
      </c>
      <c r="CA53" s="316"/>
      <c r="CB53" s="316"/>
      <c r="CC53" s="324" t="str">
        <f aca="false">CONCATENATE(CD53,"",CE53)</f>
        <v/>
      </c>
      <c r="CD53" s="319"/>
      <c r="CE53" s="319"/>
      <c r="CF53" s="322" t="str">
        <f aca="false">IFERROR(INDEX('[4]Lookup_Rem Ranges'!$D$1:$D$1048576,MATCH($CC:$CC,'[4]Lookup_Rem Ranges'!$C$1:$C$1048576,0)),"")</f>
        <v/>
      </c>
      <c r="CG53" s="346"/>
      <c r="CH53" s="346"/>
      <c r="CI53" s="347"/>
      <c r="CJ53" s="348"/>
      <c r="CK53" s="342" t="n">
        <f aca="false">IFERROR(ROUND($CI:$CI*$CJ:$CJ,0),0)</f>
        <v>0</v>
      </c>
      <c r="CL53" s="342" t="n">
        <f aca="false">$CI:$CI+$CK:$CK</f>
        <v>0</v>
      </c>
      <c r="CM53" s="349"/>
      <c r="CN53" s="350" t="n">
        <f aca="false">IF(SUM($CL:$CL&lt;249080),SUM(ROUND($CL:$CL*11%,0)),27398.8)</f>
        <v>0</v>
      </c>
      <c r="CO53" s="350" t="s">
        <v>324</v>
      </c>
      <c r="CP53" s="351" t="n">
        <f aca="false">IF(BA53="Yes",3.25%,0)</f>
        <v>0</v>
      </c>
      <c r="CQ53" s="352" t="n">
        <f aca="false">ROUND(AR53*CP53,0)</f>
        <v>0</v>
      </c>
      <c r="CR53" s="353" t="n">
        <f aca="false">IF($AW:$AW&lt;3.25%,$AW:$AW,3.25%)</f>
        <v>0</v>
      </c>
      <c r="CS53" s="354" t="n">
        <f aca="false">ROUND($AR:$AR*$CR:$CR,0)</f>
        <v>0</v>
      </c>
      <c r="CT53" s="353" t="n">
        <f aca="false">IF($AW:$AW&gt;=3.25%,$AW:$AW-$CR:$CR,0)</f>
        <v>0</v>
      </c>
      <c r="CU53" s="354" t="n">
        <f aca="false">ROUND($AR:$AR*$CT:$CT,0)</f>
        <v>0</v>
      </c>
      <c r="CV53" s="353" t="n">
        <f aca="false">IF($CR:$CR=3.25%,0,IF($BC:$BC&lt;3.25%,$BC:$BC,IF($BC:$BC&gt;3.25%,3.25%-$CR:$CR,0)))</f>
        <v>0</v>
      </c>
      <c r="CW53" s="354" t="n">
        <f aca="false">IFERROR(ROUND($AY:$AY*$CV:$CV,0),0)</f>
        <v>0</v>
      </c>
      <c r="CX53" s="353" t="n">
        <f aca="false">IF($CV:$CV=0,$BC:$BC,BC:BC-$CV:$CV)</f>
        <v>0</v>
      </c>
      <c r="CY53" s="354" t="n">
        <f aca="false">IFERROR(ROUND($AY:$AY*$CX:$CX,0),0)</f>
        <v>0</v>
      </c>
      <c r="CZ53" s="353" t="n">
        <f aca="false">$CR:$CR+$CT:CT+$CV:$CV+$CX:$CX</f>
        <v>0</v>
      </c>
      <c r="DA53" s="353" t="n">
        <f aca="false">(SUM($AW:$AW+$BC:$BC)-$CZ:$CZ)</f>
        <v>0</v>
      </c>
      <c r="DB53" s="353"/>
      <c r="DC53" s="353" t="n">
        <f aca="false">$BE:$BE</f>
        <v>0</v>
      </c>
      <c r="DD53" s="354" t="n">
        <f aca="false">$BF:$BF</f>
        <v>0</v>
      </c>
      <c r="DE53" s="355" t="n">
        <f aca="false">$BI:$BI</f>
        <v>0</v>
      </c>
      <c r="DF53" s="354" t="n">
        <f aca="false">$BJ:$BJ</f>
        <v>0</v>
      </c>
      <c r="DG53" s="355" t="n">
        <f aca="false">$BG:$BG</f>
        <v>0</v>
      </c>
      <c r="DH53" s="354" t="n">
        <f aca="false">IFERROR(ROUND($AP:$AP*$DG:$DG,0),0)</f>
        <v>0</v>
      </c>
      <c r="DI53" s="353" t="n">
        <f aca="false">$CR:$CR+$CV:$CV+$DC:$DC+$DE:$DE+$DG:$DG</f>
        <v>0</v>
      </c>
      <c r="DJ53" s="354" t="n">
        <f aca="false">$CS:$CS+$CW:$CW+$DD:$DD+$DF:$DF+$DH:$DH</f>
        <v>0</v>
      </c>
      <c r="DK53" s="353" t="n">
        <f aca="false">$CT:$CT+$CX:$CX</f>
        <v>0</v>
      </c>
      <c r="DL53" s="354" t="n">
        <f aca="false">$CU:$CU+$CY:$CY</f>
        <v>0</v>
      </c>
      <c r="DM53" s="356"/>
      <c r="DN53" s="357"/>
      <c r="DO53" s="357"/>
      <c r="DP53" s="357"/>
      <c r="DQ53" s="357"/>
      <c r="DR53" s="357"/>
      <c r="DS53" s="357"/>
      <c r="DT53" s="357"/>
      <c r="DU53" s="357"/>
      <c r="DV53" s="357"/>
      <c r="DW53" s="357" t="s">
        <v>498</v>
      </c>
    </row>
    <row r="54" customFormat="false" ht="36" hidden="false" customHeight="false" outlineLevel="0" collapsed="false">
      <c r="A54" s="314"/>
      <c r="B54" s="315" t="s">
        <v>273</v>
      </c>
      <c r="C54" s="315" t="s">
        <v>531</v>
      </c>
      <c r="D54" s="315" t="n">
        <v>21455</v>
      </c>
      <c r="E54" s="316" t="s">
        <v>532</v>
      </c>
      <c r="F54" s="316" t="s">
        <v>533</v>
      </c>
      <c r="G54" s="316" t="s">
        <v>300</v>
      </c>
      <c r="H54" s="317" t="s">
        <v>534</v>
      </c>
      <c r="I54" s="316" t="s">
        <v>535</v>
      </c>
      <c r="J54" s="316" t="s">
        <v>536</v>
      </c>
      <c r="K54" s="318" t="n">
        <v>44866</v>
      </c>
      <c r="L54" s="318"/>
      <c r="M54" s="318" t="n">
        <v>44866</v>
      </c>
      <c r="N54" s="319" t="s">
        <v>281</v>
      </c>
      <c r="O54" s="319" t="n">
        <v>38</v>
      </c>
      <c r="P54" s="320" t="n">
        <f aca="false">$O:$O/38</f>
        <v>1</v>
      </c>
      <c r="Q54" s="316" t="s">
        <v>372</v>
      </c>
      <c r="R54" s="316" t="n">
        <v>18750</v>
      </c>
      <c r="S54" s="316" t="s">
        <v>537</v>
      </c>
      <c r="T54" s="316" t="s">
        <v>450</v>
      </c>
      <c r="U54" s="316" t="s">
        <v>451</v>
      </c>
      <c r="V54" s="317" t="s">
        <v>58</v>
      </c>
      <c r="W54" s="317" t="s">
        <v>64</v>
      </c>
      <c r="X54" s="317" t="s">
        <v>286</v>
      </c>
      <c r="Y54" s="321" t="s">
        <v>287</v>
      </c>
      <c r="Z54" s="317" t="s">
        <v>356</v>
      </c>
      <c r="AA54" s="316" t="s">
        <v>311</v>
      </c>
      <c r="AB54" s="321" t="s">
        <v>357</v>
      </c>
      <c r="AC54" s="317" t="s">
        <v>289</v>
      </c>
      <c r="AD54" s="321" t="s">
        <v>290</v>
      </c>
      <c r="AE54" s="322" t="n">
        <f aca="false">IFERROR(INDEX('[3]Lookup_Rem Ranges'!$D$1:$D$1048576,MATCH($AL:$AL,'[3]Lookup_Rem Ranges'!$C$1:$C$1048576,0)),0)</f>
        <v>73500</v>
      </c>
      <c r="AF54" s="322" t="n">
        <f aca="false">IFERROR(INDEX('[3]Lookup_Rem Ranges'!$E$1:$E$1048576,MATCH($AL:$AL,'[3]Lookup_Rem Ranges'!$C$1:$C$1048576,0)),0)</f>
        <v>86500</v>
      </c>
      <c r="AG54" s="322" t="n">
        <f aca="false">IFERROR(INDEX('[3]Lookup_Rem Ranges'!$F$1:$F$1048576,MATCH($AL:$AL,'[3]Lookup_Rem Ranges'!$C$1:$C$1048576,0)),)</f>
        <v>99500</v>
      </c>
      <c r="AH54" s="317" t="s">
        <v>291</v>
      </c>
      <c r="AI54" s="319"/>
      <c r="AJ54" s="323" t="n">
        <v>0</v>
      </c>
      <c r="AK54" s="316"/>
      <c r="AL54" s="324" t="str">
        <f aca="false">CONCATENATE(AM54,"",AN54)</f>
        <v>GI4</v>
      </c>
      <c r="AM54" s="324" t="s">
        <v>312</v>
      </c>
      <c r="AN54" s="319" t="n">
        <v>4</v>
      </c>
      <c r="AO54" s="316" t="s">
        <v>365</v>
      </c>
      <c r="AP54" s="325" t="n">
        <v>62000</v>
      </c>
      <c r="AQ54" s="322" t="n">
        <f aca="false">ROUND(IF($P:$P&gt;1,$AP:$AP*1,$AP:$AP*$P:$P),0)</f>
        <v>62000</v>
      </c>
      <c r="AR54" s="322" t="n">
        <f aca="false">IF(BA54="Yes",AP54,0)</f>
        <v>0</v>
      </c>
      <c r="AS54" s="326" t="s">
        <v>339</v>
      </c>
      <c r="AT54" s="326" t="n">
        <v>0</v>
      </c>
      <c r="AU54" s="327"/>
      <c r="AV54" s="322"/>
      <c r="AW54" s="328" t="n">
        <v>0</v>
      </c>
      <c r="AX54" s="322" t="n">
        <v>0</v>
      </c>
      <c r="AY54" s="322" t="n">
        <v>62000</v>
      </c>
      <c r="AZ54" s="329" t="n">
        <f aca="false">IFERROR(($AY:$AY+$AJ:$AJ+$AK:$AK)/$AF:$AF,0)</f>
        <v>0.716763005780347</v>
      </c>
      <c r="BA54" s="330" t="s">
        <v>294</v>
      </c>
      <c r="BB54" s="331" t="n">
        <v>3</v>
      </c>
      <c r="BC54" s="326" t="n">
        <f aca="false">IFERROR($BD:$BD/$AY:$AY,0)</f>
        <v>0</v>
      </c>
      <c r="BD54" s="332" t="n">
        <v>0</v>
      </c>
      <c r="BE54" s="333" t="n">
        <v>0</v>
      </c>
      <c r="BF54" s="334" t="n">
        <f aca="false">ROUND($AR:$AR*$BE:$BE,0)</f>
        <v>0</v>
      </c>
      <c r="BG54" s="335" t="n">
        <v>0</v>
      </c>
      <c r="BH54" s="336" t="n">
        <f aca="false">ROUND($AR:$AR*$BG:$BG,0)</f>
        <v>0</v>
      </c>
      <c r="BI54" s="333" t="n">
        <v>0</v>
      </c>
      <c r="BJ54" s="334" t="n">
        <f aca="false">ROUND($AR:$AR*$BI:$BI,0)</f>
        <v>0</v>
      </c>
      <c r="BK54" s="334" t="n">
        <f aca="false">ROUND(IF($P:$P&gt;1,$BJ:$BJ*1,$BJ:$BJ*$P:$P),0)</f>
        <v>0</v>
      </c>
      <c r="BL54" s="337"/>
      <c r="BM54" s="338" t="n">
        <f aca="false">$BC:$BC+$BE:$BE+$BG:$BG</f>
        <v>0</v>
      </c>
      <c r="BN54" s="339" t="n">
        <f aca="false">$BD:$BD+$BF:$BF+$BH:$BH</f>
        <v>0</v>
      </c>
      <c r="BO54" s="340" t="n">
        <f aca="false">IFERROR(ROUND($AY:$AY+$BN:$BN,0),0)</f>
        <v>62000</v>
      </c>
      <c r="BP54" s="341" t="n">
        <f aca="false">ROUND(IF(SUM($BO:$BO&lt;249080),SUM(ROUND($BO:$BO*11%,0)),27398.8),0)</f>
        <v>6820</v>
      </c>
      <c r="BQ54" s="342" t="n">
        <f aca="false">$BO:$BO+$BP:$BP</f>
        <v>68820</v>
      </c>
      <c r="BR54" s="329" t="n">
        <f aca="false">IFERROR(($BO:$BO+$AJ:$AJ+$AK:$AK)/$AF:$AF,0)</f>
        <v>0.716763005780347</v>
      </c>
      <c r="BS54" s="343" t="n">
        <f aca="false">IF($N:$N="CASUAL","TBC",ROUND($BN:$BN/(NETWORKDAYS("01/07/2023","30/06/2024"))*NETWORKDAYS("10/07/2023","04/09/2023"),0)*$P:$P)</f>
        <v>0</v>
      </c>
      <c r="BT54" s="326" t="n">
        <f aca="false">$BM54+$BI54</f>
        <v>0</v>
      </c>
      <c r="BU54" s="332" t="n">
        <f aca="false">$BN:$BN+$BJ:$BJ</f>
        <v>0</v>
      </c>
      <c r="BV54" s="342" t="n">
        <f aca="false">$BO:$BO*$P:$P</f>
        <v>62000</v>
      </c>
      <c r="BW54" s="344" t="n">
        <f aca="false">ROUND($BO:$BO/1976,2)</f>
        <v>31.38</v>
      </c>
      <c r="BX54" s="316"/>
      <c r="BY54" s="342" t="n">
        <f aca="false">$BQ:$BQ+$BX:$BX</f>
        <v>68820</v>
      </c>
      <c r="BZ54" s="345" t="s">
        <v>294</v>
      </c>
      <c r="CA54" s="316"/>
      <c r="CB54" s="316"/>
      <c r="CC54" s="324" t="str">
        <f aca="false">CONCATENATE(CD54,"",CE54)</f>
        <v/>
      </c>
      <c r="CD54" s="319"/>
      <c r="CE54" s="319"/>
      <c r="CF54" s="322" t="str">
        <f aca="false">IFERROR(INDEX('[4]Lookup_Rem Ranges'!$D$1:$D$1048576,MATCH($CC:$CC,'[4]Lookup_Rem Ranges'!$C$1:$C$1048576,0)),"")</f>
        <v/>
      </c>
      <c r="CG54" s="346"/>
      <c r="CH54" s="346"/>
      <c r="CI54" s="347"/>
      <c r="CJ54" s="348"/>
      <c r="CK54" s="342" t="n">
        <f aca="false">IFERROR(ROUND($CI:$CI*$CJ:$CJ,0),0)</f>
        <v>0</v>
      </c>
      <c r="CL54" s="342" t="n">
        <f aca="false">$CI:$CI+$CK:$CK</f>
        <v>0</v>
      </c>
      <c r="CM54" s="349"/>
      <c r="CN54" s="350" t="n">
        <f aca="false">IF(SUM($CL:$CL&lt;249080),SUM(ROUND($CL:$CL*11%,0)),27398.8)</f>
        <v>0</v>
      </c>
      <c r="CO54" s="350" t="s">
        <v>324</v>
      </c>
      <c r="CP54" s="351" t="n">
        <f aca="false">IF(BA54="Yes",3.25%,0)</f>
        <v>0</v>
      </c>
      <c r="CQ54" s="352" t="n">
        <f aca="false">ROUND(AR54*CP54,0)</f>
        <v>0</v>
      </c>
      <c r="CR54" s="353" t="n">
        <f aca="false">IF($AW:$AW&lt;3.25%,$AW:$AW,3.25%)</f>
        <v>0</v>
      </c>
      <c r="CS54" s="354" t="n">
        <f aca="false">ROUND($AR:$AR*$CR:$CR,0)</f>
        <v>0</v>
      </c>
      <c r="CT54" s="353" t="n">
        <f aca="false">IF($AW:$AW&gt;=3.25%,$AW:$AW-$CR:$CR,0)</f>
        <v>0</v>
      </c>
      <c r="CU54" s="354" t="n">
        <f aca="false">ROUND($AR:$AR*$CT:$CT,0)</f>
        <v>0</v>
      </c>
      <c r="CV54" s="353" t="n">
        <f aca="false">IF($CR:$CR=3.25%,0,IF($BC:$BC&lt;3.25%,$BC:$BC,IF($BC:$BC&gt;3.25%,3.25%-$CR:$CR,0)))</f>
        <v>0</v>
      </c>
      <c r="CW54" s="354" t="n">
        <f aca="false">IFERROR(ROUND($AY:$AY*$CV:$CV,0),0)</f>
        <v>0</v>
      </c>
      <c r="CX54" s="353" t="n">
        <f aca="false">IF($CV:$CV=0,$BC:$BC,BC:BC-$CV:$CV)</f>
        <v>0</v>
      </c>
      <c r="CY54" s="354" t="n">
        <f aca="false">IFERROR(ROUND($AY:$AY*$CX:$CX,0),0)</f>
        <v>0</v>
      </c>
      <c r="CZ54" s="353" t="n">
        <f aca="false">$CR:$CR+$CT:CT+$CV:$CV+$CX:$CX</f>
        <v>0</v>
      </c>
      <c r="DA54" s="353" t="n">
        <f aca="false">(SUM($AW:$AW+$BC:$BC)-$CZ:$CZ)</f>
        <v>0</v>
      </c>
      <c r="DB54" s="353"/>
      <c r="DC54" s="353" t="n">
        <f aca="false">$BE:$BE</f>
        <v>0</v>
      </c>
      <c r="DD54" s="354" t="n">
        <f aca="false">$BF:$BF</f>
        <v>0</v>
      </c>
      <c r="DE54" s="355" t="n">
        <f aca="false">$BI:$BI</f>
        <v>0</v>
      </c>
      <c r="DF54" s="354" t="n">
        <f aca="false">$BJ:$BJ</f>
        <v>0</v>
      </c>
      <c r="DG54" s="355" t="n">
        <f aca="false">$BG:$BG</f>
        <v>0</v>
      </c>
      <c r="DH54" s="354" t="n">
        <f aca="false">IFERROR(ROUND($AP:$AP*$DG:$DG,0),0)</f>
        <v>0</v>
      </c>
      <c r="DI54" s="353" t="n">
        <f aca="false">$CR:$CR+$CV:$CV+$DC:$DC+$DE:$DE+$DG:$DG</f>
        <v>0</v>
      </c>
      <c r="DJ54" s="354" t="n">
        <f aca="false">$CS:$CS+$CW:$CW+$DD:$DD+$DF:$DF+$DH:$DH</f>
        <v>0</v>
      </c>
      <c r="DK54" s="353" t="n">
        <f aca="false">$CT:$CT+$CX:$CX</f>
        <v>0</v>
      </c>
      <c r="DL54" s="354" t="n">
        <f aca="false">$CU:$CU+$CY:$CY</f>
        <v>0</v>
      </c>
      <c r="DM54" s="356"/>
      <c r="DN54" s="357"/>
      <c r="DO54" s="357"/>
      <c r="DP54" s="357"/>
      <c r="DQ54" s="357"/>
      <c r="DR54" s="357"/>
      <c r="DS54" s="357"/>
      <c r="DT54" s="357"/>
      <c r="DU54" s="357"/>
      <c r="DV54" s="357"/>
      <c r="DW54" s="357" t="s">
        <v>498</v>
      </c>
    </row>
    <row r="55" customFormat="false" ht="33.75" hidden="false" customHeight="false" outlineLevel="0" collapsed="false">
      <c r="A55" s="314"/>
      <c r="B55" s="315" t="s">
        <v>273</v>
      </c>
      <c r="C55" s="315" t="s">
        <v>538</v>
      </c>
      <c r="D55" s="315" t="n">
        <v>17756</v>
      </c>
      <c r="E55" s="316" t="s">
        <v>539</v>
      </c>
      <c r="F55" s="316" t="s">
        <v>540</v>
      </c>
      <c r="G55" s="316" t="s">
        <v>300</v>
      </c>
      <c r="H55" s="317" t="s">
        <v>541</v>
      </c>
      <c r="I55" s="316" t="s">
        <v>542</v>
      </c>
      <c r="J55" s="316" t="s">
        <v>543</v>
      </c>
      <c r="K55" s="318" t="n">
        <v>43234</v>
      </c>
      <c r="L55" s="318"/>
      <c r="M55" s="318" t="n">
        <v>44840</v>
      </c>
      <c r="N55" s="319" t="s">
        <v>281</v>
      </c>
      <c r="O55" s="319" t="n">
        <v>38</v>
      </c>
      <c r="P55" s="320" t="n">
        <f aca="false">$O:$O/38</f>
        <v>1</v>
      </c>
      <c r="Q55" s="316" t="s">
        <v>332</v>
      </c>
      <c r="R55" s="316" t="n">
        <v>18243</v>
      </c>
      <c r="S55" s="316" t="s">
        <v>544</v>
      </c>
      <c r="T55" s="316" t="s">
        <v>477</v>
      </c>
      <c r="U55" s="316" t="s">
        <v>478</v>
      </c>
      <c r="V55" s="317" t="s">
        <v>58</v>
      </c>
      <c r="W55" s="317" t="s">
        <v>64</v>
      </c>
      <c r="X55" s="317" t="s">
        <v>286</v>
      </c>
      <c r="Y55" s="360" t="s">
        <v>287</v>
      </c>
      <c r="Z55" s="317" t="s">
        <v>356</v>
      </c>
      <c r="AA55" s="316" t="s">
        <v>311</v>
      </c>
      <c r="AB55" s="321" t="s">
        <v>357</v>
      </c>
      <c r="AC55" s="317" t="s">
        <v>289</v>
      </c>
      <c r="AD55" s="360" t="s">
        <v>290</v>
      </c>
      <c r="AE55" s="322" t="n">
        <f aca="false">IFERROR(INDEX('[3]Lookup_Rem Ranges'!$D$1:$D$1048576,MATCH($AL:$AL,'[3]Lookup_Rem Ranges'!$C$1:$C$1048576,0)),0)</f>
        <v>73500</v>
      </c>
      <c r="AF55" s="322" t="n">
        <f aca="false">IFERROR(INDEX('[3]Lookup_Rem Ranges'!$E$1:$E$1048576,MATCH($AL:$AL,'[3]Lookup_Rem Ranges'!$C$1:$C$1048576,0)),0)</f>
        <v>86500</v>
      </c>
      <c r="AG55" s="322" t="n">
        <f aca="false">IFERROR(INDEX('[3]Lookup_Rem Ranges'!$F$1:$F$1048576,MATCH($AL:$AL,'[3]Lookup_Rem Ranges'!$C$1:$C$1048576,0)),)</f>
        <v>99500</v>
      </c>
      <c r="AH55" s="317" t="s">
        <v>291</v>
      </c>
      <c r="AI55" s="319"/>
      <c r="AJ55" s="323" t="n">
        <v>0</v>
      </c>
      <c r="AK55" s="316"/>
      <c r="AL55" s="324" t="str">
        <f aca="false">CONCATENATE(AM55,"",AN55)</f>
        <v>GI4</v>
      </c>
      <c r="AM55" s="324" t="s">
        <v>312</v>
      </c>
      <c r="AN55" s="319" t="n">
        <v>4</v>
      </c>
      <c r="AO55" s="316"/>
      <c r="AP55" s="325" t="n">
        <v>82000</v>
      </c>
      <c r="AQ55" s="322" t="n">
        <f aca="false">ROUND(IF($P:$P&gt;1,$AP:$AP*1,$AP:$AP*$P:$P),0)</f>
        <v>82000</v>
      </c>
      <c r="AR55" s="322" t="n">
        <f aca="false">IF(BA55="Yes",AP55,0)</f>
        <v>82000</v>
      </c>
      <c r="AS55" s="326" t="n">
        <v>0.02</v>
      </c>
      <c r="AT55" s="326" t="n">
        <v>0</v>
      </c>
      <c r="AU55" s="327"/>
      <c r="AV55" s="322"/>
      <c r="AW55" s="328" t="n">
        <v>0</v>
      </c>
      <c r="AX55" s="322" t="n">
        <v>0</v>
      </c>
      <c r="AY55" s="322" t="n">
        <v>82000</v>
      </c>
      <c r="AZ55" s="329" t="n">
        <f aca="false">IFERROR(($AY:$AY+$AJ:$AJ+$AK:$AK)/$AF:$AF,0)</f>
        <v>0.947976878612717</v>
      </c>
      <c r="BA55" s="330" t="s">
        <v>293</v>
      </c>
      <c r="BB55" s="331" t="n">
        <v>3</v>
      </c>
      <c r="BC55" s="326" t="n">
        <f aca="false">IFERROR($BD:$BD/$AY:$AY,0)</f>
        <v>0</v>
      </c>
      <c r="BD55" s="332" t="n">
        <f aca="false">ROUND(IF($AY:$AY&lt;$AE:$AE,$AE:$AE-$AY:$AY,0),0)</f>
        <v>0</v>
      </c>
      <c r="BE55" s="333" t="n">
        <v>0.0325</v>
      </c>
      <c r="BF55" s="334" t="n">
        <f aca="false">ROUND($AR:$AR*$BE:$BE,0)</f>
        <v>2665</v>
      </c>
      <c r="BG55" s="335" t="n">
        <v>0</v>
      </c>
      <c r="BH55" s="336" t="n">
        <f aca="false">ROUND($AR:$AR*$BG:$BG,0)</f>
        <v>0</v>
      </c>
      <c r="BI55" s="333" t="n">
        <v>0</v>
      </c>
      <c r="BJ55" s="334" t="n">
        <f aca="false">ROUND($AR:$AR*$BI:$BI,0)</f>
        <v>0</v>
      </c>
      <c r="BK55" s="334" t="n">
        <f aca="false">ROUND(IF($P:$P&gt;1,$BJ:$BJ*1,$BJ:$BJ*$P:$P),0)</f>
        <v>0</v>
      </c>
      <c r="BL55" s="337"/>
      <c r="BM55" s="338" t="n">
        <f aca="false">$BC:$BC+$BE:$BE+$BG:$BG</f>
        <v>0.0325</v>
      </c>
      <c r="BN55" s="339" t="n">
        <f aca="false">$BD:$BD+$BF:$BF+$BH:$BH</f>
        <v>2665</v>
      </c>
      <c r="BO55" s="340" t="n">
        <f aca="false">IFERROR(ROUND($AY:$AY+$BN:$BN,0),0)</f>
        <v>84665</v>
      </c>
      <c r="BP55" s="341" t="n">
        <f aca="false">ROUND(IF(SUM($BO:$BO&lt;249080),SUM(ROUND($BO:$BO*11%,0)),27398.8),0)</f>
        <v>9313</v>
      </c>
      <c r="BQ55" s="342" t="n">
        <f aca="false">$BO:$BO+$BP:$BP</f>
        <v>93978</v>
      </c>
      <c r="BR55" s="329" t="n">
        <f aca="false">IFERROR(($BO:$BO+$AJ:$AJ+$AK:$AK)/$AF:$AF,0)</f>
        <v>0.97878612716763</v>
      </c>
      <c r="BS55" s="343" t="n">
        <f aca="false">IF($N:$N="CASUAL","TBC",ROUND($BN:$BN/(NETWORKDAYS("01/07/2023","30/06/2024"))*NETWORKDAYS("10/07/2023","04/09/2023"),0)*$P:$P)</f>
        <v>420</v>
      </c>
      <c r="BT55" s="326" t="n">
        <f aca="false">$BM55+$BI55</f>
        <v>0.0325</v>
      </c>
      <c r="BU55" s="332" t="n">
        <f aca="false">$BN:$BN+$BJ:$BJ</f>
        <v>2665</v>
      </c>
      <c r="BV55" s="342" t="n">
        <f aca="false">$BO:$BO*$P:$P</f>
        <v>84665</v>
      </c>
      <c r="BW55" s="344" t="n">
        <f aca="false">ROUND($BO:$BO/1976,2)</f>
        <v>42.85</v>
      </c>
      <c r="BX55" s="316"/>
      <c r="BY55" s="342" t="n">
        <f aca="false">$BQ:$BQ+$BX:$BX</f>
        <v>93978</v>
      </c>
      <c r="BZ55" s="345" t="s">
        <v>294</v>
      </c>
      <c r="CA55" s="316"/>
      <c r="CB55" s="316"/>
      <c r="CC55" s="324" t="str">
        <f aca="false">CONCATENATE(CD55,"",CE55)</f>
        <v/>
      </c>
      <c r="CD55" s="319"/>
      <c r="CE55" s="319"/>
      <c r="CF55" s="322" t="str">
        <f aca="false">IFERROR(INDEX('[4]Lookup_Rem Ranges'!$D$1:$D$1048576,MATCH($CC:$CC,'[4]Lookup_Rem Ranges'!$C$1:$C$1048576,0)),"")</f>
        <v/>
      </c>
      <c r="CG55" s="318"/>
      <c r="CH55" s="318"/>
      <c r="CI55" s="361"/>
      <c r="CJ55" s="348"/>
      <c r="CK55" s="342" t="n">
        <f aca="false">IFERROR(ROUND($CI:$CI*$CJ:$CJ,0),0)</f>
        <v>0</v>
      </c>
      <c r="CL55" s="342" t="n">
        <f aca="false">$CI:$CI+$CK:$CK</f>
        <v>0</v>
      </c>
      <c r="CM55" s="349"/>
      <c r="CN55" s="350" t="n">
        <f aca="false">IF(SUM($CL:$CL&lt;249080),SUM(ROUND($CL:$CL*11%,0)),27398.8)</f>
        <v>0</v>
      </c>
      <c r="CO55" s="350" t="s">
        <v>324</v>
      </c>
      <c r="CP55" s="351" t="n">
        <f aca="false">IF(BA55="Yes",3.25%,0)</f>
        <v>0.0325</v>
      </c>
      <c r="CQ55" s="352" t="n">
        <f aca="false">ROUND(AR55*CP55,0)</f>
        <v>2665</v>
      </c>
      <c r="CR55" s="353" t="n">
        <f aca="false">IF($AW:$AW&lt;3.25%,$AW:$AW,3.25%)</f>
        <v>0</v>
      </c>
      <c r="CS55" s="354" t="n">
        <f aca="false">ROUND($AR:$AR*$CR:$CR,0)</f>
        <v>0</v>
      </c>
      <c r="CT55" s="353" t="n">
        <f aca="false">IF($AW:$AW&gt;=3.25%,$AW:$AW-$CR:$CR,0)</f>
        <v>0</v>
      </c>
      <c r="CU55" s="354" t="n">
        <f aca="false">ROUND($AR:$AR*$CT:$CT,0)</f>
        <v>0</v>
      </c>
      <c r="CV55" s="353" t="n">
        <f aca="false">IF($CR:$CR=3.25%,0,IF($BC:$BC&lt;3.25%,$BC:$BC,IF($BC:$BC&gt;3.25%,3.25%-$CR:$CR,0)))</f>
        <v>0</v>
      </c>
      <c r="CW55" s="354" t="n">
        <f aca="false">IFERROR(ROUND($AY:$AY*$CV:$CV,0),0)</f>
        <v>0</v>
      </c>
      <c r="CX55" s="353" t="n">
        <f aca="false">IF($CV:$CV=0,$BC:$BC,BC:BC-$CV:$CV)</f>
        <v>0</v>
      </c>
      <c r="CY55" s="354" t="n">
        <f aca="false">IFERROR(ROUND($AY:$AY*$CX:$CX,0),0)</f>
        <v>0</v>
      </c>
      <c r="CZ55" s="353" t="n">
        <f aca="false">$CR:$CR+$CT:CT+$CV:$CV+$CX:$CX</f>
        <v>0</v>
      </c>
      <c r="DA55" s="353" t="n">
        <f aca="false">(SUM($AW:$AW+$BC:$BC)-$CZ:$CZ)</f>
        <v>0</v>
      </c>
      <c r="DB55" s="353"/>
      <c r="DC55" s="353" t="n">
        <f aca="false">$BE:$BE</f>
        <v>0.0325</v>
      </c>
      <c r="DD55" s="354" t="n">
        <f aca="false">$BF:$BF</f>
        <v>2665</v>
      </c>
      <c r="DE55" s="355" t="n">
        <f aca="false">$BI:$BI</f>
        <v>0</v>
      </c>
      <c r="DF55" s="354" t="n">
        <f aca="false">$BJ:$BJ</f>
        <v>0</v>
      </c>
      <c r="DG55" s="355" t="n">
        <f aca="false">$BG:$BG</f>
        <v>0</v>
      </c>
      <c r="DH55" s="354" t="n">
        <f aca="false">IFERROR(ROUND($AP:$AP*$DG:$DG,0),0)</f>
        <v>0</v>
      </c>
      <c r="DI55" s="353" t="n">
        <f aca="false">$CR:$CR+$CV:$CV+$DC:$DC+$DE:$DE+$DG:$DG</f>
        <v>0.0325</v>
      </c>
      <c r="DJ55" s="354" t="n">
        <f aca="false">$CS:$CS+$CW:$CW+$DD:$DD+$DF:$DF+$DH:$DH</f>
        <v>2665</v>
      </c>
      <c r="DK55" s="353" t="n">
        <f aca="false">$CT:$CT+$CX:$CX</f>
        <v>0</v>
      </c>
      <c r="DL55" s="354" t="n">
        <f aca="false">$CU:$CU+$CY:$CY</f>
        <v>0</v>
      </c>
      <c r="DM55" s="356"/>
      <c r="DN55" s="357"/>
      <c r="DO55" s="357"/>
      <c r="DP55" s="357"/>
      <c r="DQ55" s="357"/>
      <c r="DR55" s="357"/>
      <c r="DS55" s="357"/>
      <c r="DT55" s="357"/>
      <c r="DU55" s="357"/>
      <c r="DV55" s="357"/>
      <c r="DW55" s="357" t="s">
        <v>498</v>
      </c>
    </row>
    <row r="56" customFormat="false" ht="33.75" hidden="false" customHeight="false" outlineLevel="0" collapsed="false">
      <c r="A56" s="314"/>
      <c r="B56" s="315" t="s">
        <v>273</v>
      </c>
      <c r="C56" s="315" t="s">
        <v>545</v>
      </c>
      <c r="D56" s="315" t="n">
        <v>16358</v>
      </c>
      <c r="E56" s="316" t="s">
        <v>546</v>
      </c>
      <c r="F56" s="316" t="s">
        <v>547</v>
      </c>
      <c r="G56" s="316" t="s">
        <v>277</v>
      </c>
      <c r="H56" s="317" t="s">
        <v>548</v>
      </c>
      <c r="I56" s="316" t="s">
        <v>549</v>
      </c>
      <c r="J56" s="316" t="s">
        <v>550</v>
      </c>
      <c r="K56" s="318" t="n">
        <v>42604</v>
      </c>
      <c r="L56" s="318"/>
      <c r="M56" s="318" t="n">
        <v>44634</v>
      </c>
      <c r="N56" s="319" t="s">
        <v>281</v>
      </c>
      <c r="O56" s="319" t="n">
        <v>38</v>
      </c>
      <c r="P56" s="320" t="n">
        <f aca="false">$O:$O/38</f>
        <v>1</v>
      </c>
      <c r="Q56" s="316" t="s">
        <v>320</v>
      </c>
      <c r="R56" s="316" t="n">
        <v>20790</v>
      </c>
      <c r="S56" s="316" t="s">
        <v>551</v>
      </c>
      <c r="T56" s="316" t="s">
        <v>552</v>
      </c>
      <c r="U56" s="316" t="s">
        <v>553</v>
      </c>
      <c r="V56" s="317" t="s">
        <v>58</v>
      </c>
      <c r="W56" s="317" t="s">
        <v>65</v>
      </c>
      <c r="X56" s="317" t="s">
        <v>286</v>
      </c>
      <c r="Y56" s="321" t="s">
        <v>287</v>
      </c>
      <c r="Z56" s="317" t="s">
        <v>554</v>
      </c>
      <c r="AA56" s="317" t="s">
        <v>319</v>
      </c>
      <c r="AB56" s="321" t="s">
        <v>555</v>
      </c>
      <c r="AC56" s="317" t="s">
        <v>289</v>
      </c>
      <c r="AD56" s="321" t="s">
        <v>290</v>
      </c>
      <c r="AE56" s="322" t="n">
        <f aca="false">IFERROR(INDEX('[3]Lookup_Rem Ranges'!$D$1:$D$1048576,MATCH($AL:$AL,'[3]Lookup_Rem Ranges'!$C$1:$C$1048576,0)),0)</f>
        <v>83400</v>
      </c>
      <c r="AF56" s="322" t="n">
        <f aca="false">IFERROR(INDEX('[3]Lookup_Rem Ranges'!$E$1:$E$1048576,MATCH($AL:$AL,'[3]Lookup_Rem Ranges'!$C$1:$C$1048576,0)),0)</f>
        <v>98100</v>
      </c>
      <c r="AG56" s="322" t="n">
        <f aca="false">IFERROR(INDEX('[3]Lookup_Rem Ranges'!$F$1:$F$1048576,MATCH($AL:$AL,'[3]Lookup_Rem Ranges'!$C$1:$C$1048576,0)),)</f>
        <v>112800</v>
      </c>
      <c r="AH56" s="317" t="s">
        <v>291</v>
      </c>
      <c r="AI56" s="319"/>
      <c r="AJ56" s="323" t="n">
        <v>0</v>
      </c>
      <c r="AK56" s="316"/>
      <c r="AL56" s="324" t="str">
        <f aca="false">CONCATENATE(AM56,"",AN56)</f>
        <v>CASS5</v>
      </c>
      <c r="AM56" s="324" t="s">
        <v>292</v>
      </c>
      <c r="AN56" s="319" t="n">
        <v>5</v>
      </c>
      <c r="AO56" s="316" t="s">
        <v>358</v>
      </c>
      <c r="AP56" s="325" t="n">
        <v>113300</v>
      </c>
      <c r="AQ56" s="322" t="n">
        <f aca="false">ROUND(IF($P:$P&gt;1,$AP:$AP*1,$AP:$AP*$P:$P),0)</f>
        <v>113300</v>
      </c>
      <c r="AR56" s="322" t="n">
        <f aca="false">IF(BA56="Yes",AP56,0)</f>
        <v>0</v>
      </c>
      <c r="AS56" s="326" t="n">
        <v>0.0481036077705828</v>
      </c>
      <c r="AT56" s="326" t="n">
        <v>0</v>
      </c>
      <c r="AU56" s="327"/>
      <c r="AV56" s="322"/>
      <c r="AW56" s="328" t="n">
        <v>0</v>
      </c>
      <c r="AX56" s="322" t="n">
        <v>0</v>
      </c>
      <c r="AY56" s="322" t="n">
        <v>113300</v>
      </c>
      <c r="AZ56" s="329" t="n">
        <f aca="false">IFERROR(($AY:$AY+$AJ:$AJ+$AK:$AK)/$AF:$AF,0)</f>
        <v>1.15494393476045</v>
      </c>
      <c r="BA56" s="330" t="s">
        <v>294</v>
      </c>
      <c r="BB56" s="331" t="n">
        <v>3</v>
      </c>
      <c r="BC56" s="326" t="n">
        <f aca="false">IFERROR($BD:$BD/$AY:$AY,0)</f>
        <v>0</v>
      </c>
      <c r="BD56" s="332" t="n">
        <f aca="false">ROUND(IF($AY:$AY&lt;$AE:$AE,$AE:$AE-$AY:$AY,0),0)</f>
        <v>0</v>
      </c>
      <c r="BE56" s="333" t="n">
        <v>0</v>
      </c>
      <c r="BF56" s="334" t="n">
        <f aca="false">ROUND($AR:$AR*$BE:$BE,0)</f>
        <v>0</v>
      </c>
      <c r="BG56" s="335" t="n">
        <v>0</v>
      </c>
      <c r="BH56" s="336" t="n">
        <f aca="false">ROUND($AR:$AR*$BG:$BG,0)</f>
        <v>0</v>
      </c>
      <c r="BI56" s="333" t="n">
        <v>0</v>
      </c>
      <c r="BJ56" s="334" t="n">
        <f aca="false">ROUND($AR:$AR*$BI:$BI,0)</f>
        <v>0</v>
      </c>
      <c r="BK56" s="334" t="n">
        <f aca="false">ROUND(IF($P:$P&gt;1,$BJ:$BJ*1,$BJ:$BJ*$P:$P),0)</f>
        <v>0</v>
      </c>
      <c r="BL56" s="337"/>
      <c r="BM56" s="338" t="n">
        <f aca="false">$BC:$BC+$BE:$BE+$BG:$BG</f>
        <v>0</v>
      </c>
      <c r="BN56" s="339" t="n">
        <f aca="false">$BD:$BD+$BF:$BF+$BH:$BH</f>
        <v>0</v>
      </c>
      <c r="BO56" s="340" t="n">
        <f aca="false">IFERROR(ROUND($AY:$AY+$BN:$BN,0),0)</f>
        <v>113300</v>
      </c>
      <c r="BP56" s="341" t="n">
        <f aca="false">ROUND(IF(SUM($BO:$BO&lt;249080),SUM(ROUND($BO:$BO*11%,0)),27398.8),0)</f>
        <v>12463</v>
      </c>
      <c r="BQ56" s="342" t="n">
        <f aca="false">$BO:$BO+$BP:$BP</f>
        <v>125763</v>
      </c>
      <c r="BR56" s="329" t="n">
        <f aca="false">IFERROR(($BO:$BO+$AJ:$AJ+$AK:$AK)/$AF:$AF,0)</f>
        <v>1.15494393476045</v>
      </c>
      <c r="BS56" s="343" t="n">
        <f aca="false">IF($N:$N="CASUAL","TBC",ROUND($BN:$BN/(NETWORKDAYS("01/07/2023","30/06/2024"))*NETWORKDAYS("10/07/2023","04/09/2023"),0)*$P:$P)</f>
        <v>0</v>
      </c>
      <c r="BT56" s="326" t="n">
        <f aca="false">$BM56+$BI56</f>
        <v>0</v>
      </c>
      <c r="BU56" s="332" t="n">
        <f aca="false">$BN:$BN+$BJ:$BJ</f>
        <v>0</v>
      </c>
      <c r="BV56" s="342" t="n">
        <f aca="false">$BO:$BO*$P:$P</f>
        <v>113300</v>
      </c>
      <c r="BW56" s="344" t="n">
        <f aca="false">ROUND($BO:$BO/1976,2)</f>
        <v>57.34</v>
      </c>
      <c r="BX56" s="316"/>
      <c r="BY56" s="342" t="n">
        <f aca="false">$BQ:$BQ+$BX:$BX</f>
        <v>125763</v>
      </c>
      <c r="BZ56" s="345" t="s">
        <v>294</v>
      </c>
      <c r="CA56" s="316"/>
      <c r="CB56" s="316"/>
      <c r="CC56" s="324" t="str">
        <f aca="false">CONCATENATE(CD56,"",CE56)</f>
        <v/>
      </c>
      <c r="CD56" s="319"/>
      <c r="CE56" s="319"/>
      <c r="CF56" s="322" t="str">
        <f aca="false">IFERROR(INDEX('[4]Lookup_Rem Ranges'!$D$1:$D$1048576,MATCH($CC:$CC,'[4]Lookup_Rem Ranges'!$C$1:$C$1048576,0)),"")</f>
        <v/>
      </c>
      <c r="CG56" s="346"/>
      <c r="CH56" s="346"/>
      <c r="CI56" s="347"/>
      <c r="CJ56" s="348"/>
      <c r="CK56" s="342" t="n">
        <f aca="false">IFERROR(ROUND($CI:$CI*$CJ:$CJ,0),0)</f>
        <v>0</v>
      </c>
      <c r="CL56" s="342" t="n">
        <f aca="false">$CI:$CI+$CK:$CK</f>
        <v>0</v>
      </c>
      <c r="CM56" s="349"/>
      <c r="CN56" s="350" t="n">
        <f aca="false">IF(SUM($CL:$CL&lt;249080),SUM(ROUND($CL:$CL*11%,0)),27398.8)</f>
        <v>0</v>
      </c>
      <c r="CO56" s="350" t="s">
        <v>324</v>
      </c>
      <c r="CP56" s="351" t="n">
        <f aca="false">IF(BA56="Yes",3.25%,0)</f>
        <v>0</v>
      </c>
      <c r="CQ56" s="352" t="n">
        <f aca="false">ROUND(AR56*CP56,0)</f>
        <v>0</v>
      </c>
      <c r="CR56" s="353" t="n">
        <f aca="false">IF($AW:$AW&lt;3.25%,$AW:$AW,3.25%)</f>
        <v>0</v>
      </c>
      <c r="CS56" s="354" t="n">
        <f aca="false">ROUND($AR:$AR*$CR:$CR,0)</f>
        <v>0</v>
      </c>
      <c r="CT56" s="353" t="n">
        <f aca="false">IF($AW:$AW&gt;=3.25%,$AW:$AW-$CR:$CR,0)</f>
        <v>0</v>
      </c>
      <c r="CU56" s="354" t="n">
        <f aca="false">ROUND($AR:$AR*$CT:$CT,0)</f>
        <v>0</v>
      </c>
      <c r="CV56" s="353" t="n">
        <f aca="false">IF($CR:$CR=3.25%,0,IF($BC:$BC&lt;3.25%,$BC:$BC,IF($BC:$BC&gt;3.25%,3.25%-$CR:$CR,0)))</f>
        <v>0</v>
      </c>
      <c r="CW56" s="354" t="n">
        <f aca="false">IFERROR(ROUND($AY:$AY*$CV:$CV,0),0)</f>
        <v>0</v>
      </c>
      <c r="CX56" s="353" t="n">
        <f aca="false">IF($CV:$CV=0,$BC:$BC,BC:BC-$CV:$CV)</f>
        <v>0</v>
      </c>
      <c r="CY56" s="354" t="n">
        <f aca="false">IFERROR(ROUND($AY:$AY*$CX:$CX,0),0)</f>
        <v>0</v>
      </c>
      <c r="CZ56" s="353" t="n">
        <f aca="false">$CR:$CR+$CT:CT+$CV:$CV+$CX:$CX</f>
        <v>0</v>
      </c>
      <c r="DA56" s="353" t="n">
        <f aca="false">(SUM($AW:$AW+$BC:$BC)-$CZ:$CZ)</f>
        <v>0</v>
      </c>
      <c r="DB56" s="353"/>
      <c r="DC56" s="353" t="n">
        <f aca="false">$BE:$BE</f>
        <v>0</v>
      </c>
      <c r="DD56" s="354" t="n">
        <f aca="false">$BF:$BF</f>
        <v>0</v>
      </c>
      <c r="DE56" s="355" t="n">
        <f aca="false">$BI:$BI</f>
        <v>0</v>
      </c>
      <c r="DF56" s="354" t="n">
        <f aca="false">$BJ:$BJ</f>
        <v>0</v>
      </c>
      <c r="DG56" s="355" t="n">
        <f aca="false">$BG:$BG</f>
        <v>0</v>
      </c>
      <c r="DH56" s="354" t="n">
        <f aca="false">IFERROR(ROUND($AP:$AP*$DG:$DG,0),0)</f>
        <v>0</v>
      </c>
      <c r="DI56" s="353" t="n">
        <f aca="false">$CR:$CR+$CV:$CV+$DC:$DC+$DE:$DE+$DG:$DG</f>
        <v>0</v>
      </c>
      <c r="DJ56" s="354" t="n">
        <f aca="false">$CS:$CS+$CW:$CW+$DD:$DD+$DF:$DF+$DH:$DH</f>
        <v>0</v>
      </c>
      <c r="DK56" s="353" t="n">
        <f aca="false">$CT:$CT+$CX:$CX</f>
        <v>0</v>
      </c>
      <c r="DL56" s="354" t="n">
        <f aca="false">$CU:$CU+$CY:$CY</f>
        <v>0</v>
      </c>
      <c r="DM56" s="356"/>
      <c r="DN56" s="357"/>
      <c r="DO56" s="357"/>
      <c r="DP56" s="357"/>
      <c r="DQ56" s="357"/>
      <c r="DR56" s="357"/>
      <c r="DS56" s="357"/>
      <c r="DT56" s="357"/>
      <c r="DU56" s="357"/>
      <c r="DV56" s="357"/>
      <c r="DW56" s="357" t="s">
        <v>498</v>
      </c>
    </row>
    <row r="57" customFormat="false" ht="33.75" hidden="false" customHeight="false" outlineLevel="0" collapsed="false">
      <c r="A57" s="314"/>
      <c r="B57" s="315" t="s">
        <v>273</v>
      </c>
      <c r="C57" s="315" t="s">
        <v>556</v>
      </c>
      <c r="D57" s="315" t="n">
        <v>15307</v>
      </c>
      <c r="E57" s="316" t="s">
        <v>557</v>
      </c>
      <c r="F57" s="316" t="s">
        <v>558</v>
      </c>
      <c r="G57" s="316" t="s">
        <v>277</v>
      </c>
      <c r="H57" s="317" t="s">
        <v>548</v>
      </c>
      <c r="I57" s="316" t="s">
        <v>559</v>
      </c>
      <c r="J57" s="316" t="s">
        <v>550</v>
      </c>
      <c r="K57" s="318" t="n">
        <v>42149</v>
      </c>
      <c r="L57" s="318"/>
      <c r="M57" s="318" t="n">
        <v>44606</v>
      </c>
      <c r="N57" s="319" t="s">
        <v>281</v>
      </c>
      <c r="O57" s="319" t="n">
        <v>38</v>
      </c>
      <c r="P57" s="320" t="n">
        <f aca="false">$O:$O/38</f>
        <v>1</v>
      </c>
      <c r="Q57" s="316" t="s">
        <v>320</v>
      </c>
      <c r="R57" s="316" t="n">
        <v>20790</v>
      </c>
      <c r="S57" s="316" t="s">
        <v>551</v>
      </c>
      <c r="T57" s="316" t="s">
        <v>552</v>
      </c>
      <c r="U57" s="316" t="s">
        <v>553</v>
      </c>
      <c r="V57" s="317" t="s">
        <v>58</v>
      </c>
      <c r="W57" s="317" t="s">
        <v>65</v>
      </c>
      <c r="X57" s="317" t="s">
        <v>286</v>
      </c>
      <c r="Y57" s="321" t="s">
        <v>287</v>
      </c>
      <c r="Z57" s="317" t="s">
        <v>554</v>
      </c>
      <c r="AA57" s="317" t="s">
        <v>319</v>
      </c>
      <c r="AB57" s="321" t="s">
        <v>555</v>
      </c>
      <c r="AC57" s="317" t="s">
        <v>289</v>
      </c>
      <c r="AD57" s="321" t="s">
        <v>290</v>
      </c>
      <c r="AE57" s="322" t="n">
        <f aca="false">IFERROR(INDEX('[3]Lookup_Rem Ranges'!$D$1:$D$1048576,MATCH($AL:$AL,'[3]Lookup_Rem Ranges'!$C$1:$C$1048576,0)),0)</f>
        <v>83400</v>
      </c>
      <c r="AF57" s="322" t="n">
        <f aca="false">IFERROR(INDEX('[3]Lookup_Rem Ranges'!$E$1:$E$1048576,MATCH($AL:$AL,'[3]Lookup_Rem Ranges'!$C$1:$C$1048576,0)),0)</f>
        <v>98100</v>
      </c>
      <c r="AG57" s="322" t="n">
        <f aca="false">IFERROR(INDEX('[3]Lookup_Rem Ranges'!$F$1:$F$1048576,MATCH($AL:$AL,'[3]Lookup_Rem Ranges'!$C$1:$C$1048576,0)),)</f>
        <v>112800</v>
      </c>
      <c r="AH57" s="317" t="s">
        <v>291</v>
      </c>
      <c r="AI57" s="319"/>
      <c r="AJ57" s="323" t="n">
        <v>0</v>
      </c>
      <c r="AK57" s="316"/>
      <c r="AL57" s="324" t="str">
        <f aca="false">CONCATENATE(AM57,"",AN57)</f>
        <v>CASS5</v>
      </c>
      <c r="AM57" s="324" t="s">
        <v>292</v>
      </c>
      <c r="AN57" s="319" t="n">
        <v>5</v>
      </c>
      <c r="AO57" s="316" t="s">
        <v>358</v>
      </c>
      <c r="AP57" s="325" t="n">
        <v>113300</v>
      </c>
      <c r="AQ57" s="322" t="n">
        <f aca="false">ROUND(IF($P:$P&gt;1,$AP:$AP*1,$AP:$AP*$P:$P),0)</f>
        <v>113300</v>
      </c>
      <c r="AR57" s="322" t="n">
        <f aca="false">IF(BA57="Yes",AP57,0)</f>
        <v>0</v>
      </c>
      <c r="AS57" s="326" t="n">
        <v>0.0481036077705828</v>
      </c>
      <c r="AT57" s="326" t="n">
        <v>0</v>
      </c>
      <c r="AU57" s="327"/>
      <c r="AV57" s="322"/>
      <c r="AW57" s="328" t="n">
        <v>0</v>
      </c>
      <c r="AX57" s="322" t="n">
        <v>0</v>
      </c>
      <c r="AY57" s="322" t="n">
        <v>113300</v>
      </c>
      <c r="AZ57" s="329" t="n">
        <f aca="false">IFERROR(($AY:$AY+$AJ:$AJ+$AK:$AK)/$AF:$AF,0)</f>
        <v>1.15494393476045</v>
      </c>
      <c r="BA57" s="330" t="s">
        <v>294</v>
      </c>
      <c r="BB57" s="331" t="n">
        <v>3</v>
      </c>
      <c r="BC57" s="326" t="n">
        <f aca="false">IFERROR($BD:$BD/$AY:$AY,0)</f>
        <v>0</v>
      </c>
      <c r="BD57" s="332" t="n">
        <f aca="false">ROUND(IF($AY:$AY&lt;$AE:$AE,$AE:$AE-$AY:$AY,0),0)</f>
        <v>0</v>
      </c>
      <c r="BE57" s="333" t="n">
        <v>0</v>
      </c>
      <c r="BF57" s="334" t="n">
        <f aca="false">ROUND($AR:$AR*$BE:$BE,0)</f>
        <v>0</v>
      </c>
      <c r="BG57" s="335" t="n">
        <v>0</v>
      </c>
      <c r="BH57" s="336" t="n">
        <f aca="false">ROUND($AR:$AR*$BG:$BG,0)</f>
        <v>0</v>
      </c>
      <c r="BI57" s="333" t="n">
        <v>0</v>
      </c>
      <c r="BJ57" s="334" t="n">
        <f aca="false">ROUND($AR:$AR*$BI:$BI,0)</f>
        <v>0</v>
      </c>
      <c r="BK57" s="334" t="n">
        <f aca="false">ROUND(IF($P:$P&gt;1,$BJ:$BJ*1,$BJ:$BJ*$P:$P),0)</f>
        <v>0</v>
      </c>
      <c r="BL57" s="337"/>
      <c r="BM57" s="338" t="n">
        <f aca="false">$BC:$BC+$BE:$BE+$BG:$BG</f>
        <v>0</v>
      </c>
      <c r="BN57" s="339" t="n">
        <f aca="false">$BD:$BD+$BF:$BF+$BH:$BH</f>
        <v>0</v>
      </c>
      <c r="BO57" s="340" t="n">
        <f aca="false">IFERROR(ROUND($AY:$AY+$BN:$BN,0),0)</f>
        <v>113300</v>
      </c>
      <c r="BP57" s="341" t="n">
        <f aca="false">ROUND(IF(SUM($BO:$BO&lt;249080),SUM(ROUND($BO:$BO*11%,0)),27398.8),0)</f>
        <v>12463</v>
      </c>
      <c r="BQ57" s="342" t="n">
        <f aca="false">$BO:$BO+$BP:$BP</f>
        <v>125763</v>
      </c>
      <c r="BR57" s="329" t="n">
        <f aca="false">IFERROR(($BO:$BO+$AJ:$AJ+$AK:$AK)/$AF:$AF,0)</f>
        <v>1.15494393476045</v>
      </c>
      <c r="BS57" s="343" t="n">
        <f aca="false">IF($N:$N="CASUAL","TBC",ROUND($BN:$BN/(NETWORKDAYS("01/07/2023","30/06/2024"))*NETWORKDAYS("10/07/2023","04/09/2023"),0)*$P:$P)</f>
        <v>0</v>
      </c>
      <c r="BT57" s="326" t="n">
        <f aca="false">$BM57+$BI57</f>
        <v>0</v>
      </c>
      <c r="BU57" s="332" t="n">
        <f aca="false">$BN:$BN+$BJ:$BJ</f>
        <v>0</v>
      </c>
      <c r="BV57" s="342" t="n">
        <f aca="false">$BO:$BO*$P:$P</f>
        <v>113300</v>
      </c>
      <c r="BW57" s="344" t="n">
        <f aca="false">ROUND($BO:$BO/1976,2)</f>
        <v>57.34</v>
      </c>
      <c r="BX57" s="316"/>
      <c r="BY57" s="342" t="n">
        <f aca="false">$BQ:$BQ+$BX:$BX</f>
        <v>125763</v>
      </c>
      <c r="BZ57" s="345" t="s">
        <v>294</v>
      </c>
      <c r="CA57" s="316"/>
      <c r="CB57" s="316"/>
      <c r="CC57" s="324" t="str">
        <f aca="false">CONCATENATE(CD57,"",CE57)</f>
        <v/>
      </c>
      <c r="CD57" s="319"/>
      <c r="CE57" s="319"/>
      <c r="CF57" s="322" t="str">
        <f aca="false">IFERROR(INDEX('[4]Lookup_Rem Ranges'!$D$1:$D$1048576,MATCH($CC:$CC,'[4]Lookup_Rem Ranges'!$C$1:$C$1048576,0)),"")</f>
        <v/>
      </c>
      <c r="CG57" s="346"/>
      <c r="CH57" s="346"/>
      <c r="CI57" s="347"/>
      <c r="CJ57" s="348"/>
      <c r="CK57" s="342" t="n">
        <f aca="false">IFERROR(ROUND($CI:$CI*$CJ:$CJ,0),0)</f>
        <v>0</v>
      </c>
      <c r="CL57" s="342" t="n">
        <f aca="false">$CI:$CI+$CK:$CK</f>
        <v>0</v>
      </c>
      <c r="CM57" s="349"/>
      <c r="CN57" s="350" t="n">
        <f aca="false">IF(SUM($CL:$CL&lt;249080),SUM(ROUND($CL:$CL*11%,0)),27398.8)</f>
        <v>0</v>
      </c>
      <c r="CO57" s="350" t="s">
        <v>324</v>
      </c>
      <c r="CP57" s="351" t="n">
        <f aca="false">IF(BA57="Yes",3.25%,0)</f>
        <v>0</v>
      </c>
      <c r="CQ57" s="352" t="n">
        <f aca="false">ROUND(AR57*CP57,0)</f>
        <v>0</v>
      </c>
      <c r="CR57" s="353" t="n">
        <f aca="false">IF($AW:$AW&lt;3.25%,$AW:$AW,3.25%)</f>
        <v>0</v>
      </c>
      <c r="CS57" s="354" t="n">
        <f aca="false">ROUND($AR:$AR*$CR:$CR,0)</f>
        <v>0</v>
      </c>
      <c r="CT57" s="353" t="n">
        <f aca="false">IF($AW:$AW&gt;=3.25%,$AW:$AW-$CR:$CR,0)</f>
        <v>0</v>
      </c>
      <c r="CU57" s="354" t="n">
        <f aca="false">ROUND($AR:$AR*$CT:$CT,0)</f>
        <v>0</v>
      </c>
      <c r="CV57" s="353" t="n">
        <f aca="false">IF($CR:$CR=3.25%,0,IF($BC:$BC&lt;3.25%,$BC:$BC,IF($BC:$BC&gt;3.25%,3.25%-$CR:$CR,0)))</f>
        <v>0</v>
      </c>
      <c r="CW57" s="354" t="n">
        <f aca="false">IFERROR(ROUND($AY:$AY*$CV:$CV,0),0)</f>
        <v>0</v>
      </c>
      <c r="CX57" s="353" t="n">
        <f aca="false">IF($CV:$CV=0,$BC:$BC,BC:BC-$CV:$CV)</f>
        <v>0</v>
      </c>
      <c r="CY57" s="354" t="n">
        <f aca="false">IFERROR(ROUND($AY:$AY*$CX:$CX,0),0)</f>
        <v>0</v>
      </c>
      <c r="CZ57" s="353" t="n">
        <f aca="false">$CR:$CR+$CT:CT+$CV:$CV+$CX:$CX</f>
        <v>0</v>
      </c>
      <c r="DA57" s="353" t="n">
        <f aca="false">(SUM($AW:$AW+$BC:$BC)-$CZ:$CZ)</f>
        <v>0</v>
      </c>
      <c r="DB57" s="353"/>
      <c r="DC57" s="353" t="n">
        <f aca="false">$BE:$BE</f>
        <v>0</v>
      </c>
      <c r="DD57" s="354" t="n">
        <f aca="false">$BF:$BF</f>
        <v>0</v>
      </c>
      <c r="DE57" s="355" t="n">
        <f aca="false">$BI:$BI</f>
        <v>0</v>
      </c>
      <c r="DF57" s="354" t="n">
        <f aca="false">$BJ:$BJ</f>
        <v>0</v>
      </c>
      <c r="DG57" s="355" t="n">
        <f aca="false">$BG:$BG</f>
        <v>0</v>
      </c>
      <c r="DH57" s="354" t="n">
        <f aca="false">IFERROR(ROUND($AP:$AP*$DG:$DG,0),0)</f>
        <v>0</v>
      </c>
      <c r="DI57" s="353" t="n">
        <f aca="false">$CR:$CR+$CV:$CV+$DC:$DC+$DE:$DE+$DG:$DG</f>
        <v>0</v>
      </c>
      <c r="DJ57" s="354" t="n">
        <f aca="false">$CS:$CS+$CW:$CW+$DD:$DD+$DF:$DF+$DH:$DH</f>
        <v>0</v>
      </c>
      <c r="DK57" s="353" t="n">
        <f aca="false">$CT:$CT+$CX:$CX</f>
        <v>0</v>
      </c>
      <c r="DL57" s="354" t="n">
        <f aca="false">$CU:$CU+$CY:$CY</f>
        <v>0</v>
      </c>
      <c r="DM57" s="356"/>
      <c r="DN57" s="357"/>
      <c r="DO57" s="357"/>
      <c r="DP57" s="357"/>
      <c r="DQ57" s="357"/>
      <c r="DR57" s="357"/>
      <c r="DS57" s="357"/>
      <c r="DT57" s="357"/>
      <c r="DU57" s="357"/>
      <c r="DV57" s="357"/>
      <c r="DW57" s="357" t="s">
        <v>498</v>
      </c>
    </row>
    <row r="58" customFormat="false" ht="22.5" hidden="false" customHeight="false" outlineLevel="0" collapsed="false">
      <c r="A58" s="314"/>
      <c r="B58" s="315" t="s">
        <v>273</v>
      </c>
      <c r="C58" s="315" t="s">
        <v>560</v>
      </c>
      <c r="D58" s="315" t="n">
        <v>18659</v>
      </c>
      <c r="E58" s="316" t="s">
        <v>561</v>
      </c>
      <c r="F58" s="316" t="s">
        <v>562</v>
      </c>
      <c r="G58" s="316" t="s">
        <v>277</v>
      </c>
      <c r="H58" s="317" t="s">
        <v>548</v>
      </c>
      <c r="I58" s="316" t="s">
        <v>559</v>
      </c>
      <c r="J58" s="316" t="s">
        <v>550</v>
      </c>
      <c r="K58" s="318" t="n">
        <v>43647</v>
      </c>
      <c r="L58" s="318"/>
      <c r="M58" s="318" t="n">
        <v>44606</v>
      </c>
      <c r="N58" s="319" t="s">
        <v>281</v>
      </c>
      <c r="O58" s="319" t="n">
        <v>38</v>
      </c>
      <c r="P58" s="320" t="n">
        <f aca="false">$O:$O/38</f>
        <v>1</v>
      </c>
      <c r="Q58" s="316" t="s">
        <v>320</v>
      </c>
      <c r="R58" s="316" t="n">
        <v>20790</v>
      </c>
      <c r="S58" s="316" t="s">
        <v>551</v>
      </c>
      <c r="T58" s="316" t="s">
        <v>552</v>
      </c>
      <c r="U58" s="316" t="s">
        <v>553</v>
      </c>
      <c r="V58" s="317" t="s">
        <v>58</v>
      </c>
      <c r="W58" s="317" t="s">
        <v>65</v>
      </c>
      <c r="X58" s="317" t="s">
        <v>286</v>
      </c>
      <c r="Y58" s="321" t="s">
        <v>287</v>
      </c>
      <c r="Z58" s="317" t="s">
        <v>554</v>
      </c>
      <c r="AA58" s="317" t="s">
        <v>319</v>
      </c>
      <c r="AB58" s="321" t="s">
        <v>555</v>
      </c>
      <c r="AC58" s="317" t="s">
        <v>289</v>
      </c>
      <c r="AD58" s="321" t="s">
        <v>290</v>
      </c>
      <c r="AE58" s="322" t="n">
        <f aca="false">IFERROR(INDEX('[3]Lookup_Rem Ranges'!$D$1:$D$1048576,MATCH($AL:$AL,'[3]Lookup_Rem Ranges'!$C$1:$C$1048576,0)),0)</f>
        <v>83400</v>
      </c>
      <c r="AF58" s="322" t="n">
        <f aca="false">IFERROR(INDEX('[3]Lookup_Rem Ranges'!$E$1:$E$1048576,MATCH($AL:$AL,'[3]Lookup_Rem Ranges'!$C$1:$C$1048576,0)),0)</f>
        <v>98100</v>
      </c>
      <c r="AG58" s="322" t="n">
        <f aca="false">IFERROR(INDEX('[3]Lookup_Rem Ranges'!$F$1:$F$1048576,MATCH($AL:$AL,'[3]Lookup_Rem Ranges'!$C$1:$C$1048576,0)),)</f>
        <v>112800</v>
      </c>
      <c r="AH58" s="317" t="s">
        <v>291</v>
      </c>
      <c r="AI58" s="319"/>
      <c r="AJ58" s="323" t="n">
        <v>0</v>
      </c>
      <c r="AK58" s="316"/>
      <c r="AL58" s="324" t="str">
        <f aca="false">CONCATENATE(AM58,"",AN58)</f>
        <v>CASS5</v>
      </c>
      <c r="AM58" s="324" t="s">
        <v>292</v>
      </c>
      <c r="AN58" s="319" t="n">
        <v>5</v>
      </c>
      <c r="AO58" s="316" t="s">
        <v>358</v>
      </c>
      <c r="AP58" s="325" t="n">
        <v>113300</v>
      </c>
      <c r="AQ58" s="322" t="n">
        <f aca="false">ROUND(IF($P:$P&gt;1,$AP:$AP*1,$AP:$AP*$P:$P),0)</f>
        <v>113300</v>
      </c>
      <c r="AR58" s="322" t="n">
        <f aca="false">IF(BA58="Yes",AP58,0)</f>
        <v>0</v>
      </c>
      <c r="AS58" s="326" t="n">
        <v>0.0688679245283019</v>
      </c>
      <c r="AT58" s="326" t="n">
        <v>0</v>
      </c>
      <c r="AU58" s="327"/>
      <c r="AV58" s="322"/>
      <c r="AW58" s="328" t="n">
        <v>0</v>
      </c>
      <c r="AX58" s="322" t="n">
        <v>0</v>
      </c>
      <c r="AY58" s="322" t="n">
        <v>113300</v>
      </c>
      <c r="AZ58" s="329" t="n">
        <f aca="false">IFERROR(($AY:$AY+$AJ:$AJ+$AK:$AK)/$AF:$AF,0)</f>
        <v>1.15494393476045</v>
      </c>
      <c r="BA58" s="330" t="s">
        <v>294</v>
      </c>
      <c r="BB58" s="331" t="n">
        <v>3</v>
      </c>
      <c r="BC58" s="326" t="n">
        <f aca="false">IFERROR($BD:$BD/$AY:$AY,0)</f>
        <v>0</v>
      </c>
      <c r="BD58" s="332" t="n">
        <f aca="false">ROUND(IF($AY:$AY&lt;$AE:$AE,$AE:$AE-$AY:$AY,0),0)</f>
        <v>0</v>
      </c>
      <c r="BE58" s="333" t="n">
        <v>0</v>
      </c>
      <c r="BF58" s="334" t="n">
        <f aca="false">ROUND($AR:$AR*$BE:$BE,0)</f>
        <v>0</v>
      </c>
      <c r="BG58" s="335" t="n">
        <v>0</v>
      </c>
      <c r="BH58" s="336" t="n">
        <f aca="false">ROUND($AR:$AR*$BG:$BG,0)</f>
        <v>0</v>
      </c>
      <c r="BI58" s="333" t="n">
        <v>0</v>
      </c>
      <c r="BJ58" s="334" t="n">
        <f aca="false">ROUND($AR:$AR*$BI:$BI,0)</f>
        <v>0</v>
      </c>
      <c r="BK58" s="334" t="n">
        <f aca="false">ROUND(IF($P:$P&gt;1,$BJ:$BJ*1,$BJ:$BJ*$P:$P),0)</f>
        <v>0</v>
      </c>
      <c r="BL58" s="337"/>
      <c r="BM58" s="338" t="n">
        <f aca="false">$BC:$BC+$BE:$BE+$BG:$BG</f>
        <v>0</v>
      </c>
      <c r="BN58" s="339" t="n">
        <f aca="false">$BD:$BD+$BF:$BF+$BH:$BH</f>
        <v>0</v>
      </c>
      <c r="BO58" s="340" t="n">
        <f aca="false">IFERROR(ROUND($AY:$AY+$BN:$BN,0),0)</f>
        <v>113300</v>
      </c>
      <c r="BP58" s="341" t="n">
        <f aca="false">ROUND(IF(SUM($BO:$BO&lt;249080),SUM(ROUND($BO:$BO*11%,0)),27398.8),0)</f>
        <v>12463</v>
      </c>
      <c r="BQ58" s="342" t="n">
        <f aca="false">$BO:$BO+$BP:$BP</f>
        <v>125763</v>
      </c>
      <c r="BR58" s="329" t="n">
        <f aca="false">IFERROR(($BO:$BO+$AJ:$AJ+$AK:$AK)/$AF:$AF,0)</f>
        <v>1.15494393476045</v>
      </c>
      <c r="BS58" s="343" t="n">
        <f aca="false">IF($N:$N="CASUAL","TBC",ROUND($BN:$BN/(NETWORKDAYS("01/07/2023","30/06/2024"))*NETWORKDAYS("10/07/2023","04/09/2023"),0)*$P:$P)</f>
        <v>0</v>
      </c>
      <c r="BT58" s="326" t="n">
        <f aca="false">$BM58+$BI58</f>
        <v>0</v>
      </c>
      <c r="BU58" s="332" t="n">
        <f aca="false">$BN:$BN+$BJ:$BJ</f>
        <v>0</v>
      </c>
      <c r="BV58" s="342" t="n">
        <f aca="false">$BO:$BO*$P:$P</f>
        <v>113300</v>
      </c>
      <c r="BW58" s="344" t="n">
        <f aca="false">ROUND($BO:$BO/1976,2)</f>
        <v>57.34</v>
      </c>
      <c r="BX58" s="316"/>
      <c r="BY58" s="342" t="n">
        <f aca="false">$BQ:$BQ+$BX:$BX</f>
        <v>125763</v>
      </c>
      <c r="BZ58" s="345" t="s">
        <v>294</v>
      </c>
      <c r="CA58" s="316"/>
      <c r="CB58" s="316"/>
      <c r="CC58" s="324" t="str">
        <f aca="false">CONCATENATE(CD58,"",CE58)</f>
        <v/>
      </c>
      <c r="CD58" s="319"/>
      <c r="CE58" s="319"/>
      <c r="CF58" s="322" t="str">
        <f aca="false">IFERROR(INDEX('[4]Lookup_Rem Ranges'!$D$1:$D$1048576,MATCH($CC:$CC,'[4]Lookup_Rem Ranges'!$C$1:$C$1048576,0)),"")</f>
        <v/>
      </c>
      <c r="CG58" s="346"/>
      <c r="CH58" s="346"/>
      <c r="CI58" s="347"/>
      <c r="CJ58" s="348"/>
      <c r="CK58" s="342" t="n">
        <f aca="false">IFERROR(ROUND($CI:$CI*$CJ:$CJ,0),0)</f>
        <v>0</v>
      </c>
      <c r="CL58" s="342" t="n">
        <f aca="false">$CI:$CI+$CK:$CK</f>
        <v>0</v>
      </c>
      <c r="CM58" s="349"/>
      <c r="CN58" s="350" t="n">
        <f aca="false">IF(SUM($CL:$CL&lt;249080),SUM(ROUND($CL:$CL*11%,0)),27398.8)</f>
        <v>0</v>
      </c>
      <c r="CO58" s="350" t="s">
        <v>305</v>
      </c>
      <c r="CP58" s="351" t="n">
        <f aca="false">IF(BA58="Yes",3.25%,0)</f>
        <v>0</v>
      </c>
      <c r="CQ58" s="352" t="n">
        <f aca="false">ROUND(AR58*CP58,0)</f>
        <v>0</v>
      </c>
      <c r="CR58" s="353" t="n">
        <f aca="false">IF($AW:$AW&lt;3.25%,$AW:$AW,3.25%)</f>
        <v>0</v>
      </c>
      <c r="CS58" s="354" t="n">
        <f aca="false">ROUND($AR:$AR*$CR:$CR,0)</f>
        <v>0</v>
      </c>
      <c r="CT58" s="353" t="n">
        <f aca="false">IF($AW:$AW&gt;=3.25%,$AW:$AW-$CR:$CR,0)</f>
        <v>0</v>
      </c>
      <c r="CU58" s="354" t="n">
        <f aca="false">ROUND($AR:$AR*$CT:$CT,0)</f>
        <v>0</v>
      </c>
      <c r="CV58" s="353" t="n">
        <f aca="false">IF($CR:$CR=3.25%,0,IF($BC:$BC&lt;3.25%,$BC:$BC,IF($BC:$BC&gt;3.25%,3.25%-$CR:$CR,0)))</f>
        <v>0</v>
      </c>
      <c r="CW58" s="354" t="n">
        <f aca="false">IFERROR(ROUND($AY:$AY*$CV:$CV,0),0)</f>
        <v>0</v>
      </c>
      <c r="CX58" s="353" t="n">
        <f aca="false">IF($CV:$CV=0,$BC:$BC,BC:BC-$CV:$CV)</f>
        <v>0</v>
      </c>
      <c r="CY58" s="354" t="n">
        <f aca="false">IFERROR(ROUND($AY:$AY*$CX:$CX,0),0)</f>
        <v>0</v>
      </c>
      <c r="CZ58" s="353" t="n">
        <f aca="false">$CR:$CR+$CT:CT+$CV:$CV+$CX:$CX</f>
        <v>0</v>
      </c>
      <c r="DA58" s="353" t="n">
        <f aca="false">(SUM($AW:$AW+$BC:$BC)-$CZ:$CZ)</f>
        <v>0</v>
      </c>
      <c r="DB58" s="353"/>
      <c r="DC58" s="353" t="n">
        <f aca="false">$BE:$BE</f>
        <v>0</v>
      </c>
      <c r="DD58" s="354" t="n">
        <f aca="false">$BF:$BF</f>
        <v>0</v>
      </c>
      <c r="DE58" s="355" t="n">
        <f aca="false">$BI:$BI</f>
        <v>0</v>
      </c>
      <c r="DF58" s="354" t="n">
        <f aca="false">$BJ:$BJ</f>
        <v>0</v>
      </c>
      <c r="DG58" s="355" t="n">
        <f aca="false">$BG:$BG</f>
        <v>0</v>
      </c>
      <c r="DH58" s="354" t="n">
        <f aca="false">IFERROR(ROUND($AP:$AP*$DG:$DG,0),0)</f>
        <v>0</v>
      </c>
      <c r="DI58" s="353" t="n">
        <f aca="false">$CR:$CR+$CV:$CV+$DC:$DC+$DE:$DE+$DG:$DG</f>
        <v>0</v>
      </c>
      <c r="DJ58" s="354" t="n">
        <f aca="false">$CS:$CS+$CW:$CW+$DD:$DD+$DF:$DF+$DH:$DH</f>
        <v>0</v>
      </c>
      <c r="DK58" s="353" t="n">
        <f aca="false">$CT:$CT+$CX:$CX</f>
        <v>0</v>
      </c>
      <c r="DL58" s="354" t="n">
        <f aca="false">$CU:$CU+$CY:$CY</f>
        <v>0</v>
      </c>
      <c r="DM58" s="356"/>
      <c r="DN58" s="357"/>
      <c r="DO58" s="357"/>
      <c r="DP58" s="357"/>
      <c r="DQ58" s="357"/>
      <c r="DR58" s="357"/>
      <c r="DS58" s="357"/>
      <c r="DT58" s="357"/>
      <c r="DU58" s="357"/>
      <c r="DV58" s="357"/>
      <c r="DW58" s="357" t="s">
        <v>498</v>
      </c>
    </row>
    <row r="59" customFormat="false" ht="22.5" hidden="false" customHeight="false" outlineLevel="0" collapsed="false">
      <c r="A59" s="314"/>
      <c r="B59" s="315" t="s">
        <v>273</v>
      </c>
      <c r="C59" s="315" t="s">
        <v>563</v>
      </c>
      <c r="D59" s="315" t="n">
        <v>21083</v>
      </c>
      <c r="E59" s="316" t="s">
        <v>564</v>
      </c>
      <c r="F59" s="316" t="s">
        <v>565</v>
      </c>
      <c r="G59" s="316" t="s">
        <v>277</v>
      </c>
      <c r="H59" s="317" t="s">
        <v>548</v>
      </c>
      <c r="I59" s="316" t="s">
        <v>566</v>
      </c>
      <c r="J59" s="316" t="s">
        <v>550</v>
      </c>
      <c r="K59" s="318" t="n">
        <v>44739</v>
      </c>
      <c r="L59" s="318"/>
      <c r="M59" s="318" t="n">
        <v>44739</v>
      </c>
      <c r="N59" s="319" t="s">
        <v>281</v>
      </c>
      <c r="O59" s="319" t="n">
        <v>38</v>
      </c>
      <c r="P59" s="320" t="n">
        <f aca="false">$O:$O/38</f>
        <v>1</v>
      </c>
      <c r="Q59" s="316" t="s">
        <v>320</v>
      </c>
      <c r="R59" s="316" t="n">
        <v>20790</v>
      </c>
      <c r="S59" s="316" t="s">
        <v>551</v>
      </c>
      <c r="T59" s="316" t="s">
        <v>552</v>
      </c>
      <c r="U59" s="316" t="s">
        <v>553</v>
      </c>
      <c r="V59" s="317" t="s">
        <v>58</v>
      </c>
      <c r="W59" s="317" t="s">
        <v>65</v>
      </c>
      <c r="X59" s="317" t="s">
        <v>286</v>
      </c>
      <c r="Y59" s="321" t="s">
        <v>287</v>
      </c>
      <c r="Z59" s="317" t="s">
        <v>554</v>
      </c>
      <c r="AA59" s="317" t="s">
        <v>319</v>
      </c>
      <c r="AB59" s="321" t="s">
        <v>555</v>
      </c>
      <c r="AC59" s="317" t="s">
        <v>289</v>
      </c>
      <c r="AD59" s="321" t="s">
        <v>290</v>
      </c>
      <c r="AE59" s="322" t="n">
        <f aca="false">IFERROR(INDEX('[3]Lookup_Rem Ranges'!$D$1:$D$1048576,MATCH($AL:$AL,'[3]Lookup_Rem Ranges'!$C$1:$C$1048576,0)),0)</f>
        <v>83400</v>
      </c>
      <c r="AF59" s="322" t="n">
        <f aca="false">IFERROR(INDEX('[3]Lookup_Rem Ranges'!$E$1:$E$1048576,MATCH($AL:$AL,'[3]Lookup_Rem Ranges'!$C$1:$C$1048576,0)),0)</f>
        <v>98100</v>
      </c>
      <c r="AG59" s="322" t="n">
        <f aca="false">IFERROR(INDEX('[3]Lookup_Rem Ranges'!$F$1:$F$1048576,MATCH($AL:$AL,'[3]Lookup_Rem Ranges'!$C$1:$C$1048576,0)),)</f>
        <v>112800</v>
      </c>
      <c r="AH59" s="317" t="s">
        <v>291</v>
      </c>
      <c r="AI59" s="319"/>
      <c r="AJ59" s="323" t="n">
        <v>0</v>
      </c>
      <c r="AK59" s="316"/>
      <c r="AL59" s="324" t="str">
        <f aca="false">CONCATENATE(AM59,"",AN59)</f>
        <v>CASS5</v>
      </c>
      <c r="AM59" s="324" t="s">
        <v>292</v>
      </c>
      <c r="AN59" s="319" t="n">
        <v>5</v>
      </c>
      <c r="AO59" s="316" t="s">
        <v>358</v>
      </c>
      <c r="AP59" s="325" t="n">
        <v>106000</v>
      </c>
      <c r="AQ59" s="322" t="n">
        <f aca="false">ROUND(IF($P:$P&gt;1,$AP:$AP*1,$AP:$AP*$P:$P),0)</f>
        <v>106000</v>
      </c>
      <c r="AR59" s="322" t="n">
        <f aca="false">IF(BA59="Yes",AP59,0)</f>
        <v>0</v>
      </c>
      <c r="AS59" s="326" t="s">
        <v>339</v>
      </c>
      <c r="AT59" s="326" t="n">
        <v>0</v>
      </c>
      <c r="AU59" s="327"/>
      <c r="AV59" s="322"/>
      <c r="AW59" s="328" t="n">
        <v>0</v>
      </c>
      <c r="AX59" s="322" t="n">
        <v>0</v>
      </c>
      <c r="AY59" s="322" t="n">
        <v>106000</v>
      </c>
      <c r="AZ59" s="329" t="n">
        <f aca="false">IFERROR(($AY:$AY+$AJ:$AJ+$AK:$AK)/$AF:$AF,0)</f>
        <v>1.08053007135576</v>
      </c>
      <c r="BA59" s="330" t="s">
        <v>294</v>
      </c>
      <c r="BB59" s="331" t="n">
        <v>3</v>
      </c>
      <c r="BC59" s="326" t="n">
        <f aca="false">IFERROR($BD:$BD/$AY:$AY,0)</f>
        <v>0</v>
      </c>
      <c r="BD59" s="332" t="n">
        <f aca="false">ROUND(IF($AY:$AY&lt;$AE:$AE,$AE:$AE-$AY:$AY,0),0)</f>
        <v>0</v>
      </c>
      <c r="BE59" s="333" t="n">
        <v>0</v>
      </c>
      <c r="BF59" s="334" t="n">
        <f aca="false">ROUND($AR:$AR*$BE:$BE,0)</f>
        <v>0</v>
      </c>
      <c r="BG59" s="335" t="n">
        <v>0</v>
      </c>
      <c r="BH59" s="336" t="n">
        <f aca="false">ROUND($AR:$AR*$BG:$BG,0)</f>
        <v>0</v>
      </c>
      <c r="BI59" s="333" t="n">
        <v>0</v>
      </c>
      <c r="BJ59" s="334" t="n">
        <f aca="false">ROUND($AR:$AR*$BI:$BI,0)</f>
        <v>0</v>
      </c>
      <c r="BK59" s="334" t="n">
        <f aca="false">ROUND(IF($P:$P&gt;1,$BJ:$BJ*1,$BJ:$BJ*$P:$P),0)</f>
        <v>0</v>
      </c>
      <c r="BL59" s="337"/>
      <c r="BM59" s="338" t="n">
        <f aca="false">$BC:$BC+$BE:$BE+$BG:$BG</f>
        <v>0</v>
      </c>
      <c r="BN59" s="339" t="n">
        <f aca="false">$BD:$BD+$BF:$BF+$BH:$BH</f>
        <v>0</v>
      </c>
      <c r="BO59" s="340" t="n">
        <f aca="false">IFERROR(ROUND($AY:$AY+$BN:$BN,0),0)</f>
        <v>106000</v>
      </c>
      <c r="BP59" s="341" t="n">
        <f aca="false">ROUND(IF(SUM($BO:$BO&lt;249080),SUM(ROUND($BO:$BO*11%,0)),27398.8),0)</f>
        <v>11660</v>
      </c>
      <c r="BQ59" s="342" t="n">
        <f aca="false">$BO:$BO+$BP:$BP</f>
        <v>117660</v>
      </c>
      <c r="BR59" s="329" t="n">
        <f aca="false">IFERROR(($BO:$BO+$AJ:$AJ+$AK:$AK)/$AF:$AF,0)</f>
        <v>1.08053007135576</v>
      </c>
      <c r="BS59" s="343" t="n">
        <f aca="false">IF($N:$N="CASUAL","TBC",ROUND($BN:$BN/(NETWORKDAYS("01/07/2023","30/06/2024"))*NETWORKDAYS("10/07/2023","04/09/2023"),0)*$P:$P)</f>
        <v>0</v>
      </c>
      <c r="BT59" s="326" t="n">
        <f aca="false">$BM59+$BI59</f>
        <v>0</v>
      </c>
      <c r="BU59" s="332" t="n">
        <f aca="false">$BN:$BN+$BJ:$BJ</f>
        <v>0</v>
      </c>
      <c r="BV59" s="342" t="n">
        <f aca="false">$BO:$BO*$P:$P</f>
        <v>106000</v>
      </c>
      <c r="BW59" s="344" t="n">
        <f aca="false">ROUND($BO:$BO/1976,2)</f>
        <v>53.64</v>
      </c>
      <c r="BX59" s="316"/>
      <c r="BY59" s="342" t="n">
        <f aca="false">$BQ:$BQ+$BX:$BX</f>
        <v>117660</v>
      </c>
      <c r="BZ59" s="345" t="s">
        <v>294</v>
      </c>
      <c r="CA59" s="316"/>
      <c r="CB59" s="316"/>
      <c r="CC59" s="324" t="str">
        <f aca="false">CONCATENATE(CD59,"",CE59)</f>
        <v/>
      </c>
      <c r="CD59" s="319"/>
      <c r="CE59" s="319"/>
      <c r="CF59" s="322" t="str">
        <f aca="false">IFERROR(INDEX('[4]Lookup_Rem Ranges'!$D$1:$D$1048576,MATCH($CC:$CC,'[4]Lookup_Rem Ranges'!$C$1:$C$1048576,0)),"")</f>
        <v/>
      </c>
      <c r="CG59" s="346"/>
      <c r="CH59" s="346"/>
      <c r="CI59" s="347"/>
      <c r="CJ59" s="348"/>
      <c r="CK59" s="342" t="n">
        <f aca="false">IFERROR(ROUND($CI:$CI*$CJ:$CJ,0),0)</f>
        <v>0</v>
      </c>
      <c r="CL59" s="342" t="n">
        <f aca="false">$CI:$CI+$CK:$CK</f>
        <v>0</v>
      </c>
      <c r="CM59" s="349"/>
      <c r="CN59" s="350" t="n">
        <f aca="false">IF(SUM($CL:$CL&lt;249080),SUM(ROUND($CL:$CL*11%,0)),27398.8)</f>
        <v>0</v>
      </c>
      <c r="CO59" s="350" t="s">
        <v>313</v>
      </c>
      <c r="CP59" s="351" t="n">
        <f aca="false">IF(BA59="Yes",3.25%,0)</f>
        <v>0</v>
      </c>
      <c r="CQ59" s="352" t="n">
        <f aca="false">ROUND(AR59*CP59,0)</f>
        <v>0</v>
      </c>
      <c r="CR59" s="353" t="n">
        <f aca="false">IF($AW:$AW&lt;3.25%,$AW:$AW,3.25%)</f>
        <v>0</v>
      </c>
      <c r="CS59" s="354" t="n">
        <f aca="false">ROUND($AR:$AR*$CR:$CR,0)</f>
        <v>0</v>
      </c>
      <c r="CT59" s="353" t="n">
        <f aca="false">IF($AW:$AW&gt;=3.25%,$AW:$AW-$CR:$CR,0)</f>
        <v>0</v>
      </c>
      <c r="CU59" s="354" t="n">
        <f aca="false">ROUND($AR:$AR*$CT:$CT,0)</f>
        <v>0</v>
      </c>
      <c r="CV59" s="353" t="n">
        <f aca="false">IF($CR:$CR=3.25%,0,IF($BC:$BC&lt;3.25%,$BC:$BC,IF($BC:$BC&gt;3.25%,3.25%-$CR:$CR,0)))</f>
        <v>0</v>
      </c>
      <c r="CW59" s="354" t="n">
        <f aca="false">IFERROR(ROUND($AY:$AY*$CV:$CV,0),0)</f>
        <v>0</v>
      </c>
      <c r="CX59" s="353" t="n">
        <f aca="false">IF($CV:$CV=0,$BC:$BC,BC:BC-$CV:$CV)</f>
        <v>0</v>
      </c>
      <c r="CY59" s="354" t="n">
        <f aca="false">IFERROR(ROUND($AY:$AY*$CX:$CX,0),0)</f>
        <v>0</v>
      </c>
      <c r="CZ59" s="353" t="n">
        <f aca="false">$CR:$CR+$CT:CT+$CV:$CV+$CX:$CX</f>
        <v>0</v>
      </c>
      <c r="DA59" s="353" t="n">
        <f aca="false">(SUM($AW:$AW+$BC:$BC)-$CZ:$CZ)</f>
        <v>0</v>
      </c>
      <c r="DB59" s="353"/>
      <c r="DC59" s="353" t="n">
        <f aca="false">$BE:$BE</f>
        <v>0</v>
      </c>
      <c r="DD59" s="354" t="n">
        <f aca="false">$BF:$BF</f>
        <v>0</v>
      </c>
      <c r="DE59" s="355" t="n">
        <f aca="false">$BI:$BI</f>
        <v>0</v>
      </c>
      <c r="DF59" s="354" t="n">
        <f aca="false">$BJ:$BJ</f>
        <v>0</v>
      </c>
      <c r="DG59" s="355" t="n">
        <f aca="false">$BG:$BG</f>
        <v>0</v>
      </c>
      <c r="DH59" s="354" t="n">
        <f aca="false">IFERROR(ROUND($AP:$AP*$DG:$DG,0),0)</f>
        <v>0</v>
      </c>
      <c r="DI59" s="353" t="n">
        <f aca="false">$CR:$CR+$CV:$CV+$DC:$DC+$DE:$DE+$DG:$DG</f>
        <v>0</v>
      </c>
      <c r="DJ59" s="354" t="n">
        <f aca="false">$CS:$CS+$CW:$CW+$DD:$DD+$DF:$DF+$DH:$DH</f>
        <v>0</v>
      </c>
      <c r="DK59" s="353" t="n">
        <f aca="false">$CT:$CT+$CX:$CX</f>
        <v>0</v>
      </c>
      <c r="DL59" s="354" t="n">
        <f aca="false">$CU:$CU+$CY:$CY</f>
        <v>0</v>
      </c>
      <c r="DM59" s="356"/>
      <c r="DN59" s="357"/>
      <c r="DO59" s="357"/>
      <c r="DP59" s="357"/>
      <c r="DQ59" s="357"/>
      <c r="DR59" s="357"/>
      <c r="DS59" s="357"/>
      <c r="DT59" s="357"/>
      <c r="DU59" s="357"/>
      <c r="DV59" s="357"/>
      <c r="DW59" s="357" t="s">
        <v>498</v>
      </c>
    </row>
    <row r="60" customFormat="false" ht="33.75" hidden="false" customHeight="false" outlineLevel="0" collapsed="false">
      <c r="A60" s="314"/>
      <c r="B60" s="315" t="s">
        <v>273</v>
      </c>
      <c r="C60" s="315" t="s">
        <v>567</v>
      </c>
      <c r="D60" s="315" t="n">
        <v>14381</v>
      </c>
      <c r="E60" s="316" t="s">
        <v>568</v>
      </c>
      <c r="F60" s="316" t="s">
        <v>569</v>
      </c>
      <c r="G60" s="316" t="s">
        <v>300</v>
      </c>
      <c r="H60" s="317" t="s">
        <v>570</v>
      </c>
      <c r="I60" s="316" t="s">
        <v>571</v>
      </c>
      <c r="J60" s="316" t="s">
        <v>572</v>
      </c>
      <c r="K60" s="318" t="n">
        <v>41680</v>
      </c>
      <c r="L60" s="318"/>
      <c r="M60" s="318" t="n">
        <v>44606</v>
      </c>
      <c r="N60" s="319" t="s">
        <v>281</v>
      </c>
      <c r="O60" s="319" t="n">
        <v>38</v>
      </c>
      <c r="P60" s="320" t="n">
        <f aca="false">$O:$O/38</f>
        <v>1</v>
      </c>
      <c r="Q60" s="316" t="s">
        <v>332</v>
      </c>
      <c r="R60" s="316" t="n">
        <v>20790</v>
      </c>
      <c r="S60" s="316" t="s">
        <v>551</v>
      </c>
      <c r="T60" s="316" t="s">
        <v>552</v>
      </c>
      <c r="U60" s="316" t="s">
        <v>553</v>
      </c>
      <c r="V60" s="317" t="s">
        <v>58</v>
      </c>
      <c r="W60" s="317" t="s">
        <v>65</v>
      </c>
      <c r="X60" s="317" t="s">
        <v>286</v>
      </c>
      <c r="Y60" s="321" t="s">
        <v>287</v>
      </c>
      <c r="Z60" s="317" t="s">
        <v>554</v>
      </c>
      <c r="AA60" s="317" t="s">
        <v>319</v>
      </c>
      <c r="AB60" s="321" t="s">
        <v>555</v>
      </c>
      <c r="AC60" s="317" t="s">
        <v>289</v>
      </c>
      <c r="AD60" s="321" t="s">
        <v>290</v>
      </c>
      <c r="AE60" s="322" t="n">
        <f aca="false">IFERROR(INDEX('[3]Lookup_Rem Ranges'!$D$1:$D$1048576,MATCH($AL:$AL,'[3]Lookup_Rem Ranges'!$C$1:$C$1048576,0)),0)</f>
        <v>83400</v>
      </c>
      <c r="AF60" s="322" t="n">
        <f aca="false">IFERROR(INDEX('[3]Lookup_Rem Ranges'!$E$1:$E$1048576,MATCH($AL:$AL,'[3]Lookup_Rem Ranges'!$C$1:$C$1048576,0)),0)</f>
        <v>98100</v>
      </c>
      <c r="AG60" s="322" t="n">
        <f aca="false">IFERROR(INDEX('[3]Lookup_Rem Ranges'!$F$1:$F$1048576,MATCH($AL:$AL,'[3]Lookup_Rem Ranges'!$C$1:$C$1048576,0)),)</f>
        <v>112800</v>
      </c>
      <c r="AH60" s="317" t="s">
        <v>291</v>
      </c>
      <c r="AI60" s="319"/>
      <c r="AJ60" s="323" t="n">
        <v>0</v>
      </c>
      <c r="AK60" s="316"/>
      <c r="AL60" s="324" t="str">
        <f aca="false">CONCATENATE(AM60,"",AN60)</f>
        <v>CASS5</v>
      </c>
      <c r="AM60" s="324" t="s">
        <v>292</v>
      </c>
      <c r="AN60" s="319" t="n">
        <v>5</v>
      </c>
      <c r="AO60" s="316" t="s">
        <v>358</v>
      </c>
      <c r="AP60" s="325" t="n">
        <v>105000</v>
      </c>
      <c r="AQ60" s="322" t="n">
        <f aca="false">ROUND(IF($P:$P&gt;1,$AP:$AP*1,$AP:$AP*$P:$P),0)</f>
        <v>105000</v>
      </c>
      <c r="AR60" s="322" t="n">
        <f aca="false">IF(BA60="Yes",AP60,0)</f>
        <v>0</v>
      </c>
      <c r="AS60" s="326" t="n">
        <v>0.0926118626430801</v>
      </c>
      <c r="AT60" s="326" t="n">
        <v>0</v>
      </c>
      <c r="AU60" s="327"/>
      <c r="AV60" s="322"/>
      <c r="AW60" s="328" t="n">
        <v>0</v>
      </c>
      <c r="AX60" s="322" t="n">
        <v>0</v>
      </c>
      <c r="AY60" s="322" t="n">
        <v>105000</v>
      </c>
      <c r="AZ60" s="329" t="n">
        <f aca="false">IFERROR(($AY:$AY+$AJ:$AJ+$AK:$AK)/$AF:$AF,0)</f>
        <v>1.07033639143731</v>
      </c>
      <c r="BA60" s="330" t="s">
        <v>294</v>
      </c>
      <c r="BB60" s="331" t="n">
        <v>3</v>
      </c>
      <c r="BC60" s="326" t="n">
        <f aca="false">IFERROR($BD:$BD/$AY:$AY,0)</f>
        <v>0</v>
      </c>
      <c r="BD60" s="332" t="n">
        <f aca="false">ROUND(IF($AY:$AY&lt;$AE:$AE,$AE:$AE-$AY:$AY,0),0)</f>
        <v>0</v>
      </c>
      <c r="BE60" s="333" t="n">
        <v>0</v>
      </c>
      <c r="BF60" s="334" t="n">
        <f aca="false">ROUND($AR:$AR*$BE:$BE,0)</f>
        <v>0</v>
      </c>
      <c r="BG60" s="335" t="n">
        <v>0</v>
      </c>
      <c r="BH60" s="336" t="n">
        <f aca="false">ROUND($AR:$AR*$BG:$BG,0)</f>
        <v>0</v>
      </c>
      <c r="BI60" s="333" t="n">
        <v>0</v>
      </c>
      <c r="BJ60" s="334" t="n">
        <f aca="false">ROUND($AR:$AR*$BI:$BI,0)</f>
        <v>0</v>
      </c>
      <c r="BK60" s="334" t="n">
        <f aca="false">ROUND(IF($P:$P&gt;1,$BJ:$BJ*1,$BJ:$BJ*$P:$P),0)</f>
        <v>0</v>
      </c>
      <c r="BL60" s="337"/>
      <c r="BM60" s="338" t="n">
        <f aca="false">$BC:$BC+$BE:$BE+$BG:$BG</f>
        <v>0</v>
      </c>
      <c r="BN60" s="339" t="n">
        <f aca="false">$BD:$BD+$BF:$BF+$BH:$BH</f>
        <v>0</v>
      </c>
      <c r="BO60" s="340" t="n">
        <f aca="false">IFERROR(ROUND($AY:$AY+$BN:$BN,0),0)</f>
        <v>105000</v>
      </c>
      <c r="BP60" s="341" t="n">
        <f aca="false">ROUND(IF(SUM($BO:$BO&lt;249080),SUM(ROUND($BO:$BO*11%,0)),27398.8),0)</f>
        <v>11550</v>
      </c>
      <c r="BQ60" s="342" t="n">
        <f aca="false">$BO:$BO+$BP:$BP</f>
        <v>116550</v>
      </c>
      <c r="BR60" s="329" t="n">
        <f aca="false">IFERROR(($BO:$BO+$AJ:$AJ+$AK:$AK)/$AF:$AF,0)</f>
        <v>1.07033639143731</v>
      </c>
      <c r="BS60" s="343" t="n">
        <f aca="false">IF($N:$N="CASUAL","TBC",ROUND($BN:$BN/(NETWORKDAYS("01/07/2023","30/06/2024"))*NETWORKDAYS("10/07/2023","04/09/2023"),0)*$P:$P)</f>
        <v>0</v>
      </c>
      <c r="BT60" s="326" t="n">
        <f aca="false">$BM60+$BI60</f>
        <v>0</v>
      </c>
      <c r="BU60" s="332" t="n">
        <f aca="false">$BN:$BN+$BJ:$BJ</f>
        <v>0</v>
      </c>
      <c r="BV60" s="342" t="n">
        <f aca="false">$BO:$BO*$P:$P</f>
        <v>105000</v>
      </c>
      <c r="BW60" s="344" t="n">
        <f aca="false">ROUND($BO:$BO/1976,2)</f>
        <v>53.14</v>
      </c>
      <c r="BX60" s="316"/>
      <c r="BY60" s="342" t="n">
        <f aca="false">$BQ:$BQ+$BX:$BX</f>
        <v>116550</v>
      </c>
      <c r="BZ60" s="345" t="s">
        <v>294</v>
      </c>
      <c r="CA60" s="316"/>
      <c r="CB60" s="316"/>
      <c r="CC60" s="324" t="str">
        <f aca="false">CONCATENATE(CD60,"",CE60)</f>
        <v/>
      </c>
      <c r="CD60" s="319"/>
      <c r="CE60" s="319"/>
      <c r="CF60" s="322" t="str">
        <f aca="false">IFERROR(INDEX('[4]Lookup_Rem Ranges'!$D$1:$D$1048576,MATCH($CC:$CC,'[4]Lookup_Rem Ranges'!$C$1:$C$1048576,0)),"")</f>
        <v/>
      </c>
      <c r="CG60" s="346"/>
      <c r="CH60" s="346"/>
      <c r="CI60" s="347"/>
      <c r="CJ60" s="348"/>
      <c r="CK60" s="342" t="n">
        <f aca="false">IFERROR(ROUND($CI:$CI*$CJ:$CJ,0),0)</f>
        <v>0</v>
      </c>
      <c r="CL60" s="342" t="n">
        <f aca="false">$CI:$CI+$CK:$CK</f>
        <v>0</v>
      </c>
      <c r="CM60" s="349"/>
      <c r="CN60" s="350" t="n">
        <f aca="false">IF(SUM($CL:$CL&lt;249080),SUM(ROUND($CL:$CL*11%,0)),27398.8)</f>
        <v>0</v>
      </c>
      <c r="CO60" s="350" t="s">
        <v>324</v>
      </c>
      <c r="CP60" s="351" t="n">
        <f aca="false">IF(BA60="Yes",3.25%,0)</f>
        <v>0</v>
      </c>
      <c r="CQ60" s="352" t="n">
        <f aca="false">ROUND(AR60*CP60,0)</f>
        <v>0</v>
      </c>
      <c r="CR60" s="353" t="n">
        <f aca="false">IF($AW:$AW&lt;3.25%,$AW:$AW,3.25%)</f>
        <v>0</v>
      </c>
      <c r="CS60" s="354" t="n">
        <f aca="false">ROUND($AR:$AR*$CR:$CR,0)</f>
        <v>0</v>
      </c>
      <c r="CT60" s="353" t="n">
        <f aca="false">IF($AW:$AW&gt;=3.25%,$AW:$AW-$CR:$CR,0)</f>
        <v>0</v>
      </c>
      <c r="CU60" s="354" t="n">
        <f aca="false">ROUND($AR:$AR*$CT:$CT,0)</f>
        <v>0</v>
      </c>
      <c r="CV60" s="353" t="n">
        <f aca="false">IF($CR:$CR=3.25%,0,IF($BC:$BC&lt;3.25%,$BC:$BC,IF($BC:$BC&gt;3.25%,3.25%-$CR:$CR,0)))</f>
        <v>0</v>
      </c>
      <c r="CW60" s="354" t="n">
        <f aca="false">IFERROR(ROUND($AY:$AY*$CV:$CV,0),0)</f>
        <v>0</v>
      </c>
      <c r="CX60" s="353" t="n">
        <f aca="false">IF($CV:$CV=0,$BC:$BC,BC:BC-$CV:$CV)</f>
        <v>0</v>
      </c>
      <c r="CY60" s="354" t="n">
        <f aca="false">IFERROR(ROUND($AY:$AY*$CX:$CX,0),0)</f>
        <v>0</v>
      </c>
      <c r="CZ60" s="353" t="n">
        <f aca="false">$CR:$CR+$CT:CT+$CV:$CV+$CX:$CX</f>
        <v>0</v>
      </c>
      <c r="DA60" s="353" t="n">
        <f aca="false">(SUM($AW:$AW+$BC:$BC)-$CZ:$CZ)</f>
        <v>0</v>
      </c>
      <c r="DB60" s="353"/>
      <c r="DC60" s="353" t="n">
        <f aca="false">$BE:$BE</f>
        <v>0</v>
      </c>
      <c r="DD60" s="354" t="n">
        <f aca="false">$BF:$BF</f>
        <v>0</v>
      </c>
      <c r="DE60" s="355" t="n">
        <f aca="false">$BI:$BI</f>
        <v>0</v>
      </c>
      <c r="DF60" s="354" t="n">
        <f aca="false">$BJ:$BJ</f>
        <v>0</v>
      </c>
      <c r="DG60" s="355" t="n">
        <f aca="false">$BG:$BG</f>
        <v>0</v>
      </c>
      <c r="DH60" s="354" t="n">
        <f aca="false">IFERROR(ROUND($AP:$AP*$DG:$DG,0),0)</f>
        <v>0</v>
      </c>
      <c r="DI60" s="353" t="n">
        <f aca="false">$CR:$CR+$CV:$CV+$DC:$DC+$DE:$DE+$DG:$DG</f>
        <v>0</v>
      </c>
      <c r="DJ60" s="354" t="n">
        <f aca="false">$CS:$CS+$CW:$CW+$DD:$DD+$DF:$DF+$DH:$DH</f>
        <v>0</v>
      </c>
      <c r="DK60" s="353" t="n">
        <f aca="false">$CT:$CT+$CX:$CX</f>
        <v>0</v>
      </c>
      <c r="DL60" s="354" t="n">
        <f aca="false">$CU:$CU+$CY:$CY</f>
        <v>0</v>
      </c>
      <c r="DM60" s="356"/>
      <c r="DN60" s="357"/>
      <c r="DO60" s="357"/>
      <c r="DP60" s="357"/>
      <c r="DQ60" s="357"/>
      <c r="DR60" s="357"/>
      <c r="DS60" s="357"/>
      <c r="DT60" s="357"/>
      <c r="DU60" s="357"/>
      <c r="DV60" s="357"/>
      <c r="DW60" s="357" t="s">
        <v>498</v>
      </c>
    </row>
    <row r="61" customFormat="false" ht="33.75" hidden="false" customHeight="false" outlineLevel="0" collapsed="false">
      <c r="A61" s="314"/>
      <c r="B61" s="315" t="s">
        <v>273</v>
      </c>
      <c r="C61" s="315" t="s">
        <v>573</v>
      </c>
      <c r="D61" s="315" t="n">
        <v>15418</v>
      </c>
      <c r="E61" s="316" t="s">
        <v>574</v>
      </c>
      <c r="F61" s="316" t="s">
        <v>575</v>
      </c>
      <c r="G61" s="316" t="s">
        <v>277</v>
      </c>
      <c r="H61" s="317" t="s">
        <v>548</v>
      </c>
      <c r="I61" s="316" t="s">
        <v>559</v>
      </c>
      <c r="J61" s="316" t="s">
        <v>550</v>
      </c>
      <c r="K61" s="318" t="n">
        <v>42193</v>
      </c>
      <c r="L61" s="318"/>
      <c r="M61" s="318" t="n">
        <v>44634</v>
      </c>
      <c r="N61" s="319" t="s">
        <v>281</v>
      </c>
      <c r="O61" s="319" t="n">
        <v>38</v>
      </c>
      <c r="P61" s="320" t="n">
        <f aca="false">$O:$O/38</f>
        <v>1</v>
      </c>
      <c r="Q61" s="316" t="s">
        <v>320</v>
      </c>
      <c r="R61" s="316" t="n">
        <v>20790</v>
      </c>
      <c r="S61" s="316" t="s">
        <v>551</v>
      </c>
      <c r="T61" s="316" t="s">
        <v>552</v>
      </c>
      <c r="U61" s="316" t="s">
        <v>553</v>
      </c>
      <c r="V61" s="317" t="s">
        <v>58</v>
      </c>
      <c r="W61" s="317" t="s">
        <v>65</v>
      </c>
      <c r="X61" s="317" t="s">
        <v>286</v>
      </c>
      <c r="Y61" s="321" t="s">
        <v>287</v>
      </c>
      <c r="Z61" s="317" t="s">
        <v>554</v>
      </c>
      <c r="AA61" s="317" t="s">
        <v>319</v>
      </c>
      <c r="AB61" s="321" t="s">
        <v>555</v>
      </c>
      <c r="AC61" s="317" t="s">
        <v>289</v>
      </c>
      <c r="AD61" s="321" t="s">
        <v>290</v>
      </c>
      <c r="AE61" s="322" t="n">
        <f aca="false">IFERROR(INDEX('[3]Lookup_Rem Ranges'!$D$1:$D$1048576,MATCH($AL:$AL,'[3]Lookup_Rem Ranges'!$C$1:$C$1048576,0)),0)</f>
        <v>83400</v>
      </c>
      <c r="AF61" s="322" t="n">
        <f aca="false">IFERROR(INDEX('[3]Lookup_Rem Ranges'!$E$1:$E$1048576,MATCH($AL:$AL,'[3]Lookup_Rem Ranges'!$C$1:$C$1048576,0)),0)</f>
        <v>98100</v>
      </c>
      <c r="AG61" s="322" t="n">
        <f aca="false">IFERROR(INDEX('[3]Lookup_Rem Ranges'!$F$1:$F$1048576,MATCH($AL:$AL,'[3]Lookup_Rem Ranges'!$C$1:$C$1048576,0)),)</f>
        <v>112800</v>
      </c>
      <c r="AH61" s="317" t="s">
        <v>291</v>
      </c>
      <c r="AI61" s="319"/>
      <c r="AJ61" s="323" t="n">
        <v>0</v>
      </c>
      <c r="AK61" s="316"/>
      <c r="AL61" s="324" t="str">
        <f aca="false">CONCATENATE(AM61,"",AN61)</f>
        <v>CASS5</v>
      </c>
      <c r="AM61" s="324" t="s">
        <v>292</v>
      </c>
      <c r="AN61" s="319" t="n">
        <v>5</v>
      </c>
      <c r="AO61" s="316" t="s">
        <v>358</v>
      </c>
      <c r="AP61" s="325" t="n">
        <v>113300</v>
      </c>
      <c r="AQ61" s="322" t="n">
        <f aca="false">ROUND(IF($P:$P&gt;1,$AP:$AP*1,$AP:$AP*$P:$P),0)</f>
        <v>113300</v>
      </c>
      <c r="AR61" s="322" t="n">
        <f aca="false">IF(BA61="Yes",AP61,0)</f>
        <v>0</v>
      </c>
      <c r="AS61" s="326" t="n">
        <v>0.0481036077705828</v>
      </c>
      <c r="AT61" s="326" t="n">
        <v>0</v>
      </c>
      <c r="AU61" s="327"/>
      <c r="AV61" s="322"/>
      <c r="AW61" s="328" t="n">
        <v>0</v>
      </c>
      <c r="AX61" s="322" t="n">
        <v>0</v>
      </c>
      <c r="AY61" s="322" t="n">
        <v>113300</v>
      </c>
      <c r="AZ61" s="329" t="n">
        <f aca="false">IFERROR(($AY:$AY+$AJ:$AJ+$AK:$AK)/$AF:$AF,0)</f>
        <v>1.15494393476045</v>
      </c>
      <c r="BA61" s="330" t="s">
        <v>294</v>
      </c>
      <c r="BB61" s="331" t="n">
        <v>3</v>
      </c>
      <c r="BC61" s="326" t="n">
        <f aca="false">IFERROR($BD:$BD/$AY:$AY,0)</f>
        <v>0</v>
      </c>
      <c r="BD61" s="332" t="n">
        <f aca="false">ROUND(IF($AY:$AY&lt;$AE:$AE,$AE:$AE-$AY:$AY,0),0)</f>
        <v>0</v>
      </c>
      <c r="BE61" s="333" t="n">
        <v>0</v>
      </c>
      <c r="BF61" s="334" t="n">
        <f aca="false">ROUND($AR:$AR*$BE:$BE,0)</f>
        <v>0</v>
      </c>
      <c r="BG61" s="335" t="n">
        <v>0</v>
      </c>
      <c r="BH61" s="336" t="n">
        <f aca="false">ROUND($AR:$AR*$BG:$BG,0)</f>
        <v>0</v>
      </c>
      <c r="BI61" s="333" t="n">
        <v>0</v>
      </c>
      <c r="BJ61" s="334" t="n">
        <f aca="false">ROUND($AR:$AR*$BI:$BI,0)</f>
        <v>0</v>
      </c>
      <c r="BK61" s="334" t="n">
        <f aca="false">ROUND(IF($P:$P&gt;1,$BJ:$BJ*1,$BJ:$BJ*$P:$P),0)</f>
        <v>0</v>
      </c>
      <c r="BL61" s="337"/>
      <c r="BM61" s="338" t="n">
        <f aca="false">$BC:$BC+$BE:$BE+$BG:$BG</f>
        <v>0</v>
      </c>
      <c r="BN61" s="339" t="n">
        <f aca="false">$BD:$BD+$BF:$BF+$BH:$BH</f>
        <v>0</v>
      </c>
      <c r="BO61" s="340" t="n">
        <f aca="false">IFERROR(ROUND($AY:$AY+$BN:$BN,0),0)</f>
        <v>113300</v>
      </c>
      <c r="BP61" s="341" t="n">
        <f aca="false">ROUND(IF(SUM($BO:$BO&lt;249080),SUM(ROUND($BO:$BO*11%,0)),27398.8),0)</f>
        <v>12463</v>
      </c>
      <c r="BQ61" s="342" t="n">
        <f aca="false">$BO:$BO+$BP:$BP</f>
        <v>125763</v>
      </c>
      <c r="BR61" s="329" t="n">
        <f aca="false">IFERROR(($BO:$BO+$AJ:$AJ+$AK:$AK)/$AF:$AF,0)</f>
        <v>1.15494393476045</v>
      </c>
      <c r="BS61" s="343" t="n">
        <f aca="false">IF($N:$N="CASUAL","TBC",ROUND($BN:$BN/(NETWORKDAYS("01/07/2023","30/06/2024"))*NETWORKDAYS("10/07/2023","04/09/2023"),0)*$P:$P)</f>
        <v>0</v>
      </c>
      <c r="BT61" s="326" t="n">
        <f aca="false">$BM61+$BI61</f>
        <v>0</v>
      </c>
      <c r="BU61" s="332" t="n">
        <f aca="false">$BN:$BN+$BJ:$BJ</f>
        <v>0</v>
      </c>
      <c r="BV61" s="342" t="n">
        <f aca="false">$BO:$BO*$P:$P</f>
        <v>113300</v>
      </c>
      <c r="BW61" s="344" t="n">
        <f aca="false">ROUND($BO:$BO/1976,2)</f>
        <v>57.34</v>
      </c>
      <c r="BX61" s="316"/>
      <c r="BY61" s="342" t="n">
        <f aca="false">$BQ:$BQ+$BX:$BX</f>
        <v>125763</v>
      </c>
      <c r="BZ61" s="345" t="s">
        <v>294</v>
      </c>
      <c r="CA61" s="316"/>
      <c r="CB61" s="316"/>
      <c r="CC61" s="324" t="str">
        <f aca="false">CONCATENATE(CD61,"",CE61)</f>
        <v/>
      </c>
      <c r="CD61" s="319"/>
      <c r="CE61" s="319"/>
      <c r="CF61" s="322" t="str">
        <f aca="false">IFERROR(INDEX('[4]Lookup_Rem Ranges'!$D$1:$D$1048576,MATCH($CC:$CC,'[4]Lookup_Rem Ranges'!$C$1:$C$1048576,0)),"")</f>
        <v/>
      </c>
      <c r="CG61" s="346"/>
      <c r="CH61" s="346"/>
      <c r="CI61" s="347"/>
      <c r="CJ61" s="348"/>
      <c r="CK61" s="342" t="n">
        <f aca="false">IFERROR(ROUND($CI:$CI*$CJ:$CJ,0),0)</f>
        <v>0</v>
      </c>
      <c r="CL61" s="342" t="n">
        <f aca="false">$CI:$CI+$CK:$CK</f>
        <v>0</v>
      </c>
      <c r="CM61" s="349"/>
      <c r="CN61" s="350" t="n">
        <f aca="false">IF(SUM($CL:$CL&lt;249080),SUM(ROUND($CL:$CL*11%,0)),27398.8)</f>
        <v>0</v>
      </c>
      <c r="CO61" s="350" t="s">
        <v>324</v>
      </c>
      <c r="CP61" s="351" t="n">
        <f aca="false">IF(BA61="Yes",3.25%,0)</f>
        <v>0</v>
      </c>
      <c r="CQ61" s="352" t="n">
        <f aca="false">ROUND(AR61*CP61,0)</f>
        <v>0</v>
      </c>
      <c r="CR61" s="353" t="n">
        <f aca="false">IF($AW:$AW&lt;3.25%,$AW:$AW,3.25%)</f>
        <v>0</v>
      </c>
      <c r="CS61" s="354" t="n">
        <f aca="false">ROUND($AR:$AR*$CR:$CR,0)</f>
        <v>0</v>
      </c>
      <c r="CT61" s="353" t="n">
        <f aca="false">IF($AW:$AW&gt;=3.25%,$AW:$AW-$CR:$CR,0)</f>
        <v>0</v>
      </c>
      <c r="CU61" s="354" t="n">
        <f aca="false">ROUND($AR:$AR*$CT:$CT,0)</f>
        <v>0</v>
      </c>
      <c r="CV61" s="353" t="n">
        <f aca="false">IF($CR:$CR=3.25%,0,IF($BC:$BC&lt;3.25%,$BC:$BC,IF($BC:$BC&gt;3.25%,3.25%-$CR:$CR,0)))</f>
        <v>0</v>
      </c>
      <c r="CW61" s="354" t="n">
        <f aca="false">IFERROR(ROUND($AY:$AY*$CV:$CV,0),0)</f>
        <v>0</v>
      </c>
      <c r="CX61" s="353" t="n">
        <f aca="false">IF($CV:$CV=0,$BC:$BC,BC:BC-$CV:$CV)</f>
        <v>0</v>
      </c>
      <c r="CY61" s="354" t="n">
        <f aca="false">IFERROR(ROUND($AY:$AY*$CX:$CX,0),0)</f>
        <v>0</v>
      </c>
      <c r="CZ61" s="353" t="n">
        <f aca="false">$CR:$CR+$CT:CT+$CV:$CV+$CX:$CX</f>
        <v>0</v>
      </c>
      <c r="DA61" s="353" t="n">
        <f aca="false">(SUM($AW:$AW+$BC:$BC)-$CZ:$CZ)</f>
        <v>0</v>
      </c>
      <c r="DB61" s="353"/>
      <c r="DC61" s="353" t="n">
        <f aca="false">$BE:$BE</f>
        <v>0</v>
      </c>
      <c r="DD61" s="354" t="n">
        <f aca="false">$BF:$BF</f>
        <v>0</v>
      </c>
      <c r="DE61" s="355" t="n">
        <f aca="false">$BI:$BI</f>
        <v>0</v>
      </c>
      <c r="DF61" s="354" t="n">
        <f aca="false">$BJ:$BJ</f>
        <v>0</v>
      </c>
      <c r="DG61" s="355" t="n">
        <f aca="false">$BG:$BG</f>
        <v>0</v>
      </c>
      <c r="DH61" s="354" t="n">
        <f aca="false">IFERROR(ROUND($AP:$AP*$DG:$DG,0),0)</f>
        <v>0</v>
      </c>
      <c r="DI61" s="353" t="n">
        <f aca="false">$CR:$CR+$CV:$CV+$DC:$DC+$DE:$DE+$DG:$DG</f>
        <v>0</v>
      </c>
      <c r="DJ61" s="354" t="n">
        <f aca="false">$CS:$CS+$CW:$CW+$DD:$DD+$DF:$DF+$DH:$DH</f>
        <v>0</v>
      </c>
      <c r="DK61" s="353" t="n">
        <f aca="false">$CT:$CT+$CX:$CX</f>
        <v>0</v>
      </c>
      <c r="DL61" s="354" t="n">
        <f aca="false">$CU:$CU+$CY:$CY</f>
        <v>0</v>
      </c>
      <c r="DM61" s="356"/>
      <c r="DN61" s="357"/>
      <c r="DO61" s="357"/>
      <c r="DP61" s="357"/>
      <c r="DQ61" s="357"/>
      <c r="DR61" s="357"/>
      <c r="DS61" s="357"/>
      <c r="DT61" s="357"/>
      <c r="DU61" s="357"/>
      <c r="DV61" s="357"/>
      <c r="DW61" s="357" t="s">
        <v>498</v>
      </c>
    </row>
    <row r="62" customFormat="false" ht="33.75" hidden="false" customHeight="false" outlineLevel="0" collapsed="false">
      <c r="A62" s="314"/>
      <c r="B62" s="315" t="s">
        <v>273</v>
      </c>
      <c r="C62" s="315" t="s">
        <v>576</v>
      </c>
      <c r="D62" s="315" t="n">
        <v>17258</v>
      </c>
      <c r="E62" s="316" t="s">
        <v>577</v>
      </c>
      <c r="F62" s="316" t="s">
        <v>578</v>
      </c>
      <c r="G62" s="316" t="s">
        <v>277</v>
      </c>
      <c r="H62" s="317" t="s">
        <v>579</v>
      </c>
      <c r="I62" s="316" t="s">
        <v>580</v>
      </c>
      <c r="J62" s="316" t="s">
        <v>581</v>
      </c>
      <c r="K62" s="318" t="n">
        <v>43017</v>
      </c>
      <c r="L62" s="318"/>
      <c r="M62" s="318" t="n">
        <v>44166</v>
      </c>
      <c r="N62" s="319" t="s">
        <v>281</v>
      </c>
      <c r="O62" s="319" t="n">
        <v>38</v>
      </c>
      <c r="P62" s="320" t="n">
        <f aca="false">$O:$O/38</f>
        <v>1</v>
      </c>
      <c r="Q62" s="316" t="s">
        <v>582</v>
      </c>
      <c r="R62" s="316" t="n">
        <v>8939</v>
      </c>
      <c r="S62" s="316" t="s">
        <v>554</v>
      </c>
      <c r="T62" s="316" t="s">
        <v>322</v>
      </c>
      <c r="U62" s="316" t="s">
        <v>323</v>
      </c>
      <c r="V62" s="317" t="s">
        <v>58</v>
      </c>
      <c r="W62" s="317" t="s">
        <v>65</v>
      </c>
      <c r="X62" s="317" t="s">
        <v>286</v>
      </c>
      <c r="Y62" s="360" t="s">
        <v>287</v>
      </c>
      <c r="Z62" s="317" t="s">
        <v>554</v>
      </c>
      <c r="AA62" s="317" t="s">
        <v>319</v>
      </c>
      <c r="AB62" s="321" t="s">
        <v>555</v>
      </c>
      <c r="AC62" s="317" t="s">
        <v>289</v>
      </c>
      <c r="AD62" s="360" t="s">
        <v>290</v>
      </c>
      <c r="AE62" s="322" t="n">
        <f aca="false">IFERROR(INDEX('[3]Lookup_Rem Ranges'!$D$1:$D$1048576,MATCH($AL:$AL,'[3]Lookup_Rem Ranges'!$C$1:$C$1048576,0)),0)</f>
        <v>83400</v>
      </c>
      <c r="AF62" s="322" t="n">
        <f aca="false">IFERROR(INDEX('[3]Lookup_Rem Ranges'!$E$1:$E$1048576,MATCH($AL:$AL,'[3]Lookup_Rem Ranges'!$C$1:$C$1048576,0)),0)</f>
        <v>98100</v>
      </c>
      <c r="AG62" s="322" t="n">
        <f aca="false">IFERROR(INDEX('[3]Lookup_Rem Ranges'!$F$1:$F$1048576,MATCH($AL:$AL,'[3]Lookup_Rem Ranges'!$C$1:$C$1048576,0)),)</f>
        <v>112800</v>
      </c>
      <c r="AH62" s="317" t="s">
        <v>291</v>
      </c>
      <c r="AI62" s="319"/>
      <c r="AJ62" s="323" t="n">
        <v>0</v>
      </c>
      <c r="AK62" s="316"/>
      <c r="AL62" s="324" t="str">
        <f aca="false">CONCATENATE(AM62,"",AN62)</f>
        <v>CASS5</v>
      </c>
      <c r="AM62" s="324" t="s">
        <v>292</v>
      </c>
      <c r="AN62" s="319" t="n">
        <v>5</v>
      </c>
      <c r="AO62" s="316" t="s">
        <v>358</v>
      </c>
      <c r="AP62" s="325" t="n">
        <v>107000</v>
      </c>
      <c r="AQ62" s="322" t="n">
        <f aca="false">ROUND(IF($P:$P&gt;1,$AP:$AP*1,$AP:$AP*$P:$P),0)</f>
        <v>107000</v>
      </c>
      <c r="AR62" s="322" t="n">
        <f aca="false">IF(BA62="Yes",AP62,0)</f>
        <v>0</v>
      </c>
      <c r="AS62" s="326" t="n">
        <v>0.0689310689310689</v>
      </c>
      <c r="AT62" s="326" t="n">
        <v>0</v>
      </c>
      <c r="AU62" s="327"/>
      <c r="AV62" s="322"/>
      <c r="AW62" s="328" t="n">
        <v>0</v>
      </c>
      <c r="AX62" s="322" t="n">
        <v>0</v>
      </c>
      <c r="AY62" s="322" t="n">
        <v>107000</v>
      </c>
      <c r="AZ62" s="329" t="n">
        <f aca="false">IFERROR(($AY:$AY+$AJ:$AJ+$AK:$AK)/$AF:$AF,0)</f>
        <v>1.09072375127421</v>
      </c>
      <c r="BA62" s="330" t="s">
        <v>294</v>
      </c>
      <c r="BB62" s="331" t="n">
        <v>3</v>
      </c>
      <c r="BC62" s="326" t="n">
        <f aca="false">IFERROR($BD:$BD/$AY:$AY,0)</f>
        <v>0</v>
      </c>
      <c r="BD62" s="332" t="n">
        <f aca="false">ROUND(IF($AY:$AY&lt;$AE:$AE,$AE:$AE-$AY:$AY,0),0)</f>
        <v>0</v>
      </c>
      <c r="BE62" s="333" t="n">
        <v>0</v>
      </c>
      <c r="BF62" s="334" t="n">
        <f aca="false">ROUND($AR:$AR*$BE:$BE,0)</f>
        <v>0</v>
      </c>
      <c r="BG62" s="335" t="n">
        <v>0</v>
      </c>
      <c r="BH62" s="336" t="n">
        <f aca="false">ROUND($AR:$AR*$BG:$BG,0)</f>
        <v>0</v>
      </c>
      <c r="BI62" s="333" t="n">
        <v>0</v>
      </c>
      <c r="BJ62" s="334" t="n">
        <f aca="false">ROUND($AR:$AR*$BI:$BI,0)</f>
        <v>0</v>
      </c>
      <c r="BK62" s="334" t="n">
        <f aca="false">ROUND(IF($P:$P&gt;1,$BJ:$BJ*1,$BJ:$BJ*$P:$P),0)</f>
        <v>0</v>
      </c>
      <c r="BL62" s="337"/>
      <c r="BM62" s="338" t="n">
        <f aca="false">$BC:$BC+$BE:$BE+$BG:$BG</f>
        <v>0</v>
      </c>
      <c r="BN62" s="339" t="n">
        <f aca="false">$BD:$BD+$BF:$BF+$BH:$BH</f>
        <v>0</v>
      </c>
      <c r="BO62" s="340" t="n">
        <f aca="false">IFERROR(ROUND($AY:$AY+$BN:$BN,0),0)</f>
        <v>107000</v>
      </c>
      <c r="BP62" s="341" t="n">
        <f aca="false">ROUND(IF(SUM($BO:$BO&lt;249080),SUM(ROUND($BO:$BO*11%,0)),27398.8),0)</f>
        <v>11770</v>
      </c>
      <c r="BQ62" s="342" t="n">
        <f aca="false">$BO:$BO+$BP:$BP</f>
        <v>118770</v>
      </c>
      <c r="BR62" s="329" t="n">
        <f aca="false">IFERROR(($BO:$BO+$AJ:$AJ+$AK:$AK)/$AF:$AF,0)</f>
        <v>1.09072375127421</v>
      </c>
      <c r="BS62" s="343" t="n">
        <f aca="false">IF($N:$N="CASUAL","TBC",ROUND($BN:$BN/(NETWORKDAYS("01/07/2023","30/06/2024"))*NETWORKDAYS("10/07/2023","04/09/2023"),0)*$P:$P)</f>
        <v>0</v>
      </c>
      <c r="BT62" s="326" t="n">
        <f aca="false">$BM62+$BI62</f>
        <v>0</v>
      </c>
      <c r="BU62" s="332" t="n">
        <f aca="false">$BN:$BN+$BJ:$BJ</f>
        <v>0</v>
      </c>
      <c r="BV62" s="342" t="n">
        <f aca="false">$BO:$BO*$P:$P</f>
        <v>107000</v>
      </c>
      <c r="BW62" s="344" t="n">
        <f aca="false">ROUND($BO:$BO/1976,2)</f>
        <v>54.15</v>
      </c>
      <c r="BX62" s="316"/>
      <c r="BY62" s="342" t="n">
        <f aca="false">$BQ:$BQ+$BX:$BX</f>
        <v>118770</v>
      </c>
      <c r="BZ62" s="345" t="s">
        <v>294</v>
      </c>
      <c r="CA62" s="316"/>
      <c r="CB62" s="316"/>
      <c r="CC62" s="324" t="str">
        <f aca="false">CONCATENATE(CD62,"",CE62)</f>
        <v/>
      </c>
      <c r="CD62" s="319"/>
      <c r="CE62" s="319"/>
      <c r="CF62" s="322" t="str">
        <f aca="false">IFERROR(INDEX('[4]Lookup_Rem Ranges'!$D$1:$D$1048576,MATCH($CC:$CC,'[4]Lookup_Rem Ranges'!$C$1:$C$1048576,0)),"")</f>
        <v/>
      </c>
      <c r="CG62" s="318"/>
      <c r="CH62" s="318"/>
      <c r="CI62" s="361"/>
      <c r="CJ62" s="348"/>
      <c r="CK62" s="342" t="n">
        <f aca="false">IFERROR(ROUND($CI:$CI*$CJ:$CJ,0),0)</f>
        <v>0</v>
      </c>
      <c r="CL62" s="342" t="n">
        <f aca="false">$CI:$CI+$CK:$CK</f>
        <v>0</v>
      </c>
      <c r="CM62" s="349"/>
      <c r="CN62" s="350" t="n">
        <f aca="false">IF(SUM($CL:$CL&lt;249080),SUM(ROUND($CL:$CL*11%,0)),27398.8)</f>
        <v>0</v>
      </c>
      <c r="CO62" s="350" t="s">
        <v>324</v>
      </c>
      <c r="CP62" s="351" t="n">
        <f aca="false">IF(BA62="Yes",3.25%,0)</f>
        <v>0</v>
      </c>
      <c r="CQ62" s="352" t="n">
        <f aca="false">ROUND(AR62*CP62,0)</f>
        <v>0</v>
      </c>
      <c r="CR62" s="353" t="n">
        <f aca="false">IF($AW:$AW&lt;3.25%,$AW:$AW,3.25%)</f>
        <v>0</v>
      </c>
      <c r="CS62" s="354" t="n">
        <f aca="false">ROUND($AR:$AR*$CR:$CR,0)</f>
        <v>0</v>
      </c>
      <c r="CT62" s="353" t="n">
        <f aca="false">IF($AW:$AW&gt;=3.25%,$AW:$AW-$CR:$CR,0)</f>
        <v>0</v>
      </c>
      <c r="CU62" s="354" t="n">
        <f aca="false">ROUND($AR:$AR*$CT:$CT,0)</f>
        <v>0</v>
      </c>
      <c r="CV62" s="353" t="n">
        <f aca="false">IF($CR:$CR=3.25%,0,IF($BC:$BC&lt;3.25%,$BC:$BC,IF($BC:$BC&gt;3.25%,3.25%-$CR:$CR,0)))</f>
        <v>0</v>
      </c>
      <c r="CW62" s="354" t="n">
        <f aca="false">IFERROR(ROUND($AY:$AY*$CV:$CV,0),0)</f>
        <v>0</v>
      </c>
      <c r="CX62" s="353" t="n">
        <f aca="false">IF($CV:$CV=0,$BC:$BC,BC:BC-$CV:$CV)</f>
        <v>0</v>
      </c>
      <c r="CY62" s="354" t="n">
        <f aca="false">IFERROR(ROUND($AY:$AY*$CX:$CX,0),0)</f>
        <v>0</v>
      </c>
      <c r="CZ62" s="353" t="n">
        <f aca="false">$CR:$CR+$CT:CT+$CV:$CV+$CX:$CX</f>
        <v>0</v>
      </c>
      <c r="DA62" s="353" t="n">
        <f aca="false">(SUM($AW:$AW+$BC:$BC)-$CZ:$CZ)</f>
        <v>0</v>
      </c>
      <c r="DB62" s="353"/>
      <c r="DC62" s="353" t="n">
        <f aca="false">$BE:$BE</f>
        <v>0</v>
      </c>
      <c r="DD62" s="354" t="n">
        <f aca="false">$BF:$BF</f>
        <v>0</v>
      </c>
      <c r="DE62" s="355" t="n">
        <f aca="false">$BI:$BI</f>
        <v>0</v>
      </c>
      <c r="DF62" s="354" t="n">
        <f aca="false">$BJ:$BJ</f>
        <v>0</v>
      </c>
      <c r="DG62" s="355" t="n">
        <f aca="false">$BG:$BG</f>
        <v>0</v>
      </c>
      <c r="DH62" s="354" t="n">
        <f aca="false">IFERROR(ROUND($AP:$AP*$DG:$DG,0),0)</f>
        <v>0</v>
      </c>
      <c r="DI62" s="353" t="n">
        <f aca="false">$CR:$CR+$CV:$CV+$DC:$DC+$DE:$DE+$DG:$DG</f>
        <v>0</v>
      </c>
      <c r="DJ62" s="354" t="n">
        <f aca="false">$CS:$CS+$CW:$CW+$DD:$DD+$DF:$DF+$DH:$DH</f>
        <v>0</v>
      </c>
      <c r="DK62" s="353" t="n">
        <f aca="false">$CT:$CT+$CX:$CX</f>
        <v>0</v>
      </c>
      <c r="DL62" s="354" t="n">
        <f aca="false">$CU:$CU+$CY:$CY</f>
        <v>0</v>
      </c>
      <c r="DM62" s="356"/>
      <c r="DN62" s="357"/>
      <c r="DO62" s="357"/>
      <c r="DP62" s="357"/>
      <c r="DQ62" s="357"/>
      <c r="DR62" s="357"/>
      <c r="DS62" s="357"/>
      <c r="DT62" s="357"/>
      <c r="DU62" s="357"/>
      <c r="DV62" s="357"/>
      <c r="DW62" s="357" t="s">
        <v>498</v>
      </c>
    </row>
    <row r="63" customFormat="false" ht="33.75" hidden="false" customHeight="false" outlineLevel="0" collapsed="false">
      <c r="A63" s="314"/>
      <c r="B63" s="315" t="s">
        <v>273</v>
      </c>
      <c r="C63" s="315" t="s">
        <v>583</v>
      </c>
      <c r="D63" s="315" t="n">
        <v>21671</v>
      </c>
      <c r="E63" s="316" t="s">
        <v>584</v>
      </c>
      <c r="F63" s="316" t="s">
        <v>585</v>
      </c>
      <c r="G63" s="316" t="s">
        <v>300</v>
      </c>
      <c r="H63" s="317" t="s">
        <v>586</v>
      </c>
      <c r="I63" s="316" t="s">
        <v>587</v>
      </c>
      <c r="J63" s="316" t="s">
        <v>588</v>
      </c>
      <c r="K63" s="318" t="n">
        <v>44936</v>
      </c>
      <c r="L63" s="318" t="n">
        <v>45107</v>
      </c>
      <c r="M63" s="318" t="n">
        <v>45029</v>
      </c>
      <c r="N63" s="319" t="s">
        <v>281</v>
      </c>
      <c r="O63" s="319" t="n">
        <v>38</v>
      </c>
      <c r="P63" s="320" t="n">
        <f aca="false">$O:$O/38</f>
        <v>1</v>
      </c>
      <c r="Q63" s="316" t="s">
        <v>582</v>
      </c>
      <c r="R63" s="316" t="n">
        <v>8939</v>
      </c>
      <c r="S63" s="316" t="s">
        <v>554</v>
      </c>
      <c r="T63" s="316" t="s">
        <v>322</v>
      </c>
      <c r="U63" s="316" t="s">
        <v>589</v>
      </c>
      <c r="V63" s="317" t="s">
        <v>58</v>
      </c>
      <c r="W63" s="317" t="s">
        <v>65</v>
      </c>
      <c r="X63" s="317" t="s">
        <v>286</v>
      </c>
      <c r="Y63" s="321" t="s">
        <v>287</v>
      </c>
      <c r="Z63" s="317" t="s">
        <v>554</v>
      </c>
      <c r="AA63" s="317" t="s">
        <v>319</v>
      </c>
      <c r="AB63" s="321" t="s">
        <v>555</v>
      </c>
      <c r="AC63" s="317" t="s">
        <v>289</v>
      </c>
      <c r="AD63" s="321" t="s">
        <v>290</v>
      </c>
      <c r="AE63" s="322" t="n">
        <f aca="false">IFERROR(INDEX('[3]Lookup_Rem Ranges'!$D$1:$D$1048576,MATCH($AL:$AL,'[3]Lookup_Rem Ranges'!$C$1:$C$1048576,0)),0)</f>
        <v>83400</v>
      </c>
      <c r="AF63" s="322" t="n">
        <f aca="false">IFERROR(INDEX('[3]Lookup_Rem Ranges'!$E$1:$E$1048576,MATCH($AL:$AL,'[3]Lookup_Rem Ranges'!$C$1:$C$1048576,0)),0)</f>
        <v>98100</v>
      </c>
      <c r="AG63" s="322" t="n">
        <f aca="false">IFERROR(INDEX('[3]Lookup_Rem Ranges'!$F$1:$F$1048576,MATCH($AL:$AL,'[3]Lookup_Rem Ranges'!$C$1:$C$1048576,0)),)</f>
        <v>112800</v>
      </c>
      <c r="AH63" s="317" t="s">
        <v>291</v>
      </c>
      <c r="AI63" s="319"/>
      <c r="AJ63" s="323" t="n">
        <v>0</v>
      </c>
      <c r="AK63" s="316"/>
      <c r="AL63" s="324" t="str">
        <f aca="false">CONCATENATE(AM63,"",AN63)</f>
        <v>CASS5</v>
      </c>
      <c r="AM63" s="324" t="s">
        <v>292</v>
      </c>
      <c r="AN63" s="319" t="n">
        <v>5</v>
      </c>
      <c r="AO63" s="316" t="s">
        <v>358</v>
      </c>
      <c r="AP63" s="325" t="n">
        <v>107000</v>
      </c>
      <c r="AQ63" s="322" t="n">
        <f aca="false">ROUND(IF($P:$P&gt;1,$AP:$AP*1,$AP:$AP*$P:$P),0)</f>
        <v>107000</v>
      </c>
      <c r="AR63" s="322" t="n">
        <f aca="false">IF(BA63="Yes",AP63,0)</f>
        <v>0</v>
      </c>
      <c r="AS63" s="326" t="s">
        <v>339</v>
      </c>
      <c r="AT63" s="326" t="n">
        <v>0</v>
      </c>
      <c r="AU63" s="327"/>
      <c r="AV63" s="322"/>
      <c r="AW63" s="328" t="n">
        <v>0</v>
      </c>
      <c r="AX63" s="322" t="n">
        <v>0</v>
      </c>
      <c r="AY63" s="322" t="n">
        <v>107000</v>
      </c>
      <c r="AZ63" s="329" t="n">
        <f aca="false">IFERROR(($AY:$AY+$AJ:$AJ+$AK:$AK)/$AF:$AF,0)</f>
        <v>1.09072375127421</v>
      </c>
      <c r="BA63" s="330" t="s">
        <v>294</v>
      </c>
      <c r="BB63" s="331" t="n">
        <v>3</v>
      </c>
      <c r="BC63" s="326" t="n">
        <f aca="false">IFERROR($BD:$BD/$AY:$AY,0)</f>
        <v>0</v>
      </c>
      <c r="BD63" s="332" t="n">
        <f aca="false">ROUND(IF($AY:$AY&lt;$AE:$AE,$AE:$AE-$AY:$AY,0),0)</f>
        <v>0</v>
      </c>
      <c r="BE63" s="333" t="n">
        <v>0</v>
      </c>
      <c r="BF63" s="334" t="n">
        <f aca="false">ROUND($AR:$AR*$BE:$BE,0)</f>
        <v>0</v>
      </c>
      <c r="BG63" s="335" t="n">
        <v>0</v>
      </c>
      <c r="BH63" s="336" t="n">
        <f aca="false">ROUND($AR:$AR*$BG:$BG,0)</f>
        <v>0</v>
      </c>
      <c r="BI63" s="333" t="n">
        <v>0</v>
      </c>
      <c r="BJ63" s="334" t="n">
        <f aca="false">ROUND($AR:$AR*$BI:$BI,0)</f>
        <v>0</v>
      </c>
      <c r="BK63" s="334" t="n">
        <f aca="false">ROUND(IF($P:$P&gt;1,$BJ:$BJ*1,$BJ:$BJ*$P:$P),0)</f>
        <v>0</v>
      </c>
      <c r="BL63" s="337"/>
      <c r="BM63" s="338" t="n">
        <f aca="false">$BC:$BC+$BE:$BE+$BG:$BG</f>
        <v>0</v>
      </c>
      <c r="BN63" s="339" t="n">
        <f aca="false">$BD:$BD+$BF:$BF+$BH:$BH</f>
        <v>0</v>
      </c>
      <c r="BO63" s="340" t="n">
        <f aca="false">IFERROR(ROUND($AY:$AY+$BN:$BN,0),0)</f>
        <v>107000</v>
      </c>
      <c r="BP63" s="341" t="n">
        <f aca="false">ROUND(IF(SUM($BO:$BO&lt;249080),SUM(ROUND($BO:$BO*11%,0)),27398.8),0)</f>
        <v>11770</v>
      </c>
      <c r="BQ63" s="342" t="n">
        <f aca="false">$BO:$BO+$BP:$BP</f>
        <v>118770</v>
      </c>
      <c r="BR63" s="329" t="n">
        <f aca="false">IFERROR(($BO:$BO+$AJ:$AJ+$AK:$AK)/$AF:$AF,0)</f>
        <v>1.09072375127421</v>
      </c>
      <c r="BS63" s="343" t="n">
        <f aca="false">IF($N:$N="CASUAL","TBC",ROUND($BN:$BN/(NETWORKDAYS("01/07/2023","30/06/2024"))*NETWORKDAYS("10/07/2023","04/09/2023"),0)*$P:$P)</f>
        <v>0</v>
      </c>
      <c r="BT63" s="326" t="n">
        <f aca="false">$BM63+$BI63</f>
        <v>0</v>
      </c>
      <c r="BU63" s="332" t="n">
        <f aca="false">$BN:$BN+$BJ:$BJ</f>
        <v>0</v>
      </c>
      <c r="BV63" s="342" t="n">
        <f aca="false">$BO:$BO*$P:$P</f>
        <v>107000</v>
      </c>
      <c r="BW63" s="344" t="n">
        <f aca="false">ROUND($BO:$BO/1976,2)</f>
        <v>54.15</v>
      </c>
      <c r="BX63" s="316"/>
      <c r="BY63" s="342" t="n">
        <f aca="false">$BQ:$BQ+$BX:$BX</f>
        <v>118770</v>
      </c>
      <c r="BZ63" s="345" t="s">
        <v>294</v>
      </c>
      <c r="CA63" s="316"/>
      <c r="CB63" s="316"/>
      <c r="CC63" s="324" t="str">
        <f aca="false">CONCATENATE(CD63,"",CE63)</f>
        <v/>
      </c>
      <c r="CD63" s="319"/>
      <c r="CE63" s="319"/>
      <c r="CF63" s="322" t="str">
        <f aca="false">IFERROR(INDEX('[4]Lookup_Rem Ranges'!$D$1:$D$1048576,MATCH($CC:$CC,'[4]Lookup_Rem Ranges'!$C$1:$C$1048576,0)),"")</f>
        <v/>
      </c>
      <c r="CG63" s="346"/>
      <c r="CH63" s="346"/>
      <c r="CI63" s="347"/>
      <c r="CJ63" s="348"/>
      <c r="CK63" s="342" t="n">
        <f aca="false">IFERROR(ROUND($CI:$CI*$CJ:$CJ,0),0)</f>
        <v>0</v>
      </c>
      <c r="CL63" s="342" t="n">
        <f aca="false">$CI:$CI+$CK:$CK</f>
        <v>0</v>
      </c>
      <c r="CM63" s="349"/>
      <c r="CN63" s="350" t="n">
        <f aca="false">IF(SUM($CL:$CL&lt;249080),SUM(ROUND($CL:$CL*11%,0)),27398.8)</f>
        <v>0</v>
      </c>
      <c r="CO63" s="350" t="s">
        <v>324</v>
      </c>
      <c r="CP63" s="351" t="n">
        <f aca="false">IF(BA63="Yes",3.25%,0)</f>
        <v>0</v>
      </c>
      <c r="CQ63" s="352" t="n">
        <f aca="false">ROUND(AR63*CP63,0)</f>
        <v>0</v>
      </c>
      <c r="CR63" s="353" t="n">
        <f aca="false">IF($AW:$AW&lt;3.25%,$AW:$AW,3.25%)</f>
        <v>0</v>
      </c>
      <c r="CS63" s="354" t="n">
        <f aca="false">ROUND($AR:$AR*$CR:$CR,0)</f>
        <v>0</v>
      </c>
      <c r="CT63" s="353" t="n">
        <f aca="false">IF($AW:$AW&gt;=3.25%,$AW:$AW-$CR:$CR,0)</f>
        <v>0</v>
      </c>
      <c r="CU63" s="354" t="n">
        <f aca="false">ROUND($AR:$AR*$CT:$CT,0)</f>
        <v>0</v>
      </c>
      <c r="CV63" s="353" t="n">
        <f aca="false">IF($CR:$CR=3.25%,0,IF($BC:$BC&lt;3.25%,$BC:$BC,IF($BC:$BC&gt;3.25%,3.25%-$CR:$CR,0)))</f>
        <v>0</v>
      </c>
      <c r="CW63" s="354" t="n">
        <f aca="false">IFERROR(ROUND($AY:$AY*$CV:$CV,0),0)</f>
        <v>0</v>
      </c>
      <c r="CX63" s="353" t="n">
        <f aca="false">IF($CV:$CV=0,$BC:$BC,BC:BC-$CV:$CV)</f>
        <v>0</v>
      </c>
      <c r="CY63" s="354" t="n">
        <f aca="false">IFERROR(ROUND($AY:$AY*$CX:$CX,0),0)</f>
        <v>0</v>
      </c>
      <c r="CZ63" s="353" t="n">
        <f aca="false">$CR:$CR+$CT:CT+$CV:$CV+$CX:$CX</f>
        <v>0</v>
      </c>
      <c r="DA63" s="353" t="n">
        <f aca="false">(SUM($AW:$AW+$BC:$BC)-$CZ:$CZ)</f>
        <v>0</v>
      </c>
      <c r="DB63" s="353"/>
      <c r="DC63" s="353" t="n">
        <f aca="false">$BE:$BE</f>
        <v>0</v>
      </c>
      <c r="DD63" s="354" t="n">
        <f aca="false">$BF:$BF</f>
        <v>0</v>
      </c>
      <c r="DE63" s="355" t="n">
        <f aca="false">$BI:$BI</f>
        <v>0</v>
      </c>
      <c r="DF63" s="354" t="n">
        <f aca="false">$BJ:$BJ</f>
        <v>0</v>
      </c>
      <c r="DG63" s="355" t="n">
        <f aca="false">$BG:$BG</f>
        <v>0</v>
      </c>
      <c r="DH63" s="354" t="n">
        <f aca="false">IFERROR(ROUND($AP:$AP*$DG:$DG,0),0)</f>
        <v>0</v>
      </c>
      <c r="DI63" s="353" t="n">
        <f aca="false">$CR:$CR+$CV:$CV+$DC:$DC+$DE:$DE+$DG:$DG</f>
        <v>0</v>
      </c>
      <c r="DJ63" s="354" t="n">
        <f aca="false">$CS:$CS+$CW:$CW+$DD:$DD+$DF:$DF+$DH:$DH</f>
        <v>0</v>
      </c>
      <c r="DK63" s="353" t="n">
        <f aca="false">$CT:$CT+$CX:$CX</f>
        <v>0</v>
      </c>
      <c r="DL63" s="354" t="n">
        <f aca="false">$CU:$CU+$CY:$CY</f>
        <v>0</v>
      </c>
      <c r="DM63" s="356"/>
      <c r="DN63" s="357"/>
      <c r="DO63" s="357"/>
      <c r="DP63" s="357"/>
      <c r="DQ63" s="357"/>
      <c r="DR63" s="357"/>
      <c r="DS63" s="357"/>
      <c r="DT63" s="357"/>
      <c r="DU63" s="357"/>
      <c r="DV63" s="357"/>
      <c r="DW63" s="357" t="s">
        <v>498</v>
      </c>
    </row>
    <row r="64" customFormat="false" ht="33.75" hidden="false" customHeight="false" outlineLevel="0" collapsed="false">
      <c r="A64" s="314"/>
      <c r="B64" s="315" t="s">
        <v>273</v>
      </c>
      <c r="C64" s="315" t="s">
        <v>590</v>
      </c>
      <c r="D64" s="315" t="n">
        <v>17292</v>
      </c>
      <c r="E64" s="316" t="s">
        <v>591</v>
      </c>
      <c r="F64" s="316" t="s">
        <v>592</v>
      </c>
      <c r="G64" s="316" t="s">
        <v>300</v>
      </c>
      <c r="H64" s="317" t="s">
        <v>593</v>
      </c>
      <c r="I64" s="316" t="s">
        <v>594</v>
      </c>
      <c r="J64" s="316" t="s">
        <v>595</v>
      </c>
      <c r="K64" s="318" t="n">
        <v>43014</v>
      </c>
      <c r="L64" s="318"/>
      <c r="M64" s="318" t="n">
        <v>44805</v>
      </c>
      <c r="N64" s="319" t="s">
        <v>281</v>
      </c>
      <c r="O64" s="319" t="n">
        <v>38</v>
      </c>
      <c r="P64" s="320" t="n">
        <f aca="false">$O:$O/38</f>
        <v>1</v>
      </c>
      <c r="Q64" s="316" t="s">
        <v>304</v>
      </c>
      <c r="R64" s="316" t="n">
        <v>8939</v>
      </c>
      <c r="S64" s="316" t="s">
        <v>554</v>
      </c>
      <c r="T64" s="316" t="s">
        <v>322</v>
      </c>
      <c r="U64" s="316" t="s">
        <v>323</v>
      </c>
      <c r="V64" s="317" t="s">
        <v>58</v>
      </c>
      <c r="W64" s="317" t="s">
        <v>65</v>
      </c>
      <c r="X64" s="317" t="s">
        <v>286</v>
      </c>
      <c r="Y64" s="321" t="s">
        <v>287</v>
      </c>
      <c r="Z64" s="317" t="s">
        <v>554</v>
      </c>
      <c r="AA64" s="317" t="s">
        <v>319</v>
      </c>
      <c r="AB64" s="321" t="s">
        <v>555</v>
      </c>
      <c r="AC64" s="317" t="s">
        <v>289</v>
      </c>
      <c r="AD64" s="321" t="s">
        <v>290</v>
      </c>
      <c r="AE64" s="322" t="n">
        <f aca="false">IFERROR(INDEX('[3]Lookup_Rem Ranges'!$D$1:$D$1048576,MATCH($AL:$AL,'[3]Lookup_Rem Ranges'!$C$1:$C$1048576,0)),0)</f>
        <v>105500</v>
      </c>
      <c r="AF64" s="322" t="n">
        <f aca="false">IFERROR(INDEX('[3]Lookup_Rem Ranges'!$E$1:$E$1048576,MATCH($AL:$AL,'[3]Lookup_Rem Ranges'!$C$1:$C$1048576,0)),0)</f>
        <v>124100</v>
      </c>
      <c r="AG64" s="322" t="n">
        <f aca="false">IFERROR(INDEX('[3]Lookup_Rem Ranges'!$F$1:$F$1048576,MATCH($AL:$AL,'[3]Lookup_Rem Ranges'!$C$1:$C$1048576,0)),)</f>
        <v>142700</v>
      </c>
      <c r="AH64" s="317" t="s">
        <v>291</v>
      </c>
      <c r="AI64" s="319"/>
      <c r="AJ64" s="323" t="n">
        <v>0</v>
      </c>
      <c r="AK64" s="316"/>
      <c r="AL64" s="324" t="str">
        <f aca="false">CONCATENATE(AM64,"",AN64)</f>
        <v>CASS6</v>
      </c>
      <c r="AM64" s="324" t="s">
        <v>292</v>
      </c>
      <c r="AN64" s="319" t="n">
        <v>6</v>
      </c>
      <c r="AO64" s="316"/>
      <c r="AP64" s="325" t="n">
        <v>136600</v>
      </c>
      <c r="AQ64" s="322" t="n">
        <f aca="false">ROUND(IF($P:$P&gt;1,$AP:$AP*1,$AP:$AP*$P:$P),0)</f>
        <v>136600</v>
      </c>
      <c r="AR64" s="322" t="n">
        <f aca="false">IF(BA64="Yes",AP64,0)</f>
        <v>136600</v>
      </c>
      <c r="AS64" s="326" t="n">
        <v>0.0301659125188537</v>
      </c>
      <c r="AT64" s="326" t="n">
        <v>0</v>
      </c>
      <c r="AU64" s="327"/>
      <c r="AV64" s="322"/>
      <c r="AW64" s="328" t="n">
        <v>0</v>
      </c>
      <c r="AX64" s="322" t="n">
        <v>0</v>
      </c>
      <c r="AY64" s="322" t="n">
        <v>136600</v>
      </c>
      <c r="AZ64" s="329" t="n">
        <f aca="false">IFERROR(($AY:$AY+$AJ:$AJ+$AK:$AK)/$AF:$AF,0)</f>
        <v>1.10072522159549</v>
      </c>
      <c r="BA64" s="330" t="s">
        <v>293</v>
      </c>
      <c r="BB64" s="331" t="n">
        <v>4</v>
      </c>
      <c r="BC64" s="326" t="n">
        <f aca="false">IFERROR($BD:$BD/$AY:$AY,0)</f>
        <v>0</v>
      </c>
      <c r="BD64" s="332" t="n">
        <f aca="false">ROUND(IF($AY:$AY&lt;$AE:$AE,$AE:$AE-$AY:$AY,0),0)</f>
        <v>0</v>
      </c>
      <c r="BE64" s="333" t="n">
        <v>0.0325</v>
      </c>
      <c r="BF64" s="334" t="n">
        <f aca="false">ROUND($AR:$AR*$BE:$BE,0)</f>
        <v>4440</v>
      </c>
      <c r="BG64" s="335" t="n">
        <v>0</v>
      </c>
      <c r="BH64" s="336" t="n">
        <f aca="false">ROUND($AR:$AR*$BG:$BG,0)</f>
        <v>0</v>
      </c>
      <c r="BI64" s="333" t="n">
        <v>0</v>
      </c>
      <c r="BJ64" s="334" t="n">
        <f aca="false">ROUND($AR:$AR*$BI:$BI,0)</f>
        <v>0</v>
      </c>
      <c r="BK64" s="334" t="n">
        <f aca="false">ROUND(IF($P:$P&gt;1,$BJ:$BJ*1,$BJ:$BJ*$P:$P),0)</f>
        <v>0</v>
      </c>
      <c r="BL64" s="337"/>
      <c r="BM64" s="338" t="n">
        <f aca="false">$BC:$BC+$BE:$BE+$BG:$BG</f>
        <v>0.0325</v>
      </c>
      <c r="BN64" s="339" t="n">
        <f aca="false">$BD:$BD+$BF:$BF+$BH:$BH</f>
        <v>4440</v>
      </c>
      <c r="BO64" s="340" t="n">
        <f aca="false">IFERROR(ROUND($AY:$AY+$BN:$BN,0),0)</f>
        <v>141040</v>
      </c>
      <c r="BP64" s="341" t="n">
        <f aca="false">ROUND(IF(SUM($BO:$BO&lt;249080),SUM(ROUND($BO:$BO*11%,0)),27398.8),0)</f>
        <v>15514</v>
      </c>
      <c r="BQ64" s="342" t="n">
        <f aca="false">$BO:$BO+$BP:$BP</f>
        <v>156554</v>
      </c>
      <c r="BR64" s="329" t="n">
        <f aca="false">IFERROR(($BO:$BO+$AJ:$AJ+$AK:$AK)/$AF:$AF,0)</f>
        <v>1.1365028203062</v>
      </c>
      <c r="BS64" s="343" t="n">
        <f aca="false">IF($N:$N="CASUAL","TBC",ROUND($BN:$BN/(NETWORKDAYS("01/07/2023","30/06/2024"))*NETWORKDAYS("10/07/2023","04/09/2023"),0)*$P:$P)</f>
        <v>700</v>
      </c>
      <c r="BT64" s="326" t="n">
        <f aca="false">$BM64+$BI64</f>
        <v>0.0325</v>
      </c>
      <c r="BU64" s="332" t="n">
        <f aca="false">$BN:$BN+$BJ:$BJ</f>
        <v>4440</v>
      </c>
      <c r="BV64" s="342" t="n">
        <f aca="false">$BO:$BO*$P:$P</f>
        <v>141040</v>
      </c>
      <c r="BW64" s="344" t="n">
        <f aca="false">ROUND($BO:$BO/1976,2)</f>
        <v>71.38</v>
      </c>
      <c r="BX64" s="316"/>
      <c r="BY64" s="342" t="n">
        <f aca="false">$BQ:$BQ+$BX:$BX</f>
        <v>156554</v>
      </c>
      <c r="BZ64" s="345" t="s">
        <v>294</v>
      </c>
      <c r="CA64" s="316"/>
      <c r="CB64" s="316"/>
      <c r="CC64" s="324" t="str">
        <f aca="false">CONCATENATE(CD64,"",CE64)</f>
        <v/>
      </c>
      <c r="CD64" s="319"/>
      <c r="CE64" s="319"/>
      <c r="CF64" s="322" t="str">
        <f aca="false">IFERROR(INDEX('[4]Lookup_Rem Ranges'!$D$1:$D$1048576,MATCH($CC:$CC,'[4]Lookup_Rem Ranges'!$C$1:$C$1048576,0)),"")</f>
        <v/>
      </c>
      <c r="CG64" s="346"/>
      <c r="CH64" s="346"/>
      <c r="CI64" s="347"/>
      <c r="CJ64" s="348"/>
      <c r="CK64" s="342" t="n">
        <f aca="false">IFERROR(ROUND($CI:$CI*$CJ:$CJ,0),0)</f>
        <v>0</v>
      </c>
      <c r="CL64" s="342" t="n">
        <f aca="false">$CI:$CI+$CK:$CK</f>
        <v>0</v>
      </c>
      <c r="CM64" s="349"/>
      <c r="CN64" s="350" t="n">
        <f aca="false">IF(SUM($CL:$CL&lt;249080),SUM(ROUND($CL:$CL*11%,0)),27398.8)</f>
        <v>0</v>
      </c>
      <c r="CO64" s="350" t="s">
        <v>324</v>
      </c>
      <c r="CP64" s="351" t="n">
        <f aca="false">IF(BA64="Yes",3.25%,0)</f>
        <v>0.0325</v>
      </c>
      <c r="CQ64" s="352" t="n">
        <f aca="false">ROUND(AR64*CP64,0)</f>
        <v>4440</v>
      </c>
      <c r="CR64" s="353" t="n">
        <f aca="false">IF($AW:$AW&lt;3.25%,$AW:$AW,3.25%)</f>
        <v>0</v>
      </c>
      <c r="CS64" s="354" t="n">
        <f aca="false">ROUND($AR:$AR*$CR:$CR,0)</f>
        <v>0</v>
      </c>
      <c r="CT64" s="353" t="n">
        <f aca="false">IF($AW:$AW&gt;=3.25%,$AW:$AW-$CR:$CR,0)</f>
        <v>0</v>
      </c>
      <c r="CU64" s="354" t="n">
        <f aca="false">ROUND($AR:$AR*$CT:$CT,0)</f>
        <v>0</v>
      </c>
      <c r="CV64" s="353" t="n">
        <f aca="false">IF($CR:$CR=3.25%,0,IF($BC:$BC&lt;3.25%,$BC:$BC,IF($BC:$BC&gt;3.25%,3.25%-$CR:$CR,0)))</f>
        <v>0</v>
      </c>
      <c r="CW64" s="354" t="n">
        <f aca="false">IFERROR(ROUND($AY:$AY*$CV:$CV,0),0)</f>
        <v>0</v>
      </c>
      <c r="CX64" s="353" t="n">
        <f aca="false">IF($CV:$CV=0,$BC:$BC,BC:BC-$CV:$CV)</f>
        <v>0</v>
      </c>
      <c r="CY64" s="354" t="n">
        <f aca="false">IFERROR(ROUND($AY:$AY*$CX:$CX,0),0)</f>
        <v>0</v>
      </c>
      <c r="CZ64" s="353" t="n">
        <f aca="false">$CR:$CR+$CT:CT+$CV:$CV+$CX:$CX</f>
        <v>0</v>
      </c>
      <c r="DA64" s="353" t="n">
        <f aca="false">(SUM($AW:$AW+$BC:$BC)-$CZ:$CZ)</f>
        <v>0</v>
      </c>
      <c r="DB64" s="353"/>
      <c r="DC64" s="353" t="n">
        <f aca="false">$BE:$BE</f>
        <v>0.0325</v>
      </c>
      <c r="DD64" s="354" t="n">
        <f aca="false">$BF:$BF</f>
        <v>4440</v>
      </c>
      <c r="DE64" s="355" t="n">
        <f aca="false">$BI:$BI</f>
        <v>0</v>
      </c>
      <c r="DF64" s="354" t="n">
        <f aca="false">$BJ:$BJ</f>
        <v>0</v>
      </c>
      <c r="DG64" s="355" t="n">
        <f aca="false">$BG:$BG</f>
        <v>0</v>
      </c>
      <c r="DH64" s="354" t="n">
        <f aca="false">IFERROR(ROUND($AP:$AP*$DG:$DG,0),0)</f>
        <v>0</v>
      </c>
      <c r="DI64" s="353" t="n">
        <f aca="false">$CR:$CR+$CV:$CV+$DC:$DC+$DE:$DE+$DG:$DG</f>
        <v>0.0325</v>
      </c>
      <c r="DJ64" s="354" t="n">
        <f aca="false">$CS:$CS+$CW:$CW+$DD:$DD+$DF:$DF+$DH:$DH</f>
        <v>4440</v>
      </c>
      <c r="DK64" s="353" t="n">
        <f aca="false">$CT:$CT+$CX:$CX</f>
        <v>0</v>
      </c>
      <c r="DL64" s="354" t="n">
        <f aca="false">$CU:$CU+$CY:$CY</f>
        <v>0</v>
      </c>
      <c r="DM64" s="356"/>
      <c r="DN64" s="357"/>
      <c r="DO64" s="357"/>
      <c r="DP64" s="357"/>
      <c r="DQ64" s="357"/>
      <c r="DR64" s="357"/>
      <c r="DS64" s="357"/>
      <c r="DT64" s="357"/>
      <c r="DU64" s="357"/>
      <c r="DV64" s="357"/>
      <c r="DW64" s="357" t="s">
        <v>498</v>
      </c>
    </row>
    <row r="65" customFormat="false" ht="33.75" hidden="false" customHeight="false" outlineLevel="0" collapsed="false">
      <c r="A65" s="314"/>
      <c r="B65" s="315" t="s">
        <v>273</v>
      </c>
      <c r="C65" s="315" t="s">
        <v>596</v>
      </c>
      <c r="D65" s="315" t="n">
        <v>18816</v>
      </c>
      <c r="E65" s="316" t="s">
        <v>597</v>
      </c>
      <c r="F65" s="316" t="s">
        <v>598</v>
      </c>
      <c r="G65" s="316" t="s">
        <v>300</v>
      </c>
      <c r="H65" s="317" t="s">
        <v>599</v>
      </c>
      <c r="I65" s="316" t="s">
        <v>600</v>
      </c>
      <c r="J65" s="316" t="s">
        <v>601</v>
      </c>
      <c r="K65" s="318" t="n">
        <v>41204</v>
      </c>
      <c r="L65" s="318"/>
      <c r="M65" s="318" t="n">
        <v>43696</v>
      </c>
      <c r="N65" s="319" t="s">
        <v>281</v>
      </c>
      <c r="O65" s="319" t="n">
        <v>38</v>
      </c>
      <c r="P65" s="320" t="n">
        <f aca="false">$O:$O/38</f>
        <v>1</v>
      </c>
      <c r="Q65" s="316" t="s">
        <v>320</v>
      </c>
      <c r="R65" s="316" t="n">
        <v>8939</v>
      </c>
      <c r="S65" s="316" t="s">
        <v>554</v>
      </c>
      <c r="T65" s="316" t="s">
        <v>322</v>
      </c>
      <c r="U65" s="316" t="s">
        <v>323</v>
      </c>
      <c r="V65" s="317" t="s">
        <v>58</v>
      </c>
      <c r="W65" s="317" t="s">
        <v>65</v>
      </c>
      <c r="X65" s="317" t="s">
        <v>286</v>
      </c>
      <c r="Y65" s="321" t="s">
        <v>287</v>
      </c>
      <c r="Z65" s="317" t="s">
        <v>554</v>
      </c>
      <c r="AA65" s="317" t="s">
        <v>319</v>
      </c>
      <c r="AB65" s="321" t="s">
        <v>555</v>
      </c>
      <c r="AC65" s="317" t="s">
        <v>289</v>
      </c>
      <c r="AD65" s="321" t="s">
        <v>290</v>
      </c>
      <c r="AE65" s="322" t="n">
        <f aca="false">IFERROR(INDEX('[3]Lookup_Rem Ranges'!$D$1:$D$1048576,MATCH($AL:$AL,'[3]Lookup_Rem Ranges'!$C$1:$C$1048576,0)),0)</f>
        <v>105500</v>
      </c>
      <c r="AF65" s="322" t="n">
        <f aca="false">IFERROR(INDEX('[3]Lookup_Rem Ranges'!$E$1:$E$1048576,MATCH($AL:$AL,'[3]Lookup_Rem Ranges'!$C$1:$C$1048576,0)),0)</f>
        <v>124100</v>
      </c>
      <c r="AG65" s="322" t="n">
        <f aca="false">IFERROR(INDEX('[3]Lookup_Rem Ranges'!$F$1:$F$1048576,MATCH($AL:$AL,'[3]Lookup_Rem Ranges'!$C$1:$C$1048576,0)),)</f>
        <v>142700</v>
      </c>
      <c r="AH65" s="317" t="s">
        <v>291</v>
      </c>
      <c r="AI65" s="319"/>
      <c r="AJ65" s="323" t="n">
        <v>0</v>
      </c>
      <c r="AK65" s="316"/>
      <c r="AL65" s="324" t="str">
        <f aca="false">CONCATENATE(AM65,"",AN65)</f>
        <v>CASS6</v>
      </c>
      <c r="AM65" s="324" t="s">
        <v>292</v>
      </c>
      <c r="AN65" s="319" t="n">
        <v>6</v>
      </c>
      <c r="AO65" s="316"/>
      <c r="AP65" s="325" t="n">
        <v>146300</v>
      </c>
      <c r="AQ65" s="322" t="n">
        <f aca="false">ROUND(IF($P:$P&gt;1,$AP:$AP*1,$AP:$AP*$P:$P),0)</f>
        <v>146300</v>
      </c>
      <c r="AR65" s="322" t="n">
        <f aca="false">IF(BA65="Yes",AP65,0)</f>
        <v>146300</v>
      </c>
      <c r="AS65" s="326" t="n">
        <v>0.0202231520223152</v>
      </c>
      <c r="AT65" s="326" t="n">
        <v>0</v>
      </c>
      <c r="AU65" s="327"/>
      <c r="AV65" s="322"/>
      <c r="AW65" s="328" t="n">
        <v>0</v>
      </c>
      <c r="AX65" s="322" t="n">
        <v>0</v>
      </c>
      <c r="AY65" s="322" t="n">
        <v>146300</v>
      </c>
      <c r="AZ65" s="329" t="n">
        <f aca="false">IFERROR(($AY:$AY+$AJ:$AJ+$AK:$AK)/$AF:$AF,0)</f>
        <v>1.17888799355359</v>
      </c>
      <c r="BA65" s="330" t="s">
        <v>293</v>
      </c>
      <c r="BB65" s="331" t="n">
        <v>3</v>
      </c>
      <c r="BC65" s="326" t="n">
        <f aca="false">IFERROR($BD:$BD/$AY:$AY,0)</f>
        <v>0</v>
      </c>
      <c r="BD65" s="332" t="n">
        <f aca="false">ROUND(IF($AY:$AY&lt;$AE:$AE,$AE:$AE-$AY:$AY,0),0)</f>
        <v>0</v>
      </c>
      <c r="BE65" s="333" t="n">
        <v>0</v>
      </c>
      <c r="BF65" s="334" t="n">
        <f aca="false">ROUND($AR:$AR*$BE:$BE,0)</f>
        <v>0</v>
      </c>
      <c r="BG65" s="335" t="n">
        <v>0</v>
      </c>
      <c r="BH65" s="336" t="n">
        <f aca="false">ROUND($AR:$AR*$BG:$BG,0)</f>
        <v>0</v>
      </c>
      <c r="BI65" s="333" t="n">
        <v>0.0325</v>
      </c>
      <c r="BJ65" s="334" t="n">
        <f aca="false">ROUND($AR:$AR*$BI:$BI,0)</f>
        <v>4755</v>
      </c>
      <c r="BK65" s="334" t="n">
        <f aca="false">ROUND(IF($P:$P&gt;1,$BJ:$BJ*1,$BJ:$BJ*$P:$P),0)</f>
        <v>4755</v>
      </c>
      <c r="BL65" s="337"/>
      <c r="BM65" s="338" t="n">
        <f aca="false">$BC:$BC+$BE:$BE+$BG:$BG</f>
        <v>0</v>
      </c>
      <c r="BN65" s="339" t="n">
        <f aca="false">$BD:$BD+$BF:$BF+$BH:$BH</f>
        <v>0</v>
      </c>
      <c r="BO65" s="340" t="n">
        <f aca="false">IFERROR(ROUND($AY:$AY+$BN:$BN,0),0)</f>
        <v>146300</v>
      </c>
      <c r="BP65" s="341" t="n">
        <f aca="false">ROUND(IF(SUM($BO:$BO&lt;249080),SUM(ROUND($BO:$BO*11%,0)),27398.8),0)</f>
        <v>16093</v>
      </c>
      <c r="BQ65" s="342" t="n">
        <f aca="false">$BO:$BO+$BP:$BP</f>
        <v>162393</v>
      </c>
      <c r="BR65" s="329" t="n">
        <f aca="false">IFERROR(($BO:$BO+$AJ:$AJ+$AK:$AK)/$AF:$AF,0)</f>
        <v>1.17888799355359</v>
      </c>
      <c r="BS65" s="343" t="n">
        <f aca="false">IF($N:$N="CASUAL","TBC",ROUND($BN:$BN/(NETWORKDAYS("01/07/2023","30/06/2024"))*NETWORKDAYS("10/07/2023","04/09/2023"),0)*$P:$P)</f>
        <v>0</v>
      </c>
      <c r="BT65" s="326" t="n">
        <f aca="false">$BM65+$BI65</f>
        <v>0.0325</v>
      </c>
      <c r="BU65" s="332" t="n">
        <f aca="false">$BN:$BN+$BJ:$BJ</f>
        <v>4755</v>
      </c>
      <c r="BV65" s="342" t="n">
        <f aca="false">$BO:$BO*$P:$P</f>
        <v>146300</v>
      </c>
      <c r="BW65" s="344" t="n">
        <f aca="false">ROUND($BO:$BO/1976,2)</f>
        <v>74.04</v>
      </c>
      <c r="BX65" s="316"/>
      <c r="BY65" s="342" t="n">
        <f aca="false">$BQ:$BQ+$BX:$BX</f>
        <v>162393</v>
      </c>
      <c r="BZ65" s="345" t="s">
        <v>294</v>
      </c>
      <c r="CA65" s="316"/>
      <c r="CB65" s="316"/>
      <c r="CC65" s="324" t="str">
        <f aca="false">CONCATENATE(CD65,"",CE65)</f>
        <v/>
      </c>
      <c r="CD65" s="319"/>
      <c r="CE65" s="319"/>
      <c r="CF65" s="322" t="str">
        <f aca="false">IFERROR(INDEX('[4]Lookup_Rem Ranges'!$D$1:$D$1048576,MATCH($CC:$CC,'[4]Lookup_Rem Ranges'!$C$1:$C$1048576,0)),"")</f>
        <v/>
      </c>
      <c r="CG65" s="346"/>
      <c r="CH65" s="346"/>
      <c r="CI65" s="347"/>
      <c r="CJ65" s="348"/>
      <c r="CK65" s="342" t="n">
        <f aca="false">IFERROR(ROUND($CI:$CI*$CJ:$CJ,0),0)</f>
        <v>0</v>
      </c>
      <c r="CL65" s="342" t="n">
        <f aca="false">$CI:$CI+$CK:$CK</f>
        <v>0</v>
      </c>
      <c r="CM65" s="349"/>
      <c r="CN65" s="350" t="n">
        <f aca="false">IF(SUM($CL:$CL&lt;249080),SUM(ROUND($CL:$CL*11%,0)),27398.8)</f>
        <v>0</v>
      </c>
      <c r="CO65" s="350" t="s">
        <v>324</v>
      </c>
      <c r="CP65" s="351" t="n">
        <f aca="false">IF(BA65="Yes",3.25%,0)</f>
        <v>0.0325</v>
      </c>
      <c r="CQ65" s="352" t="n">
        <f aca="false">ROUND(AR65*CP65,0)</f>
        <v>4755</v>
      </c>
      <c r="CR65" s="353" t="n">
        <f aca="false">IF($AW:$AW&lt;3.25%,$AW:$AW,3.25%)</f>
        <v>0</v>
      </c>
      <c r="CS65" s="354" t="n">
        <f aca="false">ROUND($AR:$AR*$CR:$CR,0)</f>
        <v>0</v>
      </c>
      <c r="CT65" s="353" t="n">
        <f aca="false">IF($AW:$AW&gt;=3.25%,$AW:$AW-$CR:$CR,0)</f>
        <v>0</v>
      </c>
      <c r="CU65" s="354" t="n">
        <f aca="false">ROUND($AR:$AR*$CT:$CT,0)</f>
        <v>0</v>
      </c>
      <c r="CV65" s="353" t="n">
        <f aca="false">IF($CR:$CR=3.25%,0,IF($BC:$BC&lt;3.25%,$BC:$BC,IF($BC:$BC&gt;3.25%,3.25%-$CR:$CR,0)))</f>
        <v>0</v>
      </c>
      <c r="CW65" s="354" t="n">
        <f aca="false">IFERROR(ROUND($AY:$AY*$CV:$CV,0),0)</f>
        <v>0</v>
      </c>
      <c r="CX65" s="353" t="n">
        <f aca="false">IF($CV:$CV=0,$BC:$BC,BC:BC-$CV:$CV)</f>
        <v>0</v>
      </c>
      <c r="CY65" s="354" t="n">
        <f aca="false">IFERROR(ROUND($AY:$AY*$CX:$CX,0),0)</f>
        <v>0</v>
      </c>
      <c r="CZ65" s="353" t="n">
        <f aca="false">$CR:$CR+$CT:CT+$CV:$CV+$CX:$CX</f>
        <v>0</v>
      </c>
      <c r="DA65" s="353" t="n">
        <f aca="false">(SUM($AW:$AW+$BC:$BC)-$CZ:$CZ)</f>
        <v>0</v>
      </c>
      <c r="DB65" s="353"/>
      <c r="DC65" s="353" t="n">
        <f aca="false">$BE:$BE</f>
        <v>0</v>
      </c>
      <c r="DD65" s="354" t="n">
        <f aca="false">$BF:$BF</f>
        <v>0</v>
      </c>
      <c r="DE65" s="355" t="n">
        <f aca="false">$BI:$BI</f>
        <v>0.0325</v>
      </c>
      <c r="DF65" s="354" t="n">
        <f aca="false">$BJ:$BJ</f>
        <v>4755</v>
      </c>
      <c r="DG65" s="355" t="n">
        <f aca="false">$BG:$BG</f>
        <v>0</v>
      </c>
      <c r="DH65" s="354" t="n">
        <f aca="false">IFERROR(ROUND($AP:$AP*$DG:$DG,0),0)</f>
        <v>0</v>
      </c>
      <c r="DI65" s="353" t="n">
        <f aca="false">$CR:$CR+$CV:$CV+$DC:$DC+$DE:$DE+$DG:$DG</f>
        <v>0.0325</v>
      </c>
      <c r="DJ65" s="354" t="n">
        <f aca="false">$CS:$CS+$CW:$CW+$DD:$DD+$DF:$DF+$DH:$DH</f>
        <v>4755</v>
      </c>
      <c r="DK65" s="353" t="n">
        <f aca="false">$CT:$CT+$CX:$CX</f>
        <v>0</v>
      </c>
      <c r="DL65" s="354" t="n">
        <f aca="false">$CU:$CU+$CY:$CY</f>
        <v>0</v>
      </c>
      <c r="DM65" s="356"/>
      <c r="DN65" s="357"/>
      <c r="DO65" s="357"/>
      <c r="DP65" s="357"/>
      <c r="DQ65" s="357"/>
      <c r="DR65" s="357"/>
      <c r="DS65" s="357"/>
      <c r="DT65" s="357"/>
      <c r="DU65" s="357"/>
      <c r="DV65" s="357"/>
      <c r="DW65" s="357" t="s">
        <v>498</v>
      </c>
    </row>
    <row r="66" customFormat="false" ht="33.75" hidden="false" customHeight="false" outlineLevel="0" collapsed="false">
      <c r="A66" s="314"/>
      <c r="B66" s="315" t="s">
        <v>273</v>
      </c>
      <c r="C66" s="315" t="s">
        <v>602</v>
      </c>
      <c r="D66" s="315" t="n">
        <v>20760</v>
      </c>
      <c r="E66" s="316" t="s">
        <v>603</v>
      </c>
      <c r="F66" s="316" t="s">
        <v>604</v>
      </c>
      <c r="G66" s="316" t="s">
        <v>277</v>
      </c>
      <c r="H66" s="317" t="s">
        <v>605</v>
      </c>
      <c r="I66" s="316" t="s">
        <v>606</v>
      </c>
      <c r="J66" s="316" t="s">
        <v>553</v>
      </c>
      <c r="K66" s="318" t="n">
        <v>44592</v>
      </c>
      <c r="L66" s="318"/>
      <c r="M66" s="318" t="n">
        <v>44592</v>
      </c>
      <c r="N66" s="319" t="s">
        <v>281</v>
      </c>
      <c r="O66" s="319" t="n">
        <v>38</v>
      </c>
      <c r="P66" s="320" t="n">
        <f aca="false">$O:$O/38</f>
        <v>1</v>
      </c>
      <c r="Q66" s="316" t="s">
        <v>320</v>
      </c>
      <c r="R66" s="316" t="n">
        <v>8939</v>
      </c>
      <c r="S66" s="316" t="s">
        <v>554</v>
      </c>
      <c r="T66" s="316" t="s">
        <v>322</v>
      </c>
      <c r="U66" s="316" t="s">
        <v>589</v>
      </c>
      <c r="V66" s="317" t="s">
        <v>58</v>
      </c>
      <c r="W66" s="317" t="s">
        <v>65</v>
      </c>
      <c r="X66" s="317" t="s">
        <v>286</v>
      </c>
      <c r="Y66" s="321" t="s">
        <v>287</v>
      </c>
      <c r="Z66" s="317" t="s">
        <v>554</v>
      </c>
      <c r="AA66" s="317" t="s">
        <v>319</v>
      </c>
      <c r="AB66" s="321" t="s">
        <v>555</v>
      </c>
      <c r="AC66" s="317" t="s">
        <v>289</v>
      </c>
      <c r="AD66" s="321" t="s">
        <v>290</v>
      </c>
      <c r="AE66" s="322" t="n">
        <f aca="false">IFERROR(INDEX('[3]Lookup_Rem Ranges'!$D$1:$D$1048576,MATCH($AL:$AL,'[3]Lookup_Rem Ranges'!$C$1:$C$1048576,0)),0)</f>
        <v>105500</v>
      </c>
      <c r="AF66" s="322" t="n">
        <f aca="false">IFERROR(INDEX('[3]Lookup_Rem Ranges'!$E$1:$E$1048576,MATCH($AL:$AL,'[3]Lookup_Rem Ranges'!$C$1:$C$1048576,0)),0)</f>
        <v>124100</v>
      </c>
      <c r="AG66" s="322" t="n">
        <f aca="false">IFERROR(INDEX('[3]Lookup_Rem Ranges'!$F$1:$F$1048576,MATCH($AL:$AL,'[3]Lookup_Rem Ranges'!$C$1:$C$1048576,0)),)</f>
        <v>142700</v>
      </c>
      <c r="AH66" s="317" t="s">
        <v>291</v>
      </c>
      <c r="AI66" s="319"/>
      <c r="AJ66" s="323" t="n">
        <v>0</v>
      </c>
      <c r="AK66" s="316"/>
      <c r="AL66" s="324" t="str">
        <f aca="false">CONCATENATE(AM66,"",AN66)</f>
        <v>CASS6</v>
      </c>
      <c r="AM66" s="324" t="s">
        <v>292</v>
      </c>
      <c r="AN66" s="319" t="n">
        <v>6</v>
      </c>
      <c r="AO66" s="316" t="s">
        <v>358</v>
      </c>
      <c r="AP66" s="325" t="n">
        <v>124700</v>
      </c>
      <c r="AQ66" s="322" t="n">
        <f aca="false">ROUND(IF($P:$P&gt;1,$AP:$AP*1,$AP:$AP*$P:$P),0)</f>
        <v>124700</v>
      </c>
      <c r="AR66" s="322" t="n">
        <f aca="false">IF(BA66="Yes",AP66,0)</f>
        <v>0</v>
      </c>
      <c r="AS66" s="326" t="n">
        <v>0.0391666666666667</v>
      </c>
      <c r="AT66" s="326" t="n">
        <v>0</v>
      </c>
      <c r="AU66" s="327"/>
      <c r="AV66" s="322"/>
      <c r="AW66" s="328" t="n">
        <v>0</v>
      </c>
      <c r="AX66" s="322" t="n">
        <v>0</v>
      </c>
      <c r="AY66" s="322" t="n">
        <v>124700</v>
      </c>
      <c r="AZ66" s="329" t="n">
        <f aca="false">IFERROR(($AY:$AY+$AJ:$AJ+$AK:$AK)/$AF:$AF,0)</f>
        <v>1.00483481063658</v>
      </c>
      <c r="BA66" s="330" t="s">
        <v>294</v>
      </c>
      <c r="BB66" s="331" t="n">
        <v>2</v>
      </c>
      <c r="BC66" s="326" t="n">
        <f aca="false">IFERROR($BD:$BD/$AY:$AY,0)</f>
        <v>0</v>
      </c>
      <c r="BD66" s="332" t="n">
        <f aca="false">ROUND(IF($AY:$AY&lt;$AE:$AE,$AE:$AE-$AY:$AY,0),0)</f>
        <v>0</v>
      </c>
      <c r="BE66" s="333" t="n">
        <v>0</v>
      </c>
      <c r="BF66" s="334" t="n">
        <f aca="false">ROUND($AR:$AR*$BE:$BE,0)</f>
        <v>0</v>
      </c>
      <c r="BG66" s="335" t="n">
        <v>0</v>
      </c>
      <c r="BH66" s="336" t="n">
        <f aca="false">ROUND($AR:$AR*$BG:$BG,0)</f>
        <v>0</v>
      </c>
      <c r="BI66" s="333" t="n">
        <v>0</v>
      </c>
      <c r="BJ66" s="334" t="n">
        <f aca="false">ROUND($AR:$AR*$BI:$BI,0)</f>
        <v>0</v>
      </c>
      <c r="BK66" s="334" t="n">
        <f aca="false">ROUND(IF($P:$P&gt;1,$BJ:$BJ*1,$BJ:$BJ*$P:$P),0)</f>
        <v>0</v>
      </c>
      <c r="BL66" s="337"/>
      <c r="BM66" s="338" t="n">
        <f aca="false">$BC:$BC+$BE:$BE+$BG:$BG</f>
        <v>0</v>
      </c>
      <c r="BN66" s="339" t="n">
        <f aca="false">$BD:$BD+$BF:$BF+$BH:$BH</f>
        <v>0</v>
      </c>
      <c r="BO66" s="340" t="n">
        <f aca="false">IFERROR(ROUND($AY:$AY+$BN:$BN,0),0)</f>
        <v>124700</v>
      </c>
      <c r="BP66" s="341" t="n">
        <f aca="false">ROUND(IF(SUM($BO:$BO&lt;249080),SUM(ROUND($BO:$BO*11%,0)),27398.8),0)</f>
        <v>13717</v>
      </c>
      <c r="BQ66" s="342" t="n">
        <f aca="false">$BO:$BO+$BP:$BP</f>
        <v>138417</v>
      </c>
      <c r="BR66" s="329" t="n">
        <f aca="false">IFERROR(($BO:$BO+$AJ:$AJ+$AK:$AK)/$AF:$AF,0)</f>
        <v>1.00483481063658</v>
      </c>
      <c r="BS66" s="343" t="n">
        <f aca="false">IF($N:$N="CASUAL","TBC",ROUND($BN:$BN/(NETWORKDAYS("01/07/2023","30/06/2024"))*NETWORKDAYS("10/07/2023","04/09/2023"),0)*$P:$P)</f>
        <v>0</v>
      </c>
      <c r="BT66" s="326" t="n">
        <f aca="false">$BM66+$BI66</f>
        <v>0</v>
      </c>
      <c r="BU66" s="332" t="n">
        <f aca="false">$BN:$BN+$BJ:$BJ</f>
        <v>0</v>
      </c>
      <c r="BV66" s="342" t="n">
        <f aca="false">$BO:$BO*$P:$P</f>
        <v>124700</v>
      </c>
      <c r="BW66" s="344" t="n">
        <f aca="false">ROUND($BO:$BO/1976,2)</f>
        <v>63.11</v>
      </c>
      <c r="BX66" s="316"/>
      <c r="BY66" s="342" t="n">
        <f aca="false">$BQ:$BQ+$BX:$BX</f>
        <v>138417</v>
      </c>
      <c r="BZ66" s="345" t="s">
        <v>294</v>
      </c>
      <c r="CA66" s="316"/>
      <c r="CB66" s="316"/>
      <c r="CC66" s="324" t="str">
        <f aca="false">CONCATENATE(CD66,"",CE66)</f>
        <v/>
      </c>
      <c r="CD66" s="319"/>
      <c r="CE66" s="319"/>
      <c r="CF66" s="322" t="str">
        <f aca="false">IFERROR(INDEX('[4]Lookup_Rem Ranges'!$D$1:$D$1048576,MATCH($CC:$CC,'[4]Lookup_Rem Ranges'!$C$1:$C$1048576,0)),"")</f>
        <v/>
      </c>
      <c r="CG66" s="346"/>
      <c r="CH66" s="346"/>
      <c r="CI66" s="347"/>
      <c r="CJ66" s="348"/>
      <c r="CK66" s="342" t="n">
        <f aca="false">IFERROR(ROUND($CI:$CI*$CJ:$CJ,0),0)</f>
        <v>0</v>
      </c>
      <c r="CL66" s="342" t="n">
        <f aca="false">$CI:$CI+$CK:$CK</f>
        <v>0</v>
      </c>
      <c r="CM66" s="349"/>
      <c r="CN66" s="350" t="n">
        <f aca="false">IF(SUM($CL:$CL&lt;249080),SUM(ROUND($CL:$CL*11%,0)),27398.8)</f>
        <v>0</v>
      </c>
      <c r="CO66" s="350" t="s">
        <v>324</v>
      </c>
      <c r="CP66" s="351" t="n">
        <f aca="false">IF(BA66="Yes",3.25%,0)</f>
        <v>0</v>
      </c>
      <c r="CQ66" s="352" t="n">
        <f aca="false">ROUND(AR66*CP66,0)</f>
        <v>0</v>
      </c>
      <c r="CR66" s="353" t="n">
        <f aca="false">IF($AW:$AW&lt;3.25%,$AW:$AW,3.25%)</f>
        <v>0</v>
      </c>
      <c r="CS66" s="354" t="n">
        <f aca="false">ROUND($AR:$AR*$CR:$CR,0)</f>
        <v>0</v>
      </c>
      <c r="CT66" s="353" t="n">
        <f aca="false">IF($AW:$AW&gt;=3.25%,$AW:$AW-$CR:$CR,0)</f>
        <v>0</v>
      </c>
      <c r="CU66" s="354" t="n">
        <f aca="false">ROUND($AR:$AR*$CT:$CT,0)</f>
        <v>0</v>
      </c>
      <c r="CV66" s="353" t="n">
        <f aca="false">IF($CR:$CR=3.25%,0,IF($BC:$BC&lt;3.25%,$BC:$BC,IF($BC:$BC&gt;3.25%,3.25%-$CR:$CR,0)))</f>
        <v>0</v>
      </c>
      <c r="CW66" s="354" t="n">
        <f aca="false">IFERROR(ROUND($AY:$AY*$CV:$CV,0),0)</f>
        <v>0</v>
      </c>
      <c r="CX66" s="353" t="n">
        <f aca="false">IF($CV:$CV=0,$BC:$BC,BC:BC-$CV:$CV)</f>
        <v>0</v>
      </c>
      <c r="CY66" s="354" t="n">
        <f aca="false">IFERROR(ROUND($AY:$AY*$CX:$CX,0),0)</f>
        <v>0</v>
      </c>
      <c r="CZ66" s="353" t="n">
        <f aca="false">$CR:$CR+$CT:CT+$CV:$CV+$CX:$CX</f>
        <v>0</v>
      </c>
      <c r="DA66" s="353" t="n">
        <f aca="false">(SUM($AW:$AW+$BC:$BC)-$CZ:$CZ)</f>
        <v>0</v>
      </c>
      <c r="DB66" s="353"/>
      <c r="DC66" s="353" t="n">
        <f aca="false">$BE:$BE</f>
        <v>0</v>
      </c>
      <c r="DD66" s="354" t="n">
        <f aca="false">$BF:$BF</f>
        <v>0</v>
      </c>
      <c r="DE66" s="355" t="n">
        <f aca="false">$BI:$BI</f>
        <v>0</v>
      </c>
      <c r="DF66" s="354" t="n">
        <f aca="false">$BJ:$BJ</f>
        <v>0</v>
      </c>
      <c r="DG66" s="355" t="n">
        <f aca="false">$BG:$BG</f>
        <v>0</v>
      </c>
      <c r="DH66" s="354" t="n">
        <f aca="false">IFERROR(ROUND($AP:$AP*$DG:$DG,0),0)</f>
        <v>0</v>
      </c>
      <c r="DI66" s="353" t="n">
        <f aca="false">$CR:$CR+$CV:$CV+$DC:$DC+$DE:$DE+$DG:$DG</f>
        <v>0</v>
      </c>
      <c r="DJ66" s="354" t="n">
        <f aca="false">$CS:$CS+$CW:$CW+$DD:$DD+$DF:$DF+$DH:$DH</f>
        <v>0</v>
      </c>
      <c r="DK66" s="353" t="n">
        <f aca="false">$CT:$CT+$CX:$CX</f>
        <v>0</v>
      </c>
      <c r="DL66" s="354" t="n">
        <f aca="false">$CU:$CU+$CY:$CY</f>
        <v>0</v>
      </c>
      <c r="DM66" s="356"/>
      <c r="DN66" s="357"/>
      <c r="DO66" s="357"/>
      <c r="DP66" s="357"/>
      <c r="DQ66" s="357"/>
      <c r="DR66" s="357"/>
      <c r="DS66" s="357"/>
      <c r="DT66" s="357"/>
      <c r="DU66" s="357"/>
      <c r="DV66" s="357"/>
      <c r="DW66" s="357" t="s">
        <v>498</v>
      </c>
    </row>
    <row r="67" customFormat="false" ht="24" hidden="false" customHeight="false" outlineLevel="0" collapsed="false">
      <c r="A67" s="314"/>
      <c r="B67" s="315" t="s">
        <v>273</v>
      </c>
      <c r="C67" s="315" t="s">
        <v>607</v>
      </c>
      <c r="D67" s="315" t="n">
        <v>15317</v>
      </c>
      <c r="E67" s="316" t="s">
        <v>608</v>
      </c>
      <c r="F67" s="316" t="s">
        <v>609</v>
      </c>
      <c r="G67" s="316" t="s">
        <v>277</v>
      </c>
      <c r="H67" s="317" t="s">
        <v>610</v>
      </c>
      <c r="I67" s="316" t="s">
        <v>611</v>
      </c>
      <c r="J67" s="316" t="s">
        <v>612</v>
      </c>
      <c r="K67" s="318" t="n">
        <v>42156</v>
      </c>
      <c r="L67" s="318"/>
      <c r="M67" s="318" t="n">
        <v>44743</v>
      </c>
      <c r="N67" s="319" t="s">
        <v>281</v>
      </c>
      <c r="O67" s="319" t="n">
        <v>38</v>
      </c>
      <c r="P67" s="320" t="n">
        <f aca="false">$O:$O/38</f>
        <v>1</v>
      </c>
      <c r="Q67" s="316" t="s">
        <v>304</v>
      </c>
      <c r="R67" s="316" t="n">
        <v>8939</v>
      </c>
      <c r="S67" s="316" t="s">
        <v>554</v>
      </c>
      <c r="T67" s="316" t="s">
        <v>322</v>
      </c>
      <c r="U67" s="316" t="s">
        <v>323</v>
      </c>
      <c r="V67" s="317" t="s">
        <v>58</v>
      </c>
      <c r="W67" s="317" t="s">
        <v>65</v>
      </c>
      <c r="X67" s="317" t="s">
        <v>286</v>
      </c>
      <c r="Y67" s="321" t="s">
        <v>287</v>
      </c>
      <c r="Z67" s="317" t="s">
        <v>554</v>
      </c>
      <c r="AA67" s="317" t="s">
        <v>319</v>
      </c>
      <c r="AB67" s="321" t="s">
        <v>555</v>
      </c>
      <c r="AC67" s="317" t="s">
        <v>289</v>
      </c>
      <c r="AD67" s="321" t="s">
        <v>290</v>
      </c>
      <c r="AE67" s="322" t="n">
        <f aca="false">IFERROR(INDEX('[3]Lookup_Rem Ranges'!$D$1:$D$1048576,MATCH($AL:$AL,'[3]Lookup_Rem Ranges'!$C$1:$C$1048576,0)),0)</f>
        <v>105500</v>
      </c>
      <c r="AF67" s="322" t="n">
        <f aca="false">IFERROR(INDEX('[3]Lookup_Rem Ranges'!$E$1:$E$1048576,MATCH($AL:$AL,'[3]Lookup_Rem Ranges'!$C$1:$C$1048576,0)),0)</f>
        <v>124100</v>
      </c>
      <c r="AG67" s="322" t="n">
        <f aca="false">IFERROR(INDEX('[3]Lookup_Rem Ranges'!$F$1:$F$1048576,MATCH($AL:$AL,'[3]Lookup_Rem Ranges'!$C$1:$C$1048576,0)),)</f>
        <v>142700</v>
      </c>
      <c r="AH67" s="317" t="s">
        <v>291</v>
      </c>
      <c r="AI67" s="319"/>
      <c r="AJ67" s="323" t="n">
        <v>0</v>
      </c>
      <c r="AK67" s="316"/>
      <c r="AL67" s="324" t="str">
        <f aca="false">CONCATENATE(AM67,"",AN67)</f>
        <v>CASS6</v>
      </c>
      <c r="AM67" s="324" t="s">
        <v>292</v>
      </c>
      <c r="AN67" s="319" t="n">
        <v>6</v>
      </c>
      <c r="AO67" s="316"/>
      <c r="AP67" s="325" t="n">
        <v>124400</v>
      </c>
      <c r="AQ67" s="322" t="n">
        <f aca="false">ROUND(IF($P:$P&gt;1,$AP:$AP*1,$AP:$AP*$P:$P),0)</f>
        <v>124400</v>
      </c>
      <c r="AR67" s="322" t="n">
        <f aca="false">IF(BA67="Yes",AP67,0)</f>
        <v>124400</v>
      </c>
      <c r="AS67" s="326" t="n">
        <v>0.045650301464255</v>
      </c>
      <c r="AT67" s="326" t="n">
        <v>0</v>
      </c>
      <c r="AU67" s="327"/>
      <c r="AV67" s="322"/>
      <c r="AW67" s="328" t="n">
        <v>0</v>
      </c>
      <c r="AX67" s="322" t="n">
        <v>0</v>
      </c>
      <c r="AY67" s="322" t="n">
        <v>124400</v>
      </c>
      <c r="AZ67" s="329" t="n">
        <f aca="false">IFERROR(($AY:$AY+$AJ:$AJ+$AK:$AK)/$AF:$AF,0)</f>
        <v>1.00241740531829</v>
      </c>
      <c r="BA67" s="330" t="s">
        <v>293</v>
      </c>
      <c r="BB67" s="331" t="n">
        <v>4</v>
      </c>
      <c r="BC67" s="326" t="n">
        <f aca="false">IFERROR($BD:$BD/$AY:$AY,0)</f>
        <v>0</v>
      </c>
      <c r="BD67" s="332" t="n">
        <f aca="false">ROUND(IF($AY:$AY&lt;$AE:$AE,$AE:$AE-$AY:$AY,0),0)</f>
        <v>0</v>
      </c>
      <c r="BE67" s="333" t="n">
        <v>0.0325</v>
      </c>
      <c r="BF67" s="334" t="n">
        <f aca="false">ROUND($AR:$AR*$BE:$BE,0)</f>
        <v>4043</v>
      </c>
      <c r="BG67" s="335" t="n">
        <v>0</v>
      </c>
      <c r="BH67" s="336" t="n">
        <f aca="false">ROUND($AR:$AR*$BG:$BG,0)</f>
        <v>0</v>
      </c>
      <c r="BI67" s="333" t="n">
        <v>0</v>
      </c>
      <c r="BJ67" s="334" t="n">
        <f aca="false">ROUND($AR:$AR*$BI:$BI,0)</f>
        <v>0</v>
      </c>
      <c r="BK67" s="334" t="n">
        <f aca="false">ROUND(IF($P:$P&gt;1,$BJ:$BJ*1,$BJ:$BJ*$P:$P),0)</f>
        <v>0</v>
      </c>
      <c r="BL67" s="337"/>
      <c r="BM67" s="338" t="n">
        <f aca="false">$BC:$BC+$BE:$BE+$BG:$BG</f>
        <v>0.0325</v>
      </c>
      <c r="BN67" s="339" t="n">
        <f aca="false">$BD:$BD+$BF:$BF+$BH:$BH</f>
        <v>4043</v>
      </c>
      <c r="BO67" s="340" t="n">
        <f aca="false">IFERROR(ROUND($AY:$AY+$BN:$BN,0),0)</f>
        <v>128443</v>
      </c>
      <c r="BP67" s="341" t="n">
        <f aca="false">ROUND(IF(SUM($BO:$BO&lt;249080),SUM(ROUND($BO:$BO*11%,0)),27398.8),0)</f>
        <v>14129</v>
      </c>
      <c r="BQ67" s="342" t="n">
        <f aca="false">$BO:$BO+$BP:$BP</f>
        <v>142572</v>
      </c>
      <c r="BR67" s="329" t="n">
        <f aca="false">IFERROR(($BO:$BO+$AJ:$AJ+$AK:$AK)/$AF:$AF,0)</f>
        <v>1.03499597099114</v>
      </c>
      <c r="BS67" s="343" t="n">
        <f aca="false">IF($N:$N="CASUAL","TBC",ROUND($BN:$BN/(NETWORKDAYS("01/07/2023","30/06/2024"))*NETWORKDAYS("10/07/2023","04/09/2023"),0)*$P:$P)</f>
        <v>638</v>
      </c>
      <c r="BT67" s="326" t="n">
        <f aca="false">$BM67+$BI67</f>
        <v>0.0325</v>
      </c>
      <c r="BU67" s="332" t="n">
        <f aca="false">$BN:$BN+$BJ:$BJ</f>
        <v>4043</v>
      </c>
      <c r="BV67" s="342" t="n">
        <f aca="false">$BO:$BO*$P:$P</f>
        <v>128443</v>
      </c>
      <c r="BW67" s="344" t="n">
        <f aca="false">ROUND($BO:$BO/1976,2)</f>
        <v>65</v>
      </c>
      <c r="BX67" s="316"/>
      <c r="BY67" s="342" t="n">
        <f aca="false">$BQ:$BQ+$BX:$BX</f>
        <v>142572</v>
      </c>
      <c r="BZ67" s="345" t="s">
        <v>294</v>
      </c>
      <c r="CA67" s="316"/>
      <c r="CB67" s="316"/>
      <c r="CC67" s="324" t="str">
        <f aca="false">CONCATENATE(CD67,"",CE67)</f>
        <v/>
      </c>
      <c r="CD67" s="319"/>
      <c r="CE67" s="319"/>
      <c r="CF67" s="322" t="str">
        <f aca="false">IFERROR(INDEX('[4]Lookup_Rem Ranges'!$D$1:$D$1048576,MATCH($CC:$CC,'[4]Lookup_Rem Ranges'!$C$1:$C$1048576,0)),"")</f>
        <v/>
      </c>
      <c r="CG67" s="346"/>
      <c r="CH67" s="346"/>
      <c r="CI67" s="347"/>
      <c r="CJ67" s="348"/>
      <c r="CK67" s="342" t="n">
        <f aca="false">IFERROR(ROUND($CI:$CI*$CJ:$CJ,0),0)</f>
        <v>0</v>
      </c>
      <c r="CL67" s="342" t="n">
        <f aca="false">$CI:$CI+$CK:$CK</f>
        <v>0</v>
      </c>
      <c r="CM67" s="349"/>
      <c r="CN67" s="350" t="n">
        <f aca="false">IF(SUM($CL:$CL&lt;249080),SUM(ROUND($CL:$CL*11%,0)),27398.8)</f>
        <v>0</v>
      </c>
      <c r="CO67" s="350" t="s">
        <v>305</v>
      </c>
      <c r="CP67" s="351" t="n">
        <f aca="false">IF(BA67="Yes",3.25%,0)</f>
        <v>0.0325</v>
      </c>
      <c r="CQ67" s="352" t="n">
        <f aca="false">ROUND(AR67*CP67,0)</f>
        <v>4043</v>
      </c>
      <c r="CR67" s="353" t="n">
        <f aca="false">IF($AW:$AW&lt;3.25%,$AW:$AW,3.25%)</f>
        <v>0</v>
      </c>
      <c r="CS67" s="354" t="n">
        <f aca="false">ROUND($AR:$AR*$CR:$CR,0)</f>
        <v>0</v>
      </c>
      <c r="CT67" s="353" t="n">
        <f aca="false">IF($AW:$AW&gt;=3.25%,$AW:$AW-$CR:$CR,0)</f>
        <v>0</v>
      </c>
      <c r="CU67" s="354" t="n">
        <f aca="false">ROUND($AR:$AR*$CT:$CT,0)</f>
        <v>0</v>
      </c>
      <c r="CV67" s="353" t="n">
        <f aca="false">IF($CR:$CR=3.25%,0,IF($BC:$BC&lt;3.25%,$BC:$BC,IF($BC:$BC&gt;3.25%,3.25%-$CR:$CR,0)))</f>
        <v>0</v>
      </c>
      <c r="CW67" s="354" t="n">
        <f aca="false">IFERROR(ROUND($AY:$AY*$CV:$CV,0),0)</f>
        <v>0</v>
      </c>
      <c r="CX67" s="353" t="n">
        <f aca="false">IF($CV:$CV=0,$BC:$BC,BC:BC-$CV:$CV)</f>
        <v>0</v>
      </c>
      <c r="CY67" s="354" t="n">
        <f aca="false">IFERROR(ROUND($AY:$AY*$CX:$CX,0),0)</f>
        <v>0</v>
      </c>
      <c r="CZ67" s="353" t="n">
        <f aca="false">$CR:$CR+$CT:CT+$CV:$CV+$CX:$CX</f>
        <v>0</v>
      </c>
      <c r="DA67" s="353" t="n">
        <f aca="false">(SUM($AW:$AW+$BC:$BC)-$CZ:$CZ)</f>
        <v>0</v>
      </c>
      <c r="DB67" s="353"/>
      <c r="DC67" s="353" t="n">
        <f aca="false">$BE:$BE</f>
        <v>0.0325</v>
      </c>
      <c r="DD67" s="354" t="n">
        <f aca="false">$BF:$BF</f>
        <v>4043</v>
      </c>
      <c r="DE67" s="355" t="n">
        <f aca="false">$BI:$BI</f>
        <v>0</v>
      </c>
      <c r="DF67" s="354" t="n">
        <f aca="false">$BJ:$BJ</f>
        <v>0</v>
      </c>
      <c r="DG67" s="355" t="n">
        <f aca="false">$BG:$BG</f>
        <v>0</v>
      </c>
      <c r="DH67" s="354" t="n">
        <f aca="false">IFERROR(ROUND($AP:$AP*$DG:$DG,0),0)</f>
        <v>0</v>
      </c>
      <c r="DI67" s="353" t="n">
        <f aca="false">$CR:$CR+$CV:$CV+$DC:$DC+$DE:$DE+$DG:$DG</f>
        <v>0.0325</v>
      </c>
      <c r="DJ67" s="354" t="n">
        <f aca="false">$CS:$CS+$CW:$CW+$DD:$DD+$DF:$DF+$DH:$DH</f>
        <v>4043</v>
      </c>
      <c r="DK67" s="353" t="n">
        <f aca="false">$CT:$CT+$CX:$CX</f>
        <v>0</v>
      </c>
      <c r="DL67" s="354" t="n">
        <f aca="false">$CU:$CU+$CY:$CY</f>
        <v>0</v>
      </c>
      <c r="DM67" s="356"/>
      <c r="DN67" s="357"/>
      <c r="DO67" s="357"/>
      <c r="DP67" s="357"/>
      <c r="DQ67" s="357"/>
      <c r="DR67" s="357"/>
      <c r="DS67" s="357"/>
      <c r="DT67" s="357"/>
      <c r="DU67" s="357"/>
      <c r="DV67" s="357"/>
      <c r="DW67" s="357" t="s">
        <v>498</v>
      </c>
    </row>
    <row r="68" customFormat="false" ht="22.5" hidden="false" customHeight="false" outlineLevel="0" collapsed="false">
      <c r="A68" s="314"/>
      <c r="B68" s="315" t="s">
        <v>273</v>
      </c>
      <c r="C68" s="315" t="s">
        <v>613</v>
      </c>
      <c r="D68" s="315" t="n">
        <v>20790</v>
      </c>
      <c r="E68" s="316" t="s">
        <v>614</v>
      </c>
      <c r="F68" s="316" t="s">
        <v>615</v>
      </c>
      <c r="G68" s="316" t="s">
        <v>277</v>
      </c>
      <c r="H68" s="317" t="s">
        <v>605</v>
      </c>
      <c r="I68" s="316" t="s">
        <v>552</v>
      </c>
      <c r="J68" s="316" t="s">
        <v>553</v>
      </c>
      <c r="K68" s="318" t="n">
        <v>44606</v>
      </c>
      <c r="L68" s="318"/>
      <c r="M68" s="318" t="n">
        <v>44606</v>
      </c>
      <c r="N68" s="319" t="s">
        <v>281</v>
      </c>
      <c r="O68" s="319" t="n">
        <v>38</v>
      </c>
      <c r="P68" s="320" t="n">
        <f aca="false">$O:$O/38</f>
        <v>1</v>
      </c>
      <c r="Q68" s="316" t="s">
        <v>320</v>
      </c>
      <c r="R68" s="316" t="n">
        <v>8939</v>
      </c>
      <c r="S68" s="316" t="s">
        <v>554</v>
      </c>
      <c r="T68" s="316" t="s">
        <v>322</v>
      </c>
      <c r="U68" s="316" t="s">
        <v>589</v>
      </c>
      <c r="V68" s="317" t="s">
        <v>58</v>
      </c>
      <c r="W68" s="317" t="s">
        <v>65</v>
      </c>
      <c r="X68" s="317" t="s">
        <v>286</v>
      </c>
      <c r="Y68" s="321" t="s">
        <v>287</v>
      </c>
      <c r="Z68" s="317" t="s">
        <v>554</v>
      </c>
      <c r="AA68" s="317" t="s">
        <v>319</v>
      </c>
      <c r="AB68" s="321" t="s">
        <v>555</v>
      </c>
      <c r="AC68" s="317" t="s">
        <v>289</v>
      </c>
      <c r="AD68" s="321" t="s">
        <v>290</v>
      </c>
      <c r="AE68" s="322" t="n">
        <f aca="false">IFERROR(INDEX('[3]Lookup_Rem Ranges'!$D$1:$D$1048576,MATCH($AL:$AL,'[3]Lookup_Rem Ranges'!$C$1:$C$1048576,0)),0)</f>
        <v>105500</v>
      </c>
      <c r="AF68" s="322" t="n">
        <f aca="false">IFERROR(INDEX('[3]Lookup_Rem Ranges'!$E$1:$E$1048576,MATCH($AL:$AL,'[3]Lookup_Rem Ranges'!$C$1:$C$1048576,0)),0)</f>
        <v>124100</v>
      </c>
      <c r="AG68" s="322" t="n">
        <f aca="false">IFERROR(INDEX('[3]Lookup_Rem Ranges'!$F$1:$F$1048576,MATCH($AL:$AL,'[3]Lookup_Rem Ranges'!$C$1:$C$1048576,0)),)</f>
        <v>142700</v>
      </c>
      <c r="AH68" s="317" t="s">
        <v>291</v>
      </c>
      <c r="AI68" s="319"/>
      <c r="AJ68" s="323" t="n">
        <v>0</v>
      </c>
      <c r="AK68" s="316"/>
      <c r="AL68" s="324" t="str">
        <f aca="false">CONCATENATE(AM68,"",AN68)</f>
        <v>CASS6</v>
      </c>
      <c r="AM68" s="324" t="s">
        <v>292</v>
      </c>
      <c r="AN68" s="319" t="n">
        <v>6</v>
      </c>
      <c r="AO68" s="316" t="s">
        <v>358</v>
      </c>
      <c r="AP68" s="325" t="n">
        <v>124700</v>
      </c>
      <c r="AQ68" s="322" t="n">
        <f aca="false">ROUND(IF($P:$P&gt;1,$AP:$AP*1,$AP:$AP*$P:$P),0)</f>
        <v>124700</v>
      </c>
      <c r="AR68" s="322" t="n">
        <f aca="false">IF(BA68="Yes",AP68,0)</f>
        <v>0</v>
      </c>
      <c r="AS68" s="326" t="n">
        <v>0.0391666666666667</v>
      </c>
      <c r="AT68" s="326" t="n">
        <v>0</v>
      </c>
      <c r="AU68" s="327"/>
      <c r="AV68" s="322"/>
      <c r="AW68" s="328" t="n">
        <v>0</v>
      </c>
      <c r="AX68" s="322" t="n">
        <v>0</v>
      </c>
      <c r="AY68" s="322" t="n">
        <v>124700</v>
      </c>
      <c r="AZ68" s="329" t="n">
        <f aca="false">IFERROR(($AY:$AY+$AJ:$AJ+$AK:$AK)/$AF:$AF,0)</f>
        <v>1.00483481063658</v>
      </c>
      <c r="BA68" s="330" t="s">
        <v>294</v>
      </c>
      <c r="BB68" s="331" t="n">
        <v>2</v>
      </c>
      <c r="BC68" s="326" t="n">
        <f aca="false">IFERROR($BD:$BD/$AY:$AY,0)</f>
        <v>0</v>
      </c>
      <c r="BD68" s="332" t="n">
        <f aca="false">ROUND(IF($AY:$AY&lt;$AE:$AE,$AE:$AE-$AY:$AY,0),0)</f>
        <v>0</v>
      </c>
      <c r="BE68" s="333" t="n">
        <v>0</v>
      </c>
      <c r="BF68" s="334" t="n">
        <f aca="false">ROUND($AR:$AR*$BE:$BE,0)</f>
        <v>0</v>
      </c>
      <c r="BG68" s="335" t="n">
        <v>0</v>
      </c>
      <c r="BH68" s="336" t="n">
        <f aca="false">ROUND($AR:$AR*$BG:$BG,0)</f>
        <v>0</v>
      </c>
      <c r="BI68" s="333" t="n">
        <v>0</v>
      </c>
      <c r="BJ68" s="334" t="n">
        <f aca="false">ROUND($AR:$AR*$BI:$BI,0)</f>
        <v>0</v>
      </c>
      <c r="BK68" s="334" t="n">
        <f aca="false">ROUND(IF($P:$P&gt;1,$BJ:$BJ*1,$BJ:$BJ*$P:$P),0)</f>
        <v>0</v>
      </c>
      <c r="BL68" s="337"/>
      <c r="BM68" s="338" t="n">
        <f aca="false">$BC:$BC+$BE:$BE+$BG:$BG</f>
        <v>0</v>
      </c>
      <c r="BN68" s="339" t="n">
        <f aca="false">$BD:$BD+$BF:$BF+$BH:$BH</f>
        <v>0</v>
      </c>
      <c r="BO68" s="340" t="n">
        <f aca="false">IFERROR(ROUND($AY:$AY+$BN:$BN,0),0)</f>
        <v>124700</v>
      </c>
      <c r="BP68" s="341" t="n">
        <f aca="false">ROUND(IF(SUM($BO:$BO&lt;249080),SUM(ROUND($BO:$BO*11%,0)),27398.8),0)</f>
        <v>13717</v>
      </c>
      <c r="BQ68" s="342" t="n">
        <f aca="false">$BO:$BO+$BP:$BP</f>
        <v>138417</v>
      </c>
      <c r="BR68" s="329" t="n">
        <f aca="false">IFERROR(($BO:$BO+$AJ:$AJ+$AK:$AK)/$AF:$AF,0)</f>
        <v>1.00483481063658</v>
      </c>
      <c r="BS68" s="343" t="n">
        <f aca="false">IF($N:$N="CASUAL","TBC",ROUND($BN:$BN/(NETWORKDAYS("01/07/2023","30/06/2024"))*NETWORKDAYS("10/07/2023","04/09/2023"),0)*$P:$P)</f>
        <v>0</v>
      </c>
      <c r="BT68" s="326" t="n">
        <f aca="false">$BM68+$BI68</f>
        <v>0</v>
      </c>
      <c r="BU68" s="332" t="n">
        <f aca="false">$BN:$BN+$BJ:$BJ</f>
        <v>0</v>
      </c>
      <c r="BV68" s="342" t="n">
        <f aca="false">$BO:$BO*$P:$P</f>
        <v>124700</v>
      </c>
      <c r="BW68" s="344" t="n">
        <f aca="false">ROUND($BO:$BO/1976,2)</f>
        <v>63.11</v>
      </c>
      <c r="BX68" s="316"/>
      <c r="BY68" s="342" t="n">
        <f aca="false">$BQ:$BQ+$BX:$BX</f>
        <v>138417</v>
      </c>
      <c r="BZ68" s="345" t="s">
        <v>294</v>
      </c>
      <c r="CA68" s="316"/>
      <c r="CB68" s="316"/>
      <c r="CC68" s="324" t="str">
        <f aca="false">CONCATENATE(CD68,"",CE68)</f>
        <v/>
      </c>
      <c r="CD68" s="319"/>
      <c r="CE68" s="319"/>
      <c r="CF68" s="322" t="str">
        <f aca="false">IFERROR(INDEX('[4]Lookup_Rem Ranges'!$D$1:$D$1048576,MATCH($CC:$CC,'[4]Lookup_Rem Ranges'!$C$1:$C$1048576,0)),"")</f>
        <v/>
      </c>
      <c r="CG68" s="346"/>
      <c r="CH68" s="346"/>
      <c r="CI68" s="347"/>
      <c r="CJ68" s="348"/>
      <c r="CK68" s="342" t="n">
        <f aca="false">IFERROR(ROUND($CI:$CI*$CJ:$CJ,0),0)</f>
        <v>0</v>
      </c>
      <c r="CL68" s="342" t="n">
        <f aca="false">$CI:$CI+$CK:$CK</f>
        <v>0</v>
      </c>
      <c r="CM68" s="349"/>
      <c r="CN68" s="350" t="n">
        <f aca="false">IF(SUM($CL:$CL&lt;249080),SUM(ROUND($CL:$CL*11%,0)),27398.8)</f>
        <v>0</v>
      </c>
      <c r="CO68" s="350" t="s">
        <v>313</v>
      </c>
      <c r="CP68" s="351" t="n">
        <f aca="false">IF(BA68="Yes",3.25%,0)</f>
        <v>0</v>
      </c>
      <c r="CQ68" s="352" t="n">
        <f aca="false">ROUND(AR68*CP68,0)</f>
        <v>0</v>
      </c>
      <c r="CR68" s="353" t="n">
        <f aca="false">IF($AW:$AW&lt;3.25%,$AW:$AW,3.25%)</f>
        <v>0</v>
      </c>
      <c r="CS68" s="354" t="n">
        <f aca="false">ROUND($AR:$AR*$CR:$CR,0)</f>
        <v>0</v>
      </c>
      <c r="CT68" s="353" t="n">
        <f aca="false">IF($AW:$AW&gt;=3.25%,$AW:$AW-$CR:$CR,0)</f>
        <v>0</v>
      </c>
      <c r="CU68" s="354" t="n">
        <f aca="false">ROUND($AR:$AR*$CT:$CT,0)</f>
        <v>0</v>
      </c>
      <c r="CV68" s="353" t="n">
        <f aca="false">IF($CR:$CR=3.25%,0,IF($BC:$BC&lt;3.25%,$BC:$BC,IF($BC:$BC&gt;3.25%,3.25%-$CR:$CR,0)))</f>
        <v>0</v>
      </c>
      <c r="CW68" s="354" t="n">
        <f aca="false">IFERROR(ROUND($AY:$AY*$CV:$CV,0),0)</f>
        <v>0</v>
      </c>
      <c r="CX68" s="353" t="n">
        <f aca="false">IF($CV:$CV=0,$BC:$BC,BC:BC-$CV:$CV)</f>
        <v>0</v>
      </c>
      <c r="CY68" s="354" t="n">
        <f aca="false">IFERROR(ROUND($AY:$AY*$CX:$CX,0),0)</f>
        <v>0</v>
      </c>
      <c r="CZ68" s="353" t="n">
        <f aca="false">$CR:$CR+$CT:CT+$CV:$CV+$CX:$CX</f>
        <v>0</v>
      </c>
      <c r="DA68" s="353" t="n">
        <f aca="false">(SUM($AW:$AW+$BC:$BC)-$CZ:$CZ)</f>
        <v>0</v>
      </c>
      <c r="DB68" s="353"/>
      <c r="DC68" s="353" t="n">
        <f aca="false">$BE:$BE</f>
        <v>0</v>
      </c>
      <c r="DD68" s="354" t="n">
        <f aca="false">$BF:$BF</f>
        <v>0</v>
      </c>
      <c r="DE68" s="355" t="n">
        <f aca="false">$BI:$BI</f>
        <v>0</v>
      </c>
      <c r="DF68" s="354" t="n">
        <f aca="false">$BJ:$BJ</f>
        <v>0</v>
      </c>
      <c r="DG68" s="355" t="n">
        <f aca="false">$BG:$BG</f>
        <v>0</v>
      </c>
      <c r="DH68" s="354" t="n">
        <f aca="false">IFERROR(ROUND($AP:$AP*$DG:$DG,0),0)</f>
        <v>0</v>
      </c>
      <c r="DI68" s="353" t="n">
        <f aca="false">$CR:$CR+$CV:$CV+$DC:$DC+$DE:$DE+$DG:$DG</f>
        <v>0</v>
      </c>
      <c r="DJ68" s="354" t="n">
        <f aca="false">$CS:$CS+$CW:$CW+$DD:$DD+$DF:$DF+$DH:$DH</f>
        <v>0</v>
      </c>
      <c r="DK68" s="353" t="n">
        <f aca="false">$CT:$CT+$CX:$CX</f>
        <v>0</v>
      </c>
      <c r="DL68" s="354" t="n">
        <f aca="false">$CU:$CU+$CY:$CY</f>
        <v>0</v>
      </c>
      <c r="DM68" s="356"/>
      <c r="DN68" s="357"/>
      <c r="DO68" s="357"/>
      <c r="DP68" s="357"/>
      <c r="DQ68" s="357"/>
      <c r="DR68" s="357"/>
      <c r="DS68" s="357"/>
      <c r="DT68" s="357"/>
      <c r="DU68" s="357"/>
      <c r="DV68" s="357"/>
      <c r="DW68" s="357" t="s">
        <v>498</v>
      </c>
    </row>
    <row r="69" customFormat="false" ht="33.75" hidden="false" customHeight="false" outlineLevel="0" collapsed="false">
      <c r="A69" s="314"/>
      <c r="B69" s="315" t="s">
        <v>273</v>
      </c>
      <c r="C69" s="315" t="s">
        <v>616</v>
      </c>
      <c r="D69" s="315" t="n">
        <v>10317</v>
      </c>
      <c r="E69" s="316" t="s">
        <v>617</v>
      </c>
      <c r="F69" s="316" t="s">
        <v>618</v>
      </c>
      <c r="G69" s="316" t="s">
        <v>277</v>
      </c>
      <c r="H69" s="317" t="s">
        <v>619</v>
      </c>
      <c r="I69" s="316" t="s">
        <v>620</v>
      </c>
      <c r="J69" s="316" t="s">
        <v>621</v>
      </c>
      <c r="K69" s="318" t="n">
        <v>40127</v>
      </c>
      <c r="L69" s="318"/>
      <c r="M69" s="318" t="n">
        <v>44662</v>
      </c>
      <c r="N69" s="319" t="s">
        <v>281</v>
      </c>
      <c r="O69" s="319" t="n">
        <v>38</v>
      </c>
      <c r="P69" s="320" t="n">
        <f aca="false">$O:$O/38</f>
        <v>1</v>
      </c>
      <c r="Q69" s="316" t="s">
        <v>304</v>
      </c>
      <c r="R69" s="316" t="n">
        <v>8939</v>
      </c>
      <c r="S69" s="316" t="s">
        <v>554</v>
      </c>
      <c r="T69" s="316" t="s">
        <v>322</v>
      </c>
      <c r="U69" s="316" t="s">
        <v>323</v>
      </c>
      <c r="V69" s="317" t="s">
        <v>58</v>
      </c>
      <c r="W69" s="317" t="s">
        <v>65</v>
      </c>
      <c r="X69" s="317" t="s">
        <v>286</v>
      </c>
      <c r="Y69" s="321" t="s">
        <v>287</v>
      </c>
      <c r="Z69" s="317" t="s">
        <v>554</v>
      </c>
      <c r="AA69" s="317" t="s">
        <v>319</v>
      </c>
      <c r="AB69" s="321" t="s">
        <v>555</v>
      </c>
      <c r="AC69" s="317" t="s">
        <v>289</v>
      </c>
      <c r="AD69" s="321" t="s">
        <v>290</v>
      </c>
      <c r="AE69" s="322" t="n">
        <f aca="false">IFERROR(INDEX('[3]Lookup_Rem Ranges'!$D$1:$D$1048576,MATCH($AL:$AL,'[3]Lookup_Rem Ranges'!$C$1:$C$1048576,0)),0)</f>
        <v>133400</v>
      </c>
      <c r="AF69" s="322" t="n">
        <f aca="false">IFERROR(INDEX('[3]Lookup_Rem Ranges'!$E$1:$E$1048576,MATCH($AL:$AL,'[3]Lookup_Rem Ranges'!$C$1:$C$1048576,0)),0)</f>
        <v>156900</v>
      </c>
      <c r="AG69" s="322" t="n">
        <f aca="false">IFERROR(INDEX('[3]Lookup_Rem Ranges'!$F$1:$F$1048576,MATCH($AL:$AL,'[3]Lookup_Rem Ranges'!$C$1:$C$1048576,0)),)</f>
        <v>180400</v>
      </c>
      <c r="AH69" s="317" t="s">
        <v>291</v>
      </c>
      <c r="AI69" s="319"/>
      <c r="AJ69" s="323" t="n">
        <v>0</v>
      </c>
      <c r="AK69" s="316"/>
      <c r="AL69" s="324" t="str">
        <f aca="false">CONCATENATE(AM69,"",AN69)</f>
        <v>CASS7</v>
      </c>
      <c r="AM69" s="324" t="s">
        <v>292</v>
      </c>
      <c r="AN69" s="319" t="n">
        <v>7</v>
      </c>
      <c r="AO69" s="316"/>
      <c r="AP69" s="325" t="n">
        <v>126500</v>
      </c>
      <c r="AQ69" s="322" t="n">
        <f aca="false">ROUND(IF($P:$P&gt;1,$AP:$AP*1,$AP:$AP*$P:$P),0)</f>
        <v>126500</v>
      </c>
      <c r="AR69" s="322" t="n">
        <f aca="false">IF(BA69="Yes",AP69,0)</f>
        <v>126500</v>
      </c>
      <c r="AS69" s="326" t="n">
        <v>0.0201612903225806</v>
      </c>
      <c r="AT69" s="326" t="n">
        <v>0</v>
      </c>
      <c r="AU69" s="327"/>
      <c r="AV69" s="322"/>
      <c r="AW69" s="328" t="n">
        <v>0</v>
      </c>
      <c r="AX69" s="322" t="n">
        <v>0</v>
      </c>
      <c r="AY69" s="322" t="n">
        <v>126500</v>
      </c>
      <c r="AZ69" s="329" t="n">
        <f aca="false">IFERROR(($AY:$AY+$AJ:$AJ+$AK:$AK)/$AF:$AF,0)</f>
        <v>0.806246016571064</v>
      </c>
      <c r="BA69" s="330" t="s">
        <v>293</v>
      </c>
      <c r="BB69" s="331" t="n">
        <v>4</v>
      </c>
      <c r="BC69" s="326" t="n">
        <f aca="false">IFERROR($BD:$BD/$AY:$AY,0)</f>
        <v>0.0545454545454545</v>
      </c>
      <c r="BD69" s="332" t="n">
        <f aca="false">ROUND(IF($AY:$AY&lt;$AE:$AE,$AE:$AE-$AY:$AY,0),0)</f>
        <v>6900</v>
      </c>
      <c r="BE69" s="333" t="n">
        <v>0</v>
      </c>
      <c r="BF69" s="334" t="n">
        <f aca="false">ROUND($AR:$AR*$BE:$BE,0)</f>
        <v>0</v>
      </c>
      <c r="BG69" s="335" t="n">
        <v>0</v>
      </c>
      <c r="BH69" s="336" t="n">
        <f aca="false">ROUND($AR:$AR*$BG:$BG,0)</f>
        <v>0</v>
      </c>
      <c r="BI69" s="333" t="n">
        <v>0</v>
      </c>
      <c r="BJ69" s="334" t="n">
        <f aca="false">ROUND($AR:$AR*$BI:$BI,0)</f>
        <v>0</v>
      </c>
      <c r="BK69" s="334" t="n">
        <f aca="false">ROUND(IF($P:$P&gt;1,$BJ:$BJ*1,$BJ:$BJ*$P:$P),0)</f>
        <v>0</v>
      </c>
      <c r="BL69" s="337"/>
      <c r="BM69" s="338" t="n">
        <f aca="false">$BC:$BC+$BE:$BE+$BG:$BG</f>
        <v>0.0545454545454545</v>
      </c>
      <c r="BN69" s="339" t="n">
        <f aca="false">$BD:$BD+$BF:$BF+$BH:$BH</f>
        <v>6900</v>
      </c>
      <c r="BO69" s="340" t="n">
        <f aca="false">IFERROR(ROUND($AY:$AY+$BN:$BN,0),0)</f>
        <v>133400</v>
      </c>
      <c r="BP69" s="341" t="n">
        <f aca="false">ROUND(IF(SUM($BO:$BO&lt;249080),SUM(ROUND($BO:$BO*11%,0)),27398.8),0)</f>
        <v>14674</v>
      </c>
      <c r="BQ69" s="342" t="n">
        <f aca="false">$BO:$BO+$BP:$BP</f>
        <v>148074</v>
      </c>
      <c r="BR69" s="329" t="n">
        <f aca="false">IFERROR(($BO:$BO+$AJ:$AJ+$AK:$AK)/$AF:$AF,0)</f>
        <v>0.850223072020395</v>
      </c>
      <c r="BS69" s="343" t="n">
        <f aca="false">IF($N:$N="CASUAL","TBC",ROUND($BN:$BN/(NETWORKDAYS("01/07/2023","30/06/2024"))*NETWORKDAYS("10/07/2023","04/09/2023"),0)*$P:$P)</f>
        <v>1088</v>
      </c>
      <c r="BT69" s="326" t="n">
        <f aca="false">$BM69+$BI69</f>
        <v>0.0545454545454545</v>
      </c>
      <c r="BU69" s="332" t="n">
        <f aca="false">$BN:$BN+$BJ:$BJ</f>
        <v>6900</v>
      </c>
      <c r="BV69" s="342" t="n">
        <f aca="false">$BO:$BO*$P:$P</f>
        <v>133400</v>
      </c>
      <c r="BW69" s="344" t="n">
        <f aca="false">ROUND($BO:$BO/1976,2)</f>
        <v>67.51</v>
      </c>
      <c r="BX69" s="316"/>
      <c r="BY69" s="342" t="n">
        <f aca="false">$BQ:$BQ+$BX:$BX</f>
        <v>148074</v>
      </c>
      <c r="BZ69" s="345" t="s">
        <v>294</v>
      </c>
      <c r="CA69" s="316"/>
      <c r="CB69" s="316"/>
      <c r="CC69" s="324" t="str">
        <f aca="false">CONCATENATE(CD69,"",CE69)</f>
        <v/>
      </c>
      <c r="CD69" s="319"/>
      <c r="CE69" s="319"/>
      <c r="CF69" s="322" t="str">
        <f aca="false">IFERROR(INDEX('[4]Lookup_Rem Ranges'!$D$1:$D$1048576,MATCH($CC:$CC,'[4]Lookup_Rem Ranges'!$C$1:$C$1048576,0)),"")</f>
        <v/>
      </c>
      <c r="CG69" s="346"/>
      <c r="CH69" s="346"/>
      <c r="CI69" s="347"/>
      <c r="CJ69" s="348"/>
      <c r="CK69" s="342" t="n">
        <f aca="false">IFERROR(ROUND($CI:$CI*$CJ:$CJ,0),0)</f>
        <v>0</v>
      </c>
      <c r="CL69" s="342" t="n">
        <f aca="false">$CI:$CI+$CK:$CK</f>
        <v>0</v>
      </c>
      <c r="CM69" s="349"/>
      <c r="CN69" s="350" t="n">
        <f aca="false">IF(SUM($CL:$CL&lt;249080),SUM(ROUND($CL:$CL*11%,0)),27398.8)</f>
        <v>0</v>
      </c>
      <c r="CO69" s="350" t="s">
        <v>324</v>
      </c>
      <c r="CP69" s="351" t="n">
        <f aca="false">IF(BA69="Yes",3.25%,0)</f>
        <v>0.0325</v>
      </c>
      <c r="CQ69" s="352" t="n">
        <f aca="false">ROUND(AR69*CP69,0)</f>
        <v>4111</v>
      </c>
      <c r="CR69" s="353" t="n">
        <f aca="false">IF($AW:$AW&lt;3.25%,$AW:$AW,3.25%)</f>
        <v>0</v>
      </c>
      <c r="CS69" s="354" t="n">
        <f aca="false">ROUND($AR:$AR*$CR:$CR,0)</f>
        <v>0</v>
      </c>
      <c r="CT69" s="353" t="n">
        <f aca="false">IF($AW:$AW&gt;=3.25%,$AW:$AW-$CR:$CR,0)</f>
        <v>0</v>
      </c>
      <c r="CU69" s="354" t="n">
        <f aca="false">ROUND($AR:$AR*$CT:$CT,0)</f>
        <v>0</v>
      </c>
      <c r="CV69" s="353" t="n">
        <f aca="false">IF($CR:$CR=3.25%,0,IF($BC:$BC&lt;3.25%,$BC:$BC,IF($BC:$BC&gt;3.25%,3.25%-$CR:$CR,0)))</f>
        <v>0.0325</v>
      </c>
      <c r="CW69" s="354" t="n">
        <f aca="false">IFERROR(ROUND($AY:$AY*$CV:$CV,0),0)</f>
        <v>4111</v>
      </c>
      <c r="CX69" s="353" t="n">
        <f aca="false">IF($CV:$CV=0,$BC:$BC,BC:BC-$CV:$CV)</f>
        <v>0.0220454545454545</v>
      </c>
      <c r="CY69" s="354" t="n">
        <f aca="false">IFERROR(ROUND($AY:$AY*$CX:$CX,0),0)</f>
        <v>2789</v>
      </c>
      <c r="CZ69" s="353" t="n">
        <f aca="false">$CR:$CR+$CT:CT+$CV:$CV+$CX:$CX</f>
        <v>0.0545454545454545</v>
      </c>
      <c r="DA69" s="353" t="n">
        <f aca="false">(SUM($AW:$AW+$BC:$BC)-$CZ:$CZ)</f>
        <v>0</v>
      </c>
      <c r="DB69" s="353"/>
      <c r="DC69" s="353" t="n">
        <f aca="false">$BE:$BE</f>
        <v>0</v>
      </c>
      <c r="DD69" s="354" t="n">
        <f aca="false">$BF:$BF</f>
        <v>0</v>
      </c>
      <c r="DE69" s="355" t="n">
        <f aca="false">$BI:$BI</f>
        <v>0</v>
      </c>
      <c r="DF69" s="354" t="n">
        <f aca="false">$BJ:$BJ</f>
        <v>0</v>
      </c>
      <c r="DG69" s="355" t="n">
        <f aca="false">$BG:$BG</f>
        <v>0</v>
      </c>
      <c r="DH69" s="354" t="n">
        <f aca="false">IFERROR(ROUND($AP:$AP*$DG:$DG,0),0)</f>
        <v>0</v>
      </c>
      <c r="DI69" s="353" t="n">
        <f aca="false">$CR:$CR+$CV:$CV+$DC:$DC+$DE:$DE+$DG:$DG</f>
        <v>0.0325</v>
      </c>
      <c r="DJ69" s="354" t="n">
        <f aca="false">$CS:$CS+$CW:$CW+$DD:$DD+$DF:$DF+$DH:$DH</f>
        <v>4111</v>
      </c>
      <c r="DK69" s="353" t="n">
        <f aca="false">$CT:$CT+$CX:$CX</f>
        <v>0.0220454545454545</v>
      </c>
      <c r="DL69" s="354" t="n">
        <f aca="false">$CU:$CU+$CY:$CY</f>
        <v>2789</v>
      </c>
      <c r="DM69" s="356"/>
      <c r="DN69" s="357"/>
      <c r="DO69" s="357"/>
      <c r="DP69" s="357"/>
      <c r="DQ69" s="357"/>
      <c r="DR69" s="357"/>
      <c r="DS69" s="357"/>
      <c r="DT69" s="357"/>
      <c r="DU69" s="357"/>
      <c r="DV69" s="357"/>
      <c r="DW69" s="357" t="s">
        <v>498</v>
      </c>
    </row>
    <row r="70" customFormat="false" ht="22.5" hidden="false" customHeight="false" outlineLevel="0" collapsed="false">
      <c r="A70" s="314"/>
      <c r="B70" s="315" t="s">
        <v>273</v>
      </c>
      <c r="C70" s="315" t="s">
        <v>622</v>
      </c>
      <c r="D70" s="315" t="n">
        <v>20095</v>
      </c>
      <c r="E70" s="316" t="s">
        <v>623</v>
      </c>
      <c r="F70" s="316" t="s">
        <v>624</v>
      </c>
      <c r="G70" s="316" t="s">
        <v>277</v>
      </c>
      <c r="H70" s="317" t="s">
        <v>548</v>
      </c>
      <c r="I70" s="316" t="s">
        <v>625</v>
      </c>
      <c r="J70" s="316" t="s">
        <v>550</v>
      </c>
      <c r="K70" s="318" t="n">
        <v>43787</v>
      </c>
      <c r="L70" s="318"/>
      <c r="M70" s="318" t="n">
        <v>44930</v>
      </c>
      <c r="N70" s="319" t="s">
        <v>281</v>
      </c>
      <c r="O70" s="319" t="n">
        <v>38</v>
      </c>
      <c r="P70" s="320" t="n">
        <f aca="false">$O:$O/38</f>
        <v>1</v>
      </c>
      <c r="Q70" s="316" t="s">
        <v>320</v>
      </c>
      <c r="R70" s="316" t="n">
        <v>20760</v>
      </c>
      <c r="S70" s="316" t="s">
        <v>626</v>
      </c>
      <c r="T70" s="316" t="s">
        <v>606</v>
      </c>
      <c r="U70" s="316" t="s">
        <v>553</v>
      </c>
      <c r="V70" s="317" t="s">
        <v>58</v>
      </c>
      <c r="W70" s="317" t="s">
        <v>65</v>
      </c>
      <c r="X70" s="317" t="s">
        <v>286</v>
      </c>
      <c r="Y70" s="321" t="s">
        <v>287</v>
      </c>
      <c r="Z70" s="317" t="s">
        <v>554</v>
      </c>
      <c r="AA70" s="317" t="s">
        <v>319</v>
      </c>
      <c r="AB70" s="321" t="s">
        <v>555</v>
      </c>
      <c r="AC70" s="317" t="s">
        <v>289</v>
      </c>
      <c r="AD70" s="321" t="s">
        <v>290</v>
      </c>
      <c r="AE70" s="322" t="n">
        <f aca="false">IFERROR(INDEX('[3]Lookup_Rem Ranges'!$D$1:$D$1048576,MATCH($AL:$AL,'[3]Lookup_Rem Ranges'!$C$1:$C$1048576,0)),0)</f>
        <v>83400</v>
      </c>
      <c r="AF70" s="322" t="n">
        <f aca="false">IFERROR(INDEX('[3]Lookup_Rem Ranges'!$E$1:$E$1048576,MATCH($AL:$AL,'[3]Lookup_Rem Ranges'!$C$1:$C$1048576,0)),0)</f>
        <v>98100</v>
      </c>
      <c r="AG70" s="322" t="n">
        <f aca="false">IFERROR(INDEX('[3]Lookup_Rem Ranges'!$F$1:$F$1048576,MATCH($AL:$AL,'[3]Lookup_Rem Ranges'!$C$1:$C$1048576,0)),)</f>
        <v>112800</v>
      </c>
      <c r="AH70" s="317" t="s">
        <v>291</v>
      </c>
      <c r="AI70" s="319"/>
      <c r="AJ70" s="323" t="n">
        <v>0</v>
      </c>
      <c r="AK70" s="316"/>
      <c r="AL70" s="324" t="str">
        <f aca="false">CONCATENATE(AM70,"",AN70)</f>
        <v>CASS5</v>
      </c>
      <c r="AM70" s="324" t="s">
        <v>292</v>
      </c>
      <c r="AN70" s="319" t="n">
        <v>5</v>
      </c>
      <c r="AO70" s="316" t="s">
        <v>358</v>
      </c>
      <c r="AP70" s="325" t="n">
        <v>106000</v>
      </c>
      <c r="AQ70" s="322" t="n">
        <f aca="false">ROUND(IF($P:$P&gt;1,$AP:$AP*1,$AP:$AP*$P:$P),0)</f>
        <v>106000</v>
      </c>
      <c r="AR70" s="322" t="n">
        <f aca="false">IF(BA70="Yes",AP70,0)</f>
        <v>0</v>
      </c>
      <c r="AS70" s="326" t="n">
        <v>0.0564681724845996</v>
      </c>
      <c r="AT70" s="326" t="n">
        <v>0</v>
      </c>
      <c r="AU70" s="327"/>
      <c r="AV70" s="322"/>
      <c r="AW70" s="328" t="n">
        <v>0</v>
      </c>
      <c r="AX70" s="322" t="n">
        <v>0</v>
      </c>
      <c r="AY70" s="322" t="n">
        <v>106000</v>
      </c>
      <c r="AZ70" s="329" t="n">
        <f aca="false">IFERROR(($AY:$AY+$AJ:$AJ+$AK:$AK)/$AF:$AF,0)</f>
        <v>1.08053007135576</v>
      </c>
      <c r="BA70" s="330" t="s">
        <v>294</v>
      </c>
      <c r="BB70" s="331" t="n">
        <v>3</v>
      </c>
      <c r="BC70" s="326" t="n">
        <f aca="false">IFERROR($BD:$BD/$AY:$AY,0)</f>
        <v>0</v>
      </c>
      <c r="BD70" s="332" t="n">
        <f aca="false">ROUND(IF($AY:$AY&lt;$AE:$AE,$AE:$AE-$AY:$AY,0),0)</f>
        <v>0</v>
      </c>
      <c r="BE70" s="333" t="n">
        <v>0</v>
      </c>
      <c r="BF70" s="334" t="n">
        <f aca="false">ROUND($AR:$AR*$BE:$BE,0)</f>
        <v>0</v>
      </c>
      <c r="BG70" s="335" t="n">
        <v>0</v>
      </c>
      <c r="BH70" s="336" t="n">
        <f aca="false">ROUND($AR:$AR*$BG:$BG,0)</f>
        <v>0</v>
      </c>
      <c r="BI70" s="333" t="n">
        <v>0</v>
      </c>
      <c r="BJ70" s="334" t="n">
        <f aca="false">ROUND($AR:$AR*$BI:$BI,0)</f>
        <v>0</v>
      </c>
      <c r="BK70" s="334" t="n">
        <f aca="false">ROUND(IF($P:$P&gt;1,$BJ:$BJ*1,$BJ:$BJ*$P:$P),0)</f>
        <v>0</v>
      </c>
      <c r="BL70" s="337"/>
      <c r="BM70" s="338" t="n">
        <f aca="false">$BC:$BC+$BE:$BE+$BG:$BG</f>
        <v>0</v>
      </c>
      <c r="BN70" s="339" t="n">
        <f aca="false">$BD:$BD+$BF:$BF+$BH:$BH</f>
        <v>0</v>
      </c>
      <c r="BO70" s="340" t="n">
        <f aca="false">IFERROR(ROUND($AY:$AY+$BN:$BN,0),0)</f>
        <v>106000</v>
      </c>
      <c r="BP70" s="341" t="n">
        <f aca="false">ROUND(IF(SUM($BO:$BO&lt;249080),SUM(ROUND($BO:$BO*11%,0)),27398.8),0)</f>
        <v>11660</v>
      </c>
      <c r="BQ70" s="342" t="n">
        <f aca="false">$BO:$BO+$BP:$BP</f>
        <v>117660</v>
      </c>
      <c r="BR70" s="329" t="n">
        <f aca="false">IFERROR(($BO:$BO+$AJ:$AJ+$AK:$AK)/$AF:$AF,0)</f>
        <v>1.08053007135576</v>
      </c>
      <c r="BS70" s="343" t="n">
        <f aca="false">IF($N:$N="CASUAL","TBC",ROUND($BN:$BN/(NETWORKDAYS("01/07/2023","30/06/2024"))*NETWORKDAYS("10/07/2023","04/09/2023"),0)*$P:$P)</f>
        <v>0</v>
      </c>
      <c r="BT70" s="326" t="n">
        <f aca="false">$BM70+$BI70</f>
        <v>0</v>
      </c>
      <c r="BU70" s="332" t="n">
        <f aca="false">$BN:$BN+$BJ:$BJ</f>
        <v>0</v>
      </c>
      <c r="BV70" s="342" t="n">
        <f aca="false">$BO:$BO*$P:$P</f>
        <v>106000</v>
      </c>
      <c r="BW70" s="344" t="n">
        <f aca="false">ROUND($BO:$BO/1976,2)</f>
        <v>53.64</v>
      </c>
      <c r="BX70" s="316"/>
      <c r="BY70" s="342" t="n">
        <f aca="false">$BQ:$BQ+$BX:$BX</f>
        <v>117660</v>
      </c>
      <c r="BZ70" s="345" t="s">
        <v>294</v>
      </c>
      <c r="CA70" s="316"/>
      <c r="CB70" s="316"/>
      <c r="CC70" s="324" t="str">
        <f aca="false">CONCATENATE(CD70,"",CE70)</f>
        <v/>
      </c>
      <c r="CD70" s="319"/>
      <c r="CE70" s="319"/>
      <c r="CF70" s="322" t="str">
        <f aca="false">IFERROR(INDEX('[4]Lookup_Rem Ranges'!$D$1:$D$1048576,MATCH($CC:$CC,'[4]Lookup_Rem Ranges'!$C$1:$C$1048576,0)),"")</f>
        <v/>
      </c>
      <c r="CG70" s="346"/>
      <c r="CH70" s="346"/>
      <c r="CI70" s="347"/>
      <c r="CJ70" s="348"/>
      <c r="CK70" s="342" t="n">
        <f aca="false">IFERROR(ROUND($CI:$CI*$CJ:$CJ,0),0)</f>
        <v>0</v>
      </c>
      <c r="CL70" s="342" t="n">
        <f aca="false">$CI:$CI+$CK:$CK</f>
        <v>0</v>
      </c>
      <c r="CM70" s="349"/>
      <c r="CN70" s="350" t="n">
        <f aca="false">IF(SUM($CL:$CL&lt;249080),SUM(ROUND($CL:$CL*11%,0)),27398.8)</f>
        <v>0</v>
      </c>
      <c r="CO70" s="350" t="s">
        <v>305</v>
      </c>
      <c r="CP70" s="351" t="n">
        <f aca="false">IF(BA70="Yes",3.25%,0)</f>
        <v>0</v>
      </c>
      <c r="CQ70" s="352" t="n">
        <f aca="false">ROUND(AR70*CP70,0)</f>
        <v>0</v>
      </c>
      <c r="CR70" s="353" t="n">
        <f aca="false">IF($AW:$AW&lt;3.25%,$AW:$AW,3.25%)</f>
        <v>0</v>
      </c>
      <c r="CS70" s="354" t="n">
        <f aca="false">ROUND($AR:$AR*$CR:$CR,0)</f>
        <v>0</v>
      </c>
      <c r="CT70" s="353" t="n">
        <f aca="false">IF($AW:$AW&gt;=3.25%,$AW:$AW-$CR:$CR,0)</f>
        <v>0</v>
      </c>
      <c r="CU70" s="354" t="n">
        <f aca="false">ROUND($AR:$AR*$CT:$CT,0)</f>
        <v>0</v>
      </c>
      <c r="CV70" s="353" t="n">
        <f aca="false">IF($CR:$CR=3.25%,0,IF($BC:$BC&lt;3.25%,$BC:$BC,IF($BC:$BC&gt;3.25%,3.25%-$CR:$CR,0)))</f>
        <v>0</v>
      </c>
      <c r="CW70" s="354" t="n">
        <f aca="false">IFERROR(ROUND($AY:$AY*$CV:$CV,0),0)</f>
        <v>0</v>
      </c>
      <c r="CX70" s="353" t="n">
        <f aca="false">IF($CV:$CV=0,$BC:$BC,BC:BC-$CV:$CV)</f>
        <v>0</v>
      </c>
      <c r="CY70" s="354" t="n">
        <f aca="false">IFERROR(ROUND($AY:$AY*$CX:$CX,0),0)</f>
        <v>0</v>
      </c>
      <c r="CZ70" s="353" t="n">
        <f aca="false">$CR:$CR+$CT:CT+$CV:$CV+$CX:$CX</f>
        <v>0</v>
      </c>
      <c r="DA70" s="353" t="n">
        <f aca="false">(SUM($AW:$AW+$BC:$BC)-$CZ:$CZ)</f>
        <v>0</v>
      </c>
      <c r="DB70" s="353"/>
      <c r="DC70" s="353" t="n">
        <f aca="false">$BE:$BE</f>
        <v>0</v>
      </c>
      <c r="DD70" s="354" t="n">
        <f aca="false">$BF:$BF</f>
        <v>0</v>
      </c>
      <c r="DE70" s="355" t="n">
        <f aca="false">$BI:$BI</f>
        <v>0</v>
      </c>
      <c r="DF70" s="354" t="n">
        <f aca="false">$BJ:$BJ</f>
        <v>0</v>
      </c>
      <c r="DG70" s="355" t="n">
        <f aca="false">$BG:$BG</f>
        <v>0</v>
      </c>
      <c r="DH70" s="354" t="n">
        <f aca="false">IFERROR(ROUND($AP:$AP*$DG:$DG,0),0)</f>
        <v>0</v>
      </c>
      <c r="DI70" s="353" t="n">
        <f aca="false">$CR:$CR+$CV:$CV+$DC:$DC+$DE:$DE+$DG:$DG</f>
        <v>0</v>
      </c>
      <c r="DJ70" s="354" t="n">
        <f aca="false">$CS:$CS+$CW:$CW+$DD:$DD+$DF:$DF+$DH:$DH</f>
        <v>0</v>
      </c>
      <c r="DK70" s="353" t="n">
        <f aca="false">$CT:$CT+$CX:$CX</f>
        <v>0</v>
      </c>
      <c r="DL70" s="354" t="n">
        <f aca="false">$CU:$CU+$CY:$CY</f>
        <v>0</v>
      </c>
      <c r="DM70" s="356"/>
      <c r="DN70" s="357"/>
      <c r="DO70" s="357"/>
      <c r="DP70" s="357"/>
      <c r="DQ70" s="357"/>
      <c r="DR70" s="357"/>
      <c r="DS70" s="357"/>
      <c r="DT70" s="357"/>
      <c r="DU70" s="357"/>
      <c r="DV70" s="357"/>
      <c r="DW70" s="357" t="s">
        <v>498</v>
      </c>
    </row>
    <row r="71" customFormat="false" ht="24" hidden="false" customHeight="false" outlineLevel="0" collapsed="false">
      <c r="A71" s="314"/>
      <c r="B71" s="315" t="s">
        <v>273</v>
      </c>
      <c r="C71" s="315" t="s">
        <v>627</v>
      </c>
      <c r="D71" s="315" t="n">
        <v>4754</v>
      </c>
      <c r="E71" s="316" t="s">
        <v>628</v>
      </c>
      <c r="F71" s="316" t="s">
        <v>629</v>
      </c>
      <c r="G71" s="316" t="s">
        <v>277</v>
      </c>
      <c r="H71" s="317" t="s">
        <v>570</v>
      </c>
      <c r="I71" s="316" t="s">
        <v>630</v>
      </c>
      <c r="J71" s="316" t="s">
        <v>572</v>
      </c>
      <c r="K71" s="318" t="n">
        <v>38183</v>
      </c>
      <c r="L71" s="318"/>
      <c r="M71" s="318" t="n">
        <v>44592</v>
      </c>
      <c r="N71" s="319" t="s">
        <v>281</v>
      </c>
      <c r="O71" s="319" t="n">
        <v>38</v>
      </c>
      <c r="P71" s="320" t="n">
        <f aca="false">$O:$O/38</f>
        <v>1</v>
      </c>
      <c r="Q71" s="316" t="s">
        <v>332</v>
      </c>
      <c r="R71" s="316" t="n">
        <v>20760</v>
      </c>
      <c r="S71" s="316" t="s">
        <v>626</v>
      </c>
      <c r="T71" s="316" t="s">
        <v>606</v>
      </c>
      <c r="U71" s="316" t="s">
        <v>553</v>
      </c>
      <c r="V71" s="317" t="s">
        <v>58</v>
      </c>
      <c r="W71" s="317" t="s">
        <v>65</v>
      </c>
      <c r="X71" s="317" t="s">
        <v>286</v>
      </c>
      <c r="Y71" s="321" t="s">
        <v>287</v>
      </c>
      <c r="Z71" s="317" t="s">
        <v>554</v>
      </c>
      <c r="AA71" s="317" t="s">
        <v>319</v>
      </c>
      <c r="AB71" s="321" t="s">
        <v>555</v>
      </c>
      <c r="AC71" s="317" t="s">
        <v>289</v>
      </c>
      <c r="AD71" s="321" t="s">
        <v>290</v>
      </c>
      <c r="AE71" s="322" t="n">
        <f aca="false">IFERROR(INDEX('[3]Lookup_Rem Ranges'!$D$1:$D$1048576,MATCH($AL:$AL,'[3]Lookup_Rem Ranges'!$C$1:$C$1048576,0)),0)</f>
        <v>83400</v>
      </c>
      <c r="AF71" s="322" t="n">
        <f aca="false">IFERROR(INDEX('[3]Lookup_Rem Ranges'!$E$1:$E$1048576,MATCH($AL:$AL,'[3]Lookup_Rem Ranges'!$C$1:$C$1048576,0)),0)</f>
        <v>98100</v>
      </c>
      <c r="AG71" s="322" t="n">
        <f aca="false">IFERROR(INDEX('[3]Lookup_Rem Ranges'!$F$1:$F$1048576,MATCH($AL:$AL,'[3]Lookup_Rem Ranges'!$C$1:$C$1048576,0)),)</f>
        <v>112800</v>
      </c>
      <c r="AH71" s="317" t="s">
        <v>291</v>
      </c>
      <c r="AI71" s="319"/>
      <c r="AJ71" s="323" t="n">
        <v>0</v>
      </c>
      <c r="AK71" s="316"/>
      <c r="AL71" s="324" t="str">
        <f aca="false">CONCATENATE(AM71,"",AN71)</f>
        <v>CASS5</v>
      </c>
      <c r="AM71" s="324" t="s">
        <v>292</v>
      </c>
      <c r="AN71" s="319" t="n">
        <v>5</v>
      </c>
      <c r="AO71" s="316" t="s">
        <v>358</v>
      </c>
      <c r="AP71" s="325" t="n">
        <v>105000</v>
      </c>
      <c r="AQ71" s="322" t="n">
        <f aca="false">ROUND(IF($P:$P&gt;1,$AP:$AP*1,$AP:$AP*$P:$P),0)</f>
        <v>105000</v>
      </c>
      <c r="AR71" s="322" t="n">
        <f aca="false">IF(BA71="Yes",AP71,0)</f>
        <v>0</v>
      </c>
      <c r="AS71" s="326" t="n">
        <v>0.0948905109489051</v>
      </c>
      <c r="AT71" s="326" t="n">
        <v>0</v>
      </c>
      <c r="AU71" s="327"/>
      <c r="AV71" s="322"/>
      <c r="AW71" s="328" t="n">
        <v>0</v>
      </c>
      <c r="AX71" s="322" t="n">
        <v>0</v>
      </c>
      <c r="AY71" s="322" t="n">
        <v>105000</v>
      </c>
      <c r="AZ71" s="329" t="n">
        <f aca="false">IFERROR(($AY:$AY+$AJ:$AJ+$AK:$AK)/$AF:$AF,0)</f>
        <v>1.07033639143731</v>
      </c>
      <c r="BA71" s="330" t="s">
        <v>294</v>
      </c>
      <c r="BB71" s="331" t="n">
        <v>3</v>
      </c>
      <c r="BC71" s="326" t="n">
        <f aca="false">IFERROR($BD:$BD/$AY:$AY,0)</f>
        <v>0</v>
      </c>
      <c r="BD71" s="332" t="n">
        <f aca="false">ROUND(IF($AY:$AY&lt;$AE:$AE,$AE:$AE-$AY:$AY,0),0)</f>
        <v>0</v>
      </c>
      <c r="BE71" s="333" t="n">
        <v>0</v>
      </c>
      <c r="BF71" s="334" t="n">
        <f aca="false">ROUND($AR:$AR*$BE:$BE,0)</f>
        <v>0</v>
      </c>
      <c r="BG71" s="335" t="n">
        <v>0</v>
      </c>
      <c r="BH71" s="336" t="n">
        <f aca="false">ROUND($AR:$AR*$BG:$BG,0)</f>
        <v>0</v>
      </c>
      <c r="BI71" s="333" t="n">
        <v>0</v>
      </c>
      <c r="BJ71" s="334" t="n">
        <f aca="false">ROUND($AR:$AR*$BI:$BI,0)</f>
        <v>0</v>
      </c>
      <c r="BK71" s="334" t="n">
        <f aca="false">ROUND(IF($P:$P&gt;1,$BJ:$BJ*1,$BJ:$BJ*$P:$P),0)</f>
        <v>0</v>
      </c>
      <c r="BL71" s="337"/>
      <c r="BM71" s="338" t="n">
        <f aca="false">$BC:$BC+$BE:$BE+$BG:$BG</f>
        <v>0</v>
      </c>
      <c r="BN71" s="339" t="n">
        <f aca="false">$BD:$BD+$BF:$BF+$BH:$BH</f>
        <v>0</v>
      </c>
      <c r="BO71" s="340" t="n">
        <f aca="false">IFERROR(ROUND($AY:$AY+$BN:$BN,0),0)</f>
        <v>105000</v>
      </c>
      <c r="BP71" s="341" t="n">
        <f aca="false">ROUND(IF(SUM($BO:$BO&lt;249080),SUM(ROUND($BO:$BO*11%,0)),27398.8),0)</f>
        <v>11550</v>
      </c>
      <c r="BQ71" s="342" t="n">
        <f aca="false">$BO:$BO+$BP:$BP</f>
        <v>116550</v>
      </c>
      <c r="BR71" s="329" t="n">
        <f aca="false">IFERROR(($BO:$BO+$AJ:$AJ+$AK:$AK)/$AF:$AF,0)</f>
        <v>1.07033639143731</v>
      </c>
      <c r="BS71" s="343" t="n">
        <f aca="false">IF($N:$N="CASUAL","TBC",ROUND($BN:$BN/(NETWORKDAYS("01/07/2023","30/06/2024"))*NETWORKDAYS("10/07/2023","04/09/2023"),0)*$P:$P)</f>
        <v>0</v>
      </c>
      <c r="BT71" s="326" t="n">
        <f aca="false">$BM71+$BI71</f>
        <v>0</v>
      </c>
      <c r="BU71" s="332" t="n">
        <f aca="false">$BN:$BN+$BJ:$BJ</f>
        <v>0</v>
      </c>
      <c r="BV71" s="342" t="n">
        <f aca="false">$BO:$BO*$P:$P</f>
        <v>105000</v>
      </c>
      <c r="BW71" s="344" t="n">
        <f aca="false">ROUND($BO:$BO/1976,2)</f>
        <v>53.14</v>
      </c>
      <c r="BX71" s="316"/>
      <c r="BY71" s="342" t="n">
        <f aca="false">$BQ:$BQ+$BX:$BX</f>
        <v>116550</v>
      </c>
      <c r="BZ71" s="345" t="s">
        <v>294</v>
      </c>
      <c r="CA71" s="316"/>
      <c r="CB71" s="316"/>
      <c r="CC71" s="324" t="str">
        <f aca="false">CONCATENATE(CD71,"",CE71)</f>
        <v/>
      </c>
      <c r="CD71" s="319"/>
      <c r="CE71" s="319"/>
      <c r="CF71" s="322" t="str">
        <f aca="false">IFERROR(INDEX('[4]Lookup_Rem Ranges'!$D$1:$D$1048576,MATCH($CC:$CC,'[4]Lookup_Rem Ranges'!$C$1:$C$1048576,0)),"")</f>
        <v/>
      </c>
      <c r="CG71" s="346"/>
      <c r="CH71" s="346"/>
      <c r="CI71" s="347"/>
      <c r="CJ71" s="348"/>
      <c r="CK71" s="342" t="n">
        <f aca="false">IFERROR(ROUND($CI:$CI*$CJ:$CJ,0),0)</f>
        <v>0</v>
      </c>
      <c r="CL71" s="342" t="n">
        <f aca="false">$CI:$CI+$CK:$CK</f>
        <v>0</v>
      </c>
      <c r="CM71" s="349"/>
      <c r="CN71" s="350" t="n">
        <f aca="false">IF(SUM($CL:$CL&lt;249080),SUM(ROUND($CL:$CL*11%,0)),27398.8)</f>
        <v>0</v>
      </c>
      <c r="CO71" s="350" t="s">
        <v>313</v>
      </c>
      <c r="CP71" s="351" t="n">
        <f aca="false">IF(BA71="Yes",3.25%,0)</f>
        <v>0</v>
      </c>
      <c r="CQ71" s="352" t="n">
        <f aca="false">ROUND(AR71*CP71,0)</f>
        <v>0</v>
      </c>
      <c r="CR71" s="353" t="n">
        <f aca="false">IF($AW:$AW&lt;3.25%,$AW:$AW,3.25%)</f>
        <v>0</v>
      </c>
      <c r="CS71" s="354" t="n">
        <f aca="false">ROUND($AR:$AR*$CR:$CR,0)</f>
        <v>0</v>
      </c>
      <c r="CT71" s="353" t="n">
        <f aca="false">IF($AW:$AW&gt;=3.25%,$AW:$AW-$CR:$CR,0)</f>
        <v>0</v>
      </c>
      <c r="CU71" s="354" t="n">
        <f aca="false">ROUND($AR:$AR*$CT:$CT,0)</f>
        <v>0</v>
      </c>
      <c r="CV71" s="353" t="n">
        <f aca="false">IF($CR:$CR=3.25%,0,IF($BC:$BC&lt;3.25%,$BC:$BC,IF($BC:$BC&gt;3.25%,3.25%-$CR:$CR,0)))</f>
        <v>0</v>
      </c>
      <c r="CW71" s="354" t="n">
        <f aca="false">IFERROR(ROUND($AY:$AY*$CV:$CV,0),0)</f>
        <v>0</v>
      </c>
      <c r="CX71" s="353" t="n">
        <f aca="false">IF($CV:$CV=0,$BC:$BC,BC:BC-$CV:$CV)</f>
        <v>0</v>
      </c>
      <c r="CY71" s="354" t="n">
        <f aca="false">IFERROR(ROUND($AY:$AY*$CX:$CX,0),0)</f>
        <v>0</v>
      </c>
      <c r="CZ71" s="353" t="n">
        <f aca="false">$CR:$CR+$CT:CT+$CV:$CV+$CX:$CX</f>
        <v>0</v>
      </c>
      <c r="DA71" s="353" t="n">
        <f aca="false">(SUM($AW:$AW+$BC:$BC)-$CZ:$CZ)</f>
        <v>0</v>
      </c>
      <c r="DB71" s="353"/>
      <c r="DC71" s="353" t="n">
        <f aca="false">$BE:$BE</f>
        <v>0</v>
      </c>
      <c r="DD71" s="354" t="n">
        <f aca="false">$BF:$BF</f>
        <v>0</v>
      </c>
      <c r="DE71" s="355" t="n">
        <f aca="false">$BI:$BI</f>
        <v>0</v>
      </c>
      <c r="DF71" s="354" t="n">
        <f aca="false">$BJ:$BJ</f>
        <v>0</v>
      </c>
      <c r="DG71" s="355" t="n">
        <f aca="false">$BG:$BG</f>
        <v>0</v>
      </c>
      <c r="DH71" s="354" t="n">
        <f aca="false">IFERROR(ROUND($AP:$AP*$DG:$DG,0),0)</f>
        <v>0</v>
      </c>
      <c r="DI71" s="353" t="n">
        <f aca="false">$CR:$CR+$CV:$CV+$DC:$DC+$DE:$DE+$DG:$DG</f>
        <v>0</v>
      </c>
      <c r="DJ71" s="354" t="n">
        <f aca="false">$CS:$CS+$CW:$CW+$DD:$DD+$DF:$DF+$DH:$DH</f>
        <v>0</v>
      </c>
      <c r="DK71" s="353" t="n">
        <f aca="false">$CT:$CT+$CX:$CX</f>
        <v>0</v>
      </c>
      <c r="DL71" s="354" t="n">
        <f aca="false">$CU:$CU+$CY:$CY</f>
        <v>0</v>
      </c>
      <c r="DM71" s="356"/>
      <c r="DN71" s="357"/>
      <c r="DO71" s="357"/>
      <c r="DP71" s="357"/>
      <c r="DQ71" s="357"/>
      <c r="DR71" s="357"/>
      <c r="DS71" s="357"/>
      <c r="DT71" s="357"/>
      <c r="DU71" s="357"/>
      <c r="DV71" s="357"/>
      <c r="DW71" s="357" t="s">
        <v>498</v>
      </c>
    </row>
    <row r="72" customFormat="false" ht="33.75" hidden="false" customHeight="false" outlineLevel="0" collapsed="false">
      <c r="A72" s="314"/>
      <c r="B72" s="315" t="s">
        <v>273</v>
      </c>
      <c r="C72" s="315" t="s">
        <v>631</v>
      </c>
      <c r="D72" s="315" t="n">
        <v>22197</v>
      </c>
      <c r="E72" s="316" t="s">
        <v>453</v>
      </c>
      <c r="F72" s="316" t="s">
        <v>632</v>
      </c>
      <c r="G72" s="316" t="s">
        <v>277</v>
      </c>
      <c r="H72" s="317" t="s">
        <v>548</v>
      </c>
      <c r="I72" s="316" t="s">
        <v>633</v>
      </c>
      <c r="J72" s="316" t="s">
        <v>550</v>
      </c>
      <c r="K72" s="318" t="n">
        <v>45103</v>
      </c>
      <c r="L72" s="318" t="n">
        <v>45195</v>
      </c>
      <c r="M72" s="318" t="n">
        <v>45103</v>
      </c>
      <c r="N72" s="319" t="s">
        <v>331</v>
      </c>
      <c r="O72" s="319" t="n">
        <v>22</v>
      </c>
      <c r="P72" s="320" t="n">
        <f aca="false">$O:$O/38</f>
        <v>0.578947368421053</v>
      </c>
      <c r="Q72" s="316"/>
      <c r="R72" s="316" t="n">
        <v>20760</v>
      </c>
      <c r="S72" s="316" t="s">
        <v>626</v>
      </c>
      <c r="T72" s="316" t="s">
        <v>606</v>
      </c>
      <c r="U72" s="316" t="s">
        <v>553</v>
      </c>
      <c r="V72" s="317" t="s">
        <v>58</v>
      </c>
      <c r="W72" s="317" t="s">
        <v>65</v>
      </c>
      <c r="X72" s="317" t="s">
        <v>286</v>
      </c>
      <c r="Y72" s="321" t="s">
        <v>287</v>
      </c>
      <c r="Z72" s="317" t="s">
        <v>554</v>
      </c>
      <c r="AA72" s="317" t="s">
        <v>319</v>
      </c>
      <c r="AB72" s="321" t="s">
        <v>555</v>
      </c>
      <c r="AC72" s="317" t="s">
        <v>289</v>
      </c>
      <c r="AD72" s="321" t="s">
        <v>290</v>
      </c>
      <c r="AE72" s="322" t="n">
        <f aca="false">IFERROR(INDEX('[3]Lookup_Rem Ranges'!$D$1:$D$1048576,MATCH($AL:$AL,'[3]Lookup_Rem Ranges'!$C$1:$C$1048576,0)),0)</f>
        <v>83400</v>
      </c>
      <c r="AF72" s="322" t="n">
        <f aca="false">IFERROR(INDEX('[3]Lookup_Rem Ranges'!$E$1:$E$1048576,MATCH($AL:$AL,'[3]Lookup_Rem Ranges'!$C$1:$C$1048576,0)),0)</f>
        <v>98100</v>
      </c>
      <c r="AG72" s="322" t="n">
        <f aca="false">IFERROR(INDEX('[3]Lookup_Rem Ranges'!$F$1:$F$1048576,MATCH($AL:$AL,'[3]Lookup_Rem Ranges'!$C$1:$C$1048576,0)),)</f>
        <v>112800</v>
      </c>
      <c r="AH72" s="317" t="s">
        <v>426</v>
      </c>
      <c r="AI72" s="319"/>
      <c r="AJ72" s="323" t="n">
        <v>0</v>
      </c>
      <c r="AK72" s="316"/>
      <c r="AL72" s="324" t="str">
        <f aca="false">CONCATENATE(AM72,"",AN72)</f>
        <v>CASS5</v>
      </c>
      <c r="AM72" s="324" t="s">
        <v>292</v>
      </c>
      <c r="AN72" s="319" t="n">
        <v>5</v>
      </c>
      <c r="AO72" s="316" t="s">
        <v>634</v>
      </c>
      <c r="AP72" s="325" t="n">
        <v>106000</v>
      </c>
      <c r="AQ72" s="322" t="n">
        <f aca="false">ROUND(IF($P:$P&gt;1,$AP:$AP*1,$AP:$AP*$P:$P),0)</f>
        <v>61368</v>
      </c>
      <c r="AR72" s="322" t="n">
        <f aca="false">IF(BA72="Yes",AP72,0)</f>
        <v>0</v>
      </c>
      <c r="AS72" s="326" t="n">
        <v>0.0481036077705828</v>
      </c>
      <c r="AT72" s="326" t="n">
        <v>0</v>
      </c>
      <c r="AU72" s="327"/>
      <c r="AV72" s="322"/>
      <c r="AW72" s="328" t="n">
        <v>0</v>
      </c>
      <c r="AX72" s="322" t="n">
        <v>0</v>
      </c>
      <c r="AY72" s="322" t="n">
        <v>106000</v>
      </c>
      <c r="AZ72" s="329" t="n">
        <f aca="false">IFERROR(($AY:$AY+$AJ:$AJ+$AK:$AK)/$AF:$AF,0)</f>
        <v>1.08053007135576</v>
      </c>
      <c r="BA72" s="330" t="s">
        <v>294</v>
      </c>
      <c r="BB72" s="331" t="n">
        <v>3</v>
      </c>
      <c r="BC72" s="326" t="n">
        <f aca="false">IFERROR($BD:$BD/$AY:$AY,0)</f>
        <v>0</v>
      </c>
      <c r="BD72" s="332" t="n">
        <f aca="false">ROUND(IF($AY:$AY&lt;$AE:$AE,$AE:$AE-$AY:$AY,0),0)</f>
        <v>0</v>
      </c>
      <c r="BE72" s="333" t="n">
        <v>0</v>
      </c>
      <c r="BF72" s="334" t="n">
        <f aca="false">ROUND($AR:$AR*$BE:$BE,0)</f>
        <v>0</v>
      </c>
      <c r="BG72" s="335" t="n">
        <v>0</v>
      </c>
      <c r="BH72" s="336" t="n">
        <f aca="false">ROUND($AR:$AR*$BG:$BG,0)</f>
        <v>0</v>
      </c>
      <c r="BI72" s="333" t="n">
        <v>0</v>
      </c>
      <c r="BJ72" s="334" t="n">
        <f aca="false">ROUND($AR:$AR*$BI:$BI,0)</f>
        <v>0</v>
      </c>
      <c r="BK72" s="334" t="n">
        <f aca="false">ROUND(IF($P:$P&gt;1,$BJ:$BJ*1,$BJ:$BJ*$P:$P),0)</f>
        <v>0</v>
      </c>
      <c r="BL72" s="337"/>
      <c r="BM72" s="338" t="n">
        <f aca="false">$BC:$BC+$BE:$BE+$BG:$BG</f>
        <v>0</v>
      </c>
      <c r="BN72" s="339" t="n">
        <f aca="false">$BD:$BD+$BF:$BF+$BH:$BH</f>
        <v>0</v>
      </c>
      <c r="BO72" s="340" t="n">
        <f aca="false">IFERROR(ROUND($AY:$AY+$BN:$BN,0),0)</f>
        <v>106000</v>
      </c>
      <c r="BP72" s="341" t="n">
        <f aca="false">ROUND(IF(SUM($BO:$BO&lt;249080),SUM(ROUND($BO:$BO*11%,0)),27398.8),0)</f>
        <v>11660</v>
      </c>
      <c r="BQ72" s="342" t="n">
        <f aca="false">$BO:$BO+$BP:$BP</f>
        <v>117660</v>
      </c>
      <c r="BR72" s="329" t="n">
        <f aca="false">IFERROR(($BO:$BO+$AJ:$AJ+$AK:$AK)/$AF:$AF,0)</f>
        <v>1.08053007135576</v>
      </c>
      <c r="BS72" s="343" t="n">
        <f aca="false">IF($N:$N="CASUAL","TBC",ROUND($BN:$BN/(NETWORKDAYS("01/07/2023","30/06/2024"))*NETWORKDAYS("10/07/2023","04/09/2023"),0)*$P:$P)</f>
        <v>0</v>
      </c>
      <c r="BT72" s="326" t="n">
        <f aca="false">$BM72+$BI72</f>
        <v>0</v>
      </c>
      <c r="BU72" s="332" t="n">
        <f aca="false">$BN:$BN+$BJ:$BJ</f>
        <v>0</v>
      </c>
      <c r="BV72" s="342" t="n">
        <f aca="false">$BO:$BO*$P:$P</f>
        <v>61368.4210526316</v>
      </c>
      <c r="BW72" s="344" t="n">
        <f aca="false">ROUND($BO:$BO/1976,2)</f>
        <v>53.64</v>
      </c>
      <c r="BX72" s="316"/>
      <c r="BY72" s="342" t="n">
        <f aca="false">$BQ:$BQ+$BX:$BX</f>
        <v>117660</v>
      </c>
      <c r="BZ72" s="345" t="s">
        <v>294</v>
      </c>
      <c r="CA72" s="316"/>
      <c r="CB72" s="316"/>
      <c r="CC72" s="324" t="str">
        <f aca="false">CONCATENATE(CD72,"",CE72)</f>
        <v/>
      </c>
      <c r="CD72" s="319"/>
      <c r="CE72" s="319"/>
      <c r="CF72" s="322" t="str">
        <f aca="false">IFERROR(INDEX('[4]Lookup_Rem Ranges'!$D$1:$D$1048576,MATCH($CC:$CC,'[4]Lookup_Rem Ranges'!$C$1:$C$1048576,0)),"")</f>
        <v/>
      </c>
      <c r="CG72" s="346"/>
      <c r="CH72" s="346"/>
      <c r="CI72" s="347"/>
      <c r="CJ72" s="348"/>
      <c r="CK72" s="342" t="n">
        <f aca="false">IFERROR(ROUND($CI:$CI*$CJ:$CJ,0),0)</f>
        <v>0</v>
      </c>
      <c r="CL72" s="342" t="n">
        <f aca="false">$CI:$CI+$CK:$CK</f>
        <v>0</v>
      </c>
      <c r="CM72" s="349"/>
      <c r="CN72" s="350" t="n">
        <f aca="false">IF(SUM($CL:$CL&lt;249080),SUM(ROUND($CL:$CL*11%,0)),27398.8)</f>
        <v>0</v>
      </c>
      <c r="CO72" s="350" t="s">
        <v>324</v>
      </c>
      <c r="CP72" s="351" t="n">
        <f aca="false">IF(BA72="Yes",3.25%,0)</f>
        <v>0</v>
      </c>
      <c r="CQ72" s="352" t="n">
        <f aca="false">ROUND(AR72*CP72,0)</f>
        <v>0</v>
      </c>
      <c r="CR72" s="353" t="n">
        <f aca="false">IF($AW:$AW&lt;3.25%,$AW:$AW,3.25%)</f>
        <v>0</v>
      </c>
      <c r="CS72" s="354" t="n">
        <f aca="false">ROUND($AR:$AR*$CR:$CR,0)</f>
        <v>0</v>
      </c>
      <c r="CT72" s="353" t="n">
        <f aca="false">IF($AW:$AW&gt;=3.25%,$AW:$AW-$CR:$CR,0)</f>
        <v>0</v>
      </c>
      <c r="CU72" s="354" t="n">
        <f aca="false">ROUND($AR:$AR*$CT:$CT,0)</f>
        <v>0</v>
      </c>
      <c r="CV72" s="353" t="n">
        <f aca="false">IF($CR:$CR=3.25%,0,IF($BC:$BC&lt;3.25%,$BC:$BC,IF($BC:$BC&gt;3.25%,3.25%-$CR:$CR,0)))</f>
        <v>0</v>
      </c>
      <c r="CW72" s="354" t="n">
        <f aca="false">IFERROR(ROUND($AY:$AY*$CV:$CV,0),0)</f>
        <v>0</v>
      </c>
      <c r="CX72" s="353" t="n">
        <f aca="false">IF($CV:$CV=0,$BC:$BC,BC:BC-$CV:$CV)</f>
        <v>0</v>
      </c>
      <c r="CY72" s="354" t="n">
        <f aca="false">IFERROR(ROUND($AY:$AY*$CX:$CX,0),0)</f>
        <v>0</v>
      </c>
      <c r="CZ72" s="353" t="n">
        <f aca="false">$CR:$CR+$CT:CT+$CV:$CV+$CX:$CX</f>
        <v>0</v>
      </c>
      <c r="DA72" s="353" t="n">
        <f aca="false">(SUM($AW:$AW+$BC:$BC)-$CZ:$CZ)</f>
        <v>0</v>
      </c>
      <c r="DB72" s="353"/>
      <c r="DC72" s="353" t="n">
        <f aca="false">$BE:$BE</f>
        <v>0</v>
      </c>
      <c r="DD72" s="354" t="n">
        <f aca="false">$BF:$BF</f>
        <v>0</v>
      </c>
      <c r="DE72" s="355" t="n">
        <f aca="false">$BI:$BI</f>
        <v>0</v>
      </c>
      <c r="DF72" s="354" t="n">
        <f aca="false">$BJ:$BJ</f>
        <v>0</v>
      </c>
      <c r="DG72" s="355" t="n">
        <f aca="false">$BG:$BG</f>
        <v>0</v>
      </c>
      <c r="DH72" s="354" t="n">
        <f aca="false">IFERROR(ROUND($AP:$AP*$DG:$DG,0),0)</f>
        <v>0</v>
      </c>
      <c r="DI72" s="353" t="n">
        <f aca="false">$CR:$CR+$CV:$CV+$DC:$DC+$DE:$DE+$DG:$DG</f>
        <v>0</v>
      </c>
      <c r="DJ72" s="354" t="n">
        <f aca="false">$CS:$CS+$CW:$CW+$DD:$DD+$DF:$DF+$DH:$DH</f>
        <v>0</v>
      </c>
      <c r="DK72" s="353" t="n">
        <f aca="false">$CT:$CT+$CX:$CX</f>
        <v>0</v>
      </c>
      <c r="DL72" s="354" t="n">
        <f aca="false">$CU:$CU+$CY:$CY</f>
        <v>0</v>
      </c>
      <c r="DM72" s="356"/>
      <c r="DN72" s="357"/>
      <c r="DO72" s="357"/>
      <c r="DP72" s="357"/>
      <c r="DQ72" s="357"/>
      <c r="DR72" s="357"/>
      <c r="DS72" s="357"/>
      <c r="DT72" s="357"/>
      <c r="DU72" s="357"/>
      <c r="DV72" s="357"/>
      <c r="DW72" s="357" t="s">
        <v>498</v>
      </c>
    </row>
    <row r="73" customFormat="false" ht="33.75" hidden="false" customHeight="false" outlineLevel="0" collapsed="false">
      <c r="A73" s="314"/>
      <c r="B73" s="315" t="s">
        <v>273</v>
      </c>
      <c r="C73" s="315" t="s">
        <v>635</v>
      </c>
      <c r="D73" s="315" t="n">
        <v>15179</v>
      </c>
      <c r="E73" s="316" t="s">
        <v>636</v>
      </c>
      <c r="F73" s="316" t="s">
        <v>637</v>
      </c>
      <c r="G73" s="316" t="s">
        <v>300</v>
      </c>
      <c r="H73" s="317" t="s">
        <v>638</v>
      </c>
      <c r="I73" s="316" t="s">
        <v>639</v>
      </c>
      <c r="J73" s="316" t="s">
        <v>640</v>
      </c>
      <c r="K73" s="318" t="n">
        <v>42074</v>
      </c>
      <c r="L73" s="318"/>
      <c r="M73" s="318" t="n">
        <v>44166</v>
      </c>
      <c r="N73" s="319" t="s">
        <v>281</v>
      </c>
      <c r="O73" s="319" t="n">
        <v>38</v>
      </c>
      <c r="P73" s="320" t="n">
        <f aca="false">$O:$O/38</f>
        <v>1</v>
      </c>
      <c r="Q73" s="316" t="s">
        <v>332</v>
      </c>
      <c r="R73" s="316" t="n">
        <v>10317</v>
      </c>
      <c r="S73" s="316" t="s">
        <v>641</v>
      </c>
      <c r="T73" s="316" t="s">
        <v>620</v>
      </c>
      <c r="U73" s="316" t="s">
        <v>621</v>
      </c>
      <c r="V73" s="317" t="s">
        <v>58</v>
      </c>
      <c r="W73" s="317" t="s">
        <v>65</v>
      </c>
      <c r="X73" s="317" t="s">
        <v>286</v>
      </c>
      <c r="Y73" s="321" t="s">
        <v>287</v>
      </c>
      <c r="Z73" s="317" t="s">
        <v>554</v>
      </c>
      <c r="AA73" s="317" t="s">
        <v>319</v>
      </c>
      <c r="AB73" s="321" t="s">
        <v>555</v>
      </c>
      <c r="AC73" s="317" t="s">
        <v>289</v>
      </c>
      <c r="AD73" s="321" t="s">
        <v>290</v>
      </c>
      <c r="AE73" s="322" t="n">
        <f aca="false">IFERROR(INDEX('[3]Lookup_Rem Ranges'!$D$1:$D$1048576,MATCH($AL:$AL,'[3]Lookup_Rem Ranges'!$C$1:$C$1048576,0)),0)</f>
        <v>83400</v>
      </c>
      <c r="AF73" s="322" t="n">
        <f aca="false">IFERROR(INDEX('[3]Lookup_Rem Ranges'!$E$1:$E$1048576,MATCH($AL:$AL,'[3]Lookup_Rem Ranges'!$C$1:$C$1048576,0)),0)</f>
        <v>98100</v>
      </c>
      <c r="AG73" s="322" t="n">
        <f aca="false">IFERROR(INDEX('[3]Lookup_Rem Ranges'!$F$1:$F$1048576,MATCH($AL:$AL,'[3]Lookup_Rem Ranges'!$C$1:$C$1048576,0)),)</f>
        <v>112800</v>
      </c>
      <c r="AH73" s="317" t="s">
        <v>291</v>
      </c>
      <c r="AI73" s="319"/>
      <c r="AJ73" s="323" t="n">
        <v>0</v>
      </c>
      <c r="AK73" s="316"/>
      <c r="AL73" s="324" t="str">
        <f aca="false">CONCATENATE(AM73,"",AN73)</f>
        <v>CASS5</v>
      </c>
      <c r="AM73" s="324" t="s">
        <v>292</v>
      </c>
      <c r="AN73" s="319" t="n">
        <v>5</v>
      </c>
      <c r="AO73" s="316"/>
      <c r="AP73" s="325" t="n">
        <v>115400</v>
      </c>
      <c r="AQ73" s="322" t="n">
        <f aca="false">ROUND(IF($P:$P&gt;1,$AP:$AP*1,$AP:$AP*$P:$P),0)</f>
        <v>115400</v>
      </c>
      <c r="AR73" s="322" t="n">
        <f aca="false">IF(BA73="Yes",AP73,0)</f>
        <v>115400</v>
      </c>
      <c r="AS73" s="326" t="n">
        <v>0.0675300647548566</v>
      </c>
      <c r="AT73" s="326" t="n">
        <v>0</v>
      </c>
      <c r="AU73" s="327"/>
      <c r="AV73" s="322"/>
      <c r="AW73" s="328" t="n">
        <v>0</v>
      </c>
      <c r="AX73" s="322" t="n">
        <v>0</v>
      </c>
      <c r="AY73" s="322" t="n">
        <v>115400</v>
      </c>
      <c r="AZ73" s="329" t="n">
        <f aca="false">IFERROR(($AY:$AY+$AJ:$AJ+$AK:$AK)/$AF:$AF,0)</f>
        <v>1.17635066258919</v>
      </c>
      <c r="BA73" s="330" t="s">
        <v>293</v>
      </c>
      <c r="BB73" s="331" t="n">
        <v>3</v>
      </c>
      <c r="BC73" s="326" t="n">
        <f aca="false">IFERROR($BD:$BD/$AY:$AY,0)</f>
        <v>0</v>
      </c>
      <c r="BD73" s="332" t="n">
        <f aca="false">ROUND(IF($AY:$AY&lt;$AE:$AE,$AE:$AE-$AY:$AY,0),0)</f>
        <v>0</v>
      </c>
      <c r="BE73" s="333" t="n">
        <v>0</v>
      </c>
      <c r="BF73" s="334" t="n">
        <f aca="false">ROUND($AR:$AR*$BE:$BE,0)</f>
        <v>0</v>
      </c>
      <c r="BG73" s="335" t="n">
        <v>0</v>
      </c>
      <c r="BH73" s="336" t="n">
        <f aca="false">ROUND($AR:$AR*$BG:$BG,0)</f>
        <v>0</v>
      </c>
      <c r="BI73" s="333" t="n">
        <v>0.0325</v>
      </c>
      <c r="BJ73" s="334" t="n">
        <f aca="false">ROUND($AR:$AR*$BI:$BI,0)</f>
        <v>3751</v>
      </c>
      <c r="BK73" s="334" t="n">
        <f aca="false">ROUND(IF($P:$P&gt;1,$BJ:$BJ*1,$BJ:$BJ*$P:$P),0)</f>
        <v>3751</v>
      </c>
      <c r="BL73" s="337"/>
      <c r="BM73" s="338" t="n">
        <f aca="false">$BC:$BC+$BE:$BE+$BG:$BG</f>
        <v>0</v>
      </c>
      <c r="BN73" s="339" t="n">
        <f aca="false">$BD:$BD+$BF:$BF+$BH:$BH</f>
        <v>0</v>
      </c>
      <c r="BO73" s="340" t="n">
        <f aca="false">IFERROR(ROUND($AY:$AY+$BN:$BN,0),0)</f>
        <v>115400</v>
      </c>
      <c r="BP73" s="341" t="n">
        <f aca="false">ROUND(IF(SUM($BO:$BO&lt;249080),SUM(ROUND($BO:$BO*11%,0)),27398.8),0)</f>
        <v>12694</v>
      </c>
      <c r="BQ73" s="342" t="n">
        <f aca="false">$BO:$BO+$BP:$BP</f>
        <v>128094</v>
      </c>
      <c r="BR73" s="329" t="n">
        <f aca="false">IFERROR(($BO:$BO+$AJ:$AJ+$AK:$AK)/$AF:$AF,0)</f>
        <v>1.17635066258919</v>
      </c>
      <c r="BS73" s="343" t="n">
        <f aca="false">IF($N:$N="CASUAL","TBC",ROUND($BN:$BN/(NETWORKDAYS("01/07/2023","30/06/2024"))*NETWORKDAYS("10/07/2023","04/09/2023"),0)*$P:$P)</f>
        <v>0</v>
      </c>
      <c r="BT73" s="326" t="n">
        <f aca="false">$BM73+$BI73</f>
        <v>0.0325</v>
      </c>
      <c r="BU73" s="332" t="n">
        <f aca="false">$BN:$BN+$BJ:$BJ</f>
        <v>3751</v>
      </c>
      <c r="BV73" s="342" t="n">
        <f aca="false">$BO:$BO*$P:$P</f>
        <v>115400</v>
      </c>
      <c r="BW73" s="344" t="n">
        <f aca="false">ROUND($BO:$BO/1976,2)</f>
        <v>58.4</v>
      </c>
      <c r="BX73" s="316"/>
      <c r="BY73" s="342" t="n">
        <f aca="false">$BQ:$BQ+$BX:$BX</f>
        <v>128094</v>
      </c>
      <c r="BZ73" s="345" t="s">
        <v>294</v>
      </c>
      <c r="CA73" s="316"/>
      <c r="CB73" s="316"/>
      <c r="CC73" s="324" t="str">
        <f aca="false">CONCATENATE(CD73,"",CE73)</f>
        <v/>
      </c>
      <c r="CD73" s="319"/>
      <c r="CE73" s="319"/>
      <c r="CF73" s="322" t="str">
        <f aca="false">IFERROR(INDEX('[4]Lookup_Rem Ranges'!$D$1:$D$1048576,MATCH($CC:$CC,'[4]Lookup_Rem Ranges'!$C$1:$C$1048576,0)),"")</f>
        <v/>
      </c>
      <c r="CG73" s="346"/>
      <c r="CH73" s="346"/>
      <c r="CI73" s="347"/>
      <c r="CJ73" s="348"/>
      <c r="CK73" s="342" t="n">
        <f aca="false">IFERROR(ROUND($CI:$CI*$CJ:$CJ,0),0)</f>
        <v>0</v>
      </c>
      <c r="CL73" s="342" t="n">
        <f aca="false">$CI:$CI+$CK:$CK</f>
        <v>0</v>
      </c>
      <c r="CM73" s="349"/>
      <c r="CN73" s="350" t="n">
        <f aca="false">IF(SUM($CL:$CL&lt;249080),SUM(ROUND($CL:$CL*11%,0)),27398.8)</f>
        <v>0</v>
      </c>
      <c r="CO73" s="350" t="s">
        <v>324</v>
      </c>
      <c r="CP73" s="351" t="n">
        <f aca="false">IF(BA73="Yes",3.25%,0)</f>
        <v>0.0325</v>
      </c>
      <c r="CQ73" s="352" t="n">
        <f aca="false">ROUND(AR73*CP73,0)</f>
        <v>3751</v>
      </c>
      <c r="CR73" s="353" t="n">
        <f aca="false">IF($AW:$AW&lt;3.25%,$AW:$AW,3.25%)</f>
        <v>0</v>
      </c>
      <c r="CS73" s="354" t="n">
        <f aca="false">ROUND($AR:$AR*$CR:$CR,0)</f>
        <v>0</v>
      </c>
      <c r="CT73" s="353" t="n">
        <f aca="false">IF($AW:$AW&gt;=3.25%,$AW:$AW-$CR:$CR,0)</f>
        <v>0</v>
      </c>
      <c r="CU73" s="354" t="n">
        <f aca="false">ROUND($AR:$AR*$CT:$CT,0)</f>
        <v>0</v>
      </c>
      <c r="CV73" s="353" t="n">
        <f aca="false">IF($CR:$CR=3.25%,0,IF($BC:$BC&lt;3.25%,$BC:$BC,IF($BC:$BC&gt;3.25%,3.25%-$CR:$CR,0)))</f>
        <v>0</v>
      </c>
      <c r="CW73" s="354" t="n">
        <f aca="false">IFERROR(ROUND($AY:$AY*$CV:$CV,0),0)</f>
        <v>0</v>
      </c>
      <c r="CX73" s="353" t="n">
        <f aca="false">IF($CV:$CV=0,$BC:$BC,BC:BC-$CV:$CV)</f>
        <v>0</v>
      </c>
      <c r="CY73" s="354" t="n">
        <f aca="false">IFERROR(ROUND($AY:$AY*$CX:$CX,0),0)</f>
        <v>0</v>
      </c>
      <c r="CZ73" s="353" t="n">
        <f aca="false">$CR:$CR+$CT:CT+$CV:$CV+$CX:$CX</f>
        <v>0</v>
      </c>
      <c r="DA73" s="353" t="n">
        <f aca="false">(SUM($AW:$AW+$BC:$BC)-$CZ:$CZ)</f>
        <v>0</v>
      </c>
      <c r="DB73" s="353"/>
      <c r="DC73" s="353" t="n">
        <f aca="false">$BE:$BE</f>
        <v>0</v>
      </c>
      <c r="DD73" s="354" t="n">
        <f aca="false">$BF:$BF</f>
        <v>0</v>
      </c>
      <c r="DE73" s="355" t="n">
        <f aca="false">$BI:$BI</f>
        <v>0.0325</v>
      </c>
      <c r="DF73" s="354" t="n">
        <f aca="false">$BJ:$BJ</f>
        <v>3751</v>
      </c>
      <c r="DG73" s="355" t="n">
        <f aca="false">$BG:$BG</f>
        <v>0</v>
      </c>
      <c r="DH73" s="354" t="n">
        <f aca="false">IFERROR(ROUND($AP:$AP*$DG:$DG,0),0)</f>
        <v>0</v>
      </c>
      <c r="DI73" s="353" t="n">
        <f aca="false">$CR:$CR+$CV:$CV+$DC:$DC+$DE:$DE+$DG:$DG</f>
        <v>0.0325</v>
      </c>
      <c r="DJ73" s="354" t="n">
        <f aca="false">$CS:$CS+$CW:$CW+$DD:$DD+$DF:$DF+$DH:$DH</f>
        <v>3751</v>
      </c>
      <c r="DK73" s="353" t="n">
        <f aca="false">$CT:$CT+$CX:$CX</f>
        <v>0</v>
      </c>
      <c r="DL73" s="354" t="n">
        <f aca="false">$CU:$CU+$CY:$CY</f>
        <v>0</v>
      </c>
      <c r="DM73" s="356"/>
      <c r="DN73" s="357"/>
      <c r="DO73" s="357"/>
      <c r="DP73" s="357"/>
      <c r="DQ73" s="357"/>
      <c r="DR73" s="357"/>
      <c r="DS73" s="357"/>
      <c r="DT73" s="357"/>
      <c r="DU73" s="357"/>
      <c r="DV73" s="357"/>
      <c r="DW73" s="357" t="s">
        <v>498</v>
      </c>
    </row>
    <row r="74" customFormat="false" ht="33.75" hidden="false" customHeight="false" outlineLevel="0" collapsed="false">
      <c r="A74" s="314"/>
      <c r="B74" s="315" t="s">
        <v>273</v>
      </c>
      <c r="C74" s="315" t="s">
        <v>642</v>
      </c>
      <c r="D74" s="315" t="n">
        <v>14380</v>
      </c>
      <c r="E74" s="316" t="s">
        <v>643</v>
      </c>
      <c r="F74" s="316" t="s">
        <v>644</v>
      </c>
      <c r="G74" s="316" t="s">
        <v>300</v>
      </c>
      <c r="H74" s="317" t="s">
        <v>645</v>
      </c>
      <c r="I74" s="316" t="s">
        <v>646</v>
      </c>
      <c r="J74" s="316" t="s">
        <v>647</v>
      </c>
      <c r="K74" s="318" t="n">
        <v>41673</v>
      </c>
      <c r="L74" s="318"/>
      <c r="M74" s="318" t="n">
        <v>44642</v>
      </c>
      <c r="N74" s="319" t="s">
        <v>281</v>
      </c>
      <c r="O74" s="319" t="n">
        <v>38</v>
      </c>
      <c r="P74" s="320" t="n">
        <f aca="false">$O:$O/38</f>
        <v>1</v>
      </c>
      <c r="Q74" s="316" t="s">
        <v>320</v>
      </c>
      <c r="R74" s="316" t="n">
        <v>10317</v>
      </c>
      <c r="S74" s="316" t="s">
        <v>641</v>
      </c>
      <c r="T74" s="316" t="s">
        <v>620</v>
      </c>
      <c r="U74" s="316" t="s">
        <v>621</v>
      </c>
      <c r="V74" s="317" t="s">
        <v>58</v>
      </c>
      <c r="W74" s="317" t="s">
        <v>65</v>
      </c>
      <c r="X74" s="317" t="s">
        <v>286</v>
      </c>
      <c r="Y74" s="321" t="s">
        <v>287</v>
      </c>
      <c r="Z74" s="317" t="s">
        <v>554</v>
      </c>
      <c r="AA74" s="317" t="s">
        <v>319</v>
      </c>
      <c r="AB74" s="321" t="s">
        <v>555</v>
      </c>
      <c r="AC74" s="317" t="s">
        <v>289</v>
      </c>
      <c r="AD74" s="321" t="s">
        <v>290</v>
      </c>
      <c r="AE74" s="322" t="n">
        <f aca="false">IFERROR(INDEX('[3]Lookup_Rem Ranges'!$D$1:$D$1048576,MATCH($AL:$AL,'[3]Lookup_Rem Ranges'!$C$1:$C$1048576,0)),0)</f>
        <v>83400</v>
      </c>
      <c r="AF74" s="322" t="n">
        <f aca="false">IFERROR(INDEX('[3]Lookup_Rem Ranges'!$E$1:$E$1048576,MATCH($AL:$AL,'[3]Lookup_Rem Ranges'!$C$1:$C$1048576,0)),0)</f>
        <v>98100</v>
      </c>
      <c r="AG74" s="322" t="n">
        <f aca="false">IFERROR(INDEX('[3]Lookup_Rem Ranges'!$F$1:$F$1048576,MATCH($AL:$AL,'[3]Lookup_Rem Ranges'!$C$1:$C$1048576,0)),)</f>
        <v>112800</v>
      </c>
      <c r="AH74" s="317" t="s">
        <v>291</v>
      </c>
      <c r="AI74" s="319"/>
      <c r="AJ74" s="323" t="n">
        <v>0</v>
      </c>
      <c r="AK74" s="316"/>
      <c r="AL74" s="324" t="str">
        <f aca="false">CONCATENATE(AM74,"",AN74)</f>
        <v>CASS5</v>
      </c>
      <c r="AM74" s="324" t="s">
        <v>292</v>
      </c>
      <c r="AN74" s="319" t="n">
        <v>5</v>
      </c>
      <c r="AO74" s="316"/>
      <c r="AP74" s="325" t="n">
        <v>111200</v>
      </c>
      <c r="AQ74" s="322" t="n">
        <f aca="false">ROUND(IF($P:$P&gt;1,$AP:$AP*1,$AP:$AP*$P:$P),0)</f>
        <v>111200</v>
      </c>
      <c r="AR74" s="322" t="n">
        <f aca="false">IF(BA74="Yes",AP74,0)</f>
        <v>111200</v>
      </c>
      <c r="AS74" s="326" t="n">
        <v>0.0682036503362152</v>
      </c>
      <c r="AT74" s="326" t="n">
        <v>0</v>
      </c>
      <c r="AU74" s="327"/>
      <c r="AV74" s="322"/>
      <c r="AW74" s="328" t="n">
        <v>0</v>
      </c>
      <c r="AX74" s="322" t="n">
        <v>0</v>
      </c>
      <c r="AY74" s="322" t="n">
        <v>111200</v>
      </c>
      <c r="AZ74" s="329" t="n">
        <f aca="false">IFERROR(($AY:$AY+$AJ:$AJ+$AK:$AK)/$AF:$AF,0)</f>
        <v>1.1335372069317</v>
      </c>
      <c r="BA74" s="330" t="s">
        <v>293</v>
      </c>
      <c r="BB74" s="331" t="n">
        <v>3</v>
      </c>
      <c r="BC74" s="326" t="n">
        <f aca="false">IFERROR($BD:$BD/$AY:$AY,0)</f>
        <v>0</v>
      </c>
      <c r="BD74" s="332" t="n">
        <f aca="false">ROUND(IF($AY:$AY&lt;$AE:$AE,$AE:$AE-$AY:$AY,0),0)</f>
        <v>0</v>
      </c>
      <c r="BE74" s="333" t="n">
        <v>0.0325</v>
      </c>
      <c r="BF74" s="334" t="n">
        <f aca="false">ROUND($AR:$AR*$BE:$BE,0)</f>
        <v>3614</v>
      </c>
      <c r="BG74" s="335" t="n">
        <v>0</v>
      </c>
      <c r="BH74" s="336" t="n">
        <f aca="false">ROUND($AR:$AR*$BG:$BG,0)</f>
        <v>0</v>
      </c>
      <c r="BI74" s="333" t="n">
        <v>0</v>
      </c>
      <c r="BJ74" s="334" t="n">
        <f aca="false">ROUND($AR:$AR*$BI:$BI,0)</f>
        <v>0</v>
      </c>
      <c r="BK74" s="334" t="n">
        <f aca="false">ROUND(IF($P:$P&gt;1,$BJ:$BJ*1,$BJ:$BJ*$P:$P),0)</f>
        <v>0</v>
      </c>
      <c r="BL74" s="337"/>
      <c r="BM74" s="338" t="n">
        <f aca="false">$BC:$BC+$BE:$BE+$BG:$BG</f>
        <v>0.0325</v>
      </c>
      <c r="BN74" s="339" t="n">
        <f aca="false">$BD:$BD+$BF:$BF+$BH:$BH</f>
        <v>3614</v>
      </c>
      <c r="BO74" s="340" t="n">
        <f aca="false">IFERROR(ROUND($AY:$AY+$BN:$BN,0),0)</f>
        <v>114814</v>
      </c>
      <c r="BP74" s="341" t="n">
        <f aca="false">ROUND(IF(SUM($BO:$BO&lt;249080),SUM(ROUND($BO:$BO*11%,0)),27398.8),0)</f>
        <v>12630</v>
      </c>
      <c r="BQ74" s="342" t="n">
        <f aca="false">$BO:$BO+$BP:$BP</f>
        <v>127444</v>
      </c>
      <c r="BR74" s="329" t="n">
        <f aca="false">IFERROR(($BO:$BO+$AJ:$AJ+$AK:$AK)/$AF:$AF,0)</f>
        <v>1.17037716615698</v>
      </c>
      <c r="BS74" s="343" t="n">
        <f aca="false">IF($N:$N="CASUAL","TBC",ROUND($BN:$BN/(NETWORKDAYS("01/07/2023","30/06/2024"))*NETWORKDAYS("10/07/2023","04/09/2023"),0)*$P:$P)</f>
        <v>570</v>
      </c>
      <c r="BT74" s="326" t="n">
        <f aca="false">$BM74+$BI74</f>
        <v>0.0325</v>
      </c>
      <c r="BU74" s="332" t="n">
        <f aca="false">$BN:$BN+$BJ:$BJ</f>
        <v>3614</v>
      </c>
      <c r="BV74" s="342" t="n">
        <f aca="false">$BO:$BO*$P:$P</f>
        <v>114814</v>
      </c>
      <c r="BW74" s="344" t="n">
        <f aca="false">ROUND($BO:$BO/1976,2)</f>
        <v>58.1</v>
      </c>
      <c r="BX74" s="316"/>
      <c r="BY74" s="342" t="n">
        <f aca="false">$BQ:$BQ+$BX:$BX</f>
        <v>127444</v>
      </c>
      <c r="BZ74" s="345" t="s">
        <v>294</v>
      </c>
      <c r="CA74" s="316"/>
      <c r="CB74" s="316"/>
      <c r="CC74" s="324" t="str">
        <f aca="false">CONCATENATE(CD74,"",CE74)</f>
        <v/>
      </c>
      <c r="CD74" s="319"/>
      <c r="CE74" s="319"/>
      <c r="CF74" s="322" t="str">
        <f aca="false">IFERROR(INDEX('[4]Lookup_Rem Ranges'!$D$1:$D$1048576,MATCH($CC:$CC,'[4]Lookup_Rem Ranges'!$C$1:$C$1048576,0)),"")</f>
        <v/>
      </c>
      <c r="CG74" s="346"/>
      <c r="CH74" s="346"/>
      <c r="CI74" s="347"/>
      <c r="CJ74" s="348"/>
      <c r="CK74" s="342" t="n">
        <f aca="false">IFERROR(ROUND($CI:$CI*$CJ:$CJ,0),0)</f>
        <v>0</v>
      </c>
      <c r="CL74" s="342" t="n">
        <f aca="false">$CI:$CI+$CK:$CK</f>
        <v>0</v>
      </c>
      <c r="CM74" s="349"/>
      <c r="CN74" s="350" t="n">
        <f aca="false">IF(SUM($CL:$CL&lt;249080),SUM(ROUND($CL:$CL*11%,0)),27398.8)</f>
        <v>0</v>
      </c>
      <c r="CO74" s="350" t="s">
        <v>324</v>
      </c>
      <c r="CP74" s="351" t="n">
        <f aca="false">IF(BA74="Yes",3.25%,0)</f>
        <v>0.0325</v>
      </c>
      <c r="CQ74" s="352" t="n">
        <f aca="false">ROUND(AR74*CP74,0)</f>
        <v>3614</v>
      </c>
      <c r="CR74" s="353" t="n">
        <f aca="false">IF($AW:$AW&lt;3.25%,$AW:$AW,3.25%)</f>
        <v>0</v>
      </c>
      <c r="CS74" s="354" t="n">
        <f aca="false">ROUND($AR:$AR*$CR:$CR,0)</f>
        <v>0</v>
      </c>
      <c r="CT74" s="353" t="n">
        <f aca="false">IF($AW:$AW&gt;=3.25%,$AW:$AW-$CR:$CR,0)</f>
        <v>0</v>
      </c>
      <c r="CU74" s="354" t="n">
        <f aca="false">ROUND($AR:$AR*$CT:$CT,0)</f>
        <v>0</v>
      </c>
      <c r="CV74" s="353" t="n">
        <f aca="false">IF($CR:$CR=3.25%,0,IF($BC:$BC&lt;3.25%,$BC:$BC,IF($BC:$BC&gt;3.25%,3.25%-$CR:$CR,0)))</f>
        <v>0</v>
      </c>
      <c r="CW74" s="354" t="n">
        <f aca="false">IFERROR(ROUND($AY:$AY*$CV:$CV,0),0)</f>
        <v>0</v>
      </c>
      <c r="CX74" s="353" t="n">
        <f aca="false">IF($CV:$CV=0,$BC:$BC,BC:BC-$CV:$CV)</f>
        <v>0</v>
      </c>
      <c r="CY74" s="354" t="n">
        <f aca="false">IFERROR(ROUND($AY:$AY*$CX:$CX,0),0)</f>
        <v>0</v>
      </c>
      <c r="CZ74" s="353" t="n">
        <f aca="false">$CR:$CR+$CT:CT+$CV:$CV+$CX:$CX</f>
        <v>0</v>
      </c>
      <c r="DA74" s="353" t="n">
        <f aca="false">(SUM($AW:$AW+$BC:$BC)-$CZ:$CZ)</f>
        <v>0</v>
      </c>
      <c r="DB74" s="353"/>
      <c r="DC74" s="353" t="n">
        <f aca="false">$BE:$BE</f>
        <v>0.0325</v>
      </c>
      <c r="DD74" s="354" t="n">
        <f aca="false">$BF:$BF</f>
        <v>3614</v>
      </c>
      <c r="DE74" s="355" t="n">
        <f aca="false">$BI:$BI</f>
        <v>0</v>
      </c>
      <c r="DF74" s="354" t="n">
        <f aca="false">$BJ:$BJ</f>
        <v>0</v>
      </c>
      <c r="DG74" s="355" t="n">
        <f aca="false">$BG:$BG</f>
        <v>0</v>
      </c>
      <c r="DH74" s="354" t="n">
        <f aca="false">IFERROR(ROUND($AP:$AP*$DG:$DG,0),0)</f>
        <v>0</v>
      </c>
      <c r="DI74" s="353" t="n">
        <f aca="false">$CR:$CR+$CV:$CV+$DC:$DC+$DE:$DE+$DG:$DG</f>
        <v>0.0325</v>
      </c>
      <c r="DJ74" s="354" t="n">
        <f aca="false">$CS:$CS+$CW:$CW+$DD:$DD+$DF:$DF+$DH:$DH</f>
        <v>3614</v>
      </c>
      <c r="DK74" s="353" t="n">
        <f aca="false">$CT:$CT+$CX:$CX</f>
        <v>0</v>
      </c>
      <c r="DL74" s="354" t="n">
        <f aca="false">$CU:$CU+$CY:$CY</f>
        <v>0</v>
      </c>
      <c r="DM74" s="356"/>
      <c r="DN74" s="357"/>
      <c r="DO74" s="357"/>
      <c r="DP74" s="357"/>
      <c r="DQ74" s="357"/>
      <c r="DR74" s="357"/>
      <c r="DS74" s="357"/>
      <c r="DT74" s="357"/>
      <c r="DU74" s="357"/>
      <c r="DV74" s="357"/>
      <c r="DW74" s="357" t="s">
        <v>498</v>
      </c>
    </row>
    <row r="75" customFormat="false" ht="33.75" hidden="false" customHeight="false" outlineLevel="0" collapsed="false">
      <c r="A75" s="314"/>
      <c r="B75" s="315" t="s">
        <v>273</v>
      </c>
      <c r="C75" s="315" t="s">
        <v>648</v>
      </c>
      <c r="D75" s="315" t="n">
        <v>17552</v>
      </c>
      <c r="E75" s="316" t="s">
        <v>649</v>
      </c>
      <c r="F75" s="316" t="s">
        <v>650</v>
      </c>
      <c r="G75" s="316" t="s">
        <v>277</v>
      </c>
      <c r="H75" s="317" t="s">
        <v>651</v>
      </c>
      <c r="I75" s="316" t="s">
        <v>652</v>
      </c>
      <c r="J75" s="316" t="s">
        <v>653</v>
      </c>
      <c r="K75" s="318" t="n">
        <v>43152</v>
      </c>
      <c r="L75" s="318"/>
      <c r="M75" s="318" t="n">
        <v>44874</v>
      </c>
      <c r="N75" s="319" t="s">
        <v>281</v>
      </c>
      <c r="O75" s="319" t="n">
        <v>38</v>
      </c>
      <c r="P75" s="320" t="n">
        <f aca="false">$O:$O/38</f>
        <v>1</v>
      </c>
      <c r="Q75" s="316" t="s">
        <v>332</v>
      </c>
      <c r="R75" s="316" t="n">
        <v>17292</v>
      </c>
      <c r="S75" s="316" t="s">
        <v>654</v>
      </c>
      <c r="T75" s="316" t="s">
        <v>594</v>
      </c>
      <c r="U75" s="316" t="s">
        <v>595</v>
      </c>
      <c r="V75" s="317" t="s">
        <v>58</v>
      </c>
      <c r="W75" s="317" t="s">
        <v>65</v>
      </c>
      <c r="X75" s="317" t="s">
        <v>286</v>
      </c>
      <c r="Y75" s="321" t="s">
        <v>287</v>
      </c>
      <c r="Z75" s="317" t="s">
        <v>554</v>
      </c>
      <c r="AA75" s="317" t="s">
        <v>319</v>
      </c>
      <c r="AB75" s="321" t="s">
        <v>555</v>
      </c>
      <c r="AC75" s="317" t="s">
        <v>289</v>
      </c>
      <c r="AD75" s="321" t="s">
        <v>290</v>
      </c>
      <c r="AE75" s="322" t="n">
        <f aca="false">IFERROR(INDEX('[3]Lookup_Rem Ranges'!$D$1:$D$1048576,MATCH($AL:$AL,'[3]Lookup_Rem Ranges'!$C$1:$C$1048576,0)),0)</f>
        <v>83400</v>
      </c>
      <c r="AF75" s="322" t="n">
        <f aca="false">IFERROR(INDEX('[3]Lookup_Rem Ranges'!$E$1:$E$1048576,MATCH($AL:$AL,'[3]Lookup_Rem Ranges'!$C$1:$C$1048576,0)),0)</f>
        <v>98100</v>
      </c>
      <c r="AG75" s="322" t="n">
        <f aca="false">IFERROR(INDEX('[3]Lookup_Rem Ranges'!$F$1:$F$1048576,MATCH($AL:$AL,'[3]Lookup_Rem Ranges'!$C$1:$C$1048576,0)),)</f>
        <v>112800</v>
      </c>
      <c r="AH75" s="317" t="s">
        <v>291</v>
      </c>
      <c r="AI75" s="319"/>
      <c r="AJ75" s="323" t="n">
        <v>0</v>
      </c>
      <c r="AK75" s="316"/>
      <c r="AL75" s="324" t="str">
        <f aca="false">CONCATENATE(AM75,"",AN75)</f>
        <v>CASS5</v>
      </c>
      <c r="AM75" s="324" t="s">
        <v>292</v>
      </c>
      <c r="AN75" s="319" t="n">
        <v>5</v>
      </c>
      <c r="AO75" s="316"/>
      <c r="AP75" s="325" t="n">
        <v>106100</v>
      </c>
      <c r="AQ75" s="322" t="n">
        <f aca="false">ROUND(IF($P:$P&gt;1,$AP:$AP*1,$AP:$AP*$P:$P),0)</f>
        <v>106100</v>
      </c>
      <c r="AR75" s="322" t="n">
        <f aca="false">IF(BA75="Yes",AP75,0)</f>
        <v>106100</v>
      </c>
      <c r="AS75" s="326" t="n">
        <v>0.0300970873786408</v>
      </c>
      <c r="AT75" s="326" t="n">
        <v>0</v>
      </c>
      <c r="AU75" s="327"/>
      <c r="AV75" s="322"/>
      <c r="AW75" s="328" t="n">
        <v>0</v>
      </c>
      <c r="AX75" s="322" t="n">
        <v>0</v>
      </c>
      <c r="AY75" s="322" t="n">
        <v>106100</v>
      </c>
      <c r="AZ75" s="329" t="n">
        <f aca="false">IFERROR(($AY:$AY+$AJ:$AJ+$AK:$AK)/$AF:$AF,0)</f>
        <v>1.0815494393476</v>
      </c>
      <c r="BA75" s="330" t="s">
        <v>293</v>
      </c>
      <c r="BB75" s="331" t="n">
        <v>3</v>
      </c>
      <c r="BC75" s="326" t="n">
        <f aca="false">IFERROR($BD:$BD/$AY:$AY,0)</f>
        <v>0</v>
      </c>
      <c r="BD75" s="332" t="n">
        <f aca="false">ROUND(IF($AY:$AY&lt;$AE:$AE,$AE:$AE-$AY:$AY,0),0)</f>
        <v>0</v>
      </c>
      <c r="BE75" s="333" t="n">
        <v>0.0325</v>
      </c>
      <c r="BF75" s="334" t="n">
        <f aca="false">ROUND($AR:$AR*$BE:$BE,0)</f>
        <v>3448</v>
      </c>
      <c r="BG75" s="335" t="n">
        <v>0</v>
      </c>
      <c r="BH75" s="336" t="n">
        <f aca="false">ROUND($AR:$AR*$BG:$BG,0)</f>
        <v>0</v>
      </c>
      <c r="BI75" s="333" t="n">
        <v>0</v>
      </c>
      <c r="BJ75" s="334" t="n">
        <f aca="false">ROUND($AR:$AR*$BI:$BI,0)</f>
        <v>0</v>
      </c>
      <c r="BK75" s="334" t="n">
        <f aca="false">ROUND(IF($P:$P&gt;1,$BJ:$BJ*1,$BJ:$BJ*$P:$P),0)</f>
        <v>0</v>
      </c>
      <c r="BL75" s="337"/>
      <c r="BM75" s="338" t="n">
        <f aca="false">$BC:$BC+$BE:$BE+$BG:$BG</f>
        <v>0.0325</v>
      </c>
      <c r="BN75" s="339" t="n">
        <f aca="false">$BD:$BD+$BF:$BF+$BH:$BH</f>
        <v>3448</v>
      </c>
      <c r="BO75" s="340" t="n">
        <f aca="false">IFERROR(ROUND($AY:$AY+$BN:$BN,0),0)</f>
        <v>109548</v>
      </c>
      <c r="BP75" s="341" t="n">
        <f aca="false">ROUND(IF(SUM($BO:$BO&lt;249080),SUM(ROUND($BO:$BO*11%,0)),27398.8),0)</f>
        <v>12050</v>
      </c>
      <c r="BQ75" s="342" t="n">
        <f aca="false">$BO:$BO+$BP:$BP</f>
        <v>121598</v>
      </c>
      <c r="BR75" s="329" t="n">
        <f aca="false">IFERROR(($BO:$BO+$AJ:$AJ+$AK:$AK)/$AF:$AF,0)</f>
        <v>1.11669724770642</v>
      </c>
      <c r="BS75" s="343" t="n">
        <f aca="false">IF($N:$N="CASUAL","TBC",ROUND($BN:$BN/(NETWORKDAYS("01/07/2023","30/06/2024"))*NETWORKDAYS("10/07/2023","04/09/2023"),0)*$P:$P)</f>
        <v>544</v>
      </c>
      <c r="BT75" s="326" t="n">
        <f aca="false">$BM75+$BI75</f>
        <v>0.0325</v>
      </c>
      <c r="BU75" s="332" t="n">
        <f aca="false">$BN:$BN+$BJ:$BJ</f>
        <v>3448</v>
      </c>
      <c r="BV75" s="342" t="n">
        <f aca="false">$BO:$BO*$P:$P</f>
        <v>109548</v>
      </c>
      <c r="BW75" s="344" t="n">
        <f aca="false">ROUND($BO:$BO/1976,2)</f>
        <v>55.44</v>
      </c>
      <c r="BX75" s="316"/>
      <c r="BY75" s="342" t="n">
        <f aca="false">$BQ:$BQ+$BX:$BX</f>
        <v>121598</v>
      </c>
      <c r="BZ75" s="345" t="s">
        <v>294</v>
      </c>
      <c r="CA75" s="316"/>
      <c r="CB75" s="316"/>
      <c r="CC75" s="324" t="str">
        <f aca="false">CONCATENATE(CD75,"",CE75)</f>
        <v/>
      </c>
      <c r="CD75" s="319"/>
      <c r="CE75" s="319"/>
      <c r="CF75" s="322" t="str">
        <f aca="false">IFERROR(INDEX('[4]Lookup_Rem Ranges'!$D$1:$D$1048576,MATCH($CC:$CC,'[4]Lookup_Rem Ranges'!$C$1:$C$1048576,0)),"")</f>
        <v/>
      </c>
      <c r="CG75" s="346"/>
      <c r="CH75" s="346"/>
      <c r="CI75" s="347"/>
      <c r="CJ75" s="348"/>
      <c r="CK75" s="342" t="n">
        <f aca="false">IFERROR(ROUND($CI:$CI*$CJ:$CJ,0),0)</f>
        <v>0</v>
      </c>
      <c r="CL75" s="342" t="n">
        <f aca="false">$CI:$CI+$CK:$CK</f>
        <v>0</v>
      </c>
      <c r="CM75" s="349"/>
      <c r="CN75" s="350" t="n">
        <f aca="false">IF(SUM($CL:$CL&lt;249080),SUM(ROUND($CL:$CL*11%,0)),27398.8)</f>
        <v>0</v>
      </c>
      <c r="CO75" s="350" t="s">
        <v>324</v>
      </c>
      <c r="CP75" s="351" t="n">
        <f aca="false">IF(BA75="Yes",3.25%,0)</f>
        <v>0.0325</v>
      </c>
      <c r="CQ75" s="352" t="n">
        <f aca="false">ROUND(AR75*CP75,0)</f>
        <v>3448</v>
      </c>
      <c r="CR75" s="353" t="n">
        <f aca="false">IF($AW:$AW&lt;3.25%,$AW:$AW,3.25%)</f>
        <v>0</v>
      </c>
      <c r="CS75" s="354" t="n">
        <f aca="false">ROUND($AR:$AR*$CR:$CR,0)</f>
        <v>0</v>
      </c>
      <c r="CT75" s="353" t="n">
        <f aca="false">IF($AW:$AW&gt;=3.25%,$AW:$AW-$CR:$CR,0)</f>
        <v>0</v>
      </c>
      <c r="CU75" s="354" t="n">
        <f aca="false">ROUND($AR:$AR*$CT:$CT,0)</f>
        <v>0</v>
      </c>
      <c r="CV75" s="353" t="n">
        <f aca="false">IF($CR:$CR=3.25%,0,IF($BC:$BC&lt;3.25%,$BC:$BC,IF($BC:$BC&gt;3.25%,3.25%-$CR:$CR,0)))</f>
        <v>0</v>
      </c>
      <c r="CW75" s="354" t="n">
        <f aca="false">IFERROR(ROUND($AY:$AY*$CV:$CV,0),0)</f>
        <v>0</v>
      </c>
      <c r="CX75" s="353" t="n">
        <f aca="false">IF($CV:$CV=0,$BC:$BC,BC:BC-$CV:$CV)</f>
        <v>0</v>
      </c>
      <c r="CY75" s="354" t="n">
        <f aca="false">IFERROR(ROUND($AY:$AY*$CX:$CX,0),0)</f>
        <v>0</v>
      </c>
      <c r="CZ75" s="353" t="n">
        <f aca="false">$CR:$CR+$CT:CT+$CV:$CV+$CX:$CX</f>
        <v>0</v>
      </c>
      <c r="DA75" s="353" t="n">
        <f aca="false">(SUM($AW:$AW+$BC:$BC)-$CZ:$CZ)</f>
        <v>0</v>
      </c>
      <c r="DB75" s="353"/>
      <c r="DC75" s="353" t="n">
        <f aca="false">$BE:$BE</f>
        <v>0.0325</v>
      </c>
      <c r="DD75" s="354" t="n">
        <f aca="false">$BF:$BF</f>
        <v>3448</v>
      </c>
      <c r="DE75" s="355" t="n">
        <f aca="false">$BI:$BI</f>
        <v>0</v>
      </c>
      <c r="DF75" s="354" t="n">
        <f aca="false">$BJ:$BJ</f>
        <v>0</v>
      </c>
      <c r="DG75" s="355" t="n">
        <f aca="false">$BG:$BG</f>
        <v>0</v>
      </c>
      <c r="DH75" s="354" t="n">
        <f aca="false">IFERROR(ROUND($AP:$AP*$DG:$DG,0),0)</f>
        <v>0</v>
      </c>
      <c r="DI75" s="353" t="n">
        <f aca="false">$CR:$CR+$CV:$CV+$DC:$DC+$DE:$DE+$DG:$DG</f>
        <v>0.0325</v>
      </c>
      <c r="DJ75" s="354" t="n">
        <f aca="false">$CS:$CS+$CW:$CW+$DD:$DD+$DF:$DF+$DH:$DH</f>
        <v>3448</v>
      </c>
      <c r="DK75" s="353" t="n">
        <f aca="false">$CT:$CT+$CX:$CX</f>
        <v>0</v>
      </c>
      <c r="DL75" s="354" t="n">
        <f aca="false">$CU:$CU+$CY:$CY</f>
        <v>0</v>
      </c>
      <c r="DM75" s="356"/>
      <c r="DN75" s="357"/>
      <c r="DO75" s="357"/>
      <c r="DP75" s="357"/>
      <c r="DQ75" s="357"/>
      <c r="DR75" s="357"/>
      <c r="DS75" s="357"/>
      <c r="DT75" s="357"/>
      <c r="DU75" s="357"/>
      <c r="DV75" s="357"/>
      <c r="DW75" s="357" t="s">
        <v>498</v>
      </c>
    </row>
    <row r="76" customFormat="false" ht="33.75" hidden="false" customHeight="false" outlineLevel="0" collapsed="false">
      <c r="A76" s="314"/>
      <c r="B76" s="315" t="s">
        <v>273</v>
      </c>
      <c r="C76" s="315" t="s">
        <v>655</v>
      </c>
      <c r="D76" s="315" t="n">
        <v>15380</v>
      </c>
      <c r="E76" s="316" t="s">
        <v>656</v>
      </c>
      <c r="F76" s="316" t="s">
        <v>657</v>
      </c>
      <c r="G76" s="316" t="s">
        <v>277</v>
      </c>
      <c r="H76" s="317" t="s">
        <v>658</v>
      </c>
      <c r="I76" s="316" t="s">
        <v>659</v>
      </c>
      <c r="J76" s="316" t="s">
        <v>660</v>
      </c>
      <c r="K76" s="318" t="n">
        <v>38761</v>
      </c>
      <c r="L76" s="318"/>
      <c r="M76" s="318" t="n">
        <v>44874</v>
      </c>
      <c r="N76" s="319" t="s">
        <v>281</v>
      </c>
      <c r="O76" s="319" t="n">
        <v>38</v>
      </c>
      <c r="P76" s="320" t="n">
        <f aca="false">$O:$O/38</f>
        <v>1</v>
      </c>
      <c r="Q76" s="316" t="s">
        <v>332</v>
      </c>
      <c r="R76" s="316" t="n">
        <v>17292</v>
      </c>
      <c r="S76" s="316" t="s">
        <v>654</v>
      </c>
      <c r="T76" s="316" t="s">
        <v>594</v>
      </c>
      <c r="U76" s="316" t="s">
        <v>595</v>
      </c>
      <c r="V76" s="317" t="s">
        <v>58</v>
      </c>
      <c r="W76" s="317" t="s">
        <v>65</v>
      </c>
      <c r="X76" s="317" t="s">
        <v>286</v>
      </c>
      <c r="Y76" s="321" t="s">
        <v>287</v>
      </c>
      <c r="Z76" s="317" t="s">
        <v>554</v>
      </c>
      <c r="AA76" s="317" t="s">
        <v>319</v>
      </c>
      <c r="AB76" s="321" t="s">
        <v>555</v>
      </c>
      <c r="AC76" s="317" t="s">
        <v>289</v>
      </c>
      <c r="AD76" s="321" t="s">
        <v>290</v>
      </c>
      <c r="AE76" s="322" t="n">
        <f aca="false">IFERROR(INDEX('[3]Lookup_Rem Ranges'!$D$1:$D$1048576,MATCH($AL:$AL,'[3]Lookup_Rem Ranges'!$C$1:$C$1048576,0)),0)</f>
        <v>88700</v>
      </c>
      <c r="AF76" s="322" t="n">
        <f aca="false">IFERROR(INDEX('[3]Lookup_Rem Ranges'!$E$1:$E$1048576,MATCH($AL:$AL,'[3]Lookup_Rem Ranges'!$C$1:$C$1048576,0)),0)</f>
        <v>104300</v>
      </c>
      <c r="AG76" s="322" t="n">
        <f aca="false">IFERROR(INDEX('[3]Lookup_Rem Ranges'!$F$1:$F$1048576,MATCH($AL:$AL,'[3]Lookup_Rem Ranges'!$C$1:$C$1048576,0)),)</f>
        <v>119900</v>
      </c>
      <c r="AH76" s="317" t="s">
        <v>291</v>
      </c>
      <c r="AI76" s="319"/>
      <c r="AJ76" s="323" t="n">
        <v>0</v>
      </c>
      <c r="AK76" s="316"/>
      <c r="AL76" s="324" t="str">
        <f aca="false">CONCATENATE(AM76,"",AN76)</f>
        <v>GI5</v>
      </c>
      <c r="AM76" s="324" t="s">
        <v>312</v>
      </c>
      <c r="AN76" s="319" t="n">
        <v>5</v>
      </c>
      <c r="AO76" s="316"/>
      <c r="AP76" s="325" t="n">
        <v>93100</v>
      </c>
      <c r="AQ76" s="322" t="n">
        <f aca="false">ROUND(IF($P:$P&gt;1,$AP:$AP*1,$AP:$AP*$P:$P),0)</f>
        <v>93100</v>
      </c>
      <c r="AR76" s="322" t="n">
        <f aca="false">IF(BA76="Yes",AP76,0)</f>
        <v>93100</v>
      </c>
      <c r="AS76" s="326" t="n">
        <v>0.0208333333333333</v>
      </c>
      <c r="AT76" s="326" t="n">
        <v>0</v>
      </c>
      <c r="AU76" s="327"/>
      <c r="AV76" s="322"/>
      <c r="AW76" s="328" t="n">
        <v>0</v>
      </c>
      <c r="AX76" s="322" t="n">
        <v>0</v>
      </c>
      <c r="AY76" s="322" t="n">
        <v>93100</v>
      </c>
      <c r="AZ76" s="329" t="n">
        <f aca="false">IFERROR(($AY:$AY+$AJ:$AJ+$AK:$AK)/$AF:$AF,0)</f>
        <v>0.89261744966443</v>
      </c>
      <c r="BA76" s="330" t="s">
        <v>293</v>
      </c>
      <c r="BB76" s="331" t="n">
        <v>3</v>
      </c>
      <c r="BC76" s="326" t="n">
        <f aca="false">IFERROR($BD:$BD/$AY:$AY,0)</f>
        <v>0</v>
      </c>
      <c r="BD76" s="332" t="n">
        <f aca="false">ROUND(IF($AY:$AY&lt;$AE:$AE,$AE:$AE-$AY:$AY,0),0)</f>
        <v>0</v>
      </c>
      <c r="BE76" s="333" t="n">
        <v>0.0325</v>
      </c>
      <c r="BF76" s="334" t="n">
        <f aca="false">ROUND($AR:$AR*$BE:$BE,0)</f>
        <v>3026</v>
      </c>
      <c r="BG76" s="335" t="n">
        <v>0</v>
      </c>
      <c r="BH76" s="336" t="n">
        <f aca="false">ROUND($AR:$AR*$BG:$BG,0)</f>
        <v>0</v>
      </c>
      <c r="BI76" s="333" t="n">
        <v>0</v>
      </c>
      <c r="BJ76" s="334" t="n">
        <f aca="false">ROUND($AR:$AR*$BI:$BI,0)</f>
        <v>0</v>
      </c>
      <c r="BK76" s="334" t="n">
        <f aca="false">ROUND(IF($P:$P&gt;1,$BJ:$BJ*1,$BJ:$BJ*$P:$P),0)</f>
        <v>0</v>
      </c>
      <c r="BL76" s="337"/>
      <c r="BM76" s="338" t="n">
        <f aca="false">$BC:$BC+$BE:$BE+$BG:$BG</f>
        <v>0.0325</v>
      </c>
      <c r="BN76" s="339" t="n">
        <f aca="false">$BD:$BD+$BF:$BF+$BH:$BH</f>
        <v>3026</v>
      </c>
      <c r="BO76" s="340" t="n">
        <f aca="false">IFERROR(ROUND($AY:$AY+$BN:$BN,0),0)</f>
        <v>96126</v>
      </c>
      <c r="BP76" s="341" t="n">
        <f aca="false">ROUND(IF(SUM($BO:$BO&lt;249080),SUM(ROUND($BO:$BO*11%,0)),27398.8),0)</f>
        <v>10574</v>
      </c>
      <c r="BQ76" s="342" t="n">
        <f aca="false">$BO:$BO+$BP:$BP</f>
        <v>106700</v>
      </c>
      <c r="BR76" s="329" t="n">
        <f aca="false">IFERROR(($BO:$BO+$AJ:$AJ+$AK:$AK)/$AF:$AF,0)</f>
        <v>0.921629913710451</v>
      </c>
      <c r="BS76" s="343" t="n">
        <f aca="false">IF($N:$N="CASUAL","TBC",ROUND($BN:$BN/(NETWORKDAYS("01/07/2023","30/06/2024"))*NETWORKDAYS("10/07/2023","04/09/2023"),0)*$P:$P)</f>
        <v>477</v>
      </c>
      <c r="BT76" s="326" t="n">
        <f aca="false">$BM76+$BI76</f>
        <v>0.0325</v>
      </c>
      <c r="BU76" s="332" t="n">
        <f aca="false">$BN:$BN+$BJ:$BJ</f>
        <v>3026</v>
      </c>
      <c r="BV76" s="342" t="n">
        <f aca="false">$BO:$BO*$P:$P</f>
        <v>96126</v>
      </c>
      <c r="BW76" s="344" t="n">
        <f aca="false">ROUND($BO:$BO/1976,2)</f>
        <v>48.65</v>
      </c>
      <c r="BX76" s="316"/>
      <c r="BY76" s="342" t="n">
        <f aca="false">$BQ:$BQ+$BX:$BX</f>
        <v>106700</v>
      </c>
      <c r="BZ76" s="345" t="s">
        <v>294</v>
      </c>
      <c r="CA76" s="316"/>
      <c r="CB76" s="316"/>
      <c r="CC76" s="324" t="str">
        <f aca="false">CONCATENATE(CD76,"",CE76)</f>
        <v/>
      </c>
      <c r="CD76" s="319"/>
      <c r="CE76" s="319"/>
      <c r="CF76" s="322" t="str">
        <f aca="false">IFERROR(INDEX('[4]Lookup_Rem Ranges'!$D$1:$D$1048576,MATCH($CC:$CC,'[4]Lookup_Rem Ranges'!$C$1:$C$1048576,0)),"")</f>
        <v/>
      </c>
      <c r="CG76" s="346"/>
      <c r="CH76" s="346"/>
      <c r="CI76" s="347"/>
      <c r="CJ76" s="348"/>
      <c r="CK76" s="342" t="n">
        <f aca="false">IFERROR(ROUND($CI:$CI*$CJ:$CJ,0),0)</f>
        <v>0</v>
      </c>
      <c r="CL76" s="342" t="n">
        <f aca="false">$CI:$CI+$CK:$CK</f>
        <v>0</v>
      </c>
      <c r="CM76" s="349"/>
      <c r="CN76" s="350" t="n">
        <f aca="false">IF(SUM($CL:$CL&lt;249080),SUM(ROUND($CL:$CL*11%,0)),27398.8)</f>
        <v>0</v>
      </c>
      <c r="CO76" s="350" t="s">
        <v>324</v>
      </c>
      <c r="CP76" s="351" t="n">
        <f aca="false">IF(BA76="Yes",3.25%,0)</f>
        <v>0.0325</v>
      </c>
      <c r="CQ76" s="352" t="n">
        <f aca="false">ROUND(AR76*CP76,0)</f>
        <v>3026</v>
      </c>
      <c r="CR76" s="353" t="n">
        <f aca="false">IF($AW:$AW&lt;3.25%,$AW:$AW,3.25%)</f>
        <v>0</v>
      </c>
      <c r="CS76" s="354" t="n">
        <f aca="false">ROUND($AR:$AR*$CR:$CR,0)</f>
        <v>0</v>
      </c>
      <c r="CT76" s="353" t="n">
        <f aca="false">IF($AW:$AW&gt;=3.25%,$AW:$AW-$CR:$CR,0)</f>
        <v>0</v>
      </c>
      <c r="CU76" s="354" t="n">
        <f aca="false">ROUND($AR:$AR*$CT:$CT,0)</f>
        <v>0</v>
      </c>
      <c r="CV76" s="353" t="n">
        <f aca="false">IF($CR:$CR=3.25%,0,IF($BC:$BC&lt;3.25%,$BC:$BC,IF($BC:$BC&gt;3.25%,3.25%-$CR:$CR,0)))</f>
        <v>0</v>
      </c>
      <c r="CW76" s="354" t="n">
        <f aca="false">IFERROR(ROUND($AY:$AY*$CV:$CV,0),0)</f>
        <v>0</v>
      </c>
      <c r="CX76" s="353" t="n">
        <f aca="false">IF($CV:$CV=0,$BC:$BC,BC:BC-$CV:$CV)</f>
        <v>0</v>
      </c>
      <c r="CY76" s="354" t="n">
        <f aca="false">IFERROR(ROUND($AY:$AY*$CX:$CX,0),0)</f>
        <v>0</v>
      </c>
      <c r="CZ76" s="353" t="n">
        <f aca="false">$CR:$CR+$CT:CT+$CV:$CV+$CX:$CX</f>
        <v>0</v>
      </c>
      <c r="DA76" s="353" t="n">
        <f aca="false">(SUM($AW:$AW+$BC:$BC)-$CZ:$CZ)</f>
        <v>0</v>
      </c>
      <c r="DB76" s="353"/>
      <c r="DC76" s="353" t="n">
        <f aca="false">$BE:$BE</f>
        <v>0.0325</v>
      </c>
      <c r="DD76" s="354" t="n">
        <f aca="false">$BF:$BF</f>
        <v>3026</v>
      </c>
      <c r="DE76" s="355" t="n">
        <f aca="false">$BI:$BI</f>
        <v>0</v>
      </c>
      <c r="DF76" s="354" t="n">
        <f aca="false">$BJ:$BJ</f>
        <v>0</v>
      </c>
      <c r="DG76" s="355" t="n">
        <f aca="false">$BG:$BG</f>
        <v>0</v>
      </c>
      <c r="DH76" s="354" t="n">
        <f aca="false">IFERROR(ROUND($AP:$AP*$DG:$DG,0),0)</f>
        <v>0</v>
      </c>
      <c r="DI76" s="353" t="n">
        <f aca="false">$CR:$CR+$CV:$CV+$DC:$DC+$DE:$DE+$DG:$DG</f>
        <v>0.0325</v>
      </c>
      <c r="DJ76" s="354" t="n">
        <f aca="false">$CS:$CS+$CW:$CW+$DD:$DD+$DF:$DF+$DH:$DH</f>
        <v>3026</v>
      </c>
      <c r="DK76" s="353" t="n">
        <f aca="false">$CT:$CT+$CX:$CX</f>
        <v>0</v>
      </c>
      <c r="DL76" s="354" t="n">
        <f aca="false">$CU:$CU+$CY:$CY</f>
        <v>0</v>
      </c>
      <c r="DM76" s="356"/>
      <c r="DN76" s="357"/>
      <c r="DO76" s="357"/>
      <c r="DP76" s="357"/>
      <c r="DQ76" s="357"/>
      <c r="DR76" s="357"/>
      <c r="DS76" s="357"/>
      <c r="DT76" s="357"/>
      <c r="DU76" s="357"/>
      <c r="DV76" s="357"/>
      <c r="DW76" s="357" t="s">
        <v>498</v>
      </c>
    </row>
    <row r="77" customFormat="false" ht="33.75" hidden="false" customHeight="false" outlineLevel="0" collapsed="false">
      <c r="A77" s="314"/>
      <c r="B77" s="315" t="s">
        <v>273</v>
      </c>
      <c r="C77" s="315" t="s">
        <v>661</v>
      </c>
      <c r="D77" s="315" t="n">
        <v>17469</v>
      </c>
      <c r="E77" s="316" t="s">
        <v>662</v>
      </c>
      <c r="F77" s="316" t="s">
        <v>663</v>
      </c>
      <c r="G77" s="316" t="s">
        <v>300</v>
      </c>
      <c r="H77" s="317" t="s">
        <v>664</v>
      </c>
      <c r="I77" s="316" t="s">
        <v>665</v>
      </c>
      <c r="J77" s="316" t="s">
        <v>666</v>
      </c>
      <c r="K77" s="318" t="n">
        <v>43108</v>
      </c>
      <c r="L77" s="318"/>
      <c r="M77" s="318" t="n">
        <v>44874</v>
      </c>
      <c r="N77" s="319" t="s">
        <v>281</v>
      </c>
      <c r="O77" s="319" t="n">
        <v>38</v>
      </c>
      <c r="P77" s="320" t="n">
        <f aca="false">$O:$O/38</f>
        <v>1</v>
      </c>
      <c r="Q77" s="316" t="s">
        <v>332</v>
      </c>
      <c r="R77" s="316" t="n">
        <v>17292</v>
      </c>
      <c r="S77" s="316" t="s">
        <v>654</v>
      </c>
      <c r="T77" s="316" t="s">
        <v>594</v>
      </c>
      <c r="U77" s="316" t="s">
        <v>595</v>
      </c>
      <c r="V77" s="317" t="s">
        <v>58</v>
      </c>
      <c r="W77" s="317" t="s">
        <v>65</v>
      </c>
      <c r="X77" s="317" t="s">
        <v>286</v>
      </c>
      <c r="Y77" s="321" t="s">
        <v>287</v>
      </c>
      <c r="Z77" s="317" t="s">
        <v>554</v>
      </c>
      <c r="AA77" s="317" t="s">
        <v>319</v>
      </c>
      <c r="AB77" s="321" t="s">
        <v>555</v>
      </c>
      <c r="AC77" s="317" t="s">
        <v>289</v>
      </c>
      <c r="AD77" s="321" t="s">
        <v>290</v>
      </c>
      <c r="AE77" s="322" t="n">
        <f aca="false">IFERROR(INDEX('[3]Lookup_Rem Ranges'!$D$1:$D$1048576,MATCH($AL:$AL,'[3]Lookup_Rem Ranges'!$C$1:$C$1048576,0)),0)</f>
        <v>83400</v>
      </c>
      <c r="AF77" s="322" t="n">
        <f aca="false">IFERROR(INDEX('[3]Lookup_Rem Ranges'!$E$1:$E$1048576,MATCH($AL:$AL,'[3]Lookup_Rem Ranges'!$C$1:$C$1048576,0)),0)</f>
        <v>98100</v>
      </c>
      <c r="AG77" s="322" t="n">
        <f aca="false">IFERROR(INDEX('[3]Lookup_Rem Ranges'!$F$1:$F$1048576,MATCH($AL:$AL,'[3]Lookup_Rem Ranges'!$C$1:$C$1048576,0)),)</f>
        <v>112800</v>
      </c>
      <c r="AH77" s="317" t="s">
        <v>291</v>
      </c>
      <c r="AI77" s="319"/>
      <c r="AJ77" s="323" t="n">
        <v>0</v>
      </c>
      <c r="AK77" s="316"/>
      <c r="AL77" s="324" t="str">
        <f aca="false">CONCATENATE(AM77,"",AN77)</f>
        <v>CASS5</v>
      </c>
      <c r="AM77" s="324" t="s">
        <v>292</v>
      </c>
      <c r="AN77" s="319" t="n">
        <v>5</v>
      </c>
      <c r="AO77" s="316"/>
      <c r="AP77" s="325" t="n">
        <v>102900</v>
      </c>
      <c r="AQ77" s="322" t="n">
        <f aca="false">ROUND(IF($P:$P&gt;1,$AP:$AP*1,$AP:$AP*$P:$P),0)</f>
        <v>102900</v>
      </c>
      <c r="AR77" s="322" t="n">
        <f aca="false">IF(BA77="Yes",AP77,0)</f>
        <v>102900</v>
      </c>
      <c r="AS77" s="326" t="n">
        <v>0.0208333333333333</v>
      </c>
      <c r="AT77" s="326" t="n">
        <v>0</v>
      </c>
      <c r="AU77" s="327"/>
      <c r="AV77" s="322"/>
      <c r="AW77" s="328" t="n">
        <v>0</v>
      </c>
      <c r="AX77" s="322" t="n">
        <v>0</v>
      </c>
      <c r="AY77" s="322" t="n">
        <v>102900</v>
      </c>
      <c r="AZ77" s="329" t="n">
        <f aca="false">IFERROR(($AY:$AY+$AJ:$AJ+$AK:$AK)/$AF:$AF,0)</f>
        <v>1.04892966360856</v>
      </c>
      <c r="BA77" s="330" t="s">
        <v>293</v>
      </c>
      <c r="BB77" s="331" t="n">
        <v>3</v>
      </c>
      <c r="BC77" s="326" t="n">
        <f aca="false">IFERROR($BD:$BD/$AY:$AY,0)</f>
        <v>0</v>
      </c>
      <c r="BD77" s="332" t="n">
        <f aca="false">ROUND(IF($AY:$AY&lt;$AE:$AE,$AE:$AE-$AY:$AY,0),0)</f>
        <v>0</v>
      </c>
      <c r="BE77" s="333" t="n">
        <v>0.0325</v>
      </c>
      <c r="BF77" s="334" t="n">
        <f aca="false">ROUND($AR:$AR*$BE:$BE,0)</f>
        <v>3344</v>
      </c>
      <c r="BG77" s="335" t="n">
        <v>0</v>
      </c>
      <c r="BH77" s="336" t="n">
        <f aca="false">ROUND($AR:$AR*$BG:$BG,0)</f>
        <v>0</v>
      </c>
      <c r="BI77" s="333" t="n">
        <v>0</v>
      </c>
      <c r="BJ77" s="334" t="n">
        <f aca="false">ROUND($AR:$AR*$BI:$BI,0)</f>
        <v>0</v>
      </c>
      <c r="BK77" s="334" t="n">
        <f aca="false">ROUND(IF($P:$P&gt;1,$BJ:$BJ*1,$BJ:$BJ*$P:$P),0)</f>
        <v>0</v>
      </c>
      <c r="BL77" s="337"/>
      <c r="BM77" s="338" t="n">
        <f aca="false">$BC:$BC+$BE:$BE+$BG:$BG</f>
        <v>0.0325</v>
      </c>
      <c r="BN77" s="339" t="n">
        <f aca="false">$BD:$BD+$BF:$BF+$BH:$BH</f>
        <v>3344</v>
      </c>
      <c r="BO77" s="340" t="n">
        <f aca="false">IFERROR(ROUND($AY:$AY+$BN:$BN,0),0)</f>
        <v>106244</v>
      </c>
      <c r="BP77" s="341" t="n">
        <f aca="false">ROUND(IF(SUM($BO:$BO&lt;249080),SUM(ROUND($BO:$BO*11%,0)),27398.8),0)</f>
        <v>11687</v>
      </c>
      <c r="BQ77" s="342" t="n">
        <f aca="false">$BO:$BO+$BP:$BP</f>
        <v>117931</v>
      </c>
      <c r="BR77" s="329" t="n">
        <f aca="false">IFERROR(($BO:$BO+$AJ:$AJ+$AK:$AK)/$AF:$AF,0)</f>
        <v>1.08301732925586</v>
      </c>
      <c r="BS77" s="343" t="n">
        <f aca="false">IF($N:$N="CASUAL","TBC",ROUND($BN:$BN/(NETWORKDAYS("01/07/2023","30/06/2024"))*NETWORKDAYS("10/07/2023","04/09/2023"),0)*$P:$P)</f>
        <v>527</v>
      </c>
      <c r="BT77" s="326" t="n">
        <f aca="false">$BM77+$BI77</f>
        <v>0.0325</v>
      </c>
      <c r="BU77" s="332" t="n">
        <f aca="false">$BN:$BN+$BJ:$BJ</f>
        <v>3344</v>
      </c>
      <c r="BV77" s="342" t="n">
        <f aca="false">$BO:$BO*$P:$P</f>
        <v>106244</v>
      </c>
      <c r="BW77" s="344" t="n">
        <f aca="false">ROUND($BO:$BO/1976,2)</f>
        <v>53.77</v>
      </c>
      <c r="BX77" s="316"/>
      <c r="BY77" s="342" t="n">
        <f aca="false">$BQ:$BQ+$BX:$BX</f>
        <v>117931</v>
      </c>
      <c r="BZ77" s="345" t="s">
        <v>294</v>
      </c>
      <c r="CA77" s="316"/>
      <c r="CB77" s="316"/>
      <c r="CC77" s="324" t="str">
        <f aca="false">CONCATENATE(CD77,"",CE77)</f>
        <v/>
      </c>
      <c r="CD77" s="319"/>
      <c r="CE77" s="319"/>
      <c r="CF77" s="322" t="str">
        <f aca="false">IFERROR(INDEX('[4]Lookup_Rem Ranges'!$D$1:$D$1048576,MATCH($CC:$CC,'[4]Lookup_Rem Ranges'!$C$1:$C$1048576,0)),"")</f>
        <v/>
      </c>
      <c r="CG77" s="346"/>
      <c r="CH77" s="346"/>
      <c r="CI77" s="347"/>
      <c r="CJ77" s="348"/>
      <c r="CK77" s="342" t="n">
        <f aca="false">IFERROR(ROUND($CI:$CI*$CJ:$CJ,0),0)</f>
        <v>0</v>
      </c>
      <c r="CL77" s="342" t="n">
        <f aca="false">$CI:$CI+$CK:$CK</f>
        <v>0</v>
      </c>
      <c r="CM77" s="349"/>
      <c r="CN77" s="350" t="n">
        <f aca="false">IF(SUM($CL:$CL&lt;249080),SUM(ROUND($CL:$CL*11%,0)),27398.8)</f>
        <v>0</v>
      </c>
      <c r="CO77" s="350" t="s">
        <v>324</v>
      </c>
      <c r="CP77" s="351" t="n">
        <f aca="false">IF(BA77="Yes",3.25%,0)</f>
        <v>0.0325</v>
      </c>
      <c r="CQ77" s="352" t="n">
        <f aca="false">ROUND(AR77*CP77,0)</f>
        <v>3344</v>
      </c>
      <c r="CR77" s="353" t="n">
        <f aca="false">IF($AW:$AW&lt;3.25%,$AW:$AW,3.25%)</f>
        <v>0</v>
      </c>
      <c r="CS77" s="354" t="n">
        <f aca="false">ROUND($AR:$AR*$CR:$CR,0)</f>
        <v>0</v>
      </c>
      <c r="CT77" s="353" t="n">
        <f aca="false">IF($AW:$AW&gt;=3.25%,$AW:$AW-$CR:$CR,0)</f>
        <v>0</v>
      </c>
      <c r="CU77" s="354" t="n">
        <f aca="false">ROUND($AR:$AR*$CT:$CT,0)</f>
        <v>0</v>
      </c>
      <c r="CV77" s="353" t="n">
        <f aca="false">IF($CR:$CR=3.25%,0,IF($BC:$BC&lt;3.25%,$BC:$BC,IF($BC:$BC&gt;3.25%,3.25%-$CR:$CR,0)))</f>
        <v>0</v>
      </c>
      <c r="CW77" s="354" t="n">
        <f aca="false">IFERROR(ROUND($AY:$AY*$CV:$CV,0),0)</f>
        <v>0</v>
      </c>
      <c r="CX77" s="353" t="n">
        <f aca="false">IF($CV:$CV=0,$BC:$BC,BC:BC-$CV:$CV)</f>
        <v>0</v>
      </c>
      <c r="CY77" s="354" t="n">
        <f aca="false">IFERROR(ROUND($AY:$AY*$CX:$CX,0),0)</f>
        <v>0</v>
      </c>
      <c r="CZ77" s="353" t="n">
        <f aca="false">$CR:$CR+$CT:CT+$CV:$CV+$CX:$CX</f>
        <v>0</v>
      </c>
      <c r="DA77" s="353" t="n">
        <f aca="false">(SUM($AW:$AW+$BC:$BC)-$CZ:$CZ)</f>
        <v>0</v>
      </c>
      <c r="DB77" s="353"/>
      <c r="DC77" s="353" t="n">
        <f aca="false">$BE:$BE</f>
        <v>0.0325</v>
      </c>
      <c r="DD77" s="354" t="n">
        <f aca="false">$BF:$BF</f>
        <v>3344</v>
      </c>
      <c r="DE77" s="355" t="n">
        <f aca="false">$BI:$BI</f>
        <v>0</v>
      </c>
      <c r="DF77" s="354" t="n">
        <f aca="false">$BJ:$BJ</f>
        <v>0</v>
      </c>
      <c r="DG77" s="355" t="n">
        <f aca="false">$BG:$BG</f>
        <v>0</v>
      </c>
      <c r="DH77" s="354" t="n">
        <f aca="false">IFERROR(ROUND($AP:$AP*$DG:$DG,0),0)</f>
        <v>0</v>
      </c>
      <c r="DI77" s="353" t="n">
        <f aca="false">$CR:$CR+$CV:$CV+$DC:$DC+$DE:$DE+$DG:$DG</f>
        <v>0.0325</v>
      </c>
      <c r="DJ77" s="354" t="n">
        <f aca="false">$CS:$CS+$CW:$CW+$DD:$DD+$DF:$DF+$DH:$DH</f>
        <v>3344</v>
      </c>
      <c r="DK77" s="353" t="n">
        <f aca="false">$CT:$CT+$CX:$CX</f>
        <v>0</v>
      </c>
      <c r="DL77" s="354" t="n">
        <f aca="false">$CU:$CU+$CY:$CY</f>
        <v>0</v>
      </c>
      <c r="DM77" s="356"/>
      <c r="DN77" s="357"/>
      <c r="DO77" s="357"/>
      <c r="DP77" s="357"/>
      <c r="DQ77" s="357"/>
      <c r="DR77" s="357"/>
      <c r="DS77" s="357"/>
      <c r="DT77" s="357"/>
      <c r="DU77" s="357"/>
      <c r="DV77" s="357"/>
      <c r="DW77" s="357" t="s">
        <v>498</v>
      </c>
    </row>
    <row r="78" customFormat="false" ht="24" hidden="false" customHeight="false" outlineLevel="0" collapsed="false">
      <c r="A78" s="314"/>
      <c r="B78" s="315" t="s">
        <v>273</v>
      </c>
      <c r="C78" s="315" t="s">
        <v>667</v>
      </c>
      <c r="D78" s="315" t="n">
        <v>16654</v>
      </c>
      <c r="E78" s="316" t="s">
        <v>668</v>
      </c>
      <c r="F78" s="316" t="s">
        <v>669</v>
      </c>
      <c r="G78" s="316" t="s">
        <v>277</v>
      </c>
      <c r="H78" s="317" t="s">
        <v>670</v>
      </c>
      <c r="I78" s="316" t="s">
        <v>671</v>
      </c>
      <c r="J78" s="316" t="s">
        <v>672</v>
      </c>
      <c r="K78" s="318" t="n">
        <v>42738</v>
      </c>
      <c r="L78" s="318" t="n">
        <v>45838</v>
      </c>
      <c r="M78" s="318" t="n">
        <v>42738</v>
      </c>
      <c r="N78" s="319" t="s">
        <v>331</v>
      </c>
      <c r="O78" s="319" t="n">
        <v>30</v>
      </c>
      <c r="P78" s="320" t="n">
        <f aca="false">$O:$O/38</f>
        <v>0.789473684210526</v>
      </c>
      <c r="Q78" s="316" t="s">
        <v>320</v>
      </c>
      <c r="R78" s="316" t="n">
        <v>18908</v>
      </c>
      <c r="S78" s="316" t="s">
        <v>673</v>
      </c>
      <c r="T78" s="316" t="s">
        <v>674</v>
      </c>
      <c r="U78" s="316" t="s">
        <v>675</v>
      </c>
      <c r="V78" s="317" t="s">
        <v>58</v>
      </c>
      <c r="W78" s="317" t="s">
        <v>63</v>
      </c>
      <c r="X78" s="317" t="s">
        <v>286</v>
      </c>
      <c r="Y78" s="321" t="s">
        <v>287</v>
      </c>
      <c r="Z78" s="317" t="s">
        <v>676</v>
      </c>
      <c r="AA78" s="317" t="s">
        <v>303</v>
      </c>
      <c r="AB78" s="321" t="s">
        <v>677</v>
      </c>
      <c r="AC78" s="317" t="s">
        <v>289</v>
      </c>
      <c r="AD78" s="321" t="s">
        <v>290</v>
      </c>
      <c r="AE78" s="322" t="n">
        <f aca="false">IFERROR(INDEX('[3]Lookup_Rem Ranges'!$D$1:$D$1048576,MATCH($AL:$AL,'[3]Lookup_Rem Ranges'!$C$1:$C$1048576,0)),0)</f>
        <v>105500</v>
      </c>
      <c r="AF78" s="322" t="n">
        <f aca="false">IFERROR(INDEX('[3]Lookup_Rem Ranges'!$E$1:$E$1048576,MATCH($AL:$AL,'[3]Lookup_Rem Ranges'!$C$1:$C$1048576,0)),0)</f>
        <v>124100</v>
      </c>
      <c r="AG78" s="322" t="n">
        <f aca="false">IFERROR(INDEX('[3]Lookup_Rem Ranges'!$F$1:$F$1048576,MATCH($AL:$AL,'[3]Lookup_Rem Ranges'!$C$1:$C$1048576,0)),)</f>
        <v>142700</v>
      </c>
      <c r="AH78" s="317" t="s">
        <v>291</v>
      </c>
      <c r="AI78" s="319"/>
      <c r="AJ78" s="323" t="n">
        <v>0</v>
      </c>
      <c r="AK78" s="316"/>
      <c r="AL78" s="324" t="str">
        <f aca="false">CONCATENATE(AM78,"",AN78)</f>
        <v>CASS6</v>
      </c>
      <c r="AM78" s="324" t="s">
        <v>292</v>
      </c>
      <c r="AN78" s="319" t="n">
        <v>6</v>
      </c>
      <c r="AO78" s="316" t="s">
        <v>678</v>
      </c>
      <c r="AP78" s="325" t="n">
        <v>107100</v>
      </c>
      <c r="AQ78" s="322" t="n">
        <f aca="false">ROUND(IF($P:$P&gt;1,$AP:$AP*1,$AP:$AP*$P:$P),0)</f>
        <v>84553</v>
      </c>
      <c r="AR78" s="322" t="n">
        <f aca="false">IF(BA78="Yes",AP78,0)</f>
        <v>107100</v>
      </c>
      <c r="AS78" s="326" t="s">
        <v>339</v>
      </c>
      <c r="AT78" s="326" t="n">
        <v>0</v>
      </c>
      <c r="AU78" s="327"/>
      <c r="AV78" s="322"/>
      <c r="AW78" s="328" t="n">
        <v>0</v>
      </c>
      <c r="AX78" s="322" t="n">
        <v>0</v>
      </c>
      <c r="AY78" s="322" t="n">
        <v>107100</v>
      </c>
      <c r="AZ78" s="329" t="n">
        <f aca="false">IFERROR(($AY:$AY+$AJ:$AJ+$AK:$AK)/$AF:$AF,0)</f>
        <v>0.863013698630137</v>
      </c>
      <c r="BA78" s="330" t="s">
        <v>293</v>
      </c>
      <c r="BB78" s="331" t="n">
        <v>3</v>
      </c>
      <c r="BC78" s="326" t="n">
        <f aca="false">IFERROR($BD:$BD/$AY:$AY,0)</f>
        <v>0</v>
      </c>
      <c r="BD78" s="332" t="n">
        <f aca="false">ROUND(IF($AY:$AY&lt;$AE:$AE,$AE:$AE-$AY:$AY,0),0)</f>
        <v>0</v>
      </c>
      <c r="BE78" s="333" t="n">
        <v>0.0325</v>
      </c>
      <c r="BF78" s="334" t="n">
        <f aca="false">ROUND($AR:$AR*$BE:$BE,0)</f>
        <v>3481</v>
      </c>
      <c r="BG78" s="335" t="n">
        <v>0</v>
      </c>
      <c r="BH78" s="336" t="n">
        <f aca="false">ROUND($AR:$AR*$BG:$BG,0)</f>
        <v>0</v>
      </c>
      <c r="BI78" s="333" t="n">
        <v>0</v>
      </c>
      <c r="BJ78" s="334" t="n">
        <f aca="false">ROUND($AR:$AR*$BI:$BI,0)</f>
        <v>0</v>
      </c>
      <c r="BK78" s="334" t="n">
        <f aca="false">ROUND(IF($P:$P&gt;1,$BJ:$BJ*1,$BJ:$BJ*$P:$P),0)</f>
        <v>0</v>
      </c>
      <c r="BL78" s="337"/>
      <c r="BM78" s="338" t="n">
        <f aca="false">$BC:$BC+$BE:$BE+$BG:$BG</f>
        <v>0.0325</v>
      </c>
      <c r="BN78" s="339" t="n">
        <f aca="false">$BD:$BD+$BF:$BF+$BH:$BH</f>
        <v>3481</v>
      </c>
      <c r="BO78" s="340" t="n">
        <f aca="false">IFERROR(ROUND($AY:$AY+$BN:$BN,0),0)</f>
        <v>110581</v>
      </c>
      <c r="BP78" s="341" t="n">
        <f aca="false">ROUND(IF(SUM($BO:$BO&lt;249080),SUM(ROUND($BO:$BO*11%,0)),27398.8),0)</f>
        <v>12164</v>
      </c>
      <c r="BQ78" s="342" t="n">
        <f aca="false">$BO:$BO+$BP:$BP</f>
        <v>122745</v>
      </c>
      <c r="BR78" s="329" t="n">
        <f aca="false">IFERROR(($BO:$BO+$AJ:$AJ+$AK:$AK)/$AF:$AF,0)</f>
        <v>0.891063658340048</v>
      </c>
      <c r="BS78" s="343" t="n">
        <f aca="false">IF($N:$N="CASUAL","TBC",ROUND($BN:$BN/(NETWORKDAYS("01/07/2023","30/06/2024"))*NETWORKDAYS("10/07/2023","04/09/2023"),0)*$P:$P)</f>
        <v>433.421052631579</v>
      </c>
      <c r="BT78" s="326" t="n">
        <f aca="false">$BM78+$BI78</f>
        <v>0.0325</v>
      </c>
      <c r="BU78" s="332" t="n">
        <f aca="false">$BN:$BN+$BJ:$BJ</f>
        <v>3481</v>
      </c>
      <c r="BV78" s="342" t="n">
        <f aca="false">$BO:$BO*$P:$P</f>
        <v>87300.7894736842</v>
      </c>
      <c r="BW78" s="344" t="n">
        <f aca="false">ROUND($BO:$BO/1976,2)</f>
        <v>55.96</v>
      </c>
      <c r="BX78" s="316"/>
      <c r="BY78" s="342" t="n">
        <f aca="false">$BQ:$BQ+$BX:$BX</f>
        <v>122745</v>
      </c>
      <c r="BZ78" s="345" t="s">
        <v>294</v>
      </c>
      <c r="CA78" s="316"/>
      <c r="CB78" s="316"/>
      <c r="CC78" s="324" t="str">
        <f aca="false">CONCATENATE(CD78,"",CE78)</f>
        <v/>
      </c>
      <c r="CD78" s="319"/>
      <c r="CE78" s="319"/>
      <c r="CF78" s="322" t="str">
        <f aca="false">IFERROR(INDEX('[4]Lookup_Rem Ranges'!$D$1:$D$1048576,MATCH($CC:$CC,'[4]Lookup_Rem Ranges'!$C$1:$C$1048576,0)),"")</f>
        <v/>
      </c>
      <c r="CG78" s="346"/>
      <c r="CH78" s="346"/>
      <c r="CI78" s="347"/>
      <c r="CJ78" s="348"/>
      <c r="CK78" s="342" t="n">
        <f aca="false">IFERROR(ROUND($CI:$CI*$CJ:$CJ,0),0)</f>
        <v>0</v>
      </c>
      <c r="CL78" s="342" t="n">
        <f aca="false">$CI:$CI+$CK:$CK</f>
        <v>0</v>
      </c>
      <c r="CM78" s="349"/>
      <c r="CN78" s="350" t="n">
        <f aca="false">IF(SUM($CL:$CL&lt;249080),SUM(ROUND($CL:$CL*11%,0)),27398.8)</f>
        <v>0</v>
      </c>
      <c r="CO78" s="350" t="s">
        <v>305</v>
      </c>
      <c r="CP78" s="351" t="n">
        <f aca="false">IF(BA78="Yes",3.25%,0)</f>
        <v>0.0325</v>
      </c>
      <c r="CQ78" s="352" t="n">
        <f aca="false">ROUND(AR78*CP78,0)</f>
        <v>3481</v>
      </c>
      <c r="CR78" s="353" t="n">
        <f aca="false">IF($AW:$AW&lt;3.25%,$AW:$AW,3.25%)</f>
        <v>0</v>
      </c>
      <c r="CS78" s="354" t="n">
        <f aca="false">ROUND($AR:$AR*$CR:$CR,0)</f>
        <v>0</v>
      </c>
      <c r="CT78" s="353" t="n">
        <f aca="false">IF($AW:$AW&gt;=3.25%,$AW:$AW-$CR:$CR,0)</f>
        <v>0</v>
      </c>
      <c r="CU78" s="354" t="n">
        <f aca="false">ROUND($AR:$AR*$CT:$CT,0)</f>
        <v>0</v>
      </c>
      <c r="CV78" s="353" t="n">
        <f aca="false">IF($CR:$CR=3.25%,0,IF($BC:$BC&lt;3.25%,$BC:$BC,IF($BC:$BC&gt;3.25%,3.25%-$CR:$CR,0)))</f>
        <v>0</v>
      </c>
      <c r="CW78" s="354" t="n">
        <f aca="false">IFERROR(ROUND($AY:$AY*$CV:$CV,0),0)</f>
        <v>0</v>
      </c>
      <c r="CX78" s="353" t="n">
        <f aca="false">IF($CV:$CV=0,$BC:$BC,BC:BC-$CV:$CV)</f>
        <v>0</v>
      </c>
      <c r="CY78" s="354" t="n">
        <f aca="false">IFERROR(ROUND($AY:$AY*$CX:$CX,0),0)</f>
        <v>0</v>
      </c>
      <c r="CZ78" s="353" t="n">
        <f aca="false">$CR:$CR+$CT:CT+$CV:$CV+$CX:$CX</f>
        <v>0</v>
      </c>
      <c r="DA78" s="353" t="n">
        <f aca="false">(SUM($AW:$AW+$BC:$BC)-$CZ:$CZ)</f>
        <v>0</v>
      </c>
      <c r="DB78" s="353"/>
      <c r="DC78" s="353" t="n">
        <f aca="false">$BE:$BE</f>
        <v>0.0325</v>
      </c>
      <c r="DD78" s="354" t="n">
        <f aca="false">$BF:$BF</f>
        <v>3481</v>
      </c>
      <c r="DE78" s="355" t="n">
        <f aca="false">$BI:$BI</f>
        <v>0</v>
      </c>
      <c r="DF78" s="354" t="n">
        <f aca="false">$BJ:$BJ</f>
        <v>0</v>
      </c>
      <c r="DG78" s="355" t="n">
        <f aca="false">$BG:$BG</f>
        <v>0</v>
      </c>
      <c r="DH78" s="354" t="n">
        <f aca="false">IFERROR(ROUND($AP:$AP*$DG:$DG,0),0)</f>
        <v>0</v>
      </c>
      <c r="DI78" s="353" t="n">
        <f aca="false">$CR:$CR+$CV:$CV+$DC:$DC+$DE:$DE+$DG:$DG</f>
        <v>0.0325</v>
      </c>
      <c r="DJ78" s="354" t="n">
        <f aca="false">$CS:$CS+$CW:$CW+$DD:$DD+$DF:$DF+$DH:$DH</f>
        <v>3481</v>
      </c>
      <c r="DK78" s="353" t="n">
        <f aca="false">$CT:$CT+$CX:$CX</f>
        <v>0</v>
      </c>
      <c r="DL78" s="354" t="n">
        <f aca="false">$CU:$CU+$CY:$CY</f>
        <v>0</v>
      </c>
      <c r="DM78" s="356"/>
      <c r="DN78" s="357"/>
      <c r="DO78" s="357"/>
      <c r="DP78" s="357"/>
      <c r="DQ78" s="357"/>
      <c r="DR78" s="357"/>
      <c r="DS78" s="357"/>
      <c r="DT78" s="357"/>
      <c r="DU78" s="357"/>
      <c r="DV78" s="357"/>
      <c r="DW78" s="357" t="s">
        <v>498</v>
      </c>
    </row>
    <row r="79" customFormat="false" ht="24" hidden="false" customHeight="false" outlineLevel="0" collapsed="false">
      <c r="A79" s="314"/>
      <c r="B79" s="315" t="s">
        <v>273</v>
      </c>
      <c r="C79" s="315" t="s">
        <v>679</v>
      </c>
      <c r="D79" s="315" t="n">
        <v>18409</v>
      </c>
      <c r="E79" s="316" t="s">
        <v>395</v>
      </c>
      <c r="F79" s="316" t="s">
        <v>680</v>
      </c>
      <c r="G79" s="316" t="s">
        <v>277</v>
      </c>
      <c r="H79" s="317" t="s">
        <v>670</v>
      </c>
      <c r="I79" s="316" t="s">
        <v>681</v>
      </c>
      <c r="J79" s="316" t="s">
        <v>672</v>
      </c>
      <c r="K79" s="318" t="n">
        <v>43523</v>
      </c>
      <c r="L79" s="318" t="n">
        <v>45107</v>
      </c>
      <c r="M79" s="318" t="n">
        <v>44814</v>
      </c>
      <c r="N79" s="319" t="s">
        <v>281</v>
      </c>
      <c r="O79" s="319" t="n">
        <v>38</v>
      </c>
      <c r="P79" s="320" t="n">
        <f aca="false">$O:$O/38</f>
        <v>1</v>
      </c>
      <c r="Q79" s="316" t="s">
        <v>320</v>
      </c>
      <c r="R79" s="316" t="n">
        <v>18908</v>
      </c>
      <c r="S79" s="316" t="s">
        <v>673</v>
      </c>
      <c r="T79" s="316" t="s">
        <v>674</v>
      </c>
      <c r="U79" s="316" t="s">
        <v>675</v>
      </c>
      <c r="V79" s="317" t="s">
        <v>58</v>
      </c>
      <c r="W79" s="317" t="s">
        <v>63</v>
      </c>
      <c r="X79" s="317" t="s">
        <v>286</v>
      </c>
      <c r="Y79" s="321" t="s">
        <v>287</v>
      </c>
      <c r="Z79" s="317" t="s">
        <v>676</v>
      </c>
      <c r="AA79" s="317" t="s">
        <v>303</v>
      </c>
      <c r="AB79" s="321" t="s">
        <v>677</v>
      </c>
      <c r="AC79" s="317" t="s">
        <v>289</v>
      </c>
      <c r="AD79" s="321" t="s">
        <v>290</v>
      </c>
      <c r="AE79" s="322" t="n">
        <f aca="false">IFERROR(INDEX('[3]Lookup_Rem Ranges'!$D$1:$D$1048576,MATCH($AL:$AL,'[3]Lookup_Rem Ranges'!$C$1:$C$1048576,0)),0)</f>
        <v>105500</v>
      </c>
      <c r="AF79" s="322" t="n">
        <f aca="false">IFERROR(INDEX('[3]Lookup_Rem Ranges'!$E$1:$E$1048576,MATCH($AL:$AL,'[3]Lookup_Rem Ranges'!$C$1:$C$1048576,0)),0)</f>
        <v>124100</v>
      </c>
      <c r="AG79" s="322" t="n">
        <f aca="false">IFERROR(INDEX('[3]Lookup_Rem Ranges'!$F$1:$F$1048576,MATCH($AL:$AL,'[3]Lookup_Rem Ranges'!$C$1:$C$1048576,0)),)</f>
        <v>142700</v>
      </c>
      <c r="AH79" s="317" t="s">
        <v>291</v>
      </c>
      <c r="AI79" s="319"/>
      <c r="AJ79" s="323" t="n">
        <v>0</v>
      </c>
      <c r="AK79" s="316"/>
      <c r="AL79" s="324" t="str">
        <f aca="false">CONCATENATE(AM79,"",AN79)</f>
        <v>CASS6</v>
      </c>
      <c r="AM79" s="324" t="s">
        <v>292</v>
      </c>
      <c r="AN79" s="319" t="n">
        <v>6</v>
      </c>
      <c r="AO79" s="316" t="s">
        <v>358</v>
      </c>
      <c r="AP79" s="325" t="n">
        <v>107100</v>
      </c>
      <c r="AQ79" s="322" t="n">
        <f aca="false">ROUND(IF($P:$P&gt;1,$AP:$AP*1,$AP:$AP*$P:$P),0)</f>
        <v>107100</v>
      </c>
      <c r="AR79" s="322" t="n">
        <f aca="false">IF(BA79="Yes",AP79,0)</f>
        <v>0</v>
      </c>
      <c r="AS79" s="326" t="n">
        <v>0.127368421052632</v>
      </c>
      <c r="AT79" s="326" t="n">
        <v>0</v>
      </c>
      <c r="AU79" s="327"/>
      <c r="AV79" s="322"/>
      <c r="AW79" s="328" t="n">
        <v>0</v>
      </c>
      <c r="AX79" s="322" t="n">
        <v>0</v>
      </c>
      <c r="AY79" s="322" t="n">
        <v>107100</v>
      </c>
      <c r="AZ79" s="329" t="n">
        <f aca="false">IFERROR(($AY:$AY+$AJ:$AJ+$AK:$AK)/$AF:$AF,0)</f>
        <v>0.863013698630137</v>
      </c>
      <c r="BA79" s="330" t="s">
        <v>294</v>
      </c>
      <c r="BB79" s="331" t="n">
        <v>3</v>
      </c>
      <c r="BC79" s="326" t="n">
        <f aca="false">IFERROR($BD:$BD/$AY:$AY,0)</f>
        <v>0</v>
      </c>
      <c r="BD79" s="332" t="n">
        <f aca="false">ROUND(IF($AY:$AY&lt;$AE:$AE,$AE:$AE-$AY:$AY,0),0)</f>
        <v>0</v>
      </c>
      <c r="BE79" s="333" t="n">
        <v>0</v>
      </c>
      <c r="BF79" s="334" t="n">
        <f aca="false">ROUND($AR:$AR*$BE:$BE,0)</f>
        <v>0</v>
      </c>
      <c r="BG79" s="335" t="n">
        <v>0</v>
      </c>
      <c r="BH79" s="336" t="n">
        <f aca="false">ROUND($AR:$AR*$BG:$BG,0)</f>
        <v>0</v>
      </c>
      <c r="BI79" s="333" t="n">
        <v>0</v>
      </c>
      <c r="BJ79" s="334" t="n">
        <f aca="false">ROUND($AR:$AR*$BI:$BI,0)</f>
        <v>0</v>
      </c>
      <c r="BK79" s="334" t="n">
        <f aca="false">ROUND(IF($P:$P&gt;1,$BJ:$BJ*1,$BJ:$BJ*$P:$P),0)</f>
        <v>0</v>
      </c>
      <c r="BL79" s="337"/>
      <c r="BM79" s="338" t="n">
        <f aca="false">$BC:$BC+$BE:$BE+$BG:$BG</f>
        <v>0</v>
      </c>
      <c r="BN79" s="339" t="n">
        <f aca="false">$BD:$BD+$BF:$BF+$BH:$BH</f>
        <v>0</v>
      </c>
      <c r="BO79" s="340" t="n">
        <f aca="false">IFERROR(ROUND($AY:$AY+$BN:$BN,0),0)</f>
        <v>107100</v>
      </c>
      <c r="BP79" s="341" t="n">
        <f aca="false">ROUND(IF(SUM($BO:$BO&lt;249080),SUM(ROUND($BO:$BO*11%,0)),27398.8),0)</f>
        <v>11781</v>
      </c>
      <c r="BQ79" s="342" t="n">
        <f aca="false">$BO:$BO+$BP:$BP</f>
        <v>118881</v>
      </c>
      <c r="BR79" s="329" t="n">
        <f aca="false">IFERROR(($BO:$BO+$AJ:$AJ+$AK:$AK)/$AF:$AF,0)</f>
        <v>0.863013698630137</v>
      </c>
      <c r="BS79" s="343" t="n">
        <f aca="false">IF($N:$N="CASUAL","TBC",ROUND($BN:$BN/(NETWORKDAYS("01/07/2023","30/06/2024"))*NETWORKDAYS("10/07/2023","04/09/2023"),0)*$P:$P)</f>
        <v>0</v>
      </c>
      <c r="BT79" s="326" t="n">
        <f aca="false">$BM79+$BI79</f>
        <v>0</v>
      </c>
      <c r="BU79" s="332" t="n">
        <f aca="false">$BN:$BN+$BJ:$BJ</f>
        <v>0</v>
      </c>
      <c r="BV79" s="342" t="n">
        <f aca="false">$BO:$BO*$P:$P</f>
        <v>107100</v>
      </c>
      <c r="BW79" s="344" t="n">
        <f aca="false">ROUND($BO:$BO/1976,2)</f>
        <v>54.2</v>
      </c>
      <c r="BX79" s="316"/>
      <c r="BY79" s="342" t="n">
        <f aca="false">$BQ:$BQ+$BX:$BX</f>
        <v>118881</v>
      </c>
      <c r="BZ79" s="345" t="s">
        <v>294</v>
      </c>
      <c r="CA79" s="316"/>
      <c r="CB79" s="316"/>
      <c r="CC79" s="324" t="str">
        <f aca="false">CONCATENATE(CD79,"",CE79)</f>
        <v/>
      </c>
      <c r="CD79" s="319"/>
      <c r="CE79" s="319"/>
      <c r="CF79" s="322" t="str">
        <f aca="false">IFERROR(INDEX('[4]Lookup_Rem Ranges'!$D$1:$D$1048576,MATCH($CC:$CC,'[4]Lookup_Rem Ranges'!$C$1:$C$1048576,0)),"")</f>
        <v/>
      </c>
      <c r="CG79" s="346"/>
      <c r="CH79" s="346"/>
      <c r="CI79" s="347"/>
      <c r="CJ79" s="348"/>
      <c r="CK79" s="342" t="n">
        <f aca="false">IFERROR(ROUND($CI:$CI*$CJ:$CJ,0),0)</f>
        <v>0</v>
      </c>
      <c r="CL79" s="342" t="n">
        <f aca="false">$CI:$CI+$CK:$CK</f>
        <v>0</v>
      </c>
      <c r="CM79" s="349"/>
      <c r="CN79" s="350" t="n">
        <f aca="false">IF(SUM($CL:$CL&lt;249080),SUM(ROUND($CL:$CL*11%,0)),27398.8)</f>
        <v>0</v>
      </c>
      <c r="CO79" s="350" t="s">
        <v>313</v>
      </c>
      <c r="CP79" s="351" t="n">
        <f aca="false">IF(BA79="Yes",3.25%,0)</f>
        <v>0</v>
      </c>
      <c r="CQ79" s="352" t="n">
        <f aca="false">ROUND(AR79*CP79,0)</f>
        <v>0</v>
      </c>
      <c r="CR79" s="353" t="n">
        <f aca="false">IF($AW:$AW&lt;3.25%,$AW:$AW,3.25%)</f>
        <v>0</v>
      </c>
      <c r="CS79" s="354" t="n">
        <f aca="false">ROUND($AR:$AR*$CR:$CR,0)</f>
        <v>0</v>
      </c>
      <c r="CT79" s="353" t="n">
        <f aca="false">IF($AW:$AW&gt;=3.25%,$AW:$AW-$CR:$CR,0)</f>
        <v>0</v>
      </c>
      <c r="CU79" s="354" t="n">
        <f aca="false">ROUND($AR:$AR*$CT:$CT,0)</f>
        <v>0</v>
      </c>
      <c r="CV79" s="353" t="n">
        <f aca="false">IF($CR:$CR=3.25%,0,IF($BC:$BC&lt;3.25%,$BC:$BC,IF($BC:$BC&gt;3.25%,3.25%-$CR:$CR,0)))</f>
        <v>0</v>
      </c>
      <c r="CW79" s="354" t="n">
        <f aca="false">IFERROR(ROUND($AY:$AY*$CV:$CV,0),0)</f>
        <v>0</v>
      </c>
      <c r="CX79" s="353" t="n">
        <f aca="false">IF($CV:$CV=0,$BC:$BC,BC:BC-$CV:$CV)</f>
        <v>0</v>
      </c>
      <c r="CY79" s="354" t="n">
        <f aca="false">IFERROR(ROUND($AY:$AY*$CX:$CX,0),0)</f>
        <v>0</v>
      </c>
      <c r="CZ79" s="353" t="n">
        <f aca="false">$CR:$CR+$CT:CT+$CV:$CV+$CX:$CX</f>
        <v>0</v>
      </c>
      <c r="DA79" s="353" t="n">
        <f aca="false">(SUM($AW:$AW+$BC:$BC)-$CZ:$CZ)</f>
        <v>0</v>
      </c>
      <c r="DB79" s="353"/>
      <c r="DC79" s="353" t="n">
        <f aca="false">$BE:$BE</f>
        <v>0</v>
      </c>
      <c r="DD79" s="354" t="n">
        <f aca="false">$BF:$BF</f>
        <v>0</v>
      </c>
      <c r="DE79" s="355" t="n">
        <f aca="false">$BI:$BI</f>
        <v>0</v>
      </c>
      <c r="DF79" s="354" t="n">
        <f aca="false">$BJ:$BJ</f>
        <v>0</v>
      </c>
      <c r="DG79" s="355" t="n">
        <f aca="false">$BG:$BG</f>
        <v>0</v>
      </c>
      <c r="DH79" s="354" t="n">
        <f aca="false">IFERROR(ROUND($AP:$AP*$DG:$DG,0),0)</f>
        <v>0</v>
      </c>
      <c r="DI79" s="353" t="n">
        <f aca="false">$CR:$CR+$CV:$CV+$DC:$DC+$DE:$DE+$DG:$DG</f>
        <v>0</v>
      </c>
      <c r="DJ79" s="354" t="n">
        <f aca="false">$CS:$CS+$CW:$CW+$DD:$DD+$DF:$DF+$DH:$DH</f>
        <v>0</v>
      </c>
      <c r="DK79" s="353" t="n">
        <f aca="false">$CT:$CT+$CX:$CX</f>
        <v>0</v>
      </c>
      <c r="DL79" s="354" t="n">
        <f aca="false">$CU:$CU+$CY:$CY</f>
        <v>0</v>
      </c>
      <c r="DM79" s="356"/>
      <c r="DN79" s="357"/>
      <c r="DO79" s="357"/>
      <c r="DP79" s="357"/>
      <c r="DQ79" s="357"/>
      <c r="DR79" s="357"/>
      <c r="DS79" s="357"/>
      <c r="DT79" s="357"/>
      <c r="DU79" s="357"/>
      <c r="DV79" s="357"/>
      <c r="DW79" s="357" t="s">
        <v>498</v>
      </c>
    </row>
    <row r="80" customFormat="false" ht="33.75" hidden="false" customHeight="false" outlineLevel="0" collapsed="false">
      <c r="A80" s="314"/>
      <c r="B80" s="315" t="s">
        <v>273</v>
      </c>
      <c r="C80" s="315" t="s">
        <v>682</v>
      </c>
      <c r="D80" s="315" t="n">
        <v>14689</v>
      </c>
      <c r="E80" s="316" t="s">
        <v>683</v>
      </c>
      <c r="F80" s="316" t="s">
        <v>684</v>
      </c>
      <c r="G80" s="316" t="s">
        <v>277</v>
      </c>
      <c r="H80" s="317" t="s">
        <v>670</v>
      </c>
      <c r="I80" s="316" t="s">
        <v>685</v>
      </c>
      <c r="J80" s="316" t="s">
        <v>672</v>
      </c>
      <c r="K80" s="318" t="n">
        <v>41835</v>
      </c>
      <c r="L80" s="318"/>
      <c r="M80" s="318" t="n">
        <v>44378</v>
      </c>
      <c r="N80" s="319" t="s">
        <v>281</v>
      </c>
      <c r="O80" s="319" t="n">
        <v>38</v>
      </c>
      <c r="P80" s="320" t="n">
        <f aca="false">$O:$O/38</f>
        <v>1</v>
      </c>
      <c r="Q80" s="316" t="s">
        <v>320</v>
      </c>
      <c r="R80" s="316" t="n">
        <v>18908</v>
      </c>
      <c r="S80" s="316" t="s">
        <v>673</v>
      </c>
      <c r="T80" s="316" t="s">
        <v>674</v>
      </c>
      <c r="U80" s="316" t="s">
        <v>675</v>
      </c>
      <c r="V80" s="317" t="s">
        <v>58</v>
      </c>
      <c r="W80" s="317" t="s">
        <v>63</v>
      </c>
      <c r="X80" s="317" t="s">
        <v>286</v>
      </c>
      <c r="Y80" s="321" t="s">
        <v>287</v>
      </c>
      <c r="Z80" s="317" t="s">
        <v>676</v>
      </c>
      <c r="AA80" s="317" t="s">
        <v>303</v>
      </c>
      <c r="AB80" s="321" t="s">
        <v>677</v>
      </c>
      <c r="AC80" s="317" t="s">
        <v>289</v>
      </c>
      <c r="AD80" s="321" t="s">
        <v>290</v>
      </c>
      <c r="AE80" s="322" t="n">
        <f aca="false">IFERROR(INDEX('[3]Lookup_Rem Ranges'!$D$1:$D$1048576,MATCH($AL:$AL,'[3]Lookup_Rem Ranges'!$C$1:$C$1048576,0)),0)</f>
        <v>105500</v>
      </c>
      <c r="AF80" s="322" t="n">
        <f aca="false">IFERROR(INDEX('[3]Lookup_Rem Ranges'!$E$1:$E$1048576,MATCH($AL:$AL,'[3]Lookup_Rem Ranges'!$C$1:$C$1048576,0)),0)</f>
        <v>124100</v>
      </c>
      <c r="AG80" s="322" t="n">
        <f aca="false">IFERROR(INDEX('[3]Lookup_Rem Ranges'!$F$1:$F$1048576,MATCH($AL:$AL,'[3]Lookup_Rem Ranges'!$C$1:$C$1048576,0)),)</f>
        <v>142700</v>
      </c>
      <c r="AH80" s="317" t="s">
        <v>291</v>
      </c>
      <c r="AI80" s="319"/>
      <c r="AJ80" s="323" t="n">
        <v>0</v>
      </c>
      <c r="AK80" s="316"/>
      <c r="AL80" s="324" t="str">
        <f aca="false">CONCATENATE(AM80,"",AN80)</f>
        <v>CASS6</v>
      </c>
      <c r="AM80" s="324" t="s">
        <v>292</v>
      </c>
      <c r="AN80" s="319" t="n">
        <v>6</v>
      </c>
      <c r="AO80" s="316" t="s">
        <v>358</v>
      </c>
      <c r="AP80" s="325" t="n">
        <v>107100</v>
      </c>
      <c r="AQ80" s="322" t="n">
        <f aca="false">ROUND(IF($P:$P&gt;1,$AP:$AP*1,$AP:$AP*$P:$P),0)</f>
        <v>107100</v>
      </c>
      <c r="AR80" s="322" t="n">
        <f aca="false">IF(BA80="Yes",AP80,0)</f>
        <v>0</v>
      </c>
      <c r="AS80" s="326" t="n">
        <v>0.0682013125610899</v>
      </c>
      <c r="AT80" s="326" t="n">
        <v>0</v>
      </c>
      <c r="AU80" s="327"/>
      <c r="AV80" s="322"/>
      <c r="AW80" s="328" t="n">
        <v>0</v>
      </c>
      <c r="AX80" s="322" t="n">
        <v>0</v>
      </c>
      <c r="AY80" s="322" t="n">
        <v>107100</v>
      </c>
      <c r="AZ80" s="329" t="n">
        <f aca="false">IFERROR(($AY:$AY+$AJ:$AJ+$AK:$AK)/$AF:$AF,0)</f>
        <v>0.863013698630137</v>
      </c>
      <c r="BA80" s="330" t="s">
        <v>294</v>
      </c>
      <c r="BB80" s="331" t="n">
        <v>3</v>
      </c>
      <c r="BC80" s="326" t="n">
        <f aca="false">IFERROR($BD:$BD/$AY:$AY,0)</f>
        <v>0</v>
      </c>
      <c r="BD80" s="332" t="n">
        <f aca="false">ROUND(IF($AY:$AY&lt;$AE:$AE,$AE:$AE-$AY:$AY,0),0)</f>
        <v>0</v>
      </c>
      <c r="BE80" s="333" t="n">
        <v>0</v>
      </c>
      <c r="BF80" s="334" t="n">
        <f aca="false">ROUND($AR:$AR*$BE:$BE,0)</f>
        <v>0</v>
      </c>
      <c r="BG80" s="335" t="n">
        <v>0</v>
      </c>
      <c r="BH80" s="336" t="n">
        <f aca="false">ROUND($AR:$AR*$BG:$BG,0)</f>
        <v>0</v>
      </c>
      <c r="BI80" s="333" t="n">
        <v>0</v>
      </c>
      <c r="BJ80" s="334" t="n">
        <f aca="false">ROUND($AR:$AR*$BI:$BI,0)</f>
        <v>0</v>
      </c>
      <c r="BK80" s="334" t="n">
        <f aca="false">ROUND(IF($P:$P&gt;1,$BJ:$BJ*1,$BJ:$BJ*$P:$P),0)</f>
        <v>0</v>
      </c>
      <c r="BL80" s="337"/>
      <c r="BM80" s="338" t="n">
        <f aca="false">$BC:$BC+$BE:$BE+$BG:$BG</f>
        <v>0</v>
      </c>
      <c r="BN80" s="339" t="n">
        <f aca="false">$BD:$BD+$BF:$BF+$BH:$BH</f>
        <v>0</v>
      </c>
      <c r="BO80" s="340" t="n">
        <f aca="false">IFERROR(ROUND($AY:$AY+$BN:$BN,0),0)</f>
        <v>107100</v>
      </c>
      <c r="BP80" s="341" t="n">
        <f aca="false">ROUND(IF(SUM($BO:$BO&lt;249080),SUM(ROUND($BO:$BO*11%,0)),27398.8),0)</f>
        <v>11781</v>
      </c>
      <c r="BQ80" s="342" t="n">
        <f aca="false">$BO:$BO+$BP:$BP</f>
        <v>118881</v>
      </c>
      <c r="BR80" s="329" t="n">
        <f aca="false">IFERROR(($BO:$BO+$AJ:$AJ+$AK:$AK)/$AF:$AF,0)</f>
        <v>0.863013698630137</v>
      </c>
      <c r="BS80" s="343" t="n">
        <f aca="false">IF($N:$N="CASUAL","TBC",ROUND($BN:$BN/(NETWORKDAYS("01/07/2023","30/06/2024"))*NETWORKDAYS("10/07/2023","04/09/2023"),0)*$P:$P)</f>
        <v>0</v>
      </c>
      <c r="BT80" s="326" t="n">
        <f aca="false">$BM80+$BI80</f>
        <v>0</v>
      </c>
      <c r="BU80" s="332" t="n">
        <f aca="false">$BN:$BN+$BJ:$BJ</f>
        <v>0</v>
      </c>
      <c r="BV80" s="342" t="n">
        <f aca="false">$BO:$BO*$P:$P</f>
        <v>107100</v>
      </c>
      <c r="BW80" s="344" t="n">
        <f aca="false">ROUND($BO:$BO/1976,2)</f>
        <v>54.2</v>
      </c>
      <c r="BX80" s="316"/>
      <c r="BY80" s="342" t="n">
        <f aca="false">$BQ:$BQ+$BX:$BX</f>
        <v>118881</v>
      </c>
      <c r="BZ80" s="345" t="s">
        <v>294</v>
      </c>
      <c r="CA80" s="316"/>
      <c r="CB80" s="316"/>
      <c r="CC80" s="324" t="str">
        <f aca="false">CONCATENATE(CD80,"",CE80)</f>
        <v/>
      </c>
      <c r="CD80" s="319"/>
      <c r="CE80" s="319"/>
      <c r="CF80" s="322" t="str">
        <f aca="false">IFERROR(INDEX('[4]Lookup_Rem Ranges'!$D$1:$D$1048576,MATCH($CC:$CC,'[4]Lookup_Rem Ranges'!$C$1:$C$1048576,0)),"")</f>
        <v/>
      </c>
      <c r="CG80" s="346"/>
      <c r="CH80" s="346"/>
      <c r="CI80" s="347"/>
      <c r="CJ80" s="348"/>
      <c r="CK80" s="342" t="n">
        <f aca="false">IFERROR(ROUND($CI:$CI*$CJ:$CJ,0),0)</f>
        <v>0</v>
      </c>
      <c r="CL80" s="342" t="n">
        <f aca="false">$CI:$CI+$CK:$CK</f>
        <v>0</v>
      </c>
      <c r="CM80" s="349"/>
      <c r="CN80" s="350" t="n">
        <f aca="false">IF(SUM($CL:$CL&lt;249080),SUM(ROUND($CL:$CL*11%,0)),27398.8)</f>
        <v>0</v>
      </c>
      <c r="CO80" s="350" t="s">
        <v>324</v>
      </c>
      <c r="CP80" s="351" t="n">
        <f aca="false">IF(BA80="Yes",3.25%,0)</f>
        <v>0</v>
      </c>
      <c r="CQ80" s="352" t="n">
        <f aca="false">ROUND(AR80*CP80,0)</f>
        <v>0</v>
      </c>
      <c r="CR80" s="353" t="n">
        <f aca="false">IF($AW:$AW&lt;3.25%,$AW:$AW,3.25%)</f>
        <v>0</v>
      </c>
      <c r="CS80" s="354" t="n">
        <f aca="false">ROUND($AR:$AR*$CR:$CR,0)</f>
        <v>0</v>
      </c>
      <c r="CT80" s="353" t="n">
        <f aca="false">IF($AW:$AW&gt;=3.25%,$AW:$AW-$CR:$CR,0)</f>
        <v>0</v>
      </c>
      <c r="CU80" s="354" t="n">
        <f aca="false">ROUND($AR:$AR*$CT:$CT,0)</f>
        <v>0</v>
      </c>
      <c r="CV80" s="353" t="n">
        <f aca="false">IF($CR:$CR=3.25%,0,IF($BC:$BC&lt;3.25%,$BC:$BC,IF($BC:$BC&gt;3.25%,3.25%-$CR:$CR,0)))</f>
        <v>0</v>
      </c>
      <c r="CW80" s="354" t="n">
        <f aca="false">IFERROR(ROUND($AY:$AY*$CV:$CV,0),0)</f>
        <v>0</v>
      </c>
      <c r="CX80" s="353" t="n">
        <f aca="false">IF($CV:$CV=0,$BC:$BC,BC:BC-$CV:$CV)</f>
        <v>0</v>
      </c>
      <c r="CY80" s="354" t="n">
        <f aca="false">IFERROR(ROUND($AY:$AY*$CX:$CX,0),0)</f>
        <v>0</v>
      </c>
      <c r="CZ80" s="353" t="n">
        <f aca="false">$CR:$CR+$CT:CT+$CV:$CV+$CX:$CX</f>
        <v>0</v>
      </c>
      <c r="DA80" s="353" t="n">
        <f aca="false">(SUM($AW:$AW+$BC:$BC)-$CZ:$CZ)</f>
        <v>0</v>
      </c>
      <c r="DB80" s="353"/>
      <c r="DC80" s="353" t="n">
        <f aca="false">$BE:$BE</f>
        <v>0</v>
      </c>
      <c r="DD80" s="354" t="n">
        <f aca="false">$BF:$BF</f>
        <v>0</v>
      </c>
      <c r="DE80" s="355" t="n">
        <f aca="false">$BI:$BI</f>
        <v>0</v>
      </c>
      <c r="DF80" s="354" t="n">
        <f aca="false">$BJ:$BJ</f>
        <v>0</v>
      </c>
      <c r="DG80" s="355" t="n">
        <f aca="false">$BG:$BG</f>
        <v>0</v>
      </c>
      <c r="DH80" s="354" t="n">
        <f aca="false">IFERROR(ROUND($AP:$AP*$DG:$DG,0),0)</f>
        <v>0</v>
      </c>
      <c r="DI80" s="353" t="n">
        <f aca="false">$CR:$CR+$CV:$CV+$DC:$DC+$DE:$DE+$DG:$DG</f>
        <v>0</v>
      </c>
      <c r="DJ80" s="354" t="n">
        <f aca="false">$CS:$CS+$CW:$CW+$DD:$DD+$DF:$DF+$DH:$DH</f>
        <v>0</v>
      </c>
      <c r="DK80" s="353" t="n">
        <f aca="false">$CT:$CT+$CX:$CX</f>
        <v>0</v>
      </c>
      <c r="DL80" s="354" t="n">
        <f aca="false">$CU:$CU+$CY:$CY</f>
        <v>0</v>
      </c>
      <c r="DM80" s="356"/>
      <c r="DN80" s="357"/>
      <c r="DO80" s="357"/>
      <c r="DP80" s="357"/>
      <c r="DQ80" s="357"/>
      <c r="DR80" s="357"/>
      <c r="DS80" s="357"/>
      <c r="DT80" s="357"/>
      <c r="DU80" s="357"/>
      <c r="DV80" s="357"/>
      <c r="DW80" s="357" t="s">
        <v>498</v>
      </c>
    </row>
    <row r="81" customFormat="false" ht="24" hidden="false" customHeight="false" outlineLevel="0" collapsed="false">
      <c r="A81" s="314"/>
      <c r="B81" s="315" t="s">
        <v>273</v>
      </c>
      <c r="C81" s="315" t="s">
        <v>686</v>
      </c>
      <c r="D81" s="315" t="n">
        <v>18319</v>
      </c>
      <c r="E81" s="316" t="s">
        <v>687</v>
      </c>
      <c r="F81" s="316" t="s">
        <v>688</v>
      </c>
      <c r="G81" s="316" t="s">
        <v>277</v>
      </c>
      <c r="H81" s="317" t="s">
        <v>670</v>
      </c>
      <c r="I81" s="316" t="s">
        <v>689</v>
      </c>
      <c r="J81" s="316" t="s">
        <v>672</v>
      </c>
      <c r="K81" s="318" t="n">
        <v>43507</v>
      </c>
      <c r="L81" s="318" t="n">
        <v>45107</v>
      </c>
      <c r="M81" s="318" t="n">
        <v>44866</v>
      </c>
      <c r="N81" s="319" t="s">
        <v>281</v>
      </c>
      <c r="O81" s="319" t="n">
        <v>38</v>
      </c>
      <c r="P81" s="320" t="n">
        <f aca="false">$O:$O/38</f>
        <v>1</v>
      </c>
      <c r="Q81" s="316" t="s">
        <v>320</v>
      </c>
      <c r="R81" s="316" t="n">
        <v>18908</v>
      </c>
      <c r="S81" s="316" t="s">
        <v>673</v>
      </c>
      <c r="T81" s="316" t="s">
        <v>674</v>
      </c>
      <c r="U81" s="316" t="s">
        <v>675</v>
      </c>
      <c r="V81" s="317" t="s">
        <v>58</v>
      </c>
      <c r="W81" s="317" t="s">
        <v>63</v>
      </c>
      <c r="X81" s="317" t="s">
        <v>286</v>
      </c>
      <c r="Y81" s="321" t="s">
        <v>287</v>
      </c>
      <c r="Z81" s="317" t="s">
        <v>676</v>
      </c>
      <c r="AA81" s="317" t="s">
        <v>303</v>
      </c>
      <c r="AB81" s="321" t="s">
        <v>677</v>
      </c>
      <c r="AC81" s="317" t="s">
        <v>289</v>
      </c>
      <c r="AD81" s="321" t="s">
        <v>290</v>
      </c>
      <c r="AE81" s="322" t="n">
        <f aca="false">IFERROR(INDEX('[3]Lookup_Rem Ranges'!$D$1:$D$1048576,MATCH($AL:$AL,'[3]Lookup_Rem Ranges'!$C$1:$C$1048576,0)),0)</f>
        <v>105500</v>
      </c>
      <c r="AF81" s="322" t="n">
        <f aca="false">IFERROR(INDEX('[3]Lookup_Rem Ranges'!$E$1:$E$1048576,MATCH($AL:$AL,'[3]Lookup_Rem Ranges'!$C$1:$C$1048576,0)),0)</f>
        <v>124100</v>
      </c>
      <c r="AG81" s="322" t="n">
        <f aca="false">IFERROR(INDEX('[3]Lookup_Rem Ranges'!$F$1:$F$1048576,MATCH($AL:$AL,'[3]Lookup_Rem Ranges'!$C$1:$C$1048576,0)),)</f>
        <v>142700</v>
      </c>
      <c r="AH81" s="317" t="s">
        <v>291</v>
      </c>
      <c r="AI81" s="319"/>
      <c r="AJ81" s="323" t="n">
        <v>0</v>
      </c>
      <c r="AK81" s="316"/>
      <c r="AL81" s="324" t="str">
        <f aca="false">CONCATENATE(AM81,"",AN81)</f>
        <v>CASS6</v>
      </c>
      <c r="AM81" s="324" t="s">
        <v>292</v>
      </c>
      <c r="AN81" s="319" t="n">
        <v>6</v>
      </c>
      <c r="AO81" s="316" t="s">
        <v>358</v>
      </c>
      <c r="AP81" s="325" t="n">
        <v>107100</v>
      </c>
      <c r="AQ81" s="322" t="n">
        <f aca="false">ROUND(IF($P:$P&gt;1,$AP:$AP*1,$AP:$AP*$P:$P),0)</f>
        <v>107100</v>
      </c>
      <c r="AR81" s="322" t="n">
        <f aca="false">IF(BA81="Yes",AP81,0)</f>
        <v>0</v>
      </c>
      <c r="AS81" s="326" t="n">
        <v>0.0682013125610899</v>
      </c>
      <c r="AT81" s="326" t="n">
        <v>0</v>
      </c>
      <c r="AU81" s="327"/>
      <c r="AV81" s="322"/>
      <c r="AW81" s="328" t="n">
        <v>0</v>
      </c>
      <c r="AX81" s="322" t="n">
        <v>0</v>
      </c>
      <c r="AY81" s="322" t="n">
        <v>107100</v>
      </c>
      <c r="AZ81" s="329" t="n">
        <f aca="false">IFERROR(($AY:$AY+$AJ:$AJ+$AK:$AK)/$AF:$AF,0)</f>
        <v>0.863013698630137</v>
      </c>
      <c r="BA81" s="330" t="s">
        <v>294</v>
      </c>
      <c r="BB81" s="331" t="n">
        <v>3</v>
      </c>
      <c r="BC81" s="326" t="n">
        <f aca="false">IFERROR($BD:$BD/$AY:$AY,0)</f>
        <v>0</v>
      </c>
      <c r="BD81" s="332" t="n">
        <f aca="false">ROUND(IF($AY:$AY&lt;$AE:$AE,$AE:$AE-$AY:$AY,0),0)</f>
        <v>0</v>
      </c>
      <c r="BE81" s="333" t="n">
        <v>0</v>
      </c>
      <c r="BF81" s="334" t="n">
        <f aca="false">ROUND($AR:$AR*$BE:$BE,0)</f>
        <v>0</v>
      </c>
      <c r="BG81" s="335" t="n">
        <v>0</v>
      </c>
      <c r="BH81" s="336" t="n">
        <f aca="false">ROUND($AR:$AR*$BG:$BG,0)</f>
        <v>0</v>
      </c>
      <c r="BI81" s="333" t="n">
        <v>0</v>
      </c>
      <c r="BJ81" s="334" t="n">
        <f aca="false">ROUND($AR:$AR*$BI:$BI,0)</f>
        <v>0</v>
      </c>
      <c r="BK81" s="334" t="n">
        <f aca="false">ROUND(IF($P:$P&gt;1,$BJ:$BJ*1,$BJ:$BJ*$P:$P),0)</f>
        <v>0</v>
      </c>
      <c r="BL81" s="337"/>
      <c r="BM81" s="338" t="n">
        <f aca="false">$BC:$BC+$BE:$BE+$BG:$BG</f>
        <v>0</v>
      </c>
      <c r="BN81" s="339" t="n">
        <f aca="false">$BD:$BD+$BF:$BF+$BH:$BH</f>
        <v>0</v>
      </c>
      <c r="BO81" s="340" t="n">
        <f aca="false">IFERROR(ROUND($AY:$AY+$BN:$BN,0),0)</f>
        <v>107100</v>
      </c>
      <c r="BP81" s="341" t="n">
        <f aca="false">ROUND(IF(SUM($BO:$BO&lt;249080),SUM(ROUND($BO:$BO*11%,0)),27398.8),0)</f>
        <v>11781</v>
      </c>
      <c r="BQ81" s="342" t="n">
        <f aca="false">$BO:$BO+$BP:$BP</f>
        <v>118881</v>
      </c>
      <c r="BR81" s="329" t="n">
        <f aca="false">IFERROR(($BO:$BO+$AJ:$AJ+$AK:$AK)/$AF:$AF,0)</f>
        <v>0.863013698630137</v>
      </c>
      <c r="BS81" s="343" t="n">
        <f aca="false">IF($N:$N="CASUAL","TBC",ROUND($BN:$BN/(NETWORKDAYS("01/07/2023","30/06/2024"))*NETWORKDAYS("10/07/2023","04/09/2023"),0)*$P:$P)</f>
        <v>0</v>
      </c>
      <c r="BT81" s="326" t="n">
        <f aca="false">$BM81+$BI81</f>
        <v>0</v>
      </c>
      <c r="BU81" s="332" t="n">
        <f aca="false">$BN:$BN+$BJ:$BJ</f>
        <v>0</v>
      </c>
      <c r="BV81" s="342" t="n">
        <f aca="false">$BO:$BO*$P:$P</f>
        <v>107100</v>
      </c>
      <c r="BW81" s="344" t="n">
        <f aca="false">ROUND($BO:$BO/1976,2)</f>
        <v>54.2</v>
      </c>
      <c r="BX81" s="316"/>
      <c r="BY81" s="342" t="n">
        <f aca="false">$BQ:$BQ+$BX:$BX</f>
        <v>118881</v>
      </c>
      <c r="BZ81" s="345" t="s">
        <v>294</v>
      </c>
      <c r="CA81" s="316"/>
      <c r="CB81" s="316"/>
      <c r="CC81" s="324" t="str">
        <f aca="false">CONCATENATE(CD81,"",CE81)</f>
        <v/>
      </c>
      <c r="CD81" s="319"/>
      <c r="CE81" s="319"/>
      <c r="CF81" s="322" t="str">
        <f aca="false">IFERROR(INDEX('[4]Lookup_Rem Ranges'!$D$1:$D$1048576,MATCH($CC:$CC,'[4]Lookup_Rem Ranges'!$C$1:$C$1048576,0)),"")</f>
        <v/>
      </c>
      <c r="CG81" s="346"/>
      <c r="CH81" s="346"/>
      <c r="CI81" s="347"/>
      <c r="CJ81" s="348"/>
      <c r="CK81" s="342" t="n">
        <f aca="false">IFERROR(ROUND($CI:$CI*$CJ:$CJ,0),0)</f>
        <v>0</v>
      </c>
      <c r="CL81" s="342" t="n">
        <f aca="false">$CI:$CI+$CK:$CK</f>
        <v>0</v>
      </c>
      <c r="CM81" s="349"/>
      <c r="CN81" s="350" t="n">
        <f aca="false">IF(SUM($CL:$CL&lt;249080),SUM(ROUND($CL:$CL*11%,0)),27398.8)</f>
        <v>0</v>
      </c>
      <c r="CO81" s="350" t="s">
        <v>305</v>
      </c>
      <c r="CP81" s="351" t="n">
        <f aca="false">IF(BA81="Yes",3.25%,0)</f>
        <v>0</v>
      </c>
      <c r="CQ81" s="352" t="n">
        <f aca="false">ROUND(AR81*CP81,0)</f>
        <v>0</v>
      </c>
      <c r="CR81" s="353" t="n">
        <f aca="false">IF($AW:$AW&lt;3.25%,$AW:$AW,3.25%)</f>
        <v>0</v>
      </c>
      <c r="CS81" s="354" t="n">
        <f aca="false">ROUND($AR:$AR*$CR:$CR,0)</f>
        <v>0</v>
      </c>
      <c r="CT81" s="353" t="n">
        <f aca="false">IF($AW:$AW&gt;=3.25%,$AW:$AW-$CR:$CR,0)</f>
        <v>0</v>
      </c>
      <c r="CU81" s="354" t="n">
        <f aca="false">ROUND($AR:$AR*$CT:$CT,0)</f>
        <v>0</v>
      </c>
      <c r="CV81" s="353" t="n">
        <f aca="false">IF($CR:$CR=3.25%,0,IF($BC:$BC&lt;3.25%,$BC:$BC,IF($BC:$BC&gt;3.25%,3.25%-$CR:$CR,0)))</f>
        <v>0</v>
      </c>
      <c r="CW81" s="354" t="n">
        <f aca="false">IFERROR(ROUND($AY:$AY*$CV:$CV,0),0)</f>
        <v>0</v>
      </c>
      <c r="CX81" s="353" t="n">
        <f aca="false">IF($CV:$CV=0,$BC:$BC,BC:BC-$CV:$CV)</f>
        <v>0</v>
      </c>
      <c r="CY81" s="354" t="n">
        <f aca="false">IFERROR(ROUND($AY:$AY*$CX:$CX,0),0)</f>
        <v>0</v>
      </c>
      <c r="CZ81" s="353" t="n">
        <f aca="false">$CR:$CR+$CT:CT+$CV:$CV+$CX:$CX</f>
        <v>0</v>
      </c>
      <c r="DA81" s="353" t="n">
        <f aca="false">(SUM($AW:$AW+$BC:$BC)-$CZ:$CZ)</f>
        <v>0</v>
      </c>
      <c r="DB81" s="353"/>
      <c r="DC81" s="353" t="n">
        <f aca="false">$BE:$BE</f>
        <v>0</v>
      </c>
      <c r="DD81" s="354" t="n">
        <f aca="false">$BF:$BF</f>
        <v>0</v>
      </c>
      <c r="DE81" s="355" t="n">
        <f aca="false">$BI:$BI</f>
        <v>0</v>
      </c>
      <c r="DF81" s="354" t="n">
        <f aca="false">$BJ:$BJ</f>
        <v>0</v>
      </c>
      <c r="DG81" s="355" t="n">
        <f aca="false">$BG:$BG</f>
        <v>0</v>
      </c>
      <c r="DH81" s="354" t="n">
        <f aca="false">IFERROR(ROUND($AP:$AP*$DG:$DG,0),0)</f>
        <v>0</v>
      </c>
      <c r="DI81" s="353" t="n">
        <f aca="false">$CR:$CR+$CV:$CV+$DC:$DC+$DE:$DE+$DG:$DG</f>
        <v>0</v>
      </c>
      <c r="DJ81" s="354" t="n">
        <f aca="false">$CS:$CS+$CW:$CW+$DD:$DD+$DF:$DF+$DH:$DH</f>
        <v>0</v>
      </c>
      <c r="DK81" s="353" t="n">
        <f aca="false">$CT:$CT+$CX:$CX</f>
        <v>0</v>
      </c>
      <c r="DL81" s="354" t="n">
        <f aca="false">$CU:$CU+$CY:$CY</f>
        <v>0</v>
      </c>
      <c r="DM81" s="356"/>
      <c r="DN81" s="357"/>
      <c r="DO81" s="357"/>
      <c r="DP81" s="357"/>
      <c r="DQ81" s="357"/>
      <c r="DR81" s="357"/>
      <c r="DS81" s="357"/>
      <c r="DT81" s="357"/>
      <c r="DU81" s="357"/>
      <c r="DV81" s="357"/>
      <c r="DW81" s="357" t="s">
        <v>498</v>
      </c>
    </row>
    <row r="82" customFormat="false" ht="24" hidden="false" customHeight="false" outlineLevel="0" collapsed="false">
      <c r="A82" s="314"/>
      <c r="B82" s="315" t="s">
        <v>273</v>
      </c>
      <c r="C82" s="315" t="s">
        <v>690</v>
      </c>
      <c r="D82" s="315" t="n">
        <v>15814</v>
      </c>
      <c r="E82" s="316" t="s">
        <v>691</v>
      </c>
      <c r="F82" s="316" t="s">
        <v>692</v>
      </c>
      <c r="G82" s="316" t="s">
        <v>277</v>
      </c>
      <c r="H82" s="317" t="s">
        <v>605</v>
      </c>
      <c r="I82" s="316" t="s">
        <v>693</v>
      </c>
      <c r="J82" s="316" t="s">
        <v>694</v>
      </c>
      <c r="K82" s="318" t="n">
        <v>42373</v>
      </c>
      <c r="L82" s="318"/>
      <c r="M82" s="318" t="n">
        <v>44409</v>
      </c>
      <c r="N82" s="319" t="s">
        <v>281</v>
      </c>
      <c r="O82" s="319" t="n">
        <v>38</v>
      </c>
      <c r="P82" s="320" t="n">
        <f aca="false">$O:$O/38</f>
        <v>1</v>
      </c>
      <c r="Q82" s="316" t="s">
        <v>320</v>
      </c>
      <c r="R82" s="316" t="n">
        <v>20132</v>
      </c>
      <c r="S82" s="316" t="s">
        <v>695</v>
      </c>
      <c r="T82" s="316" t="s">
        <v>696</v>
      </c>
      <c r="U82" s="316" t="s">
        <v>697</v>
      </c>
      <c r="V82" s="317" t="s">
        <v>58</v>
      </c>
      <c r="W82" s="317" t="s">
        <v>63</v>
      </c>
      <c r="X82" s="317" t="s">
        <v>286</v>
      </c>
      <c r="Y82" s="321" t="s">
        <v>287</v>
      </c>
      <c r="Z82" s="317" t="s">
        <v>676</v>
      </c>
      <c r="AA82" s="317" t="s">
        <v>303</v>
      </c>
      <c r="AB82" s="321" t="s">
        <v>677</v>
      </c>
      <c r="AC82" s="317" t="s">
        <v>289</v>
      </c>
      <c r="AD82" s="321" t="s">
        <v>290</v>
      </c>
      <c r="AE82" s="322" t="n">
        <f aca="false">IFERROR(INDEX('[3]Lookup_Rem Ranges'!$D$1:$D$1048576,MATCH($AL:$AL,'[3]Lookup_Rem Ranges'!$C$1:$C$1048576,0)),0)</f>
        <v>105500</v>
      </c>
      <c r="AF82" s="322" t="n">
        <f aca="false">IFERROR(INDEX('[3]Lookup_Rem Ranges'!$E$1:$E$1048576,MATCH($AL:$AL,'[3]Lookup_Rem Ranges'!$C$1:$C$1048576,0)),0)</f>
        <v>124100</v>
      </c>
      <c r="AG82" s="322" t="n">
        <f aca="false">IFERROR(INDEX('[3]Lookup_Rem Ranges'!$F$1:$F$1048576,MATCH($AL:$AL,'[3]Lookup_Rem Ranges'!$C$1:$C$1048576,0)),)</f>
        <v>142700</v>
      </c>
      <c r="AH82" s="317" t="s">
        <v>291</v>
      </c>
      <c r="AI82" s="319"/>
      <c r="AJ82" s="323" t="n">
        <v>0</v>
      </c>
      <c r="AK82" s="316"/>
      <c r="AL82" s="324" t="str">
        <f aca="false">CONCATENATE(AM82,"",AN82)</f>
        <v>CASS6</v>
      </c>
      <c r="AM82" s="324" t="s">
        <v>292</v>
      </c>
      <c r="AN82" s="319" t="n">
        <v>6</v>
      </c>
      <c r="AO82" s="316" t="s">
        <v>698</v>
      </c>
      <c r="AP82" s="325" t="n">
        <v>124700</v>
      </c>
      <c r="AQ82" s="322" t="n">
        <f aca="false">ROUND(IF($P:$P&gt;1,$AP:$AP*1,$AP:$AP*$P:$P),0)</f>
        <v>124700</v>
      </c>
      <c r="AR82" s="322" t="n">
        <f aca="false">IF(BA82="Yes",AP82,0)</f>
        <v>0</v>
      </c>
      <c r="AS82" s="326" t="n">
        <v>0.0667236954662104</v>
      </c>
      <c r="AT82" s="326" t="n">
        <v>0</v>
      </c>
      <c r="AU82" s="327"/>
      <c r="AV82" s="322"/>
      <c r="AW82" s="328" t="n">
        <v>0</v>
      </c>
      <c r="AX82" s="322" t="n">
        <v>0</v>
      </c>
      <c r="AY82" s="322" t="n">
        <v>124700</v>
      </c>
      <c r="AZ82" s="329" t="n">
        <f aca="false">IFERROR(($AY:$AY+$AJ:$AJ+$AK:$AK)/$AF:$AF,0)</f>
        <v>1.00483481063658</v>
      </c>
      <c r="BA82" s="330" t="s">
        <v>294</v>
      </c>
      <c r="BB82" s="331" t="n">
        <v>3</v>
      </c>
      <c r="BC82" s="326" t="n">
        <f aca="false">IFERROR($BD:$BD/$AY:$AY,0)</f>
        <v>0</v>
      </c>
      <c r="BD82" s="332" t="n">
        <f aca="false">ROUND(IF($AY:$AY&lt;$AE:$AE,$AE:$AE-$AY:$AY,0),0)</f>
        <v>0</v>
      </c>
      <c r="BE82" s="333" t="n">
        <v>0</v>
      </c>
      <c r="BF82" s="334" t="n">
        <f aca="false">ROUND($AR:$AR*$BE:$BE,0)</f>
        <v>0</v>
      </c>
      <c r="BG82" s="335" t="n">
        <v>0</v>
      </c>
      <c r="BH82" s="336" t="n">
        <f aca="false">ROUND($AR:$AR*$BG:$BG,0)</f>
        <v>0</v>
      </c>
      <c r="BI82" s="333" t="n">
        <v>0</v>
      </c>
      <c r="BJ82" s="334" t="n">
        <f aca="false">ROUND($AR:$AR*$BI:$BI,0)</f>
        <v>0</v>
      </c>
      <c r="BK82" s="334" t="n">
        <f aca="false">ROUND(IF($P:$P&gt;1,$BJ:$BJ*1,$BJ:$BJ*$P:$P),0)</f>
        <v>0</v>
      </c>
      <c r="BL82" s="337"/>
      <c r="BM82" s="338" t="n">
        <f aca="false">$BC:$BC+$BE:$BE+$BG:$BG</f>
        <v>0</v>
      </c>
      <c r="BN82" s="339" t="n">
        <f aca="false">$BD:$BD+$BF:$BF+$BH:$BH</f>
        <v>0</v>
      </c>
      <c r="BO82" s="340" t="n">
        <f aca="false">IFERROR(ROUND($AY:$AY+$BN:$BN,0),0)</f>
        <v>124700</v>
      </c>
      <c r="BP82" s="341" t="n">
        <f aca="false">ROUND(IF(SUM($BO:$BO&lt;249080),SUM(ROUND($BO:$BO*11%,0)),27398.8),0)</f>
        <v>13717</v>
      </c>
      <c r="BQ82" s="342" t="n">
        <f aca="false">$BO:$BO+$BP:$BP</f>
        <v>138417</v>
      </c>
      <c r="BR82" s="329" t="n">
        <f aca="false">IFERROR(($BO:$BO+$AJ:$AJ+$AK:$AK)/$AF:$AF,0)</f>
        <v>1.00483481063658</v>
      </c>
      <c r="BS82" s="343" t="n">
        <f aca="false">IF($N:$N="CASUAL","TBC",ROUND($BN:$BN/(NETWORKDAYS("01/07/2023","30/06/2024"))*NETWORKDAYS("10/07/2023","04/09/2023"),0)*$P:$P)</f>
        <v>0</v>
      </c>
      <c r="BT82" s="326" t="n">
        <f aca="false">$BM82+$BI82</f>
        <v>0</v>
      </c>
      <c r="BU82" s="332" t="n">
        <f aca="false">$BN:$BN+$BJ:$BJ</f>
        <v>0</v>
      </c>
      <c r="BV82" s="342" t="n">
        <f aca="false">$BO:$BO*$P:$P</f>
        <v>124700</v>
      </c>
      <c r="BW82" s="344" t="n">
        <f aca="false">ROUND($BO:$BO/1976,2)</f>
        <v>63.11</v>
      </c>
      <c r="BX82" s="316"/>
      <c r="BY82" s="342" t="n">
        <f aca="false">$BQ:$BQ+$BX:$BX</f>
        <v>138417</v>
      </c>
      <c r="BZ82" s="345" t="s">
        <v>293</v>
      </c>
      <c r="CA82" s="316" t="s">
        <v>693</v>
      </c>
      <c r="CB82" s="316" t="s">
        <v>699</v>
      </c>
      <c r="CC82" s="324" t="str">
        <f aca="false">CONCATENATE(CD82,"",CE82)</f>
        <v>CASS6</v>
      </c>
      <c r="CD82" s="319" t="s">
        <v>292</v>
      </c>
      <c r="CE82" s="319" t="n">
        <v>6</v>
      </c>
      <c r="CF82" s="322" t="n">
        <f aca="false">IFERROR(INDEX('[4]Lookup_Rem Ranges'!$D$1:$D$1048576,MATCH($CC:$CC,'[4]Lookup_Rem Ranges'!$C$1:$C$1048576,0)),"")</f>
        <v>105500</v>
      </c>
      <c r="CG82" s="346" t="n">
        <v>45017</v>
      </c>
      <c r="CH82" s="346"/>
      <c r="CI82" s="347" t="n">
        <v>124700</v>
      </c>
      <c r="CJ82" s="348" t="n">
        <v>0</v>
      </c>
      <c r="CK82" s="342" t="n">
        <f aca="false">IFERROR(ROUND($CI:$CI*$CJ:$CJ,0),0)</f>
        <v>0</v>
      </c>
      <c r="CL82" s="342" t="n">
        <f aca="false">$CI:$CI+$CK:$CK</f>
        <v>124700</v>
      </c>
      <c r="CM82" s="349"/>
      <c r="CN82" s="350" t="n">
        <f aca="false">IF(SUM($CL:$CL&lt;249080),SUM(ROUND($CL:$CL*11%,0)),27398.8)</f>
        <v>13717</v>
      </c>
      <c r="CO82" s="350" t="s">
        <v>313</v>
      </c>
      <c r="CP82" s="351" t="n">
        <f aca="false">IF(BA82="Yes",3.25%,0)</f>
        <v>0</v>
      </c>
      <c r="CQ82" s="352" t="n">
        <f aca="false">ROUND(AR82*CP82,0)</f>
        <v>0</v>
      </c>
      <c r="CR82" s="353" t="n">
        <f aca="false">IF($AW:$AW&lt;3.25%,$AW:$AW,3.25%)</f>
        <v>0</v>
      </c>
      <c r="CS82" s="354" t="n">
        <f aca="false">ROUND($AR:$AR*$CR:$CR,0)</f>
        <v>0</v>
      </c>
      <c r="CT82" s="353" t="n">
        <f aca="false">IF($AW:$AW&gt;=3.25%,$AW:$AW-$CR:$CR,0)</f>
        <v>0</v>
      </c>
      <c r="CU82" s="354" t="n">
        <f aca="false">ROUND($AR:$AR*$CT:$CT,0)</f>
        <v>0</v>
      </c>
      <c r="CV82" s="353" t="n">
        <f aca="false">IF($CR:$CR=3.25%,0,IF($BC:$BC&lt;3.25%,$BC:$BC,IF($BC:$BC&gt;3.25%,3.25%-$CR:$CR,0)))</f>
        <v>0</v>
      </c>
      <c r="CW82" s="354" t="n">
        <f aca="false">IFERROR(ROUND($AY:$AY*$CV:$CV,0),0)</f>
        <v>0</v>
      </c>
      <c r="CX82" s="353" t="n">
        <f aca="false">IF($CV:$CV=0,$BC:$BC,BC:BC-$CV:$CV)</f>
        <v>0</v>
      </c>
      <c r="CY82" s="354" t="n">
        <f aca="false">IFERROR(ROUND($AY:$AY*$CX:$CX,0),0)</f>
        <v>0</v>
      </c>
      <c r="CZ82" s="353" t="n">
        <f aca="false">$CR:$CR+$CT:CT+$CV:$CV+$CX:$CX</f>
        <v>0</v>
      </c>
      <c r="DA82" s="353" t="n">
        <f aca="false">(SUM($AW:$AW+$BC:$BC)-$CZ:$CZ)</f>
        <v>0</v>
      </c>
      <c r="DB82" s="353"/>
      <c r="DC82" s="353" t="n">
        <f aca="false">$BE:$BE</f>
        <v>0</v>
      </c>
      <c r="DD82" s="354" t="n">
        <f aca="false">$BF:$BF</f>
        <v>0</v>
      </c>
      <c r="DE82" s="355" t="n">
        <f aca="false">$BI:$BI</f>
        <v>0</v>
      </c>
      <c r="DF82" s="354" t="n">
        <f aca="false">$BJ:$BJ</f>
        <v>0</v>
      </c>
      <c r="DG82" s="355" t="n">
        <f aca="false">$BG:$BG</f>
        <v>0</v>
      </c>
      <c r="DH82" s="354" t="n">
        <f aca="false">IFERROR(ROUND($AP:$AP*$DG:$DG,0),0)</f>
        <v>0</v>
      </c>
      <c r="DI82" s="353" t="n">
        <f aca="false">$CR:$CR+$CV:$CV+$DC:$DC+$DE:$DE+$DG:$DG</f>
        <v>0</v>
      </c>
      <c r="DJ82" s="354" t="n">
        <f aca="false">$CS:$CS+$CW:$CW+$DD:$DD+$DF:$DF+$DH:$DH</f>
        <v>0</v>
      </c>
      <c r="DK82" s="353" t="n">
        <f aca="false">$CT:$CT+$CX:$CX</f>
        <v>0</v>
      </c>
      <c r="DL82" s="354" t="n">
        <f aca="false">$CU:$CU+$CY:$CY</f>
        <v>0</v>
      </c>
      <c r="DM82" s="356"/>
      <c r="DN82" s="357"/>
      <c r="DO82" s="357"/>
      <c r="DP82" s="357"/>
      <c r="DQ82" s="357"/>
      <c r="DR82" s="357"/>
      <c r="DS82" s="357"/>
      <c r="DT82" s="357"/>
      <c r="DU82" s="357"/>
      <c r="DV82" s="357"/>
      <c r="DW82" s="357" t="s">
        <v>498</v>
      </c>
    </row>
    <row r="83" customFormat="false" ht="33.75" hidden="false" customHeight="false" outlineLevel="0" collapsed="false">
      <c r="A83" s="314"/>
      <c r="B83" s="315" t="s">
        <v>273</v>
      </c>
      <c r="C83" s="315" t="s">
        <v>700</v>
      </c>
      <c r="D83" s="315" t="n">
        <v>5546</v>
      </c>
      <c r="E83" s="316" t="s">
        <v>701</v>
      </c>
      <c r="F83" s="316" t="s">
        <v>702</v>
      </c>
      <c r="G83" s="316" t="s">
        <v>277</v>
      </c>
      <c r="H83" s="317" t="s">
        <v>703</v>
      </c>
      <c r="I83" s="316" t="s">
        <v>704</v>
      </c>
      <c r="J83" s="316" t="s">
        <v>699</v>
      </c>
      <c r="K83" s="318" t="n">
        <v>37599</v>
      </c>
      <c r="L83" s="318"/>
      <c r="M83" s="318" t="n">
        <v>44796</v>
      </c>
      <c r="N83" s="319" t="s">
        <v>281</v>
      </c>
      <c r="O83" s="319" t="n">
        <v>38</v>
      </c>
      <c r="P83" s="320" t="n">
        <f aca="false">$O:$O/38</f>
        <v>1</v>
      </c>
      <c r="Q83" s="316" t="s">
        <v>320</v>
      </c>
      <c r="R83" s="316" t="n">
        <v>20165</v>
      </c>
      <c r="S83" s="316" t="s">
        <v>705</v>
      </c>
      <c r="T83" s="316" t="s">
        <v>706</v>
      </c>
      <c r="U83" s="316" t="s">
        <v>707</v>
      </c>
      <c r="V83" s="317" t="s">
        <v>58</v>
      </c>
      <c r="W83" s="317" t="s">
        <v>63</v>
      </c>
      <c r="X83" s="317" t="s">
        <v>286</v>
      </c>
      <c r="Y83" s="321" t="s">
        <v>287</v>
      </c>
      <c r="Z83" s="317" t="s">
        <v>676</v>
      </c>
      <c r="AA83" s="317" t="s">
        <v>303</v>
      </c>
      <c r="AB83" s="321" t="s">
        <v>677</v>
      </c>
      <c r="AC83" s="317" t="s">
        <v>289</v>
      </c>
      <c r="AD83" s="321" t="s">
        <v>290</v>
      </c>
      <c r="AE83" s="322" t="n">
        <f aca="false">IFERROR(INDEX('[3]Lookup_Rem Ranges'!$D$1:$D$1048576,MATCH($AL:$AL,'[3]Lookup_Rem Ranges'!$C$1:$C$1048576,0)),0)</f>
        <v>105500</v>
      </c>
      <c r="AF83" s="322" t="n">
        <f aca="false">IFERROR(INDEX('[3]Lookup_Rem Ranges'!$E$1:$E$1048576,MATCH($AL:$AL,'[3]Lookup_Rem Ranges'!$C$1:$C$1048576,0)),0)</f>
        <v>124100</v>
      </c>
      <c r="AG83" s="322" t="n">
        <f aca="false">IFERROR(INDEX('[3]Lookup_Rem Ranges'!$F$1:$F$1048576,MATCH($AL:$AL,'[3]Lookup_Rem Ranges'!$C$1:$C$1048576,0)),)</f>
        <v>142700</v>
      </c>
      <c r="AH83" s="317" t="s">
        <v>291</v>
      </c>
      <c r="AI83" s="319"/>
      <c r="AJ83" s="323" t="n">
        <v>0</v>
      </c>
      <c r="AK83" s="316"/>
      <c r="AL83" s="324" t="str">
        <f aca="false">CONCATENATE(AM83,"",AN83)</f>
        <v>CASS6</v>
      </c>
      <c r="AM83" s="324" t="s">
        <v>292</v>
      </c>
      <c r="AN83" s="319" t="n">
        <v>6</v>
      </c>
      <c r="AO83" s="316" t="s">
        <v>358</v>
      </c>
      <c r="AP83" s="325" t="n">
        <v>124700</v>
      </c>
      <c r="AQ83" s="322" t="n">
        <f aca="false">ROUND(IF($P:$P&gt;1,$AP:$AP*1,$AP:$AP*$P:$P),0)</f>
        <v>124700</v>
      </c>
      <c r="AR83" s="322" t="n">
        <f aca="false">IF(BA83="Yes",AP83,0)</f>
        <v>0</v>
      </c>
      <c r="AS83" s="326" t="n">
        <v>0.0667236954662104</v>
      </c>
      <c r="AT83" s="326" t="n">
        <v>0</v>
      </c>
      <c r="AU83" s="327"/>
      <c r="AV83" s="322"/>
      <c r="AW83" s="328" t="n">
        <v>0</v>
      </c>
      <c r="AX83" s="322" t="n">
        <v>0</v>
      </c>
      <c r="AY83" s="322" t="n">
        <v>124700</v>
      </c>
      <c r="AZ83" s="329" t="n">
        <f aca="false">IFERROR(($AY:$AY+$AJ:$AJ+$AK:$AK)/$AF:$AF,0)</f>
        <v>1.00483481063658</v>
      </c>
      <c r="BA83" s="330" t="s">
        <v>294</v>
      </c>
      <c r="BB83" s="331" t="n">
        <v>3</v>
      </c>
      <c r="BC83" s="326" t="n">
        <f aca="false">IFERROR($BD:$BD/$AY:$AY,0)</f>
        <v>0</v>
      </c>
      <c r="BD83" s="332" t="n">
        <f aca="false">ROUND(IF($AY:$AY&lt;$AE:$AE,$AE:$AE-$AY:$AY,0),0)</f>
        <v>0</v>
      </c>
      <c r="BE83" s="333" t="n">
        <v>0</v>
      </c>
      <c r="BF83" s="334" t="n">
        <f aca="false">ROUND($AR:$AR*$BE:$BE,0)</f>
        <v>0</v>
      </c>
      <c r="BG83" s="335" t="n">
        <v>0</v>
      </c>
      <c r="BH83" s="336" t="n">
        <f aca="false">ROUND($AR:$AR*$BG:$BG,0)</f>
        <v>0</v>
      </c>
      <c r="BI83" s="333" t="n">
        <v>0</v>
      </c>
      <c r="BJ83" s="334" t="n">
        <f aca="false">ROUND($AR:$AR*$BI:$BI,0)</f>
        <v>0</v>
      </c>
      <c r="BK83" s="334" t="n">
        <f aca="false">ROUND(IF($P:$P&gt;1,$BJ:$BJ*1,$BJ:$BJ*$P:$P),0)</f>
        <v>0</v>
      </c>
      <c r="BL83" s="337"/>
      <c r="BM83" s="338" t="n">
        <f aca="false">$BC:$BC+$BE:$BE+$BG:$BG</f>
        <v>0</v>
      </c>
      <c r="BN83" s="339" t="n">
        <f aca="false">$BD:$BD+$BF:$BF+$BH:$BH</f>
        <v>0</v>
      </c>
      <c r="BO83" s="340" t="n">
        <f aca="false">IFERROR(ROUND($AY:$AY+$BN:$BN,0),0)</f>
        <v>124700</v>
      </c>
      <c r="BP83" s="341" t="n">
        <f aca="false">ROUND(IF(SUM($BO:$BO&lt;249080),SUM(ROUND($BO:$BO*11%,0)),27398.8),0)</f>
        <v>13717</v>
      </c>
      <c r="BQ83" s="342" t="n">
        <f aca="false">$BO:$BO+$BP:$BP</f>
        <v>138417</v>
      </c>
      <c r="BR83" s="329" t="n">
        <f aca="false">IFERROR(($BO:$BO+$AJ:$AJ+$AK:$AK)/$AF:$AF,0)</f>
        <v>1.00483481063658</v>
      </c>
      <c r="BS83" s="343" t="n">
        <f aca="false">IF($N:$N="CASUAL","TBC",ROUND($BN:$BN/(NETWORKDAYS("01/07/2023","30/06/2024"))*NETWORKDAYS("10/07/2023","04/09/2023"),0)*$P:$P)</f>
        <v>0</v>
      </c>
      <c r="BT83" s="326" t="n">
        <f aca="false">$BM83+$BI83</f>
        <v>0</v>
      </c>
      <c r="BU83" s="332" t="n">
        <f aca="false">$BN:$BN+$BJ:$BJ</f>
        <v>0</v>
      </c>
      <c r="BV83" s="342" t="n">
        <f aca="false">$BO:$BO*$P:$P</f>
        <v>124700</v>
      </c>
      <c r="BW83" s="344" t="n">
        <f aca="false">ROUND($BO:$BO/1976,2)</f>
        <v>63.11</v>
      </c>
      <c r="BX83" s="316"/>
      <c r="BY83" s="342" t="n">
        <f aca="false">$BQ:$BQ+$BX:$BX</f>
        <v>138417</v>
      </c>
      <c r="BZ83" s="345" t="s">
        <v>294</v>
      </c>
      <c r="CA83" s="316"/>
      <c r="CB83" s="316"/>
      <c r="CC83" s="324" t="str">
        <f aca="false">CONCATENATE(CD83,"",CE83)</f>
        <v/>
      </c>
      <c r="CD83" s="319"/>
      <c r="CE83" s="319"/>
      <c r="CF83" s="322" t="str">
        <f aca="false">IFERROR(INDEX('[4]Lookup_Rem Ranges'!$D$1:$D$1048576,MATCH($CC:$CC,'[4]Lookup_Rem Ranges'!$C$1:$C$1048576,0)),"")</f>
        <v/>
      </c>
      <c r="CG83" s="346"/>
      <c r="CH83" s="346"/>
      <c r="CI83" s="347"/>
      <c r="CJ83" s="348"/>
      <c r="CK83" s="342" t="n">
        <f aca="false">IFERROR(ROUND($CI:$CI*$CJ:$CJ,0),0)</f>
        <v>0</v>
      </c>
      <c r="CL83" s="342" t="n">
        <f aca="false">$CI:$CI+$CK:$CK</f>
        <v>0</v>
      </c>
      <c r="CM83" s="349"/>
      <c r="CN83" s="350" t="n">
        <f aca="false">IF(SUM($CL:$CL&lt;249080),SUM(ROUND($CL:$CL*11%,0)),27398.8)</f>
        <v>0</v>
      </c>
      <c r="CO83" s="350" t="s">
        <v>324</v>
      </c>
      <c r="CP83" s="351" t="n">
        <f aca="false">IF(BA83="Yes",3.25%,0)</f>
        <v>0</v>
      </c>
      <c r="CQ83" s="352" t="n">
        <f aca="false">ROUND(AR83*CP83,0)</f>
        <v>0</v>
      </c>
      <c r="CR83" s="353" t="n">
        <f aca="false">IF($AW:$AW&lt;3.25%,$AW:$AW,3.25%)</f>
        <v>0</v>
      </c>
      <c r="CS83" s="354" t="n">
        <f aca="false">ROUND($AR:$AR*$CR:$CR,0)</f>
        <v>0</v>
      </c>
      <c r="CT83" s="353" t="n">
        <f aca="false">IF($AW:$AW&gt;=3.25%,$AW:$AW-$CR:$CR,0)</f>
        <v>0</v>
      </c>
      <c r="CU83" s="354" t="n">
        <f aca="false">ROUND($AR:$AR*$CT:$CT,0)</f>
        <v>0</v>
      </c>
      <c r="CV83" s="353" t="n">
        <f aca="false">IF($CR:$CR=3.25%,0,IF($BC:$BC&lt;3.25%,$BC:$BC,IF($BC:$BC&gt;3.25%,3.25%-$CR:$CR,0)))</f>
        <v>0</v>
      </c>
      <c r="CW83" s="354" t="n">
        <f aca="false">IFERROR(ROUND($AY:$AY*$CV:$CV,0),0)</f>
        <v>0</v>
      </c>
      <c r="CX83" s="353" t="n">
        <f aca="false">IF($CV:$CV=0,$BC:$BC,BC:BC-$CV:$CV)</f>
        <v>0</v>
      </c>
      <c r="CY83" s="354" t="n">
        <f aca="false">IFERROR(ROUND($AY:$AY*$CX:$CX,0),0)</f>
        <v>0</v>
      </c>
      <c r="CZ83" s="353" t="n">
        <f aca="false">$CR:$CR+$CT:CT+$CV:$CV+$CX:$CX</f>
        <v>0</v>
      </c>
      <c r="DA83" s="353" t="n">
        <f aca="false">(SUM($AW:$AW+$BC:$BC)-$CZ:$CZ)</f>
        <v>0</v>
      </c>
      <c r="DB83" s="353"/>
      <c r="DC83" s="353" t="n">
        <f aca="false">$BE:$BE</f>
        <v>0</v>
      </c>
      <c r="DD83" s="354" t="n">
        <f aca="false">$BF:$BF</f>
        <v>0</v>
      </c>
      <c r="DE83" s="355" t="n">
        <f aca="false">$BI:$BI</f>
        <v>0</v>
      </c>
      <c r="DF83" s="354" t="n">
        <f aca="false">$BJ:$BJ</f>
        <v>0</v>
      </c>
      <c r="DG83" s="355" t="n">
        <f aca="false">$BG:$BG</f>
        <v>0</v>
      </c>
      <c r="DH83" s="354" t="n">
        <f aca="false">IFERROR(ROUND($AP:$AP*$DG:$DG,0),0)</f>
        <v>0</v>
      </c>
      <c r="DI83" s="353" t="n">
        <f aca="false">$CR:$CR+$CV:$CV+$DC:$DC+$DE:$DE+$DG:$DG</f>
        <v>0</v>
      </c>
      <c r="DJ83" s="354" t="n">
        <f aca="false">$CS:$CS+$CW:$CW+$DD:$DD+$DF:$DF+$DH:$DH</f>
        <v>0</v>
      </c>
      <c r="DK83" s="353" t="n">
        <f aca="false">$CT:$CT+$CX:$CX</f>
        <v>0</v>
      </c>
      <c r="DL83" s="354" t="n">
        <f aca="false">$CU:$CU+$CY:$CY</f>
        <v>0</v>
      </c>
      <c r="DM83" s="356"/>
      <c r="DN83" s="357"/>
      <c r="DO83" s="357"/>
      <c r="DP83" s="357"/>
      <c r="DQ83" s="357"/>
      <c r="DR83" s="357"/>
      <c r="DS83" s="357"/>
      <c r="DT83" s="357"/>
      <c r="DU83" s="357"/>
      <c r="DV83" s="357"/>
      <c r="DW83" s="357" t="s">
        <v>498</v>
      </c>
    </row>
    <row r="84" customFormat="false" ht="36" hidden="false" customHeight="false" outlineLevel="0" collapsed="false">
      <c r="A84" s="314"/>
      <c r="B84" s="315" t="s">
        <v>273</v>
      </c>
      <c r="C84" s="315" t="s">
        <v>708</v>
      </c>
      <c r="D84" s="315" t="n">
        <v>20165</v>
      </c>
      <c r="E84" s="316" t="s">
        <v>709</v>
      </c>
      <c r="F84" s="316" t="s">
        <v>710</v>
      </c>
      <c r="G84" s="316" t="s">
        <v>300</v>
      </c>
      <c r="H84" s="317" t="s">
        <v>711</v>
      </c>
      <c r="I84" s="316" t="s">
        <v>706</v>
      </c>
      <c r="J84" s="316" t="s">
        <v>707</v>
      </c>
      <c r="K84" s="318" t="n">
        <v>44404</v>
      </c>
      <c r="L84" s="318"/>
      <c r="M84" s="318" t="n">
        <v>44641</v>
      </c>
      <c r="N84" s="319" t="s">
        <v>281</v>
      </c>
      <c r="O84" s="319" t="n">
        <v>38</v>
      </c>
      <c r="P84" s="320" t="n">
        <f aca="false">$O:$O/38</f>
        <v>1</v>
      </c>
      <c r="Q84" s="316" t="s">
        <v>304</v>
      </c>
      <c r="R84" s="316" t="n">
        <v>19124</v>
      </c>
      <c r="S84" s="316" t="s">
        <v>676</v>
      </c>
      <c r="T84" s="316" t="s">
        <v>302</v>
      </c>
      <c r="U84" s="316" t="s">
        <v>303</v>
      </c>
      <c r="V84" s="317" t="s">
        <v>58</v>
      </c>
      <c r="W84" s="317" t="s">
        <v>63</v>
      </c>
      <c r="X84" s="317" t="s">
        <v>286</v>
      </c>
      <c r="Y84" s="321" t="s">
        <v>287</v>
      </c>
      <c r="Z84" s="317" t="s">
        <v>676</v>
      </c>
      <c r="AA84" s="317" t="s">
        <v>303</v>
      </c>
      <c r="AB84" s="321" t="s">
        <v>677</v>
      </c>
      <c r="AC84" s="317" t="s">
        <v>289</v>
      </c>
      <c r="AD84" s="321" t="s">
        <v>290</v>
      </c>
      <c r="AE84" s="322" t="n">
        <f aca="false">IFERROR(INDEX('[3]Lookup_Rem Ranges'!$D$1:$D$1048576,MATCH($AL:$AL,'[3]Lookup_Rem Ranges'!$C$1:$C$1048576,0)),0)</f>
        <v>133400</v>
      </c>
      <c r="AF84" s="322" t="n">
        <f aca="false">IFERROR(INDEX('[3]Lookup_Rem Ranges'!$E$1:$E$1048576,MATCH($AL:$AL,'[3]Lookup_Rem Ranges'!$C$1:$C$1048576,0)),0)</f>
        <v>156900</v>
      </c>
      <c r="AG84" s="322" t="n">
        <f aca="false">IFERROR(INDEX('[3]Lookup_Rem Ranges'!$F$1:$F$1048576,MATCH($AL:$AL,'[3]Lookup_Rem Ranges'!$C$1:$C$1048576,0)),)</f>
        <v>180400</v>
      </c>
      <c r="AH84" s="317" t="s">
        <v>291</v>
      </c>
      <c r="AI84" s="319"/>
      <c r="AJ84" s="323" t="n">
        <v>0</v>
      </c>
      <c r="AK84" s="316"/>
      <c r="AL84" s="324" t="str">
        <f aca="false">CONCATENATE(AM84,"",AN84)</f>
        <v>CASS7</v>
      </c>
      <c r="AM84" s="324" t="s">
        <v>292</v>
      </c>
      <c r="AN84" s="319" t="n">
        <v>7</v>
      </c>
      <c r="AO84" s="316" t="s">
        <v>712</v>
      </c>
      <c r="AP84" s="325" t="n">
        <v>130700</v>
      </c>
      <c r="AQ84" s="322" t="n">
        <f aca="false">ROUND(IF($P:$P&gt;1,$AP:$AP*1,$AP:$AP*$P:$P),0)</f>
        <v>130700</v>
      </c>
      <c r="AR84" s="322" t="n">
        <f aca="false">IF(BA84="Yes",AP84,0)</f>
        <v>130700</v>
      </c>
      <c r="AS84" s="326" t="n">
        <v>0.0456</v>
      </c>
      <c r="AT84" s="326" t="n">
        <v>0</v>
      </c>
      <c r="AU84" s="327"/>
      <c r="AV84" s="322"/>
      <c r="AW84" s="328" t="n">
        <v>0</v>
      </c>
      <c r="AX84" s="322" t="n">
        <v>0</v>
      </c>
      <c r="AY84" s="322" t="n">
        <v>130700</v>
      </c>
      <c r="AZ84" s="329" t="n">
        <f aca="false">IFERROR(($AY:$AY+$AJ:$AJ+$AK:$AK)/$AF:$AF,0)</f>
        <v>0.833014659018483</v>
      </c>
      <c r="BA84" s="330" t="s">
        <v>293</v>
      </c>
      <c r="BB84" s="331" t="n">
        <v>4</v>
      </c>
      <c r="BC84" s="326" t="n">
        <f aca="false">IFERROR($BD:$BD/$AY:$AY,0)</f>
        <v>0.0206579954093344</v>
      </c>
      <c r="BD84" s="332" t="n">
        <f aca="false">ROUND(IF($AY:$AY&lt;$AE:$AE,$AE:$AE-$AY:$AY,0),0)</f>
        <v>2700</v>
      </c>
      <c r="BE84" s="333" t="n">
        <v>0.0118420045906656</v>
      </c>
      <c r="BF84" s="334" t="n">
        <f aca="false">ROUND($AR:$AR*$BE:$BE,0)</f>
        <v>1548</v>
      </c>
      <c r="BG84" s="335" t="n">
        <v>0</v>
      </c>
      <c r="BH84" s="336" t="n">
        <f aca="false">ROUND($AR:$AR*$BG:$BG,0)</f>
        <v>0</v>
      </c>
      <c r="BI84" s="333" t="n">
        <v>0</v>
      </c>
      <c r="BJ84" s="334" t="n">
        <f aca="false">ROUND($AR:$AR*$BI:$BI,0)</f>
        <v>0</v>
      </c>
      <c r="BK84" s="334" t="n">
        <f aca="false">ROUND(IF($P:$P&gt;1,$BJ:$BJ*1,$BJ:$BJ*$P:$P),0)</f>
        <v>0</v>
      </c>
      <c r="BL84" s="337"/>
      <c r="BM84" s="338" t="n">
        <f aca="false">$BC:$BC+$BE:$BE+$BG:$BG</f>
        <v>0.0325</v>
      </c>
      <c r="BN84" s="339" t="n">
        <f aca="false">$BD:$BD+$BF:$BF+$BH:$BH</f>
        <v>4248</v>
      </c>
      <c r="BO84" s="340" t="n">
        <f aca="false">IFERROR(ROUND($AY:$AY+$BN:$BN,0),0)</f>
        <v>134948</v>
      </c>
      <c r="BP84" s="341" t="n">
        <f aca="false">ROUND(IF(SUM($BO:$BO&lt;249080),SUM(ROUND($BO:$BO*11%,0)),27398.8),0)</f>
        <v>14844</v>
      </c>
      <c r="BQ84" s="342" t="n">
        <f aca="false">$BO:$BO+$BP:$BP</f>
        <v>149792</v>
      </c>
      <c r="BR84" s="329" t="n">
        <f aca="false">IFERROR(($BO:$BO+$AJ:$AJ+$AK:$AK)/$AF:$AF,0)</f>
        <v>0.860089228808158</v>
      </c>
      <c r="BS84" s="343" t="n">
        <f aca="false">IF($N:$N="CASUAL","TBC",ROUND($BN:$BN/(NETWORKDAYS("01/07/2023","30/06/2024"))*NETWORKDAYS("10/07/2023","04/09/2023"),0)*$P:$P)</f>
        <v>670</v>
      </c>
      <c r="BT84" s="326" t="n">
        <f aca="false">$BM84+$BI84</f>
        <v>0.0325</v>
      </c>
      <c r="BU84" s="332" t="n">
        <f aca="false">$BN:$BN+$BJ:$BJ</f>
        <v>4248</v>
      </c>
      <c r="BV84" s="342" t="n">
        <f aca="false">$BO:$BO*$P:$P</f>
        <v>134948</v>
      </c>
      <c r="BW84" s="344" t="n">
        <f aca="false">ROUND($BO:$BO/1976,2)</f>
        <v>68.29</v>
      </c>
      <c r="BX84" s="316"/>
      <c r="BY84" s="342" t="n">
        <f aca="false">$BQ:$BQ+$BX:$BX</f>
        <v>149792</v>
      </c>
      <c r="BZ84" s="345" t="s">
        <v>294</v>
      </c>
      <c r="CA84" s="316"/>
      <c r="CB84" s="316"/>
      <c r="CC84" s="324" t="str">
        <f aca="false">CONCATENATE(CD84,"",CE84)</f>
        <v/>
      </c>
      <c r="CD84" s="319"/>
      <c r="CE84" s="319"/>
      <c r="CF84" s="322" t="str">
        <f aca="false">IFERROR(INDEX('[4]Lookup_Rem Ranges'!$D$1:$D$1048576,MATCH($CC:$CC,'[4]Lookup_Rem Ranges'!$C$1:$C$1048576,0)),"")</f>
        <v/>
      </c>
      <c r="CG84" s="346"/>
      <c r="CH84" s="346"/>
      <c r="CI84" s="347"/>
      <c r="CJ84" s="348"/>
      <c r="CK84" s="342" t="n">
        <f aca="false">IFERROR(ROUND($CI:$CI*$CJ:$CJ,0),0)</f>
        <v>0</v>
      </c>
      <c r="CL84" s="342" t="n">
        <f aca="false">$CI:$CI+$CK:$CK</f>
        <v>0</v>
      </c>
      <c r="CM84" s="349"/>
      <c r="CN84" s="350" t="n">
        <f aca="false">IF(SUM($CL:$CL&lt;249080),SUM(ROUND($CL:$CL*11%,0)),27398.8)</f>
        <v>0</v>
      </c>
      <c r="CO84" s="350" t="s">
        <v>324</v>
      </c>
      <c r="CP84" s="351" t="n">
        <f aca="false">IF(BA84="Yes",3.25%,0)</f>
        <v>0.0325</v>
      </c>
      <c r="CQ84" s="352" t="n">
        <f aca="false">ROUND(AR84*CP84,0)</f>
        <v>4248</v>
      </c>
      <c r="CR84" s="353" t="n">
        <f aca="false">IF($AW:$AW&lt;3.25%,$AW:$AW,3.25%)</f>
        <v>0</v>
      </c>
      <c r="CS84" s="354" t="n">
        <f aca="false">ROUND($AR:$AR*$CR:$CR,0)</f>
        <v>0</v>
      </c>
      <c r="CT84" s="353" t="n">
        <f aca="false">IF($AW:$AW&gt;=3.25%,$AW:$AW-$CR:$CR,0)</f>
        <v>0</v>
      </c>
      <c r="CU84" s="354" t="n">
        <f aca="false">ROUND($AR:$AR*$CT:$CT,0)</f>
        <v>0</v>
      </c>
      <c r="CV84" s="353" t="n">
        <f aca="false">IF($CR:$CR=3.25%,0,IF($BC:$BC&lt;3.25%,$BC:$BC,IF($BC:$BC&gt;3.25%,3.25%-$CR:$CR,0)))</f>
        <v>0.0206579954093344</v>
      </c>
      <c r="CW84" s="354" t="n">
        <f aca="false">IFERROR(ROUND($AY:$AY*$CV:$CV,0),0)</f>
        <v>2700</v>
      </c>
      <c r="CX84" s="353" t="n">
        <f aca="false">IF($CV:$CV=0,$BC:$BC,BC:BC-$CV:$CV)</f>
        <v>0</v>
      </c>
      <c r="CY84" s="354" t="n">
        <f aca="false">IFERROR(ROUND($AY:$AY*$CX:$CX,0),0)</f>
        <v>0</v>
      </c>
      <c r="CZ84" s="353" t="n">
        <f aca="false">$CR:$CR+$CT:CT+$CV:$CV+$CX:$CX</f>
        <v>0.0206579954093344</v>
      </c>
      <c r="DA84" s="353" t="n">
        <f aca="false">(SUM($AW:$AW+$BC:$BC)-$CZ:$CZ)</f>
        <v>0</v>
      </c>
      <c r="DB84" s="353"/>
      <c r="DC84" s="353" t="n">
        <f aca="false">$BE:$BE</f>
        <v>0.0118420045906656</v>
      </c>
      <c r="DD84" s="354" t="n">
        <f aca="false">$BF:$BF</f>
        <v>1548</v>
      </c>
      <c r="DE84" s="355" t="n">
        <f aca="false">$BI:$BI</f>
        <v>0</v>
      </c>
      <c r="DF84" s="354" t="n">
        <f aca="false">$BJ:$BJ</f>
        <v>0</v>
      </c>
      <c r="DG84" s="355" t="n">
        <f aca="false">$BG:$BG</f>
        <v>0</v>
      </c>
      <c r="DH84" s="354" t="n">
        <f aca="false">IFERROR(ROUND($AP:$AP*$DG:$DG,0),0)</f>
        <v>0</v>
      </c>
      <c r="DI84" s="353" t="n">
        <f aca="false">$CR:$CR+$CV:$CV+$DC:$DC+$DE:$DE+$DG:$DG</f>
        <v>0.0325</v>
      </c>
      <c r="DJ84" s="354" t="n">
        <f aca="false">$CS:$CS+$CW:$CW+$DD:$DD+$DF:$DF+$DH:$DH</f>
        <v>4248</v>
      </c>
      <c r="DK84" s="353" t="n">
        <f aca="false">$CT:$CT+$CX:$CX</f>
        <v>0</v>
      </c>
      <c r="DL84" s="354" t="n">
        <f aca="false">$CU:$CU+$CY:$CY</f>
        <v>0</v>
      </c>
      <c r="DM84" s="356"/>
      <c r="DN84" s="357"/>
      <c r="DO84" s="357"/>
      <c r="DP84" s="357"/>
      <c r="DQ84" s="357"/>
      <c r="DR84" s="357"/>
      <c r="DS84" s="357"/>
      <c r="DT84" s="357"/>
      <c r="DU84" s="357"/>
      <c r="DV84" s="357"/>
      <c r="DW84" s="357" t="s">
        <v>498</v>
      </c>
    </row>
    <row r="85" customFormat="false" ht="36" hidden="false" customHeight="false" outlineLevel="0" collapsed="false">
      <c r="A85" s="314"/>
      <c r="B85" s="315" t="s">
        <v>273</v>
      </c>
      <c r="C85" s="315" t="s">
        <v>713</v>
      </c>
      <c r="D85" s="315" t="n">
        <v>18584</v>
      </c>
      <c r="E85" s="316" t="s">
        <v>714</v>
      </c>
      <c r="F85" s="316" t="s">
        <v>715</v>
      </c>
      <c r="G85" s="316" t="s">
        <v>277</v>
      </c>
      <c r="H85" s="317" t="s">
        <v>711</v>
      </c>
      <c r="I85" s="316" t="s">
        <v>716</v>
      </c>
      <c r="J85" s="316" t="s">
        <v>717</v>
      </c>
      <c r="K85" s="318" t="n">
        <v>43578</v>
      </c>
      <c r="L85" s="318"/>
      <c r="M85" s="318" t="n">
        <v>44919</v>
      </c>
      <c r="N85" s="319" t="s">
        <v>281</v>
      </c>
      <c r="O85" s="319" t="n">
        <v>38</v>
      </c>
      <c r="P85" s="320" t="n">
        <f aca="false">$O:$O/38</f>
        <v>1</v>
      </c>
      <c r="Q85" s="316" t="s">
        <v>304</v>
      </c>
      <c r="R85" s="316" t="n">
        <v>19124</v>
      </c>
      <c r="S85" s="316" t="s">
        <v>676</v>
      </c>
      <c r="T85" s="316" t="s">
        <v>302</v>
      </c>
      <c r="U85" s="316" t="s">
        <v>303</v>
      </c>
      <c r="V85" s="317" t="s">
        <v>58</v>
      </c>
      <c r="W85" s="317" t="s">
        <v>63</v>
      </c>
      <c r="X85" s="317" t="s">
        <v>286</v>
      </c>
      <c r="Y85" s="321" t="s">
        <v>287</v>
      </c>
      <c r="Z85" s="317" t="s">
        <v>676</v>
      </c>
      <c r="AA85" s="317" t="s">
        <v>303</v>
      </c>
      <c r="AB85" s="321" t="s">
        <v>677</v>
      </c>
      <c r="AC85" s="317" t="s">
        <v>289</v>
      </c>
      <c r="AD85" s="321" t="s">
        <v>290</v>
      </c>
      <c r="AE85" s="322" t="n">
        <f aca="false">IFERROR(INDEX('[3]Lookup_Rem Ranges'!$D$1:$D$1048576,MATCH($AL:$AL,'[3]Lookup_Rem Ranges'!$C$1:$C$1048576,0)),0)</f>
        <v>133400</v>
      </c>
      <c r="AF85" s="322" t="n">
        <f aca="false">IFERROR(INDEX('[3]Lookup_Rem Ranges'!$E$1:$E$1048576,MATCH($AL:$AL,'[3]Lookup_Rem Ranges'!$C$1:$C$1048576,0)),0)</f>
        <v>156900</v>
      </c>
      <c r="AG85" s="322" t="n">
        <f aca="false">IFERROR(INDEX('[3]Lookup_Rem Ranges'!$F$1:$F$1048576,MATCH($AL:$AL,'[3]Lookup_Rem Ranges'!$C$1:$C$1048576,0)),)</f>
        <v>180400</v>
      </c>
      <c r="AH85" s="317" t="s">
        <v>291</v>
      </c>
      <c r="AI85" s="319"/>
      <c r="AJ85" s="323" t="n">
        <v>0</v>
      </c>
      <c r="AK85" s="316"/>
      <c r="AL85" s="324" t="str">
        <f aca="false">CONCATENATE(AM85,"",AN85)</f>
        <v>CASS7</v>
      </c>
      <c r="AM85" s="324" t="s">
        <v>292</v>
      </c>
      <c r="AN85" s="319" t="n">
        <v>7</v>
      </c>
      <c r="AO85" s="316" t="s">
        <v>712</v>
      </c>
      <c r="AP85" s="325" t="n">
        <v>137200</v>
      </c>
      <c r="AQ85" s="322" t="n">
        <f aca="false">ROUND(IF($P:$P&gt;1,$AP:$AP*1,$AP:$AP*$P:$P),0)</f>
        <v>137200</v>
      </c>
      <c r="AR85" s="322" t="n">
        <f aca="false">IF(BA85="Yes",AP85,0)</f>
        <v>137200</v>
      </c>
      <c r="AS85" s="326" t="n">
        <v>0.0354716981132076</v>
      </c>
      <c r="AT85" s="326" t="n">
        <v>0</v>
      </c>
      <c r="AU85" s="327"/>
      <c r="AV85" s="322"/>
      <c r="AW85" s="328" t="n">
        <v>0</v>
      </c>
      <c r="AX85" s="322" t="n">
        <v>0</v>
      </c>
      <c r="AY85" s="322" t="n">
        <v>137200</v>
      </c>
      <c r="AZ85" s="329" t="n">
        <f aca="false">IFERROR(($AY:$AY+$AJ:$AJ+$AK:$AK)/$AF:$AF,0)</f>
        <v>0.874442319949012</v>
      </c>
      <c r="BA85" s="330" t="s">
        <v>293</v>
      </c>
      <c r="BB85" s="331" t="n">
        <v>3</v>
      </c>
      <c r="BC85" s="326" t="n">
        <f aca="false">IFERROR($BD:$BD/$AY:$AY,0)</f>
        <v>0</v>
      </c>
      <c r="BD85" s="332" t="n">
        <f aca="false">ROUND(IF($AY:$AY&lt;$AE:$AE,$AE:$AE-$AY:$AY,0),0)</f>
        <v>0</v>
      </c>
      <c r="BE85" s="333" t="n">
        <v>0.0325</v>
      </c>
      <c r="BF85" s="334" t="n">
        <f aca="false">ROUND($AR:$AR*$BE:$BE,0)</f>
        <v>4459</v>
      </c>
      <c r="BG85" s="335" t="n">
        <v>0</v>
      </c>
      <c r="BH85" s="336" t="n">
        <f aca="false">ROUND($AR:$AR*$BG:$BG,0)</f>
        <v>0</v>
      </c>
      <c r="BI85" s="333" t="n">
        <v>0</v>
      </c>
      <c r="BJ85" s="334" t="n">
        <f aca="false">ROUND($AR:$AR*$BI:$BI,0)</f>
        <v>0</v>
      </c>
      <c r="BK85" s="334" t="n">
        <f aca="false">ROUND(IF($P:$P&gt;1,$BJ:$BJ*1,$BJ:$BJ*$P:$P),0)</f>
        <v>0</v>
      </c>
      <c r="BL85" s="337"/>
      <c r="BM85" s="338" t="n">
        <f aca="false">$BC:$BC+$BE:$BE+$BG:$BG</f>
        <v>0.0325</v>
      </c>
      <c r="BN85" s="339" t="n">
        <f aca="false">$BD:$BD+$BF:$BF+$BH:$BH</f>
        <v>4459</v>
      </c>
      <c r="BO85" s="340" t="n">
        <f aca="false">IFERROR(ROUND($AY:$AY+$BN:$BN,0),0)</f>
        <v>141659</v>
      </c>
      <c r="BP85" s="341" t="n">
        <f aca="false">ROUND(IF(SUM($BO:$BO&lt;249080),SUM(ROUND($BO:$BO*11%,0)),27398.8),0)</f>
        <v>15582</v>
      </c>
      <c r="BQ85" s="342" t="n">
        <f aca="false">$BO:$BO+$BP:$BP</f>
        <v>157241</v>
      </c>
      <c r="BR85" s="329" t="n">
        <f aca="false">IFERROR(($BO:$BO+$AJ:$AJ+$AK:$AK)/$AF:$AF,0)</f>
        <v>0.902861695347355</v>
      </c>
      <c r="BS85" s="343" t="n">
        <f aca="false">IF($N:$N="CASUAL","TBC",ROUND($BN:$BN/(NETWORKDAYS("01/07/2023","30/06/2024"))*NETWORKDAYS("10/07/2023","04/09/2023"),0)*$P:$P)</f>
        <v>703</v>
      </c>
      <c r="BT85" s="326" t="n">
        <f aca="false">$BM85+$BI85</f>
        <v>0.0325</v>
      </c>
      <c r="BU85" s="332" t="n">
        <f aca="false">$BN:$BN+$BJ:$BJ</f>
        <v>4459</v>
      </c>
      <c r="BV85" s="342" t="n">
        <f aca="false">$BO:$BO*$P:$P</f>
        <v>141659</v>
      </c>
      <c r="BW85" s="344" t="n">
        <f aca="false">ROUND($BO:$BO/1976,2)</f>
        <v>71.69</v>
      </c>
      <c r="BX85" s="316"/>
      <c r="BY85" s="342" t="n">
        <f aca="false">$BQ:$BQ+$BX:$BX</f>
        <v>157241</v>
      </c>
      <c r="BZ85" s="345" t="s">
        <v>294</v>
      </c>
      <c r="CA85" s="316"/>
      <c r="CB85" s="316"/>
      <c r="CC85" s="324" t="str">
        <f aca="false">CONCATENATE(CD85,"",CE85)</f>
        <v/>
      </c>
      <c r="CD85" s="319"/>
      <c r="CE85" s="319"/>
      <c r="CF85" s="322" t="str">
        <f aca="false">IFERROR(INDEX('[4]Lookup_Rem Ranges'!$D$1:$D$1048576,MATCH($CC:$CC,'[4]Lookup_Rem Ranges'!$C$1:$C$1048576,0)),"")</f>
        <v/>
      </c>
      <c r="CG85" s="346"/>
      <c r="CH85" s="346"/>
      <c r="CI85" s="347"/>
      <c r="CJ85" s="348"/>
      <c r="CK85" s="342" t="n">
        <f aca="false">IFERROR(ROUND($CI:$CI*$CJ:$CJ,0),0)</f>
        <v>0</v>
      </c>
      <c r="CL85" s="342" t="n">
        <f aca="false">$CI:$CI+$CK:$CK</f>
        <v>0</v>
      </c>
      <c r="CM85" s="349"/>
      <c r="CN85" s="350" t="n">
        <f aca="false">IF(SUM($CL:$CL&lt;249080),SUM(ROUND($CL:$CL*11%,0)),27398.8)</f>
        <v>0</v>
      </c>
      <c r="CO85" s="350" t="s">
        <v>324</v>
      </c>
      <c r="CP85" s="351" t="n">
        <f aca="false">IF(BA85="Yes",3.25%,0)</f>
        <v>0.0325</v>
      </c>
      <c r="CQ85" s="352" t="n">
        <f aca="false">ROUND(AR85*CP85,0)</f>
        <v>4459</v>
      </c>
      <c r="CR85" s="353" t="n">
        <f aca="false">IF($AW:$AW&lt;3.25%,$AW:$AW,3.25%)</f>
        <v>0</v>
      </c>
      <c r="CS85" s="354" t="n">
        <f aca="false">ROUND($AR:$AR*$CR:$CR,0)</f>
        <v>0</v>
      </c>
      <c r="CT85" s="353" t="n">
        <f aca="false">IF($AW:$AW&gt;=3.25%,$AW:$AW-$CR:$CR,0)</f>
        <v>0</v>
      </c>
      <c r="CU85" s="354" t="n">
        <f aca="false">ROUND($AR:$AR*$CT:$CT,0)</f>
        <v>0</v>
      </c>
      <c r="CV85" s="353" t="n">
        <f aca="false">IF($CR:$CR=3.25%,0,IF($BC:$BC&lt;3.25%,$BC:$BC,IF($BC:$BC&gt;3.25%,3.25%-$CR:$CR,0)))</f>
        <v>0</v>
      </c>
      <c r="CW85" s="354" t="n">
        <f aca="false">IFERROR(ROUND($AY:$AY*$CV:$CV,0),0)</f>
        <v>0</v>
      </c>
      <c r="CX85" s="353" t="n">
        <f aca="false">IF($CV:$CV=0,$BC:$BC,BC:BC-$CV:$CV)</f>
        <v>0</v>
      </c>
      <c r="CY85" s="354" t="n">
        <f aca="false">IFERROR(ROUND($AY:$AY*$CX:$CX,0),0)</f>
        <v>0</v>
      </c>
      <c r="CZ85" s="353" t="n">
        <f aca="false">$CR:$CR+$CT:CT+$CV:$CV+$CX:$CX</f>
        <v>0</v>
      </c>
      <c r="DA85" s="353" t="n">
        <f aca="false">(SUM($AW:$AW+$BC:$BC)-$CZ:$CZ)</f>
        <v>0</v>
      </c>
      <c r="DB85" s="353"/>
      <c r="DC85" s="353" t="n">
        <f aca="false">$BE:$BE</f>
        <v>0.0325</v>
      </c>
      <c r="DD85" s="354" t="n">
        <f aca="false">$BF:$BF</f>
        <v>4459</v>
      </c>
      <c r="DE85" s="355" t="n">
        <f aca="false">$BI:$BI</f>
        <v>0</v>
      </c>
      <c r="DF85" s="354" t="n">
        <f aca="false">$BJ:$BJ</f>
        <v>0</v>
      </c>
      <c r="DG85" s="355" t="n">
        <f aca="false">$BG:$BG</f>
        <v>0</v>
      </c>
      <c r="DH85" s="354" t="n">
        <f aca="false">IFERROR(ROUND($AP:$AP*$DG:$DG,0),0)</f>
        <v>0</v>
      </c>
      <c r="DI85" s="353" t="n">
        <f aca="false">$CR:$CR+$CV:$CV+$DC:$DC+$DE:$DE+$DG:$DG</f>
        <v>0.0325</v>
      </c>
      <c r="DJ85" s="354" t="n">
        <f aca="false">$CS:$CS+$CW:$CW+$DD:$DD+$DF:$DF+$DH:$DH</f>
        <v>4459</v>
      </c>
      <c r="DK85" s="353" t="n">
        <f aca="false">$CT:$CT+$CX:$CX</f>
        <v>0</v>
      </c>
      <c r="DL85" s="354" t="n">
        <f aca="false">$CU:$CU+$CY:$CY</f>
        <v>0</v>
      </c>
      <c r="DM85" s="356"/>
      <c r="DN85" s="357"/>
      <c r="DO85" s="357"/>
      <c r="DP85" s="357"/>
      <c r="DQ85" s="357"/>
      <c r="DR85" s="357"/>
      <c r="DS85" s="357"/>
      <c r="DT85" s="357"/>
      <c r="DU85" s="357"/>
      <c r="DV85" s="357"/>
      <c r="DW85" s="357" t="s">
        <v>498</v>
      </c>
    </row>
    <row r="86" customFormat="false" ht="36" hidden="false" customHeight="false" outlineLevel="0" collapsed="false">
      <c r="A86" s="314"/>
      <c r="B86" s="315" t="s">
        <v>273</v>
      </c>
      <c r="C86" s="315" t="s">
        <v>718</v>
      </c>
      <c r="D86" s="315" t="n">
        <v>20556</v>
      </c>
      <c r="E86" s="316" t="s">
        <v>719</v>
      </c>
      <c r="F86" s="316" t="s">
        <v>720</v>
      </c>
      <c r="G86" s="316" t="s">
        <v>300</v>
      </c>
      <c r="H86" s="317" t="s">
        <v>711</v>
      </c>
      <c r="I86" s="316" t="s">
        <v>721</v>
      </c>
      <c r="J86" s="316" t="s">
        <v>722</v>
      </c>
      <c r="K86" s="318" t="n">
        <v>44578</v>
      </c>
      <c r="L86" s="318"/>
      <c r="M86" s="318" t="n">
        <v>44956</v>
      </c>
      <c r="N86" s="319" t="s">
        <v>281</v>
      </c>
      <c r="O86" s="319" t="n">
        <v>38</v>
      </c>
      <c r="P86" s="320" t="n">
        <f aca="false">$O:$O/38</f>
        <v>1</v>
      </c>
      <c r="Q86" s="316" t="s">
        <v>304</v>
      </c>
      <c r="R86" s="316" t="n">
        <v>19124</v>
      </c>
      <c r="S86" s="316" t="s">
        <v>676</v>
      </c>
      <c r="T86" s="316" t="s">
        <v>302</v>
      </c>
      <c r="U86" s="316" t="s">
        <v>303</v>
      </c>
      <c r="V86" s="317" t="s">
        <v>58</v>
      </c>
      <c r="W86" s="317" t="s">
        <v>63</v>
      </c>
      <c r="X86" s="317" t="s">
        <v>286</v>
      </c>
      <c r="Y86" s="321" t="s">
        <v>287</v>
      </c>
      <c r="Z86" s="317" t="s">
        <v>676</v>
      </c>
      <c r="AA86" s="317" t="s">
        <v>303</v>
      </c>
      <c r="AB86" s="321" t="s">
        <v>677</v>
      </c>
      <c r="AC86" s="317" t="s">
        <v>289</v>
      </c>
      <c r="AD86" s="321" t="s">
        <v>290</v>
      </c>
      <c r="AE86" s="322" t="n">
        <f aca="false">IFERROR(INDEX('[3]Lookup_Rem Ranges'!$D$1:$D$1048576,MATCH($AL:$AL,'[3]Lookup_Rem Ranges'!$C$1:$C$1048576,0)),0)</f>
        <v>133400</v>
      </c>
      <c r="AF86" s="322" t="n">
        <f aca="false">IFERROR(INDEX('[3]Lookup_Rem Ranges'!$E$1:$E$1048576,MATCH($AL:$AL,'[3]Lookup_Rem Ranges'!$C$1:$C$1048576,0)),0)</f>
        <v>156900</v>
      </c>
      <c r="AG86" s="322" t="n">
        <f aca="false">IFERROR(INDEX('[3]Lookup_Rem Ranges'!$F$1:$F$1048576,MATCH($AL:$AL,'[3]Lookup_Rem Ranges'!$C$1:$C$1048576,0)),)</f>
        <v>180400</v>
      </c>
      <c r="AH86" s="317" t="s">
        <v>291</v>
      </c>
      <c r="AI86" s="319"/>
      <c r="AJ86" s="323" t="n">
        <v>0</v>
      </c>
      <c r="AK86" s="316"/>
      <c r="AL86" s="324" t="str">
        <f aca="false">CONCATENATE(AM86,"",AN86)</f>
        <v>CASS7</v>
      </c>
      <c r="AM86" s="324" t="s">
        <v>292</v>
      </c>
      <c r="AN86" s="319" t="n">
        <v>7</v>
      </c>
      <c r="AO86" s="316" t="s">
        <v>712</v>
      </c>
      <c r="AP86" s="325" t="n">
        <v>159700</v>
      </c>
      <c r="AQ86" s="322" t="n">
        <f aca="false">ROUND(IF($P:$P&gt;1,$AP:$AP*1,$AP:$AP*$P:$P),0)</f>
        <v>159700</v>
      </c>
      <c r="AR86" s="322" t="n">
        <f aca="false">IF(BA86="Yes",AP86,0)</f>
        <v>159700</v>
      </c>
      <c r="AS86" s="326" t="n">
        <v>0.0303225806451613</v>
      </c>
      <c r="AT86" s="326" t="n">
        <v>0</v>
      </c>
      <c r="AU86" s="327"/>
      <c r="AV86" s="322"/>
      <c r="AW86" s="328" t="n">
        <v>0</v>
      </c>
      <c r="AX86" s="322" t="n">
        <v>0</v>
      </c>
      <c r="AY86" s="322" t="n">
        <v>159700</v>
      </c>
      <c r="AZ86" s="329" t="n">
        <f aca="false">IFERROR(($AY:$AY+$AJ:$AJ+$AK:$AK)/$AF:$AF,0)</f>
        <v>1.01784576163161</v>
      </c>
      <c r="BA86" s="330" t="s">
        <v>293</v>
      </c>
      <c r="BB86" s="331" t="n">
        <v>4</v>
      </c>
      <c r="BC86" s="326" t="n">
        <f aca="false">IFERROR($BD:$BD/$AY:$AY,0)</f>
        <v>0</v>
      </c>
      <c r="BD86" s="332" t="n">
        <f aca="false">ROUND(IF($AY:$AY&lt;$AE:$AE,$AE:$AE-$AY:$AY,0),0)</f>
        <v>0</v>
      </c>
      <c r="BE86" s="333" t="n">
        <v>0.0325</v>
      </c>
      <c r="BF86" s="334" t="n">
        <f aca="false">ROUND($AR:$AR*$BE:$BE,0)</f>
        <v>5190</v>
      </c>
      <c r="BG86" s="335" t="n">
        <v>0</v>
      </c>
      <c r="BH86" s="336" t="n">
        <f aca="false">ROUND($AR:$AR*$BG:$BG,0)</f>
        <v>0</v>
      </c>
      <c r="BI86" s="333" t="n">
        <v>0</v>
      </c>
      <c r="BJ86" s="334" t="n">
        <f aca="false">ROUND($AR:$AR*$BI:$BI,0)</f>
        <v>0</v>
      </c>
      <c r="BK86" s="334" t="n">
        <f aca="false">ROUND(IF($P:$P&gt;1,$BJ:$BJ*1,$BJ:$BJ*$P:$P),0)</f>
        <v>0</v>
      </c>
      <c r="BL86" s="337"/>
      <c r="BM86" s="338" t="n">
        <f aca="false">$BC:$BC+$BE:$BE+$BG:$BG</f>
        <v>0.0325</v>
      </c>
      <c r="BN86" s="339" t="n">
        <f aca="false">$BD:$BD+$BF:$BF+$BH:$BH</f>
        <v>5190</v>
      </c>
      <c r="BO86" s="340" t="n">
        <f aca="false">IFERROR(ROUND($AY:$AY+$BN:$BN,0),0)</f>
        <v>164890</v>
      </c>
      <c r="BP86" s="341" t="n">
        <f aca="false">ROUND(IF(SUM($BO:$BO&lt;249080),SUM(ROUND($BO:$BO*11%,0)),27398.8),0)</f>
        <v>18138</v>
      </c>
      <c r="BQ86" s="342" t="n">
        <f aca="false">$BO:$BO+$BP:$BP</f>
        <v>183028</v>
      </c>
      <c r="BR86" s="329" t="n">
        <f aca="false">IFERROR(($BO:$BO+$AJ:$AJ+$AK:$AK)/$AF:$AF,0)</f>
        <v>1.05092415551307</v>
      </c>
      <c r="BS86" s="343" t="n">
        <f aca="false">IF($N:$N="CASUAL","TBC",ROUND($BN:$BN/(NETWORKDAYS("01/07/2023","30/06/2024"))*NETWORKDAYS("10/07/2023","04/09/2023"),0)*$P:$P)</f>
        <v>818</v>
      </c>
      <c r="BT86" s="326" t="n">
        <f aca="false">$BM86+$BI86</f>
        <v>0.0325</v>
      </c>
      <c r="BU86" s="332" t="n">
        <f aca="false">$BN:$BN+$BJ:$BJ</f>
        <v>5190</v>
      </c>
      <c r="BV86" s="342" t="n">
        <f aca="false">$BO:$BO*$P:$P</f>
        <v>164890</v>
      </c>
      <c r="BW86" s="344" t="n">
        <f aca="false">ROUND($BO:$BO/1976,2)</f>
        <v>83.45</v>
      </c>
      <c r="BX86" s="316"/>
      <c r="BY86" s="342" t="n">
        <f aca="false">$BQ:$BQ+$BX:$BX</f>
        <v>183028</v>
      </c>
      <c r="BZ86" s="345" t="s">
        <v>294</v>
      </c>
      <c r="CA86" s="316"/>
      <c r="CB86" s="316"/>
      <c r="CC86" s="324" t="str">
        <f aca="false">CONCATENATE(CD86,"",CE86)</f>
        <v/>
      </c>
      <c r="CD86" s="319"/>
      <c r="CE86" s="319"/>
      <c r="CF86" s="322" t="str">
        <f aca="false">IFERROR(INDEX('[4]Lookup_Rem Ranges'!$D$1:$D$1048576,MATCH($CC:$CC,'[4]Lookup_Rem Ranges'!$C$1:$C$1048576,0)),"")</f>
        <v/>
      </c>
      <c r="CG86" s="346"/>
      <c r="CH86" s="346"/>
      <c r="CI86" s="347"/>
      <c r="CJ86" s="348"/>
      <c r="CK86" s="342" t="n">
        <f aca="false">IFERROR(ROUND($CI:$CI*$CJ:$CJ,0),0)</f>
        <v>0</v>
      </c>
      <c r="CL86" s="342" t="n">
        <f aca="false">$CI:$CI+$CK:$CK</f>
        <v>0</v>
      </c>
      <c r="CM86" s="349"/>
      <c r="CN86" s="350" t="n">
        <f aca="false">IF(SUM($CL:$CL&lt;249080),SUM(ROUND($CL:$CL*11%,0)),27398.8)</f>
        <v>0</v>
      </c>
      <c r="CO86" s="350" t="s">
        <v>305</v>
      </c>
      <c r="CP86" s="351" t="n">
        <f aca="false">IF(BA86="Yes",3.25%,0)</f>
        <v>0.0325</v>
      </c>
      <c r="CQ86" s="352" t="n">
        <f aca="false">ROUND(AR86*CP86,0)</f>
        <v>5190</v>
      </c>
      <c r="CR86" s="353" t="n">
        <f aca="false">IF($AW:$AW&lt;3.25%,$AW:$AW,3.25%)</f>
        <v>0</v>
      </c>
      <c r="CS86" s="354" t="n">
        <f aca="false">ROUND($AR:$AR*$CR:$CR,0)</f>
        <v>0</v>
      </c>
      <c r="CT86" s="353" t="n">
        <f aca="false">IF($AW:$AW&gt;=3.25%,$AW:$AW-$CR:$CR,0)</f>
        <v>0</v>
      </c>
      <c r="CU86" s="354" t="n">
        <f aca="false">ROUND($AR:$AR*$CT:$CT,0)</f>
        <v>0</v>
      </c>
      <c r="CV86" s="353" t="n">
        <f aca="false">IF($CR:$CR=3.25%,0,IF($BC:$BC&lt;3.25%,$BC:$BC,IF($BC:$BC&gt;3.25%,3.25%-$CR:$CR,0)))</f>
        <v>0</v>
      </c>
      <c r="CW86" s="354" t="n">
        <f aca="false">IFERROR(ROUND($AY:$AY*$CV:$CV,0),0)</f>
        <v>0</v>
      </c>
      <c r="CX86" s="353" t="n">
        <f aca="false">IF($CV:$CV=0,$BC:$BC,BC:BC-$CV:$CV)</f>
        <v>0</v>
      </c>
      <c r="CY86" s="354" t="n">
        <f aca="false">IFERROR(ROUND($AY:$AY*$CX:$CX,0),0)</f>
        <v>0</v>
      </c>
      <c r="CZ86" s="353" t="n">
        <f aca="false">$CR:$CR+$CT:CT+$CV:$CV+$CX:$CX</f>
        <v>0</v>
      </c>
      <c r="DA86" s="353" t="n">
        <f aca="false">(SUM($AW:$AW+$BC:$BC)-$CZ:$CZ)</f>
        <v>0</v>
      </c>
      <c r="DB86" s="353"/>
      <c r="DC86" s="353" t="n">
        <f aca="false">$BE:$BE</f>
        <v>0.0325</v>
      </c>
      <c r="DD86" s="354" t="n">
        <f aca="false">$BF:$BF</f>
        <v>5190</v>
      </c>
      <c r="DE86" s="355" t="n">
        <f aca="false">$BI:$BI</f>
        <v>0</v>
      </c>
      <c r="DF86" s="354" t="n">
        <f aca="false">$BJ:$BJ</f>
        <v>0</v>
      </c>
      <c r="DG86" s="355" t="n">
        <f aca="false">$BG:$BG</f>
        <v>0</v>
      </c>
      <c r="DH86" s="354" t="n">
        <f aca="false">IFERROR(ROUND($AP:$AP*$DG:$DG,0),0)</f>
        <v>0</v>
      </c>
      <c r="DI86" s="353" t="n">
        <f aca="false">$CR:$CR+$CV:$CV+$DC:$DC+$DE:$DE+$DG:$DG</f>
        <v>0.0325</v>
      </c>
      <c r="DJ86" s="354" t="n">
        <f aca="false">$CS:$CS+$CW:$CW+$DD:$DD+$DF:$DF+$DH:$DH</f>
        <v>5190</v>
      </c>
      <c r="DK86" s="353" t="n">
        <f aca="false">$CT:$CT+$CX:$CX</f>
        <v>0</v>
      </c>
      <c r="DL86" s="354" t="n">
        <f aca="false">$CU:$CU+$CY:$CY</f>
        <v>0</v>
      </c>
      <c r="DM86" s="356"/>
      <c r="DN86" s="357"/>
      <c r="DO86" s="357"/>
      <c r="DP86" s="357"/>
      <c r="DQ86" s="357"/>
      <c r="DR86" s="357"/>
      <c r="DS86" s="357"/>
      <c r="DT86" s="357"/>
      <c r="DU86" s="357"/>
      <c r="DV86" s="357"/>
      <c r="DW86" s="357" t="s">
        <v>498</v>
      </c>
    </row>
    <row r="87" customFormat="false" ht="24" hidden="false" customHeight="false" outlineLevel="0" collapsed="false">
      <c r="A87" s="314"/>
      <c r="B87" s="315" t="s">
        <v>273</v>
      </c>
      <c r="C87" s="315" t="s">
        <v>723</v>
      </c>
      <c r="D87" s="315" t="n">
        <v>20132</v>
      </c>
      <c r="E87" s="316" t="s">
        <v>724</v>
      </c>
      <c r="F87" s="316" t="s">
        <v>725</v>
      </c>
      <c r="G87" s="316" t="s">
        <v>300</v>
      </c>
      <c r="H87" s="317" t="s">
        <v>711</v>
      </c>
      <c r="I87" s="316" t="s">
        <v>696</v>
      </c>
      <c r="J87" s="316" t="s">
        <v>697</v>
      </c>
      <c r="K87" s="318" t="n">
        <v>44396</v>
      </c>
      <c r="L87" s="318"/>
      <c r="M87" s="318" t="n">
        <v>44641</v>
      </c>
      <c r="N87" s="319" t="s">
        <v>281</v>
      </c>
      <c r="O87" s="319" t="n">
        <v>38</v>
      </c>
      <c r="P87" s="320" t="n">
        <f aca="false">$O:$O/38</f>
        <v>1</v>
      </c>
      <c r="Q87" s="316" t="s">
        <v>304</v>
      </c>
      <c r="R87" s="316" t="n">
        <v>19124</v>
      </c>
      <c r="S87" s="316" t="s">
        <v>676</v>
      </c>
      <c r="T87" s="316" t="s">
        <v>302</v>
      </c>
      <c r="U87" s="316" t="s">
        <v>303</v>
      </c>
      <c r="V87" s="317" t="s">
        <v>58</v>
      </c>
      <c r="W87" s="317" t="s">
        <v>63</v>
      </c>
      <c r="X87" s="317" t="s">
        <v>286</v>
      </c>
      <c r="Y87" s="321" t="s">
        <v>287</v>
      </c>
      <c r="Z87" s="317" t="s">
        <v>676</v>
      </c>
      <c r="AA87" s="317" t="s">
        <v>303</v>
      </c>
      <c r="AB87" s="321" t="s">
        <v>677</v>
      </c>
      <c r="AC87" s="317" t="s">
        <v>289</v>
      </c>
      <c r="AD87" s="321" t="s">
        <v>290</v>
      </c>
      <c r="AE87" s="322" t="n">
        <f aca="false">IFERROR(INDEX('[3]Lookup_Rem Ranges'!$D$1:$D$1048576,MATCH($AL:$AL,'[3]Lookup_Rem Ranges'!$C$1:$C$1048576,0)),0)</f>
        <v>133400</v>
      </c>
      <c r="AF87" s="322" t="n">
        <f aca="false">IFERROR(INDEX('[3]Lookup_Rem Ranges'!$E$1:$E$1048576,MATCH($AL:$AL,'[3]Lookup_Rem Ranges'!$C$1:$C$1048576,0)),0)</f>
        <v>156900</v>
      </c>
      <c r="AG87" s="322" t="n">
        <f aca="false">IFERROR(INDEX('[3]Lookup_Rem Ranges'!$F$1:$F$1048576,MATCH($AL:$AL,'[3]Lookup_Rem Ranges'!$C$1:$C$1048576,0)),)</f>
        <v>180400</v>
      </c>
      <c r="AH87" s="317" t="s">
        <v>291</v>
      </c>
      <c r="AI87" s="319"/>
      <c r="AJ87" s="323" t="n">
        <v>0</v>
      </c>
      <c r="AK87" s="316"/>
      <c r="AL87" s="324" t="str">
        <f aca="false">CONCATENATE(AM87,"",AN87)</f>
        <v>CASS7</v>
      </c>
      <c r="AM87" s="324" t="s">
        <v>292</v>
      </c>
      <c r="AN87" s="319" t="n">
        <v>7</v>
      </c>
      <c r="AO87" s="316"/>
      <c r="AP87" s="325" t="n">
        <v>133800</v>
      </c>
      <c r="AQ87" s="322" t="n">
        <f aca="false">ROUND(IF($P:$P&gt;1,$AP:$AP*1,$AP:$AP*$P:$P),0)</f>
        <v>133800</v>
      </c>
      <c r="AR87" s="322" t="n">
        <f aca="false">IF(BA87="Yes",AP87,0)</f>
        <v>133800</v>
      </c>
      <c r="AS87" s="326" t="n">
        <v>0.0704</v>
      </c>
      <c r="AT87" s="326" t="n">
        <v>0</v>
      </c>
      <c r="AU87" s="327"/>
      <c r="AV87" s="322"/>
      <c r="AW87" s="328" t="n">
        <v>0</v>
      </c>
      <c r="AX87" s="322" t="n">
        <v>0</v>
      </c>
      <c r="AY87" s="322" t="n">
        <v>133800</v>
      </c>
      <c r="AZ87" s="329" t="n">
        <f aca="false">IFERROR(($AY:$AY+$AJ:$AJ+$AK:$AK)/$AF:$AF,0)</f>
        <v>0.852772466539197</v>
      </c>
      <c r="BA87" s="330" t="s">
        <v>293</v>
      </c>
      <c r="BB87" s="331" t="n">
        <v>3</v>
      </c>
      <c r="BC87" s="326" t="n">
        <f aca="false">IFERROR($BD:$BD/$AY:$AY,0)</f>
        <v>0</v>
      </c>
      <c r="BD87" s="332" t="n">
        <f aca="false">ROUND(IF($AY:$AY&lt;$AE:$AE,$AE:$AE-$AY:$AY,0),0)</f>
        <v>0</v>
      </c>
      <c r="BE87" s="333" t="n">
        <v>0.0325</v>
      </c>
      <c r="BF87" s="334" t="n">
        <f aca="false">ROUND($AR:$AR*$BE:$BE,0)</f>
        <v>4349</v>
      </c>
      <c r="BG87" s="335" t="n">
        <v>0</v>
      </c>
      <c r="BH87" s="336" t="n">
        <f aca="false">ROUND($AR:$AR*$BG:$BG,0)</f>
        <v>0</v>
      </c>
      <c r="BI87" s="333" t="n">
        <v>0</v>
      </c>
      <c r="BJ87" s="334" t="n">
        <f aca="false">ROUND($AR:$AR*$BI:$BI,0)</f>
        <v>0</v>
      </c>
      <c r="BK87" s="334" t="n">
        <f aca="false">ROUND(IF($P:$P&gt;1,$BJ:$BJ*1,$BJ:$BJ*$P:$P),0)</f>
        <v>0</v>
      </c>
      <c r="BL87" s="337"/>
      <c r="BM87" s="338" t="n">
        <f aca="false">$BC:$BC+$BE:$BE+$BG:$BG</f>
        <v>0.0325</v>
      </c>
      <c r="BN87" s="339" t="n">
        <f aca="false">$BD:$BD+$BF:$BF+$BH:$BH</f>
        <v>4349</v>
      </c>
      <c r="BO87" s="340" t="n">
        <f aca="false">IFERROR(ROUND($AY:$AY+$BN:$BN,0),0)</f>
        <v>138149</v>
      </c>
      <c r="BP87" s="341" t="n">
        <f aca="false">ROUND(IF(SUM($BO:$BO&lt;249080),SUM(ROUND($BO:$BO*11%,0)),27398.8),0)</f>
        <v>15196</v>
      </c>
      <c r="BQ87" s="342" t="n">
        <f aca="false">$BO:$BO+$BP:$BP</f>
        <v>153345</v>
      </c>
      <c r="BR87" s="329" t="n">
        <f aca="false">IFERROR(($BO:$BO+$AJ:$AJ+$AK:$AK)/$AF:$AF,0)</f>
        <v>0.880490758444869</v>
      </c>
      <c r="BS87" s="343" t="n">
        <f aca="false">IF($N:$N="CASUAL","TBC",ROUND($BN:$BN/(NETWORKDAYS("01/07/2023","30/06/2024"))*NETWORKDAYS("10/07/2023","04/09/2023"),0)*$P:$P)</f>
        <v>686</v>
      </c>
      <c r="BT87" s="326" t="n">
        <f aca="false">$BM87+$BI87</f>
        <v>0.0325</v>
      </c>
      <c r="BU87" s="332" t="n">
        <f aca="false">$BN:$BN+$BJ:$BJ</f>
        <v>4349</v>
      </c>
      <c r="BV87" s="342" t="n">
        <f aca="false">$BO:$BO*$P:$P</f>
        <v>138149</v>
      </c>
      <c r="BW87" s="344" t="n">
        <f aca="false">ROUND($BO:$BO/1976,2)</f>
        <v>69.91</v>
      </c>
      <c r="BX87" s="316"/>
      <c r="BY87" s="342" t="n">
        <f aca="false">$BQ:$BQ+$BX:$BX</f>
        <v>153345</v>
      </c>
      <c r="BZ87" s="345" t="s">
        <v>294</v>
      </c>
      <c r="CA87" s="316"/>
      <c r="CB87" s="316"/>
      <c r="CC87" s="324" t="str">
        <f aca="false">CONCATENATE(CD87,"",CE87)</f>
        <v/>
      </c>
      <c r="CD87" s="319"/>
      <c r="CE87" s="319"/>
      <c r="CF87" s="322" t="str">
        <f aca="false">IFERROR(INDEX('[4]Lookup_Rem Ranges'!$D$1:$D$1048576,MATCH($CC:$CC,'[4]Lookup_Rem Ranges'!$C$1:$C$1048576,0)),"")</f>
        <v/>
      </c>
      <c r="CG87" s="346"/>
      <c r="CH87" s="346"/>
      <c r="CI87" s="347"/>
      <c r="CJ87" s="348"/>
      <c r="CK87" s="342" t="n">
        <f aca="false">IFERROR(ROUND($CI:$CI*$CJ:$CJ,0),0)</f>
        <v>0</v>
      </c>
      <c r="CL87" s="342" t="n">
        <f aca="false">$CI:$CI+$CK:$CK</f>
        <v>0</v>
      </c>
      <c r="CM87" s="349"/>
      <c r="CN87" s="350" t="n">
        <f aca="false">IF(SUM($CL:$CL&lt;249080),SUM(ROUND($CL:$CL*11%,0)),27398.8)</f>
        <v>0</v>
      </c>
      <c r="CO87" s="350" t="s">
        <v>313</v>
      </c>
      <c r="CP87" s="351" t="n">
        <f aca="false">IF(BA87="Yes",3.25%,0)</f>
        <v>0.0325</v>
      </c>
      <c r="CQ87" s="352" t="n">
        <f aca="false">ROUND(AR87*CP87,0)</f>
        <v>4349</v>
      </c>
      <c r="CR87" s="353" t="n">
        <f aca="false">IF($AW:$AW&lt;3.25%,$AW:$AW,3.25%)</f>
        <v>0</v>
      </c>
      <c r="CS87" s="354" t="n">
        <f aca="false">ROUND($AR:$AR*$CR:$CR,0)</f>
        <v>0</v>
      </c>
      <c r="CT87" s="353" t="n">
        <f aca="false">IF($AW:$AW&gt;=3.25%,$AW:$AW-$CR:$CR,0)</f>
        <v>0</v>
      </c>
      <c r="CU87" s="354" t="n">
        <f aca="false">ROUND($AR:$AR*$CT:$CT,0)</f>
        <v>0</v>
      </c>
      <c r="CV87" s="353" t="n">
        <f aca="false">IF($CR:$CR=3.25%,0,IF($BC:$BC&lt;3.25%,$BC:$BC,IF($BC:$BC&gt;3.25%,3.25%-$CR:$CR,0)))</f>
        <v>0</v>
      </c>
      <c r="CW87" s="354" t="n">
        <f aca="false">IFERROR(ROUND($AY:$AY*$CV:$CV,0),0)</f>
        <v>0</v>
      </c>
      <c r="CX87" s="353" t="n">
        <f aca="false">IF($CV:$CV=0,$BC:$BC,BC:BC-$CV:$CV)</f>
        <v>0</v>
      </c>
      <c r="CY87" s="354" t="n">
        <f aca="false">IFERROR(ROUND($AY:$AY*$CX:$CX,0),0)</f>
        <v>0</v>
      </c>
      <c r="CZ87" s="353" t="n">
        <f aca="false">$CR:$CR+$CT:CT+$CV:$CV+$CX:$CX</f>
        <v>0</v>
      </c>
      <c r="DA87" s="353" t="n">
        <f aca="false">(SUM($AW:$AW+$BC:$BC)-$CZ:$CZ)</f>
        <v>0</v>
      </c>
      <c r="DB87" s="353"/>
      <c r="DC87" s="353" t="n">
        <f aca="false">$BE:$BE</f>
        <v>0.0325</v>
      </c>
      <c r="DD87" s="354" t="n">
        <f aca="false">$BF:$BF</f>
        <v>4349</v>
      </c>
      <c r="DE87" s="355" t="n">
        <f aca="false">$BI:$BI</f>
        <v>0</v>
      </c>
      <c r="DF87" s="354" t="n">
        <f aca="false">$BJ:$BJ</f>
        <v>0</v>
      </c>
      <c r="DG87" s="355" t="n">
        <f aca="false">$BG:$BG</f>
        <v>0</v>
      </c>
      <c r="DH87" s="354" t="n">
        <f aca="false">IFERROR(ROUND($AP:$AP*$DG:$DG,0),0)</f>
        <v>0</v>
      </c>
      <c r="DI87" s="353" t="n">
        <f aca="false">$CR:$CR+$CV:$CV+$DC:$DC+$DE:$DE+$DG:$DG</f>
        <v>0.0325</v>
      </c>
      <c r="DJ87" s="354" t="n">
        <f aca="false">$CS:$CS+$CW:$CW+$DD:$DD+$DF:$DF+$DH:$DH</f>
        <v>4349</v>
      </c>
      <c r="DK87" s="353" t="n">
        <f aca="false">$CT:$CT+$CX:$CX</f>
        <v>0</v>
      </c>
      <c r="DL87" s="354" t="n">
        <f aca="false">$CU:$CU+$CY:$CY</f>
        <v>0</v>
      </c>
      <c r="DM87" s="356"/>
      <c r="DN87" s="357"/>
      <c r="DO87" s="357"/>
      <c r="DP87" s="357"/>
      <c r="DQ87" s="357"/>
      <c r="DR87" s="357"/>
      <c r="DS87" s="357"/>
      <c r="DT87" s="357"/>
      <c r="DU87" s="357"/>
      <c r="DV87" s="357"/>
      <c r="DW87" s="357" t="s">
        <v>498</v>
      </c>
    </row>
    <row r="88" customFormat="false" ht="36" hidden="false" customHeight="false" outlineLevel="0" collapsed="false">
      <c r="A88" s="314"/>
      <c r="B88" s="315" t="s">
        <v>273</v>
      </c>
      <c r="C88" s="315" t="s">
        <v>726</v>
      </c>
      <c r="D88" s="315" t="n">
        <v>8229</v>
      </c>
      <c r="E88" s="316" t="s">
        <v>727</v>
      </c>
      <c r="F88" s="316" t="s">
        <v>728</v>
      </c>
      <c r="G88" s="316" t="s">
        <v>277</v>
      </c>
      <c r="H88" s="317" t="s">
        <v>711</v>
      </c>
      <c r="I88" s="316" t="s">
        <v>729</v>
      </c>
      <c r="J88" s="316" t="s">
        <v>730</v>
      </c>
      <c r="K88" s="318" t="n">
        <v>39370</v>
      </c>
      <c r="L88" s="318"/>
      <c r="M88" s="318" t="n">
        <v>44641</v>
      </c>
      <c r="N88" s="319" t="s">
        <v>281</v>
      </c>
      <c r="O88" s="319" t="n">
        <v>38</v>
      </c>
      <c r="P88" s="320" t="n">
        <f aca="false">$O:$O/38</f>
        <v>1</v>
      </c>
      <c r="Q88" s="316" t="s">
        <v>304</v>
      </c>
      <c r="R88" s="316" t="n">
        <v>19124</v>
      </c>
      <c r="S88" s="316" t="s">
        <v>676</v>
      </c>
      <c r="T88" s="316" t="s">
        <v>302</v>
      </c>
      <c r="U88" s="316" t="s">
        <v>303</v>
      </c>
      <c r="V88" s="317" t="s">
        <v>58</v>
      </c>
      <c r="W88" s="317" t="s">
        <v>63</v>
      </c>
      <c r="X88" s="317" t="s">
        <v>286</v>
      </c>
      <c r="Y88" s="321" t="s">
        <v>287</v>
      </c>
      <c r="Z88" s="317" t="s">
        <v>676</v>
      </c>
      <c r="AA88" s="317" t="s">
        <v>303</v>
      </c>
      <c r="AB88" s="321" t="s">
        <v>677</v>
      </c>
      <c r="AC88" s="317" t="s">
        <v>289</v>
      </c>
      <c r="AD88" s="321" t="s">
        <v>290</v>
      </c>
      <c r="AE88" s="322" t="n">
        <f aca="false">IFERROR(INDEX('[3]Lookup_Rem Ranges'!$D$1:$D$1048576,MATCH($AL:$AL,'[3]Lookup_Rem Ranges'!$C$1:$C$1048576,0)),0)</f>
        <v>133400</v>
      </c>
      <c r="AF88" s="322" t="n">
        <f aca="false">IFERROR(INDEX('[3]Lookup_Rem Ranges'!$E$1:$E$1048576,MATCH($AL:$AL,'[3]Lookup_Rem Ranges'!$C$1:$C$1048576,0)),0)</f>
        <v>156900</v>
      </c>
      <c r="AG88" s="322" t="n">
        <f aca="false">IFERROR(INDEX('[3]Lookup_Rem Ranges'!$F$1:$F$1048576,MATCH($AL:$AL,'[3]Lookup_Rem Ranges'!$C$1:$C$1048576,0)),)</f>
        <v>180400</v>
      </c>
      <c r="AH88" s="317" t="s">
        <v>291</v>
      </c>
      <c r="AI88" s="319"/>
      <c r="AJ88" s="323" t="n">
        <v>0</v>
      </c>
      <c r="AK88" s="316"/>
      <c r="AL88" s="324" t="str">
        <f aca="false">CONCATENATE(AM88,"",AN88)</f>
        <v>CASS7</v>
      </c>
      <c r="AM88" s="324" t="s">
        <v>292</v>
      </c>
      <c r="AN88" s="319" t="n">
        <v>7</v>
      </c>
      <c r="AO88" s="316" t="s">
        <v>712</v>
      </c>
      <c r="AP88" s="325" t="n">
        <v>134600</v>
      </c>
      <c r="AQ88" s="322" t="n">
        <f aca="false">ROUND(IF($P:$P&gt;1,$AP:$AP*1,$AP:$AP*$P:$P),0)</f>
        <v>134600</v>
      </c>
      <c r="AR88" s="322" t="n">
        <f aca="false">IF(BA88="Yes",AP88,0)</f>
        <v>134600</v>
      </c>
      <c r="AS88" s="326" t="n">
        <v>0.0353846153846154</v>
      </c>
      <c r="AT88" s="326" t="n">
        <v>0</v>
      </c>
      <c r="AU88" s="327"/>
      <c r="AV88" s="322"/>
      <c r="AW88" s="328" t="n">
        <v>0</v>
      </c>
      <c r="AX88" s="322" t="n">
        <v>0</v>
      </c>
      <c r="AY88" s="322" t="n">
        <v>134600</v>
      </c>
      <c r="AZ88" s="329" t="n">
        <f aca="false">IFERROR(($AY:$AY+$AJ:$AJ+$AK:$AK)/$AF:$AF,0)</f>
        <v>0.857871255576801</v>
      </c>
      <c r="BA88" s="330" t="s">
        <v>293</v>
      </c>
      <c r="BB88" s="331" t="n">
        <v>4</v>
      </c>
      <c r="BC88" s="326" t="n">
        <f aca="false">IFERROR($BD:$BD/$AY:$AY,0)</f>
        <v>0</v>
      </c>
      <c r="BD88" s="332" t="n">
        <f aca="false">ROUND(IF($AY:$AY&lt;$AE:$AE,$AE:$AE-$AY:$AY,0),0)</f>
        <v>0</v>
      </c>
      <c r="BE88" s="333" t="n">
        <v>0.0325</v>
      </c>
      <c r="BF88" s="334" t="n">
        <f aca="false">ROUND($AR:$AR*$BE:$BE,0)</f>
        <v>4375</v>
      </c>
      <c r="BG88" s="335" t="n">
        <v>0</v>
      </c>
      <c r="BH88" s="336" t="n">
        <f aca="false">ROUND($AR:$AR*$BG:$BG,0)</f>
        <v>0</v>
      </c>
      <c r="BI88" s="333" t="n">
        <v>0</v>
      </c>
      <c r="BJ88" s="334" t="n">
        <f aca="false">ROUND($AR:$AR*$BI:$BI,0)</f>
        <v>0</v>
      </c>
      <c r="BK88" s="334" t="n">
        <f aca="false">ROUND(IF($P:$P&gt;1,$BJ:$BJ*1,$BJ:$BJ*$P:$P),0)</f>
        <v>0</v>
      </c>
      <c r="BL88" s="337"/>
      <c r="BM88" s="338" t="n">
        <f aca="false">$BC:$BC+$BE:$BE+$BG:$BG</f>
        <v>0.0325</v>
      </c>
      <c r="BN88" s="339" t="n">
        <f aca="false">$BD:$BD+$BF:$BF+$BH:$BH</f>
        <v>4375</v>
      </c>
      <c r="BO88" s="340" t="n">
        <f aca="false">IFERROR(ROUND($AY:$AY+$BN:$BN,0),0)</f>
        <v>138975</v>
      </c>
      <c r="BP88" s="341" t="n">
        <f aca="false">ROUND(IF(SUM($BO:$BO&lt;249080),SUM(ROUND($BO:$BO*11%,0)),27398.8),0)</f>
        <v>15287</v>
      </c>
      <c r="BQ88" s="342" t="n">
        <f aca="false">$BO:$BO+$BP:$BP</f>
        <v>154262</v>
      </c>
      <c r="BR88" s="329" t="n">
        <f aca="false">IFERROR(($BO:$BO+$AJ:$AJ+$AK:$AK)/$AF:$AF,0)</f>
        <v>0.885755258126195</v>
      </c>
      <c r="BS88" s="343" t="n">
        <f aca="false">IF($N:$N="CASUAL","TBC",ROUND($BN:$BN/(NETWORKDAYS("01/07/2023","30/06/2024"))*NETWORKDAYS("10/07/2023","04/09/2023"),0)*$P:$P)</f>
        <v>690</v>
      </c>
      <c r="BT88" s="326" t="n">
        <f aca="false">$BM88+$BI88</f>
        <v>0.0325</v>
      </c>
      <c r="BU88" s="332" t="n">
        <f aca="false">$BN:$BN+$BJ:$BJ</f>
        <v>4375</v>
      </c>
      <c r="BV88" s="342" t="n">
        <f aca="false">$BO:$BO*$P:$P</f>
        <v>138975</v>
      </c>
      <c r="BW88" s="344" t="n">
        <f aca="false">ROUND($BO:$BO/1976,2)</f>
        <v>70.33</v>
      </c>
      <c r="BX88" s="316"/>
      <c r="BY88" s="342" t="n">
        <f aca="false">$BQ:$BQ+$BX:$BX</f>
        <v>154262</v>
      </c>
      <c r="BZ88" s="345" t="s">
        <v>294</v>
      </c>
      <c r="CA88" s="316"/>
      <c r="CB88" s="316"/>
      <c r="CC88" s="324" t="str">
        <f aca="false">CONCATENATE(CD88,"",CE88)</f>
        <v/>
      </c>
      <c r="CD88" s="319"/>
      <c r="CE88" s="319"/>
      <c r="CF88" s="322" t="str">
        <f aca="false">IFERROR(INDEX('[4]Lookup_Rem Ranges'!$D$1:$D$1048576,MATCH($CC:$CC,'[4]Lookup_Rem Ranges'!$C$1:$C$1048576,0)),"")</f>
        <v/>
      </c>
      <c r="CG88" s="346"/>
      <c r="CH88" s="346"/>
      <c r="CI88" s="347"/>
      <c r="CJ88" s="348"/>
      <c r="CK88" s="342" t="n">
        <f aca="false">IFERROR(ROUND($CI:$CI*$CJ:$CJ,0),0)</f>
        <v>0</v>
      </c>
      <c r="CL88" s="342" t="n">
        <f aca="false">$CI:$CI+$CK:$CK</f>
        <v>0</v>
      </c>
      <c r="CM88" s="349"/>
      <c r="CN88" s="350" t="n">
        <f aca="false">IF(SUM($CL:$CL&lt;249080),SUM(ROUND($CL:$CL*11%,0)),27398.8)</f>
        <v>0</v>
      </c>
      <c r="CO88" s="350" t="s">
        <v>324</v>
      </c>
      <c r="CP88" s="351" t="n">
        <f aca="false">IF(BA88="Yes",3.25%,0)</f>
        <v>0.0325</v>
      </c>
      <c r="CQ88" s="352" t="n">
        <f aca="false">ROUND(AR88*CP88,0)</f>
        <v>4375</v>
      </c>
      <c r="CR88" s="353" t="n">
        <f aca="false">IF($AW:$AW&lt;3.25%,$AW:$AW,3.25%)</f>
        <v>0</v>
      </c>
      <c r="CS88" s="354" t="n">
        <f aca="false">ROUND($AR:$AR*$CR:$CR,0)</f>
        <v>0</v>
      </c>
      <c r="CT88" s="353" t="n">
        <f aca="false">IF($AW:$AW&gt;=3.25%,$AW:$AW-$CR:$CR,0)</f>
        <v>0</v>
      </c>
      <c r="CU88" s="354" t="n">
        <f aca="false">ROUND($AR:$AR*$CT:$CT,0)</f>
        <v>0</v>
      </c>
      <c r="CV88" s="353" t="n">
        <f aca="false">IF($CR:$CR=3.25%,0,IF($BC:$BC&lt;3.25%,$BC:$BC,IF($BC:$BC&gt;3.25%,3.25%-$CR:$CR,0)))</f>
        <v>0</v>
      </c>
      <c r="CW88" s="354" t="n">
        <f aca="false">IFERROR(ROUND($AY:$AY*$CV:$CV,0),0)</f>
        <v>0</v>
      </c>
      <c r="CX88" s="353" t="n">
        <f aca="false">IF($CV:$CV=0,$BC:$BC,BC:BC-$CV:$CV)</f>
        <v>0</v>
      </c>
      <c r="CY88" s="354" t="n">
        <f aca="false">IFERROR(ROUND($AY:$AY*$CX:$CX,0),0)</f>
        <v>0</v>
      </c>
      <c r="CZ88" s="353" t="n">
        <f aca="false">$CR:$CR+$CT:CT+$CV:$CV+$CX:$CX</f>
        <v>0</v>
      </c>
      <c r="DA88" s="353" t="n">
        <f aca="false">(SUM($AW:$AW+$BC:$BC)-$CZ:$CZ)</f>
        <v>0</v>
      </c>
      <c r="DB88" s="353"/>
      <c r="DC88" s="353" t="n">
        <f aca="false">$BE:$BE</f>
        <v>0.0325</v>
      </c>
      <c r="DD88" s="354" t="n">
        <f aca="false">$BF:$BF</f>
        <v>4375</v>
      </c>
      <c r="DE88" s="355" t="n">
        <f aca="false">$BI:$BI</f>
        <v>0</v>
      </c>
      <c r="DF88" s="354" t="n">
        <f aca="false">$BJ:$BJ</f>
        <v>0</v>
      </c>
      <c r="DG88" s="355" t="n">
        <f aca="false">$BG:$BG</f>
        <v>0</v>
      </c>
      <c r="DH88" s="354" t="n">
        <f aca="false">IFERROR(ROUND($AP:$AP*$DG:$DG,0),0)</f>
        <v>0</v>
      </c>
      <c r="DI88" s="353" t="n">
        <f aca="false">$CR:$CR+$CV:$CV+$DC:$DC+$DE:$DE+$DG:$DG</f>
        <v>0.0325</v>
      </c>
      <c r="DJ88" s="354" t="n">
        <f aca="false">$CS:$CS+$CW:$CW+$DD:$DD+$DF:$DF+$DH:$DH</f>
        <v>4375</v>
      </c>
      <c r="DK88" s="353" t="n">
        <f aca="false">$CT:$CT+$CX:$CX</f>
        <v>0</v>
      </c>
      <c r="DL88" s="354" t="n">
        <f aca="false">$CU:$CU+$CY:$CY</f>
        <v>0</v>
      </c>
      <c r="DM88" s="356"/>
      <c r="DN88" s="357"/>
      <c r="DO88" s="357"/>
      <c r="DP88" s="357"/>
      <c r="DQ88" s="357"/>
      <c r="DR88" s="357"/>
      <c r="DS88" s="357"/>
      <c r="DT88" s="357"/>
      <c r="DU88" s="357"/>
      <c r="DV88" s="357"/>
      <c r="DW88" s="357" t="s">
        <v>498</v>
      </c>
    </row>
    <row r="89" customFormat="false" ht="33.75" hidden="false" customHeight="false" outlineLevel="0" collapsed="false">
      <c r="A89" s="314"/>
      <c r="B89" s="315" t="s">
        <v>273</v>
      </c>
      <c r="C89" s="315" t="s">
        <v>731</v>
      </c>
      <c r="D89" s="315" t="n">
        <v>19721</v>
      </c>
      <c r="E89" s="316" t="s">
        <v>557</v>
      </c>
      <c r="F89" s="316" t="s">
        <v>732</v>
      </c>
      <c r="G89" s="316" t="s">
        <v>277</v>
      </c>
      <c r="H89" s="317" t="s">
        <v>733</v>
      </c>
      <c r="I89" s="316" t="s">
        <v>734</v>
      </c>
      <c r="J89" s="316" t="s">
        <v>735</v>
      </c>
      <c r="K89" s="318" t="n">
        <v>44179</v>
      </c>
      <c r="L89" s="318" t="n">
        <v>45838</v>
      </c>
      <c r="M89" s="318" t="n">
        <v>44986</v>
      </c>
      <c r="N89" s="319" t="s">
        <v>281</v>
      </c>
      <c r="O89" s="319" t="n">
        <v>38</v>
      </c>
      <c r="P89" s="320" t="n">
        <f aca="false">$O:$O/38</f>
        <v>1</v>
      </c>
      <c r="Q89" s="316" t="s">
        <v>332</v>
      </c>
      <c r="R89" s="316"/>
      <c r="S89" s="316" t="s">
        <v>736</v>
      </c>
      <c r="T89" s="316" t="s">
        <v>737</v>
      </c>
      <c r="U89" s="316" t="s">
        <v>672</v>
      </c>
      <c r="V89" s="317" t="s">
        <v>58</v>
      </c>
      <c r="W89" s="317" t="s">
        <v>63</v>
      </c>
      <c r="X89" s="317" t="s">
        <v>286</v>
      </c>
      <c r="Y89" s="321" t="s">
        <v>287</v>
      </c>
      <c r="Z89" s="317" t="s">
        <v>676</v>
      </c>
      <c r="AA89" s="317" t="s">
        <v>303</v>
      </c>
      <c r="AB89" s="321" t="s">
        <v>677</v>
      </c>
      <c r="AC89" s="317" t="s">
        <v>289</v>
      </c>
      <c r="AD89" s="321" t="s">
        <v>290</v>
      </c>
      <c r="AE89" s="322" t="n">
        <f aca="false">IFERROR(INDEX('[3]Lookup_Rem Ranges'!$D$1:$D$1048576,MATCH($AL:$AL,'[3]Lookup_Rem Ranges'!$C$1:$C$1048576,0)),0)</f>
        <v>83400</v>
      </c>
      <c r="AF89" s="322" t="n">
        <f aca="false">IFERROR(INDEX('[3]Lookup_Rem Ranges'!$E$1:$E$1048576,MATCH($AL:$AL,'[3]Lookup_Rem Ranges'!$C$1:$C$1048576,0)),0)</f>
        <v>98100</v>
      </c>
      <c r="AG89" s="322" t="n">
        <f aca="false">IFERROR(INDEX('[3]Lookup_Rem Ranges'!$F$1:$F$1048576,MATCH($AL:$AL,'[3]Lookup_Rem Ranges'!$C$1:$C$1048576,0)),)</f>
        <v>112800</v>
      </c>
      <c r="AH89" s="317" t="s">
        <v>291</v>
      </c>
      <c r="AI89" s="319"/>
      <c r="AJ89" s="323" t="n">
        <v>0</v>
      </c>
      <c r="AK89" s="316"/>
      <c r="AL89" s="324" t="str">
        <f aca="false">CONCATENATE(AM89,"",AN89)</f>
        <v>CASS5</v>
      </c>
      <c r="AM89" s="324" t="s">
        <v>292</v>
      </c>
      <c r="AN89" s="319" t="n">
        <v>5</v>
      </c>
      <c r="AO89" s="316" t="s">
        <v>738</v>
      </c>
      <c r="AP89" s="325" t="n">
        <v>95300</v>
      </c>
      <c r="AQ89" s="322" t="n">
        <f aca="false">ROUND(IF($P:$P&gt;1,$AP:$AP*1,$AP:$AP*$P:$P),0)</f>
        <v>95300</v>
      </c>
      <c r="AR89" s="322" t="n">
        <f aca="false">IF(BA89="Yes",AP89,0)</f>
        <v>95300</v>
      </c>
      <c r="AS89" s="326" t="n">
        <v>0.151049592965674</v>
      </c>
      <c r="AT89" s="326" t="n">
        <v>0</v>
      </c>
      <c r="AU89" s="327"/>
      <c r="AV89" s="322"/>
      <c r="AW89" s="328" t="n">
        <v>0</v>
      </c>
      <c r="AX89" s="322" t="n">
        <v>0</v>
      </c>
      <c r="AY89" s="322" t="n">
        <v>95300</v>
      </c>
      <c r="AZ89" s="329" t="n">
        <f aca="false">IFERROR(($AY:$AY+$AJ:$AJ+$AK:$AK)/$AF:$AF,0)</f>
        <v>0.971457696228338</v>
      </c>
      <c r="BA89" s="330" t="s">
        <v>293</v>
      </c>
      <c r="BB89" s="331" t="n">
        <v>3</v>
      </c>
      <c r="BC89" s="326" t="n">
        <f aca="false">IFERROR($BD:$BD/$AY:$AY,0)</f>
        <v>0</v>
      </c>
      <c r="BD89" s="332" t="n">
        <f aca="false">ROUND(IF($AY:$AY&lt;$AE:$AE,$AE:$AE-$AY:$AY,0),0)</f>
        <v>0</v>
      </c>
      <c r="BE89" s="333" t="n">
        <v>0.0325</v>
      </c>
      <c r="BF89" s="334" t="n">
        <f aca="false">ROUND($AR:$AR*$BE:$BE,0)</f>
        <v>3097</v>
      </c>
      <c r="BG89" s="335" t="n">
        <v>0</v>
      </c>
      <c r="BH89" s="336" t="n">
        <f aca="false">ROUND($AR:$AR*$BG:$BG,0)</f>
        <v>0</v>
      </c>
      <c r="BI89" s="333" t="n">
        <v>0</v>
      </c>
      <c r="BJ89" s="334" t="n">
        <f aca="false">ROUND($AR:$AR*$BI:$BI,0)</f>
        <v>0</v>
      </c>
      <c r="BK89" s="334" t="n">
        <f aca="false">ROUND(IF($P:$P&gt;1,$BJ:$BJ*1,$BJ:$BJ*$P:$P),0)</f>
        <v>0</v>
      </c>
      <c r="BL89" s="337"/>
      <c r="BM89" s="338" t="n">
        <f aca="false">$BC:$BC+$BE:$BE+$BG:$BG</f>
        <v>0.0325</v>
      </c>
      <c r="BN89" s="339" t="n">
        <f aca="false">$BD:$BD+$BF:$BF+$BH:$BH</f>
        <v>3097</v>
      </c>
      <c r="BO89" s="340" t="n">
        <f aca="false">IFERROR(ROUND($AY:$AY+$BN:$BN,0),0)</f>
        <v>98397</v>
      </c>
      <c r="BP89" s="341" t="n">
        <f aca="false">ROUND(IF(SUM($BO:$BO&lt;249080),SUM(ROUND($BO:$BO*11%,0)),27398.8),0)</f>
        <v>10824</v>
      </c>
      <c r="BQ89" s="342" t="n">
        <f aca="false">$BO:$BO+$BP:$BP</f>
        <v>109221</v>
      </c>
      <c r="BR89" s="329" t="n">
        <f aca="false">IFERROR(($BO:$BO+$AJ:$AJ+$AK:$AK)/$AF:$AF,0)</f>
        <v>1.00302752293578</v>
      </c>
      <c r="BS89" s="343" t="n">
        <f aca="false">IF($N:$N="CASUAL","TBC",ROUND($BN:$BN/(NETWORKDAYS("01/07/2023","30/06/2024"))*NETWORKDAYS("10/07/2023","04/09/2023"),0)*$P:$P)</f>
        <v>488</v>
      </c>
      <c r="BT89" s="326" t="n">
        <f aca="false">$BM89+$BI89</f>
        <v>0.0325</v>
      </c>
      <c r="BU89" s="332" t="n">
        <f aca="false">$BN:$BN+$BJ:$BJ</f>
        <v>3097</v>
      </c>
      <c r="BV89" s="342" t="n">
        <f aca="false">$BO:$BO*$P:$P</f>
        <v>98397</v>
      </c>
      <c r="BW89" s="344" t="n">
        <f aca="false">ROUND($BO:$BO/1976,2)</f>
        <v>49.8</v>
      </c>
      <c r="BX89" s="316"/>
      <c r="BY89" s="342" t="n">
        <f aca="false">$BQ:$BQ+$BX:$BX</f>
        <v>109221</v>
      </c>
      <c r="BZ89" s="345" t="s">
        <v>294</v>
      </c>
      <c r="CA89" s="316"/>
      <c r="CB89" s="316"/>
      <c r="CC89" s="324" t="str">
        <f aca="false">CONCATENATE(CD89,"",CE89)</f>
        <v/>
      </c>
      <c r="CD89" s="319"/>
      <c r="CE89" s="319"/>
      <c r="CF89" s="322" t="str">
        <f aca="false">IFERROR(INDEX('[4]Lookup_Rem Ranges'!$D$1:$D$1048576,MATCH($CC:$CC,'[4]Lookup_Rem Ranges'!$C$1:$C$1048576,0)),"")</f>
        <v/>
      </c>
      <c r="CG89" s="346"/>
      <c r="CH89" s="346"/>
      <c r="CI89" s="347"/>
      <c r="CJ89" s="348"/>
      <c r="CK89" s="342" t="n">
        <f aca="false">IFERROR(ROUND($CI:$CI*$CJ:$CJ,0),0)</f>
        <v>0</v>
      </c>
      <c r="CL89" s="342" t="n">
        <f aca="false">$CI:$CI+$CK:$CK</f>
        <v>0</v>
      </c>
      <c r="CM89" s="349"/>
      <c r="CN89" s="350" t="n">
        <f aca="false">IF(SUM($CL:$CL&lt;249080),SUM(ROUND($CL:$CL*11%,0)),27398.8)</f>
        <v>0</v>
      </c>
      <c r="CO89" s="350" t="s">
        <v>324</v>
      </c>
      <c r="CP89" s="351" t="n">
        <f aca="false">IF(BA89="Yes",3.25%,0)</f>
        <v>0.0325</v>
      </c>
      <c r="CQ89" s="352" t="n">
        <f aca="false">ROUND(AR89*CP89,0)</f>
        <v>3097</v>
      </c>
      <c r="CR89" s="353" t="n">
        <f aca="false">IF($AW:$AW&lt;3.25%,$AW:$AW,3.25%)</f>
        <v>0</v>
      </c>
      <c r="CS89" s="354" t="n">
        <f aca="false">ROUND($AR:$AR*$CR:$CR,0)</f>
        <v>0</v>
      </c>
      <c r="CT89" s="353" t="n">
        <f aca="false">IF($AW:$AW&gt;=3.25%,$AW:$AW-$CR:$CR,0)</f>
        <v>0</v>
      </c>
      <c r="CU89" s="354" t="n">
        <f aca="false">ROUND($AR:$AR*$CT:$CT,0)</f>
        <v>0</v>
      </c>
      <c r="CV89" s="353" t="n">
        <f aca="false">IF($CR:$CR=3.25%,0,IF($BC:$BC&lt;3.25%,$BC:$BC,IF($BC:$BC&gt;3.25%,3.25%-$CR:$CR,0)))</f>
        <v>0</v>
      </c>
      <c r="CW89" s="354" t="n">
        <f aca="false">IFERROR(ROUND($AY:$AY*$CV:$CV,0),0)</f>
        <v>0</v>
      </c>
      <c r="CX89" s="353" t="n">
        <f aca="false">IF($CV:$CV=0,$BC:$BC,BC:BC-$CV:$CV)</f>
        <v>0</v>
      </c>
      <c r="CY89" s="354" t="n">
        <f aca="false">IFERROR(ROUND($AY:$AY*$CX:$CX,0),0)</f>
        <v>0</v>
      </c>
      <c r="CZ89" s="353" t="n">
        <f aca="false">$CR:$CR+$CT:CT+$CV:$CV+$CX:$CX</f>
        <v>0</v>
      </c>
      <c r="DA89" s="353" t="n">
        <f aca="false">(SUM($AW:$AW+$BC:$BC)-$CZ:$CZ)</f>
        <v>0</v>
      </c>
      <c r="DB89" s="353"/>
      <c r="DC89" s="353" t="n">
        <f aca="false">$BE:$BE</f>
        <v>0.0325</v>
      </c>
      <c r="DD89" s="354" t="n">
        <f aca="false">$BF:$BF</f>
        <v>3097</v>
      </c>
      <c r="DE89" s="355" t="n">
        <f aca="false">$BI:$BI</f>
        <v>0</v>
      </c>
      <c r="DF89" s="354" t="n">
        <f aca="false">$BJ:$BJ</f>
        <v>0</v>
      </c>
      <c r="DG89" s="355" t="n">
        <f aca="false">$BG:$BG</f>
        <v>0</v>
      </c>
      <c r="DH89" s="354" t="n">
        <f aca="false">IFERROR(ROUND($AP:$AP*$DG:$DG,0),0)</f>
        <v>0</v>
      </c>
      <c r="DI89" s="353" t="n">
        <f aca="false">$CR:$CR+$CV:$CV+$DC:$DC+$DE:$DE+$DG:$DG</f>
        <v>0.0325</v>
      </c>
      <c r="DJ89" s="354" t="n">
        <f aca="false">$CS:$CS+$CW:$CW+$DD:$DD+$DF:$DF+$DH:$DH</f>
        <v>3097</v>
      </c>
      <c r="DK89" s="353" t="n">
        <f aca="false">$CT:$CT+$CX:$CX</f>
        <v>0</v>
      </c>
      <c r="DL89" s="354" t="n">
        <f aca="false">$CU:$CU+$CY:$CY</f>
        <v>0</v>
      </c>
      <c r="DM89" s="356"/>
      <c r="DN89" s="357"/>
      <c r="DO89" s="357"/>
      <c r="DP89" s="357"/>
      <c r="DQ89" s="357"/>
      <c r="DR89" s="357"/>
      <c r="DS89" s="357"/>
      <c r="DT89" s="357"/>
      <c r="DU89" s="357"/>
      <c r="DV89" s="357"/>
      <c r="DW89" s="357" t="s">
        <v>498</v>
      </c>
    </row>
    <row r="90" customFormat="false" ht="33.75" hidden="false" customHeight="false" outlineLevel="0" collapsed="false">
      <c r="A90" s="314"/>
      <c r="B90" s="315" t="s">
        <v>273</v>
      </c>
      <c r="C90" s="315" t="s">
        <v>739</v>
      </c>
      <c r="D90" s="315" t="n">
        <v>18323</v>
      </c>
      <c r="E90" s="316" t="s">
        <v>740</v>
      </c>
      <c r="F90" s="316" t="s">
        <v>741</v>
      </c>
      <c r="G90" s="316" t="s">
        <v>277</v>
      </c>
      <c r="H90" s="317" t="s">
        <v>733</v>
      </c>
      <c r="I90" s="316" t="s">
        <v>742</v>
      </c>
      <c r="J90" s="316" t="s">
        <v>743</v>
      </c>
      <c r="K90" s="318" t="n">
        <v>43494</v>
      </c>
      <c r="L90" s="318" t="n">
        <v>45838</v>
      </c>
      <c r="M90" s="318" t="n">
        <v>44743</v>
      </c>
      <c r="N90" s="319" t="s">
        <v>281</v>
      </c>
      <c r="O90" s="319" t="n">
        <v>38</v>
      </c>
      <c r="P90" s="320" t="n">
        <f aca="false">$O:$O/38</f>
        <v>1</v>
      </c>
      <c r="Q90" s="316" t="s">
        <v>332</v>
      </c>
      <c r="R90" s="316"/>
      <c r="S90" s="316" t="s">
        <v>736</v>
      </c>
      <c r="T90" s="316" t="s">
        <v>737</v>
      </c>
      <c r="U90" s="316" t="s">
        <v>672</v>
      </c>
      <c r="V90" s="317" t="s">
        <v>58</v>
      </c>
      <c r="W90" s="317" t="s">
        <v>63</v>
      </c>
      <c r="X90" s="317" t="s">
        <v>286</v>
      </c>
      <c r="Y90" s="321" t="s">
        <v>287</v>
      </c>
      <c r="Z90" s="317" t="s">
        <v>676</v>
      </c>
      <c r="AA90" s="317" t="s">
        <v>303</v>
      </c>
      <c r="AB90" s="321" t="s">
        <v>677</v>
      </c>
      <c r="AC90" s="317" t="s">
        <v>289</v>
      </c>
      <c r="AD90" s="321" t="s">
        <v>290</v>
      </c>
      <c r="AE90" s="322" t="n">
        <f aca="false">IFERROR(INDEX('[3]Lookup_Rem Ranges'!$D$1:$D$1048576,MATCH($AL:$AL,'[3]Lookup_Rem Ranges'!$C$1:$C$1048576,0)),0)</f>
        <v>83400</v>
      </c>
      <c r="AF90" s="322" t="n">
        <f aca="false">IFERROR(INDEX('[3]Lookup_Rem Ranges'!$E$1:$E$1048576,MATCH($AL:$AL,'[3]Lookup_Rem Ranges'!$C$1:$C$1048576,0)),0)</f>
        <v>98100</v>
      </c>
      <c r="AG90" s="322" t="n">
        <f aca="false">IFERROR(INDEX('[3]Lookup_Rem Ranges'!$F$1:$F$1048576,MATCH($AL:$AL,'[3]Lookup_Rem Ranges'!$C$1:$C$1048576,0)),)</f>
        <v>112800</v>
      </c>
      <c r="AH90" s="317" t="s">
        <v>291</v>
      </c>
      <c r="AI90" s="319"/>
      <c r="AJ90" s="323" t="n">
        <v>0</v>
      </c>
      <c r="AK90" s="316"/>
      <c r="AL90" s="324" t="str">
        <f aca="false">CONCATENATE(AM90,"",AN90)</f>
        <v>CASS5</v>
      </c>
      <c r="AM90" s="324" t="s">
        <v>292</v>
      </c>
      <c r="AN90" s="319" t="n">
        <v>5</v>
      </c>
      <c r="AO90" s="316" t="s">
        <v>738</v>
      </c>
      <c r="AP90" s="325" t="n">
        <v>95400</v>
      </c>
      <c r="AQ90" s="322" t="n">
        <f aca="false">ROUND(IF($P:$P&gt;1,$AP:$AP*1,$AP:$AP*$P:$P),0)</f>
        <v>95400</v>
      </c>
      <c r="AR90" s="322" t="n">
        <f aca="false">IF(BA90="Yes",AP90,0)</f>
        <v>95400</v>
      </c>
      <c r="AS90" s="326" t="n">
        <v>0.0707070707070707</v>
      </c>
      <c r="AT90" s="326" t="n">
        <v>0</v>
      </c>
      <c r="AU90" s="327"/>
      <c r="AV90" s="322"/>
      <c r="AW90" s="328" t="n">
        <v>0</v>
      </c>
      <c r="AX90" s="322" t="n">
        <v>0</v>
      </c>
      <c r="AY90" s="322" t="n">
        <v>95400</v>
      </c>
      <c r="AZ90" s="329" t="n">
        <f aca="false">IFERROR(($AY:$AY+$AJ:$AJ+$AK:$AK)/$AF:$AF,0)</f>
        <v>0.972477064220184</v>
      </c>
      <c r="BA90" s="330" t="s">
        <v>293</v>
      </c>
      <c r="BB90" s="331" t="n">
        <v>3</v>
      </c>
      <c r="BC90" s="326" t="n">
        <f aca="false">IFERROR($BD:$BD/$AY:$AY,0)</f>
        <v>0</v>
      </c>
      <c r="BD90" s="332" t="n">
        <f aca="false">ROUND(IF($AY:$AY&lt;$AE:$AE,$AE:$AE-$AY:$AY,0),0)</f>
        <v>0</v>
      </c>
      <c r="BE90" s="333" t="n">
        <v>0.0325</v>
      </c>
      <c r="BF90" s="334" t="n">
        <f aca="false">ROUND($AR:$AR*$BE:$BE,0)</f>
        <v>3101</v>
      </c>
      <c r="BG90" s="335" t="n">
        <v>0</v>
      </c>
      <c r="BH90" s="336" t="n">
        <f aca="false">ROUND($AR:$AR*$BG:$BG,0)</f>
        <v>0</v>
      </c>
      <c r="BI90" s="333" t="n">
        <v>0</v>
      </c>
      <c r="BJ90" s="334" t="n">
        <f aca="false">ROUND($AR:$AR*$BI:$BI,0)</f>
        <v>0</v>
      </c>
      <c r="BK90" s="334" t="n">
        <f aca="false">ROUND(IF($P:$P&gt;1,$BJ:$BJ*1,$BJ:$BJ*$P:$P),0)</f>
        <v>0</v>
      </c>
      <c r="BL90" s="337"/>
      <c r="BM90" s="338" t="n">
        <f aca="false">$BC:$BC+$BE:$BE+$BG:$BG</f>
        <v>0.0325</v>
      </c>
      <c r="BN90" s="339" t="n">
        <f aca="false">$BD:$BD+$BF:$BF+$BH:$BH</f>
        <v>3101</v>
      </c>
      <c r="BO90" s="340" t="n">
        <f aca="false">IFERROR(ROUND($AY:$AY+$BN:$BN,0),0)</f>
        <v>98501</v>
      </c>
      <c r="BP90" s="341" t="n">
        <f aca="false">ROUND(IF(SUM($BO:$BO&lt;249080),SUM(ROUND($BO:$BO*11%,0)),27398.8),0)</f>
        <v>10835</v>
      </c>
      <c r="BQ90" s="342" t="n">
        <f aca="false">$BO:$BO+$BP:$BP</f>
        <v>109336</v>
      </c>
      <c r="BR90" s="329" t="n">
        <f aca="false">IFERROR(($BO:$BO+$AJ:$AJ+$AK:$AK)/$AF:$AF,0)</f>
        <v>1.0040876656473</v>
      </c>
      <c r="BS90" s="343" t="n">
        <f aca="false">IF($N:$N="CASUAL","TBC",ROUND($BN:$BN/(NETWORKDAYS("01/07/2023","30/06/2024"))*NETWORKDAYS("10/07/2023","04/09/2023"),0)*$P:$P)</f>
        <v>489</v>
      </c>
      <c r="BT90" s="326" t="n">
        <f aca="false">$BM90+$BI90</f>
        <v>0.0325</v>
      </c>
      <c r="BU90" s="332" t="n">
        <f aca="false">$BN:$BN+$BJ:$BJ</f>
        <v>3101</v>
      </c>
      <c r="BV90" s="342" t="n">
        <f aca="false">$BO:$BO*$P:$P</f>
        <v>98501</v>
      </c>
      <c r="BW90" s="344" t="n">
        <f aca="false">ROUND($BO:$BO/1976,2)</f>
        <v>49.85</v>
      </c>
      <c r="BX90" s="316"/>
      <c r="BY90" s="342" t="n">
        <f aca="false">$BQ:$BQ+$BX:$BX</f>
        <v>109336</v>
      </c>
      <c r="BZ90" s="345" t="s">
        <v>294</v>
      </c>
      <c r="CA90" s="316"/>
      <c r="CB90" s="316"/>
      <c r="CC90" s="324" t="str">
        <f aca="false">CONCATENATE(CD90,"",CE90)</f>
        <v/>
      </c>
      <c r="CD90" s="319"/>
      <c r="CE90" s="319"/>
      <c r="CF90" s="322" t="str">
        <f aca="false">IFERROR(INDEX('[4]Lookup_Rem Ranges'!$D$1:$D$1048576,MATCH($CC:$CC,'[4]Lookup_Rem Ranges'!$C$1:$C$1048576,0)),"")</f>
        <v/>
      </c>
      <c r="CG90" s="346"/>
      <c r="CH90" s="346"/>
      <c r="CI90" s="347"/>
      <c r="CJ90" s="348"/>
      <c r="CK90" s="342" t="n">
        <f aca="false">IFERROR(ROUND($CI:$CI*$CJ:$CJ,0),0)</f>
        <v>0</v>
      </c>
      <c r="CL90" s="342" t="n">
        <f aca="false">$CI:$CI+$CK:$CK</f>
        <v>0</v>
      </c>
      <c r="CM90" s="349"/>
      <c r="CN90" s="350" t="n">
        <f aca="false">IF(SUM($CL:$CL&lt;249080),SUM(ROUND($CL:$CL*11%,0)),27398.8)</f>
        <v>0</v>
      </c>
      <c r="CO90" s="350" t="s">
        <v>324</v>
      </c>
      <c r="CP90" s="351" t="n">
        <f aca="false">IF(BA90="Yes",3.25%,0)</f>
        <v>0.0325</v>
      </c>
      <c r="CQ90" s="352" t="n">
        <f aca="false">ROUND(AR90*CP90,0)</f>
        <v>3101</v>
      </c>
      <c r="CR90" s="353" t="n">
        <f aca="false">IF($AW:$AW&lt;3.25%,$AW:$AW,3.25%)</f>
        <v>0</v>
      </c>
      <c r="CS90" s="354" t="n">
        <f aca="false">ROUND($AR:$AR*$CR:$CR,0)</f>
        <v>0</v>
      </c>
      <c r="CT90" s="353" t="n">
        <f aca="false">IF($AW:$AW&gt;=3.25%,$AW:$AW-$CR:$CR,0)</f>
        <v>0</v>
      </c>
      <c r="CU90" s="354" t="n">
        <f aca="false">ROUND($AR:$AR*$CT:$CT,0)</f>
        <v>0</v>
      </c>
      <c r="CV90" s="353" t="n">
        <f aca="false">IF($CR:$CR=3.25%,0,IF($BC:$BC&lt;3.25%,$BC:$BC,IF($BC:$BC&gt;3.25%,3.25%-$CR:$CR,0)))</f>
        <v>0</v>
      </c>
      <c r="CW90" s="354" t="n">
        <f aca="false">IFERROR(ROUND($AY:$AY*$CV:$CV,0),0)</f>
        <v>0</v>
      </c>
      <c r="CX90" s="353" t="n">
        <f aca="false">IF($CV:$CV=0,$BC:$BC,BC:BC-$CV:$CV)</f>
        <v>0</v>
      </c>
      <c r="CY90" s="354" t="n">
        <f aca="false">IFERROR(ROUND($AY:$AY*$CX:$CX,0),0)</f>
        <v>0</v>
      </c>
      <c r="CZ90" s="353" t="n">
        <f aca="false">$CR:$CR+$CT:CT+$CV:$CV+$CX:$CX</f>
        <v>0</v>
      </c>
      <c r="DA90" s="353" t="n">
        <f aca="false">(SUM($AW:$AW+$BC:$BC)-$CZ:$CZ)</f>
        <v>0</v>
      </c>
      <c r="DB90" s="353"/>
      <c r="DC90" s="353" t="n">
        <f aca="false">$BE:$BE</f>
        <v>0.0325</v>
      </c>
      <c r="DD90" s="354" t="n">
        <f aca="false">$BF:$BF</f>
        <v>3101</v>
      </c>
      <c r="DE90" s="355" t="n">
        <f aca="false">$BI:$BI</f>
        <v>0</v>
      </c>
      <c r="DF90" s="354" t="n">
        <f aca="false">$BJ:$BJ</f>
        <v>0</v>
      </c>
      <c r="DG90" s="355" t="n">
        <f aca="false">$BG:$BG</f>
        <v>0</v>
      </c>
      <c r="DH90" s="354" t="n">
        <f aca="false">IFERROR(ROUND($AP:$AP*$DG:$DG,0),0)</f>
        <v>0</v>
      </c>
      <c r="DI90" s="353" t="n">
        <f aca="false">$CR:$CR+$CV:$CV+$DC:$DC+$DE:$DE+$DG:$DG</f>
        <v>0.0325</v>
      </c>
      <c r="DJ90" s="354" t="n">
        <f aca="false">$CS:$CS+$CW:$CW+$DD:$DD+$DF:$DF+$DH:$DH</f>
        <v>3101</v>
      </c>
      <c r="DK90" s="353" t="n">
        <f aca="false">$CT:$CT+$CX:$CX</f>
        <v>0</v>
      </c>
      <c r="DL90" s="354" t="n">
        <f aca="false">$CU:$CU+$CY:$CY</f>
        <v>0</v>
      </c>
      <c r="DM90" s="356"/>
      <c r="DN90" s="357"/>
      <c r="DO90" s="357"/>
      <c r="DP90" s="357"/>
      <c r="DQ90" s="357"/>
      <c r="DR90" s="357"/>
      <c r="DS90" s="357"/>
      <c r="DT90" s="357"/>
      <c r="DU90" s="357"/>
      <c r="DV90" s="357"/>
      <c r="DW90" s="357" t="s">
        <v>744</v>
      </c>
    </row>
    <row r="91" customFormat="false" ht="33.75" hidden="false" customHeight="false" outlineLevel="0" collapsed="false">
      <c r="A91" s="314"/>
      <c r="B91" s="315" t="s">
        <v>273</v>
      </c>
      <c r="C91" s="315" t="s">
        <v>745</v>
      </c>
      <c r="D91" s="315" t="n">
        <v>20064</v>
      </c>
      <c r="E91" s="316" t="s">
        <v>561</v>
      </c>
      <c r="F91" s="316" t="s">
        <v>746</v>
      </c>
      <c r="G91" s="316" t="s">
        <v>277</v>
      </c>
      <c r="H91" s="317" t="s">
        <v>733</v>
      </c>
      <c r="I91" s="316" t="s">
        <v>747</v>
      </c>
      <c r="J91" s="316" t="s">
        <v>735</v>
      </c>
      <c r="K91" s="318" t="n">
        <v>44320</v>
      </c>
      <c r="L91" s="318" t="n">
        <v>45838</v>
      </c>
      <c r="M91" s="318" t="n">
        <v>44986</v>
      </c>
      <c r="N91" s="319" t="s">
        <v>331</v>
      </c>
      <c r="O91" s="319" t="n">
        <v>22</v>
      </c>
      <c r="P91" s="320" t="n">
        <f aca="false">$O:$O/38</f>
        <v>0.578947368421053</v>
      </c>
      <c r="Q91" s="316" t="s">
        <v>332</v>
      </c>
      <c r="R91" s="316" t="n">
        <v>14689</v>
      </c>
      <c r="S91" s="316" t="s">
        <v>748</v>
      </c>
      <c r="T91" s="316" t="s">
        <v>685</v>
      </c>
      <c r="U91" s="316" t="s">
        <v>672</v>
      </c>
      <c r="V91" s="317" t="s">
        <v>58</v>
      </c>
      <c r="W91" s="317" t="s">
        <v>63</v>
      </c>
      <c r="X91" s="317" t="s">
        <v>286</v>
      </c>
      <c r="Y91" s="321" t="s">
        <v>287</v>
      </c>
      <c r="Z91" s="317" t="s">
        <v>676</v>
      </c>
      <c r="AA91" s="317" t="s">
        <v>303</v>
      </c>
      <c r="AB91" s="321" t="s">
        <v>677</v>
      </c>
      <c r="AC91" s="317" t="s">
        <v>289</v>
      </c>
      <c r="AD91" s="321" t="s">
        <v>290</v>
      </c>
      <c r="AE91" s="322" t="n">
        <f aca="false">IFERROR(INDEX('[3]Lookup_Rem Ranges'!$D$1:$D$1048576,MATCH($AL:$AL,'[3]Lookup_Rem Ranges'!$C$1:$C$1048576,0)),0)</f>
        <v>83400</v>
      </c>
      <c r="AF91" s="322" t="n">
        <f aca="false">IFERROR(INDEX('[3]Lookup_Rem Ranges'!$E$1:$E$1048576,MATCH($AL:$AL,'[3]Lookup_Rem Ranges'!$C$1:$C$1048576,0)),0)</f>
        <v>98100</v>
      </c>
      <c r="AG91" s="322" t="n">
        <f aca="false">IFERROR(INDEX('[3]Lookup_Rem Ranges'!$F$1:$F$1048576,MATCH($AL:$AL,'[3]Lookup_Rem Ranges'!$C$1:$C$1048576,0)),)</f>
        <v>112800</v>
      </c>
      <c r="AH91" s="317" t="s">
        <v>291</v>
      </c>
      <c r="AI91" s="319"/>
      <c r="AJ91" s="323" t="n">
        <v>0</v>
      </c>
      <c r="AK91" s="316"/>
      <c r="AL91" s="324" t="str">
        <f aca="false">CONCATENATE(AM91,"",AN91)</f>
        <v>CASS5</v>
      </c>
      <c r="AM91" s="324" t="s">
        <v>292</v>
      </c>
      <c r="AN91" s="319" t="n">
        <v>5</v>
      </c>
      <c r="AO91" s="316" t="s">
        <v>738</v>
      </c>
      <c r="AP91" s="325" t="n">
        <v>95100</v>
      </c>
      <c r="AQ91" s="322" t="n">
        <f aca="false">ROUND(IF($P:$P&gt;1,$AP:$AP*1,$AP:$AP*$P:$P),0)</f>
        <v>55058</v>
      </c>
      <c r="AR91" s="322" t="n">
        <f aca="false">IF(BA91="Yes",AP91,0)</f>
        <v>95100</v>
      </c>
      <c r="AS91" s="326" t="n">
        <v>0.120814623625499</v>
      </c>
      <c r="AT91" s="326" t="n">
        <v>0</v>
      </c>
      <c r="AU91" s="327"/>
      <c r="AV91" s="322"/>
      <c r="AW91" s="328" t="n">
        <v>0</v>
      </c>
      <c r="AX91" s="322" t="n">
        <v>0</v>
      </c>
      <c r="AY91" s="322" t="n">
        <v>95100</v>
      </c>
      <c r="AZ91" s="329" t="n">
        <f aca="false">IFERROR(($AY:$AY+$AJ:$AJ+$AK:$AK)/$AF:$AF,0)</f>
        <v>0.969418960244648</v>
      </c>
      <c r="BA91" s="330" t="s">
        <v>293</v>
      </c>
      <c r="BB91" s="331" t="n">
        <v>3</v>
      </c>
      <c r="BC91" s="326" t="n">
        <f aca="false">IFERROR($BD:$BD/$AY:$AY,0)</f>
        <v>0</v>
      </c>
      <c r="BD91" s="332" t="n">
        <f aca="false">ROUND(IF($AY:$AY&lt;$AE:$AE,$AE:$AE-$AY:$AY,0),0)</f>
        <v>0</v>
      </c>
      <c r="BE91" s="333" t="n">
        <v>0.0325</v>
      </c>
      <c r="BF91" s="334" t="n">
        <f aca="false">ROUND($AR:$AR*$BE:$BE,0)</f>
        <v>3091</v>
      </c>
      <c r="BG91" s="335" t="n">
        <v>0</v>
      </c>
      <c r="BH91" s="336" t="n">
        <f aca="false">ROUND($AR:$AR*$BG:$BG,0)</f>
        <v>0</v>
      </c>
      <c r="BI91" s="333" t="n">
        <v>0</v>
      </c>
      <c r="BJ91" s="334" t="n">
        <f aca="false">ROUND($AR:$AR*$BI:$BI,0)</f>
        <v>0</v>
      </c>
      <c r="BK91" s="334" t="n">
        <f aca="false">ROUND(IF($P:$P&gt;1,$BJ:$BJ*1,$BJ:$BJ*$P:$P),0)</f>
        <v>0</v>
      </c>
      <c r="BL91" s="337"/>
      <c r="BM91" s="338" t="n">
        <f aca="false">$BC:$BC+$BE:$BE+$BG:$BG</f>
        <v>0.0325</v>
      </c>
      <c r="BN91" s="339" t="n">
        <f aca="false">$BD:$BD+$BF:$BF+$BH:$BH</f>
        <v>3091</v>
      </c>
      <c r="BO91" s="340" t="n">
        <f aca="false">IFERROR(ROUND($AY:$AY+$BN:$BN,0),0)</f>
        <v>98191</v>
      </c>
      <c r="BP91" s="341" t="n">
        <f aca="false">ROUND(IF(SUM($BO:$BO&lt;249080),SUM(ROUND($BO:$BO*11%,0)),27398.8),0)</f>
        <v>10801</v>
      </c>
      <c r="BQ91" s="342" t="n">
        <f aca="false">$BO:$BO+$BP:$BP</f>
        <v>108992</v>
      </c>
      <c r="BR91" s="329" t="n">
        <f aca="false">IFERROR(($BO:$BO+$AJ:$AJ+$AK:$AK)/$AF:$AF,0)</f>
        <v>1.00092762487258</v>
      </c>
      <c r="BS91" s="343" t="n">
        <f aca="false">IF($N:$N="CASUAL","TBC",ROUND($BN:$BN/(NETWORKDAYS("01/07/2023","30/06/2024"))*NETWORKDAYS("10/07/2023","04/09/2023"),0)*$P:$P)</f>
        <v>281.947368421053</v>
      </c>
      <c r="BT91" s="326" t="n">
        <f aca="false">$BM91+$BI91</f>
        <v>0.0325</v>
      </c>
      <c r="BU91" s="332" t="n">
        <f aca="false">$BN:$BN+$BJ:$BJ</f>
        <v>3091</v>
      </c>
      <c r="BV91" s="342" t="n">
        <f aca="false">$BO:$BO*$P:$P</f>
        <v>56847.4210526316</v>
      </c>
      <c r="BW91" s="344" t="n">
        <f aca="false">ROUND($BO:$BO/1976,2)</f>
        <v>49.69</v>
      </c>
      <c r="BX91" s="316"/>
      <c r="BY91" s="342" t="n">
        <f aca="false">$BQ:$BQ+$BX:$BX</f>
        <v>108992</v>
      </c>
      <c r="BZ91" s="345" t="s">
        <v>294</v>
      </c>
      <c r="CA91" s="316"/>
      <c r="CB91" s="316"/>
      <c r="CC91" s="324" t="str">
        <f aca="false">CONCATENATE(CD91,"",CE91)</f>
        <v/>
      </c>
      <c r="CD91" s="319"/>
      <c r="CE91" s="319"/>
      <c r="CF91" s="322" t="str">
        <f aca="false">IFERROR(INDEX('[4]Lookup_Rem Ranges'!$D$1:$D$1048576,MATCH($CC:$CC,'[4]Lookup_Rem Ranges'!$C$1:$C$1048576,0)),"")</f>
        <v/>
      </c>
      <c r="CG91" s="346"/>
      <c r="CH91" s="346"/>
      <c r="CI91" s="347"/>
      <c r="CJ91" s="348"/>
      <c r="CK91" s="342" t="n">
        <f aca="false">IFERROR(ROUND($CI:$CI*$CJ:$CJ,0),0)</f>
        <v>0</v>
      </c>
      <c r="CL91" s="342" t="n">
        <f aca="false">$CI:$CI+$CK:$CK</f>
        <v>0</v>
      </c>
      <c r="CM91" s="349"/>
      <c r="CN91" s="350" t="n">
        <f aca="false">IF(SUM($CL:$CL&lt;249080),SUM(ROUND($CL:$CL*11%,0)),27398.8)</f>
        <v>0</v>
      </c>
      <c r="CO91" s="350" t="s">
        <v>324</v>
      </c>
      <c r="CP91" s="351" t="n">
        <f aca="false">IF(BA91="Yes",3.25%,0)</f>
        <v>0.0325</v>
      </c>
      <c r="CQ91" s="352" t="n">
        <f aca="false">ROUND(AR91*CP91,0)</f>
        <v>3091</v>
      </c>
      <c r="CR91" s="353" t="n">
        <f aca="false">IF($AW:$AW&lt;3.25%,$AW:$AW,3.25%)</f>
        <v>0</v>
      </c>
      <c r="CS91" s="354" t="n">
        <f aca="false">ROUND($AR:$AR*$CR:$CR,0)</f>
        <v>0</v>
      </c>
      <c r="CT91" s="353" t="n">
        <f aca="false">IF($AW:$AW&gt;=3.25%,$AW:$AW-$CR:$CR,0)</f>
        <v>0</v>
      </c>
      <c r="CU91" s="354" t="n">
        <f aca="false">ROUND($AR:$AR*$CT:$CT,0)</f>
        <v>0</v>
      </c>
      <c r="CV91" s="353" t="n">
        <f aca="false">IF($CR:$CR=3.25%,0,IF($BC:$BC&lt;3.25%,$BC:$BC,IF($BC:$BC&gt;3.25%,3.25%-$CR:$CR,0)))</f>
        <v>0</v>
      </c>
      <c r="CW91" s="354" t="n">
        <f aca="false">IFERROR(ROUND($AY:$AY*$CV:$CV,0),0)</f>
        <v>0</v>
      </c>
      <c r="CX91" s="353" t="n">
        <f aca="false">IF($CV:$CV=0,$BC:$BC,BC:BC-$CV:$CV)</f>
        <v>0</v>
      </c>
      <c r="CY91" s="354" t="n">
        <f aca="false">IFERROR(ROUND($AY:$AY*$CX:$CX,0),0)</f>
        <v>0</v>
      </c>
      <c r="CZ91" s="353" t="n">
        <f aca="false">$CR:$CR+$CT:CT+$CV:$CV+$CX:$CX</f>
        <v>0</v>
      </c>
      <c r="DA91" s="353" t="n">
        <f aca="false">(SUM($AW:$AW+$BC:$BC)-$CZ:$CZ)</f>
        <v>0</v>
      </c>
      <c r="DB91" s="353"/>
      <c r="DC91" s="353" t="n">
        <f aca="false">$BE:$BE</f>
        <v>0.0325</v>
      </c>
      <c r="DD91" s="354" t="n">
        <f aca="false">$BF:$BF</f>
        <v>3091</v>
      </c>
      <c r="DE91" s="355" t="n">
        <f aca="false">$BI:$BI</f>
        <v>0</v>
      </c>
      <c r="DF91" s="354" t="n">
        <f aca="false">$BJ:$BJ</f>
        <v>0</v>
      </c>
      <c r="DG91" s="355" t="n">
        <f aca="false">$BG:$BG</f>
        <v>0</v>
      </c>
      <c r="DH91" s="354" t="n">
        <f aca="false">IFERROR(ROUND($AP:$AP*$DG:$DG,0),0)</f>
        <v>0</v>
      </c>
      <c r="DI91" s="353" t="n">
        <f aca="false">$CR:$CR+$CV:$CV+$DC:$DC+$DE:$DE+$DG:$DG</f>
        <v>0.0325</v>
      </c>
      <c r="DJ91" s="354" t="n">
        <f aca="false">$CS:$CS+$CW:$CW+$DD:$DD+$DF:$DF+$DH:$DH</f>
        <v>3091</v>
      </c>
      <c r="DK91" s="353" t="n">
        <f aca="false">$CT:$CT+$CX:$CX</f>
        <v>0</v>
      </c>
      <c r="DL91" s="354" t="n">
        <f aca="false">$CU:$CU+$CY:$CY</f>
        <v>0</v>
      </c>
      <c r="DM91" s="356"/>
      <c r="DN91" s="357"/>
      <c r="DO91" s="357"/>
      <c r="DP91" s="357"/>
      <c r="DQ91" s="357"/>
      <c r="DR91" s="357"/>
      <c r="DS91" s="357"/>
      <c r="DT91" s="357"/>
      <c r="DU91" s="357"/>
      <c r="DV91" s="357"/>
      <c r="DW91" s="357" t="s">
        <v>744</v>
      </c>
    </row>
    <row r="92" customFormat="false" ht="33.75" hidden="false" customHeight="false" outlineLevel="0" collapsed="false">
      <c r="A92" s="314"/>
      <c r="B92" s="315" t="s">
        <v>273</v>
      </c>
      <c r="C92" s="315" t="s">
        <v>749</v>
      </c>
      <c r="D92" s="315" t="n">
        <v>10642</v>
      </c>
      <c r="E92" s="316" t="s">
        <v>750</v>
      </c>
      <c r="F92" s="316" t="s">
        <v>751</v>
      </c>
      <c r="G92" s="316" t="s">
        <v>300</v>
      </c>
      <c r="H92" s="317" t="s">
        <v>752</v>
      </c>
      <c r="I92" s="316" t="s">
        <v>753</v>
      </c>
      <c r="J92" s="316" t="s">
        <v>754</v>
      </c>
      <c r="K92" s="318" t="n">
        <v>40253</v>
      </c>
      <c r="L92" s="318"/>
      <c r="M92" s="318" t="n">
        <v>44411</v>
      </c>
      <c r="N92" s="319" t="s">
        <v>281</v>
      </c>
      <c r="O92" s="319" t="n">
        <v>38</v>
      </c>
      <c r="P92" s="320" t="n">
        <f aca="false">$O:$O/38</f>
        <v>1</v>
      </c>
      <c r="Q92" s="316" t="s">
        <v>582</v>
      </c>
      <c r="R92" s="316" t="n">
        <v>19890</v>
      </c>
      <c r="S92" s="316" t="s">
        <v>755</v>
      </c>
      <c r="T92" s="316" t="s">
        <v>756</v>
      </c>
      <c r="U92" s="316" t="s">
        <v>757</v>
      </c>
      <c r="V92" s="317" t="s">
        <v>58</v>
      </c>
      <c r="W92" s="317" t="s">
        <v>62</v>
      </c>
      <c r="X92" s="317" t="s">
        <v>286</v>
      </c>
      <c r="Y92" s="321" t="s">
        <v>287</v>
      </c>
      <c r="Z92" s="317" t="s">
        <v>758</v>
      </c>
      <c r="AA92" s="317" t="s">
        <v>338</v>
      </c>
      <c r="AB92" s="321" t="s">
        <v>759</v>
      </c>
      <c r="AC92" s="317" t="s">
        <v>289</v>
      </c>
      <c r="AD92" s="321" t="s">
        <v>290</v>
      </c>
      <c r="AE92" s="322" t="n">
        <f aca="false">IFERROR(INDEX('[3]Lookup_Rem Ranges'!$D$1:$D$1048576,MATCH($AL:$AL,'[3]Lookup_Rem Ranges'!$C$1:$C$1048576,0)),0)</f>
        <v>83400</v>
      </c>
      <c r="AF92" s="322" t="n">
        <f aca="false">IFERROR(INDEX('[3]Lookup_Rem Ranges'!$E$1:$E$1048576,MATCH($AL:$AL,'[3]Lookup_Rem Ranges'!$C$1:$C$1048576,0)),0)</f>
        <v>98100</v>
      </c>
      <c r="AG92" s="322" t="n">
        <f aca="false">IFERROR(INDEX('[3]Lookup_Rem Ranges'!$F$1:$F$1048576,MATCH($AL:$AL,'[3]Lookup_Rem Ranges'!$C$1:$C$1048576,0)),)</f>
        <v>112800</v>
      </c>
      <c r="AH92" s="317" t="s">
        <v>291</v>
      </c>
      <c r="AI92" s="319"/>
      <c r="AJ92" s="323" t="n">
        <v>0</v>
      </c>
      <c r="AK92" s="316"/>
      <c r="AL92" s="324" t="str">
        <f aca="false">CONCATENATE(AM92,"",AN92)</f>
        <v>CASS5</v>
      </c>
      <c r="AM92" s="324" t="s">
        <v>292</v>
      </c>
      <c r="AN92" s="319" t="n">
        <v>5</v>
      </c>
      <c r="AO92" s="316" t="s">
        <v>358</v>
      </c>
      <c r="AP92" s="325" t="n">
        <v>104500</v>
      </c>
      <c r="AQ92" s="322" t="n">
        <f aca="false">ROUND(IF($P:$P&gt;1,$AP:$AP*1,$AP:$AP*$P:$P),0)</f>
        <v>104500</v>
      </c>
      <c r="AR92" s="322" t="n">
        <f aca="false">IF(BA92="Yes",AP92,0)</f>
        <v>0</v>
      </c>
      <c r="AS92" s="326" t="n">
        <v>0.045</v>
      </c>
      <c r="AT92" s="326" t="n">
        <v>0</v>
      </c>
      <c r="AU92" s="327"/>
      <c r="AV92" s="322"/>
      <c r="AW92" s="328" t="n">
        <v>0</v>
      </c>
      <c r="AX92" s="322" t="n">
        <v>0</v>
      </c>
      <c r="AY92" s="322" t="n">
        <v>104500</v>
      </c>
      <c r="AZ92" s="329" t="n">
        <f aca="false">IFERROR(($AY:$AY+$AJ:$AJ+$AK:$AK)/$AF:$AF,0)</f>
        <v>1.06523955147808</v>
      </c>
      <c r="BA92" s="330" t="s">
        <v>294</v>
      </c>
      <c r="BB92" s="331" t="n">
        <v>3</v>
      </c>
      <c r="BC92" s="326" t="n">
        <f aca="false">IFERROR($BD:$BD/$AY:$AY,0)</f>
        <v>0</v>
      </c>
      <c r="BD92" s="332" t="n">
        <f aca="false">ROUND(IF($AY:$AY&lt;$AE:$AE,$AE:$AE-$AY:$AY,0),0)</f>
        <v>0</v>
      </c>
      <c r="BE92" s="333" t="n">
        <v>0</v>
      </c>
      <c r="BF92" s="334" t="n">
        <f aca="false">ROUND($AR:$AR*$BE:$BE,0)</f>
        <v>0</v>
      </c>
      <c r="BG92" s="335" t="n">
        <v>0</v>
      </c>
      <c r="BH92" s="336" t="n">
        <f aca="false">ROUND($AR:$AR*$BG:$BG,0)</f>
        <v>0</v>
      </c>
      <c r="BI92" s="333" t="n">
        <v>0</v>
      </c>
      <c r="BJ92" s="334" t="n">
        <f aca="false">ROUND($AR:$AR*$BI:$BI,0)</f>
        <v>0</v>
      </c>
      <c r="BK92" s="334" t="n">
        <f aca="false">ROUND(IF($P:$P&gt;1,$BJ:$BJ*1,$BJ:$BJ*$P:$P),0)</f>
        <v>0</v>
      </c>
      <c r="BL92" s="337"/>
      <c r="BM92" s="338" t="n">
        <f aca="false">$BC:$BC+$BE:$BE+$BG:$BG</f>
        <v>0</v>
      </c>
      <c r="BN92" s="339" t="n">
        <f aca="false">$BD:$BD+$BF:$BF+$BH:$BH</f>
        <v>0</v>
      </c>
      <c r="BO92" s="340" t="n">
        <f aca="false">IFERROR(ROUND($AY:$AY+$BN:$BN,0),0)</f>
        <v>104500</v>
      </c>
      <c r="BP92" s="341" t="n">
        <f aca="false">ROUND(IF(SUM($BO:$BO&lt;249080),SUM(ROUND($BO:$BO*11%,0)),27398.8),0)</f>
        <v>11495</v>
      </c>
      <c r="BQ92" s="342" t="n">
        <f aca="false">$BO:$BO+$BP:$BP</f>
        <v>115995</v>
      </c>
      <c r="BR92" s="329" t="n">
        <f aca="false">IFERROR(($BO:$BO+$AJ:$AJ+$AK:$AK)/$AF:$AF,0)</f>
        <v>1.06523955147808</v>
      </c>
      <c r="BS92" s="343" t="n">
        <f aca="false">IF($N:$N="CASUAL","TBC",ROUND($BN:$BN/(NETWORKDAYS("01/07/2023","30/06/2024"))*NETWORKDAYS("10/07/2023","04/09/2023"),0)*$P:$P)</f>
        <v>0</v>
      </c>
      <c r="BT92" s="326" t="n">
        <f aca="false">$BM92+$BI92</f>
        <v>0</v>
      </c>
      <c r="BU92" s="332" t="n">
        <f aca="false">$BN:$BN+$BJ:$BJ</f>
        <v>0</v>
      </c>
      <c r="BV92" s="342" t="n">
        <f aca="false">$BO:$BO*$P:$P</f>
        <v>104500</v>
      </c>
      <c r="BW92" s="344" t="n">
        <f aca="false">ROUND($BO:$BO/1976,2)</f>
        <v>52.88</v>
      </c>
      <c r="BX92" s="316"/>
      <c r="BY92" s="342" t="n">
        <f aca="false">$BQ:$BQ+$BX:$BX</f>
        <v>115995</v>
      </c>
      <c r="BZ92" s="345" t="s">
        <v>294</v>
      </c>
      <c r="CA92" s="316"/>
      <c r="CB92" s="316"/>
      <c r="CC92" s="324" t="str">
        <f aca="false">CONCATENATE(CD92,"",CE92)</f>
        <v/>
      </c>
      <c r="CD92" s="319"/>
      <c r="CE92" s="319"/>
      <c r="CF92" s="322" t="str">
        <f aca="false">IFERROR(INDEX('[4]Lookup_Rem Ranges'!$D$1:$D$1048576,MATCH($CC:$CC,'[4]Lookup_Rem Ranges'!$C$1:$C$1048576,0)),"")</f>
        <v/>
      </c>
      <c r="CG92" s="346"/>
      <c r="CH92" s="346"/>
      <c r="CI92" s="347"/>
      <c r="CJ92" s="348"/>
      <c r="CK92" s="342" t="n">
        <f aca="false">IFERROR(ROUND($CI:$CI*$CJ:$CJ,0),0)</f>
        <v>0</v>
      </c>
      <c r="CL92" s="342" t="n">
        <f aca="false">$CI:$CI+$CK:$CK</f>
        <v>0</v>
      </c>
      <c r="CM92" s="349"/>
      <c r="CN92" s="350" t="n">
        <f aca="false">IF(SUM($CL:$CL&lt;249080),SUM(ROUND($CL:$CL*11%,0)),27398.8)</f>
        <v>0</v>
      </c>
      <c r="CO92" s="350" t="s">
        <v>324</v>
      </c>
      <c r="CP92" s="351" t="n">
        <f aca="false">IF(BA92="Yes",3.25%,0)</f>
        <v>0</v>
      </c>
      <c r="CQ92" s="352" t="n">
        <f aca="false">ROUND(AR92*CP92,0)</f>
        <v>0</v>
      </c>
      <c r="CR92" s="353" t="n">
        <f aca="false">IF($AW:$AW&lt;3.25%,$AW:$AW,3.25%)</f>
        <v>0</v>
      </c>
      <c r="CS92" s="354" t="n">
        <f aca="false">ROUND($AR:$AR*$CR:$CR,0)</f>
        <v>0</v>
      </c>
      <c r="CT92" s="353" t="n">
        <f aca="false">IF($AW:$AW&gt;=3.25%,$AW:$AW-$CR:$CR,0)</f>
        <v>0</v>
      </c>
      <c r="CU92" s="354" t="n">
        <f aca="false">ROUND($AR:$AR*$CT:$CT,0)</f>
        <v>0</v>
      </c>
      <c r="CV92" s="353" t="n">
        <f aca="false">IF($CR:$CR=3.25%,0,IF($BC:$BC&lt;3.25%,$BC:$BC,IF($BC:$BC&gt;3.25%,3.25%-$CR:$CR,0)))</f>
        <v>0</v>
      </c>
      <c r="CW92" s="354" t="n">
        <f aca="false">IFERROR(ROUND($AY:$AY*$CV:$CV,0),0)</f>
        <v>0</v>
      </c>
      <c r="CX92" s="353" t="n">
        <f aca="false">IF($CV:$CV=0,$BC:$BC,BC:BC-$CV:$CV)</f>
        <v>0</v>
      </c>
      <c r="CY92" s="354" t="n">
        <f aca="false">IFERROR(ROUND($AY:$AY*$CX:$CX,0),0)</f>
        <v>0</v>
      </c>
      <c r="CZ92" s="353" t="n">
        <f aca="false">$CR:$CR+$CT:CT+$CV:$CV+$CX:$CX</f>
        <v>0</v>
      </c>
      <c r="DA92" s="353" t="n">
        <f aca="false">(SUM($AW:$AW+$BC:$BC)-$CZ:$CZ)</f>
        <v>0</v>
      </c>
      <c r="DB92" s="353"/>
      <c r="DC92" s="353" t="n">
        <f aca="false">$BE:$BE</f>
        <v>0</v>
      </c>
      <c r="DD92" s="354" t="n">
        <f aca="false">$BF:$BF</f>
        <v>0</v>
      </c>
      <c r="DE92" s="355" t="n">
        <f aca="false">$BI:$BI</f>
        <v>0</v>
      </c>
      <c r="DF92" s="354" t="n">
        <f aca="false">$BJ:$BJ</f>
        <v>0</v>
      </c>
      <c r="DG92" s="355" t="n">
        <f aca="false">$BG:$BG</f>
        <v>0</v>
      </c>
      <c r="DH92" s="354" t="n">
        <f aca="false">IFERROR(ROUND($AP:$AP*$DG:$DG,0),0)</f>
        <v>0</v>
      </c>
      <c r="DI92" s="353" t="n">
        <f aca="false">$CR:$CR+$CV:$CV+$DC:$DC+$DE:$DE+$DG:$DG</f>
        <v>0</v>
      </c>
      <c r="DJ92" s="354" t="n">
        <f aca="false">$CS:$CS+$CW:$CW+$DD:$DD+$DF:$DF+$DH:$DH</f>
        <v>0</v>
      </c>
      <c r="DK92" s="353" t="n">
        <f aca="false">$CT:$CT+$CX:$CX</f>
        <v>0</v>
      </c>
      <c r="DL92" s="354" t="n">
        <f aca="false">$CU:$CU+$CY:$CY</f>
        <v>0</v>
      </c>
      <c r="DM92" s="356"/>
      <c r="DN92" s="357"/>
      <c r="DO92" s="357"/>
      <c r="DP92" s="357"/>
      <c r="DQ92" s="357"/>
      <c r="DR92" s="357"/>
      <c r="DS92" s="357"/>
      <c r="DT92" s="357"/>
      <c r="DU92" s="357"/>
      <c r="DV92" s="357"/>
      <c r="DW92" s="357" t="s">
        <v>744</v>
      </c>
    </row>
    <row r="93" customFormat="false" ht="33.75" hidden="false" customHeight="false" outlineLevel="0" collapsed="false">
      <c r="A93" s="314"/>
      <c r="B93" s="315" t="s">
        <v>273</v>
      </c>
      <c r="C93" s="315" t="s">
        <v>760</v>
      </c>
      <c r="D93" s="315" t="n">
        <v>8128</v>
      </c>
      <c r="E93" s="316" t="s">
        <v>761</v>
      </c>
      <c r="F93" s="316" t="s">
        <v>762</v>
      </c>
      <c r="G93" s="316" t="s">
        <v>277</v>
      </c>
      <c r="H93" s="317" t="s">
        <v>763</v>
      </c>
      <c r="I93" s="316" t="s">
        <v>764</v>
      </c>
      <c r="J93" s="316" t="s">
        <v>765</v>
      </c>
      <c r="K93" s="318" t="n">
        <v>39321</v>
      </c>
      <c r="L93" s="318"/>
      <c r="M93" s="318" t="n">
        <v>44986</v>
      </c>
      <c r="N93" s="319" t="s">
        <v>281</v>
      </c>
      <c r="O93" s="319" t="n">
        <v>38</v>
      </c>
      <c r="P93" s="320" t="n">
        <f aca="false">$O:$O/38</f>
        <v>1</v>
      </c>
      <c r="Q93" s="316" t="s">
        <v>352</v>
      </c>
      <c r="R93" s="316" t="n">
        <v>19890</v>
      </c>
      <c r="S93" s="316" t="s">
        <v>755</v>
      </c>
      <c r="T93" s="316" t="s">
        <v>756</v>
      </c>
      <c r="U93" s="316" t="s">
        <v>757</v>
      </c>
      <c r="V93" s="317" t="s">
        <v>58</v>
      </c>
      <c r="W93" s="317" t="s">
        <v>62</v>
      </c>
      <c r="X93" s="317" t="s">
        <v>286</v>
      </c>
      <c r="Y93" s="321" t="s">
        <v>287</v>
      </c>
      <c r="Z93" s="317" t="s">
        <v>758</v>
      </c>
      <c r="AA93" s="317" t="s">
        <v>338</v>
      </c>
      <c r="AB93" s="321" t="s">
        <v>759</v>
      </c>
      <c r="AC93" s="317" t="s">
        <v>289</v>
      </c>
      <c r="AD93" s="321" t="s">
        <v>290</v>
      </c>
      <c r="AE93" s="322" t="n">
        <f aca="false">IFERROR(INDEX('[3]Lookup_Rem Ranges'!$D$1:$D$1048576,MATCH($AL:$AL,'[3]Lookup_Rem Ranges'!$C$1:$C$1048576,0)),0)</f>
        <v>83400</v>
      </c>
      <c r="AF93" s="322" t="n">
        <f aca="false">IFERROR(INDEX('[3]Lookup_Rem Ranges'!$E$1:$E$1048576,MATCH($AL:$AL,'[3]Lookup_Rem Ranges'!$C$1:$C$1048576,0)),0)</f>
        <v>98100</v>
      </c>
      <c r="AG93" s="322" t="n">
        <f aca="false">IFERROR(INDEX('[3]Lookup_Rem Ranges'!$F$1:$F$1048576,MATCH($AL:$AL,'[3]Lookup_Rem Ranges'!$C$1:$C$1048576,0)),)</f>
        <v>112800</v>
      </c>
      <c r="AH93" s="317" t="s">
        <v>291</v>
      </c>
      <c r="AI93" s="319"/>
      <c r="AJ93" s="323" t="n">
        <v>0</v>
      </c>
      <c r="AK93" s="316"/>
      <c r="AL93" s="324" t="str">
        <f aca="false">CONCATENATE(AM93,"",AN93)</f>
        <v>CASS5</v>
      </c>
      <c r="AM93" s="324" t="s">
        <v>292</v>
      </c>
      <c r="AN93" s="319" t="n">
        <v>5</v>
      </c>
      <c r="AO93" s="316" t="s">
        <v>358</v>
      </c>
      <c r="AP93" s="325" t="n">
        <v>114500</v>
      </c>
      <c r="AQ93" s="322" t="n">
        <f aca="false">ROUND(IF($P:$P&gt;1,$AP:$AP*1,$AP:$AP*$P:$P),0)</f>
        <v>114500</v>
      </c>
      <c r="AR93" s="322" t="n">
        <f aca="false">IF(BA93="Yes",AP93,0)</f>
        <v>0</v>
      </c>
      <c r="AS93" s="326" t="n">
        <v>0.045662100456621</v>
      </c>
      <c r="AT93" s="326" t="n">
        <v>0</v>
      </c>
      <c r="AU93" s="327"/>
      <c r="AV93" s="322"/>
      <c r="AW93" s="328" t="n">
        <v>0</v>
      </c>
      <c r="AX93" s="322" t="n">
        <v>0</v>
      </c>
      <c r="AY93" s="322" t="n">
        <v>114500</v>
      </c>
      <c r="AZ93" s="329" t="n">
        <f aca="false">IFERROR(($AY:$AY+$AJ:$AJ+$AK:$AK)/$AF:$AF,0)</f>
        <v>1.16717635066259</v>
      </c>
      <c r="BA93" s="330" t="s">
        <v>294</v>
      </c>
      <c r="BB93" s="331" t="n">
        <v>3</v>
      </c>
      <c r="BC93" s="326" t="n">
        <f aca="false">IFERROR($BD:$BD/$AY:$AY,0)</f>
        <v>0</v>
      </c>
      <c r="BD93" s="332" t="n">
        <f aca="false">ROUND(IF($AY:$AY&lt;$AE:$AE,$AE:$AE-$AY:$AY,0),0)</f>
        <v>0</v>
      </c>
      <c r="BE93" s="333" t="n">
        <v>0</v>
      </c>
      <c r="BF93" s="334" t="n">
        <f aca="false">ROUND($AR:$AR*$BE:$BE,0)</f>
        <v>0</v>
      </c>
      <c r="BG93" s="335" t="n">
        <v>0</v>
      </c>
      <c r="BH93" s="336" t="n">
        <f aca="false">ROUND($AR:$AR*$BG:$BG,0)</f>
        <v>0</v>
      </c>
      <c r="BI93" s="333" t="n">
        <v>0</v>
      </c>
      <c r="BJ93" s="334" t="n">
        <f aca="false">ROUND($AR:$AR*$BI:$BI,0)</f>
        <v>0</v>
      </c>
      <c r="BK93" s="334" t="n">
        <f aca="false">ROUND(IF($P:$P&gt;1,$BJ:$BJ*1,$BJ:$BJ*$P:$P),0)</f>
        <v>0</v>
      </c>
      <c r="BL93" s="337"/>
      <c r="BM93" s="338" t="n">
        <f aca="false">$BC:$BC+$BE:$BE+$BG:$BG</f>
        <v>0</v>
      </c>
      <c r="BN93" s="339" t="n">
        <f aca="false">$BD:$BD+$BF:$BF+$BH:$BH</f>
        <v>0</v>
      </c>
      <c r="BO93" s="340" t="n">
        <f aca="false">IFERROR(ROUND($AY:$AY+$BN:$BN,0),0)</f>
        <v>114500</v>
      </c>
      <c r="BP93" s="341" t="n">
        <f aca="false">ROUND(IF(SUM($BO:$BO&lt;249080),SUM(ROUND($BO:$BO*11%,0)),27398.8),0)</f>
        <v>12595</v>
      </c>
      <c r="BQ93" s="342" t="n">
        <f aca="false">$BO:$BO+$BP:$BP</f>
        <v>127095</v>
      </c>
      <c r="BR93" s="329" t="n">
        <f aca="false">IFERROR(($BO:$BO+$AJ:$AJ+$AK:$AK)/$AF:$AF,0)</f>
        <v>1.16717635066259</v>
      </c>
      <c r="BS93" s="343" t="n">
        <f aca="false">IF($N:$N="CASUAL","TBC",ROUND($BN:$BN/(NETWORKDAYS("01/07/2023","30/06/2024"))*NETWORKDAYS("10/07/2023","04/09/2023"),0)*$P:$P)</f>
        <v>0</v>
      </c>
      <c r="BT93" s="326" t="n">
        <f aca="false">$BM93+$BI93</f>
        <v>0</v>
      </c>
      <c r="BU93" s="332" t="n">
        <f aca="false">$BN:$BN+$BJ:$BJ</f>
        <v>0</v>
      </c>
      <c r="BV93" s="342" t="n">
        <f aca="false">$BO:$BO*$P:$P</f>
        <v>114500</v>
      </c>
      <c r="BW93" s="344" t="n">
        <f aca="false">ROUND($BO:$BO/1976,2)</f>
        <v>57.95</v>
      </c>
      <c r="BX93" s="316"/>
      <c r="BY93" s="342" t="n">
        <f aca="false">$BQ:$BQ+$BX:$BX</f>
        <v>127095</v>
      </c>
      <c r="BZ93" s="345" t="s">
        <v>294</v>
      </c>
      <c r="CA93" s="316"/>
      <c r="CB93" s="316"/>
      <c r="CC93" s="324" t="str">
        <f aca="false">CONCATENATE(CD93,"",CE93)</f>
        <v/>
      </c>
      <c r="CD93" s="319"/>
      <c r="CE93" s="319"/>
      <c r="CF93" s="322" t="str">
        <f aca="false">IFERROR(INDEX('[4]Lookup_Rem Ranges'!$D$1:$D$1048576,MATCH($CC:$CC,'[4]Lookup_Rem Ranges'!$C$1:$C$1048576,0)),"")</f>
        <v/>
      </c>
      <c r="CG93" s="346"/>
      <c r="CH93" s="346"/>
      <c r="CI93" s="347"/>
      <c r="CJ93" s="348"/>
      <c r="CK93" s="342" t="n">
        <f aca="false">IFERROR(ROUND($CI:$CI*$CJ:$CJ,0),0)</f>
        <v>0</v>
      </c>
      <c r="CL93" s="342" t="n">
        <f aca="false">$CI:$CI+$CK:$CK</f>
        <v>0</v>
      </c>
      <c r="CM93" s="349"/>
      <c r="CN93" s="350" t="n">
        <f aca="false">IF(SUM($CL:$CL&lt;249080),SUM(ROUND($CL:$CL*11%,0)),27398.8)</f>
        <v>0</v>
      </c>
      <c r="CO93" s="350" t="s">
        <v>324</v>
      </c>
      <c r="CP93" s="351" t="n">
        <f aca="false">IF(BA93="Yes",3.25%,0)</f>
        <v>0</v>
      </c>
      <c r="CQ93" s="352" t="n">
        <f aca="false">ROUND(AR93*CP93,0)</f>
        <v>0</v>
      </c>
      <c r="CR93" s="353" t="n">
        <f aca="false">IF($AW:$AW&lt;3.25%,$AW:$AW,3.25%)</f>
        <v>0</v>
      </c>
      <c r="CS93" s="354" t="n">
        <f aca="false">ROUND($AR:$AR*$CR:$CR,0)</f>
        <v>0</v>
      </c>
      <c r="CT93" s="353" t="n">
        <f aca="false">IF($AW:$AW&gt;=3.25%,$AW:$AW-$CR:$CR,0)</f>
        <v>0</v>
      </c>
      <c r="CU93" s="354" t="n">
        <f aca="false">ROUND($AR:$AR*$CT:$CT,0)</f>
        <v>0</v>
      </c>
      <c r="CV93" s="353" t="n">
        <f aca="false">IF($CR:$CR=3.25%,0,IF($BC:$BC&lt;3.25%,$BC:$BC,IF($BC:$BC&gt;3.25%,3.25%-$CR:$CR,0)))</f>
        <v>0</v>
      </c>
      <c r="CW93" s="354" t="n">
        <f aca="false">IFERROR(ROUND($AY:$AY*$CV:$CV,0),0)</f>
        <v>0</v>
      </c>
      <c r="CX93" s="353" t="n">
        <f aca="false">IF($CV:$CV=0,$BC:$BC,BC:BC-$CV:$CV)</f>
        <v>0</v>
      </c>
      <c r="CY93" s="354" t="n">
        <f aca="false">IFERROR(ROUND($AY:$AY*$CX:$CX,0),0)</f>
        <v>0</v>
      </c>
      <c r="CZ93" s="353" t="n">
        <f aca="false">$CR:$CR+$CT:CT+$CV:$CV+$CX:$CX</f>
        <v>0</v>
      </c>
      <c r="DA93" s="353" t="n">
        <f aca="false">(SUM($AW:$AW+$BC:$BC)-$CZ:$CZ)</f>
        <v>0</v>
      </c>
      <c r="DB93" s="353"/>
      <c r="DC93" s="353" t="n">
        <f aca="false">$BE:$BE</f>
        <v>0</v>
      </c>
      <c r="DD93" s="354" t="n">
        <f aca="false">$BF:$BF</f>
        <v>0</v>
      </c>
      <c r="DE93" s="355" t="n">
        <f aca="false">$BI:$BI</f>
        <v>0</v>
      </c>
      <c r="DF93" s="354" t="n">
        <f aca="false">$BJ:$BJ</f>
        <v>0</v>
      </c>
      <c r="DG93" s="355" t="n">
        <f aca="false">$BG:$BG</f>
        <v>0</v>
      </c>
      <c r="DH93" s="354" t="n">
        <f aca="false">IFERROR(ROUND($AP:$AP*$DG:$DG,0),0)</f>
        <v>0</v>
      </c>
      <c r="DI93" s="353" t="n">
        <f aca="false">$CR:$CR+$CV:$CV+$DC:$DC+$DE:$DE+$DG:$DG</f>
        <v>0</v>
      </c>
      <c r="DJ93" s="354" t="n">
        <f aca="false">$CS:$CS+$CW:$CW+$DD:$DD+$DF:$DF+$DH:$DH</f>
        <v>0</v>
      </c>
      <c r="DK93" s="353" t="n">
        <f aca="false">$CT:$CT+$CX:$CX</f>
        <v>0</v>
      </c>
      <c r="DL93" s="354" t="n">
        <f aca="false">$CU:$CU+$CY:$CY</f>
        <v>0</v>
      </c>
      <c r="DM93" s="356"/>
      <c r="DN93" s="357"/>
      <c r="DO93" s="357"/>
      <c r="DP93" s="357"/>
      <c r="DQ93" s="357"/>
      <c r="DR93" s="357"/>
      <c r="DS93" s="357"/>
      <c r="DT93" s="357"/>
      <c r="DU93" s="357"/>
      <c r="DV93" s="357"/>
      <c r="DW93" s="357" t="s">
        <v>744</v>
      </c>
    </row>
    <row r="94" customFormat="false" ht="33.75" hidden="false" customHeight="false" outlineLevel="0" collapsed="false">
      <c r="A94" s="314"/>
      <c r="B94" s="315" t="s">
        <v>273</v>
      </c>
      <c r="C94" s="315" t="s">
        <v>766</v>
      </c>
      <c r="D94" s="315" t="n">
        <v>14296</v>
      </c>
      <c r="E94" s="316" t="s">
        <v>767</v>
      </c>
      <c r="F94" s="316" t="s">
        <v>768</v>
      </c>
      <c r="G94" s="316" t="s">
        <v>277</v>
      </c>
      <c r="H94" s="317" t="s">
        <v>752</v>
      </c>
      <c r="I94" s="316" t="s">
        <v>769</v>
      </c>
      <c r="J94" s="316" t="s">
        <v>754</v>
      </c>
      <c r="K94" s="318" t="n">
        <v>41625</v>
      </c>
      <c r="L94" s="318"/>
      <c r="M94" s="318" t="n">
        <v>44264</v>
      </c>
      <c r="N94" s="319" t="s">
        <v>281</v>
      </c>
      <c r="O94" s="319" t="n">
        <v>38</v>
      </c>
      <c r="P94" s="320" t="n">
        <f aca="false">$O:$O/38</f>
        <v>1</v>
      </c>
      <c r="Q94" s="316" t="s">
        <v>582</v>
      </c>
      <c r="R94" s="316" t="n">
        <v>19890</v>
      </c>
      <c r="S94" s="316" t="s">
        <v>755</v>
      </c>
      <c r="T94" s="316" t="s">
        <v>756</v>
      </c>
      <c r="U94" s="316" t="s">
        <v>757</v>
      </c>
      <c r="V94" s="317" t="s">
        <v>58</v>
      </c>
      <c r="W94" s="317" t="s">
        <v>62</v>
      </c>
      <c r="X94" s="317" t="s">
        <v>286</v>
      </c>
      <c r="Y94" s="321" t="s">
        <v>287</v>
      </c>
      <c r="Z94" s="317" t="s">
        <v>758</v>
      </c>
      <c r="AA94" s="317" t="s">
        <v>338</v>
      </c>
      <c r="AB94" s="321" t="s">
        <v>759</v>
      </c>
      <c r="AC94" s="317" t="s">
        <v>289</v>
      </c>
      <c r="AD94" s="321" t="s">
        <v>290</v>
      </c>
      <c r="AE94" s="322" t="n">
        <f aca="false">IFERROR(INDEX('[3]Lookup_Rem Ranges'!$D$1:$D$1048576,MATCH($AL:$AL,'[3]Lookup_Rem Ranges'!$C$1:$C$1048576,0)),0)</f>
        <v>83400</v>
      </c>
      <c r="AF94" s="322" t="n">
        <f aca="false">IFERROR(INDEX('[3]Lookup_Rem Ranges'!$E$1:$E$1048576,MATCH($AL:$AL,'[3]Lookup_Rem Ranges'!$C$1:$C$1048576,0)),0)</f>
        <v>98100</v>
      </c>
      <c r="AG94" s="322" t="n">
        <f aca="false">IFERROR(INDEX('[3]Lookup_Rem Ranges'!$F$1:$F$1048576,MATCH($AL:$AL,'[3]Lookup_Rem Ranges'!$C$1:$C$1048576,0)),)</f>
        <v>112800</v>
      </c>
      <c r="AH94" s="317" t="s">
        <v>291</v>
      </c>
      <c r="AI94" s="319"/>
      <c r="AJ94" s="323" t="n">
        <v>0</v>
      </c>
      <c r="AK94" s="316"/>
      <c r="AL94" s="324" t="str">
        <f aca="false">CONCATENATE(AM94,"",AN94)</f>
        <v>CASS5</v>
      </c>
      <c r="AM94" s="324" t="s">
        <v>292</v>
      </c>
      <c r="AN94" s="319" t="n">
        <v>5</v>
      </c>
      <c r="AO94" s="316" t="s">
        <v>358</v>
      </c>
      <c r="AP94" s="325" t="n">
        <v>113300</v>
      </c>
      <c r="AQ94" s="322" t="n">
        <f aca="false">ROUND(IF($P:$P&gt;1,$AP:$AP*1,$AP:$AP*$P:$P),0)</f>
        <v>113300</v>
      </c>
      <c r="AR94" s="322" t="n">
        <f aca="false">IF(BA94="Yes",AP94,0)</f>
        <v>0</v>
      </c>
      <c r="AS94" s="326" t="n">
        <v>0.0356489945155393</v>
      </c>
      <c r="AT94" s="326" t="n">
        <v>0</v>
      </c>
      <c r="AU94" s="327"/>
      <c r="AV94" s="322"/>
      <c r="AW94" s="328" t="n">
        <v>0</v>
      </c>
      <c r="AX94" s="322" t="n">
        <v>0</v>
      </c>
      <c r="AY94" s="322" t="n">
        <v>113300</v>
      </c>
      <c r="AZ94" s="329" t="n">
        <f aca="false">IFERROR(($AY:$AY+$AJ:$AJ+$AK:$AK)/$AF:$AF,0)</f>
        <v>1.15494393476045</v>
      </c>
      <c r="BA94" s="330" t="s">
        <v>294</v>
      </c>
      <c r="BB94" s="331" t="n">
        <v>3</v>
      </c>
      <c r="BC94" s="326" t="n">
        <f aca="false">IFERROR($BD:$BD/$AY:$AY,0)</f>
        <v>0</v>
      </c>
      <c r="BD94" s="332" t="n">
        <f aca="false">ROUND(IF($AY:$AY&lt;$AE:$AE,$AE:$AE-$AY:$AY,0),0)</f>
        <v>0</v>
      </c>
      <c r="BE94" s="333" t="n">
        <v>0</v>
      </c>
      <c r="BF94" s="334" t="n">
        <f aca="false">ROUND($AR:$AR*$BE:$BE,0)</f>
        <v>0</v>
      </c>
      <c r="BG94" s="335" t="n">
        <v>0</v>
      </c>
      <c r="BH94" s="336" t="n">
        <f aca="false">ROUND($AR:$AR*$BG:$BG,0)</f>
        <v>0</v>
      </c>
      <c r="BI94" s="333" t="n">
        <v>0</v>
      </c>
      <c r="BJ94" s="334" t="n">
        <f aca="false">ROUND($AR:$AR*$BI:$BI,0)</f>
        <v>0</v>
      </c>
      <c r="BK94" s="334" t="n">
        <f aca="false">ROUND(IF($P:$P&gt;1,$BJ:$BJ*1,$BJ:$BJ*$P:$P),0)</f>
        <v>0</v>
      </c>
      <c r="BL94" s="337"/>
      <c r="BM94" s="338" t="n">
        <f aca="false">$BC:$BC+$BE:$BE+$BG:$BG</f>
        <v>0</v>
      </c>
      <c r="BN94" s="339" t="n">
        <f aca="false">$BD:$BD+$BF:$BF+$BH:$BH</f>
        <v>0</v>
      </c>
      <c r="BO94" s="340" t="n">
        <f aca="false">IFERROR(ROUND($AY:$AY+$BN:$BN,0),0)</f>
        <v>113300</v>
      </c>
      <c r="BP94" s="341" t="n">
        <f aca="false">ROUND(IF(SUM($BO:$BO&lt;249080),SUM(ROUND($BO:$BO*11%,0)),27398.8),0)</f>
        <v>12463</v>
      </c>
      <c r="BQ94" s="342" t="n">
        <f aca="false">$BO:$BO+$BP:$BP</f>
        <v>125763</v>
      </c>
      <c r="BR94" s="329" t="n">
        <f aca="false">IFERROR(($BO:$BO+$AJ:$AJ+$AK:$AK)/$AF:$AF,0)</f>
        <v>1.15494393476045</v>
      </c>
      <c r="BS94" s="343" t="n">
        <f aca="false">IF($N:$N="CASUAL","TBC",ROUND($BN:$BN/(NETWORKDAYS("01/07/2023","30/06/2024"))*NETWORKDAYS("10/07/2023","04/09/2023"),0)*$P:$P)</f>
        <v>0</v>
      </c>
      <c r="BT94" s="326" t="n">
        <f aca="false">$BM94+$BI94</f>
        <v>0</v>
      </c>
      <c r="BU94" s="332" t="n">
        <f aca="false">$BN:$BN+$BJ:$BJ</f>
        <v>0</v>
      </c>
      <c r="BV94" s="342" t="n">
        <f aca="false">$BO:$BO*$P:$P</f>
        <v>113300</v>
      </c>
      <c r="BW94" s="344" t="n">
        <f aca="false">ROUND($BO:$BO/1976,2)</f>
        <v>57.34</v>
      </c>
      <c r="BX94" s="316"/>
      <c r="BY94" s="342" t="n">
        <f aca="false">$BQ:$BQ+$BX:$BX</f>
        <v>125763</v>
      </c>
      <c r="BZ94" s="345" t="s">
        <v>294</v>
      </c>
      <c r="CA94" s="316"/>
      <c r="CB94" s="316"/>
      <c r="CC94" s="324" t="str">
        <f aca="false">CONCATENATE(CD94,"",CE94)</f>
        <v/>
      </c>
      <c r="CD94" s="319"/>
      <c r="CE94" s="319"/>
      <c r="CF94" s="322" t="str">
        <f aca="false">IFERROR(INDEX('[4]Lookup_Rem Ranges'!$D$1:$D$1048576,MATCH($CC:$CC,'[4]Lookup_Rem Ranges'!$C$1:$C$1048576,0)),"")</f>
        <v/>
      </c>
      <c r="CG94" s="346"/>
      <c r="CH94" s="346"/>
      <c r="CI94" s="347"/>
      <c r="CJ94" s="348"/>
      <c r="CK94" s="342" t="n">
        <f aca="false">IFERROR(ROUND($CI:$CI*$CJ:$CJ,0),0)</f>
        <v>0</v>
      </c>
      <c r="CL94" s="342" t="n">
        <f aca="false">$CI:$CI+$CK:$CK</f>
        <v>0</v>
      </c>
      <c r="CM94" s="349"/>
      <c r="CN94" s="350" t="n">
        <f aca="false">IF(SUM($CL:$CL&lt;249080),SUM(ROUND($CL:$CL*11%,0)),27398.8)</f>
        <v>0</v>
      </c>
      <c r="CO94" s="350" t="s">
        <v>324</v>
      </c>
      <c r="CP94" s="351" t="n">
        <f aca="false">IF(BA94="Yes",3.25%,0)</f>
        <v>0</v>
      </c>
      <c r="CQ94" s="352" t="n">
        <f aca="false">ROUND(AR94*CP94,0)</f>
        <v>0</v>
      </c>
      <c r="CR94" s="353" t="n">
        <f aca="false">IF($AW:$AW&lt;3.25%,$AW:$AW,3.25%)</f>
        <v>0</v>
      </c>
      <c r="CS94" s="354" t="n">
        <f aca="false">ROUND($AR:$AR*$CR:$CR,0)</f>
        <v>0</v>
      </c>
      <c r="CT94" s="353" t="n">
        <f aca="false">IF($AW:$AW&gt;=3.25%,$AW:$AW-$CR:$CR,0)</f>
        <v>0</v>
      </c>
      <c r="CU94" s="354" t="n">
        <f aca="false">ROUND($AR:$AR*$CT:$CT,0)</f>
        <v>0</v>
      </c>
      <c r="CV94" s="353" t="n">
        <f aca="false">IF($CR:$CR=3.25%,0,IF($BC:$BC&lt;3.25%,$BC:$BC,IF($BC:$BC&gt;3.25%,3.25%-$CR:$CR,0)))</f>
        <v>0</v>
      </c>
      <c r="CW94" s="354" t="n">
        <f aca="false">IFERROR(ROUND($AY:$AY*$CV:$CV,0),0)</f>
        <v>0</v>
      </c>
      <c r="CX94" s="353" t="n">
        <f aca="false">IF($CV:$CV=0,$BC:$BC,BC:BC-$CV:$CV)</f>
        <v>0</v>
      </c>
      <c r="CY94" s="354" t="n">
        <f aca="false">IFERROR(ROUND($AY:$AY*$CX:$CX,0),0)</f>
        <v>0</v>
      </c>
      <c r="CZ94" s="353" t="n">
        <f aca="false">$CR:$CR+$CT:CT+$CV:$CV+$CX:$CX</f>
        <v>0</v>
      </c>
      <c r="DA94" s="353" t="n">
        <f aca="false">(SUM($AW:$AW+$BC:$BC)-$CZ:$CZ)</f>
        <v>0</v>
      </c>
      <c r="DB94" s="353"/>
      <c r="DC94" s="353" t="n">
        <f aca="false">$BE:$BE</f>
        <v>0</v>
      </c>
      <c r="DD94" s="354" t="n">
        <f aca="false">$BF:$BF</f>
        <v>0</v>
      </c>
      <c r="DE94" s="355" t="n">
        <f aca="false">$BI:$BI</f>
        <v>0</v>
      </c>
      <c r="DF94" s="354" t="n">
        <f aca="false">$BJ:$BJ</f>
        <v>0</v>
      </c>
      <c r="DG94" s="355" t="n">
        <f aca="false">$BG:$BG</f>
        <v>0</v>
      </c>
      <c r="DH94" s="354" t="n">
        <f aca="false">IFERROR(ROUND($AP:$AP*$DG:$DG,0),0)</f>
        <v>0</v>
      </c>
      <c r="DI94" s="353" t="n">
        <f aca="false">$CR:$CR+$CV:$CV+$DC:$DC+$DE:$DE+$DG:$DG</f>
        <v>0</v>
      </c>
      <c r="DJ94" s="354" t="n">
        <f aca="false">$CS:$CS+$CW:$CW+$DD:$DD+$DF:$DF+$DH:$DH</f>
        <v>0</v>
      </c>
      <c r="DK94" s="353" t="n">
        <f aca="false">$CT:$CT+$CX:$CX</f>
        <v>0</v>
      </c>
      <c r="DL94" s="354" t="n">
        <f aca="false">$CU:$CU+$CY:$CY</f>
        <v>0</v>
      </c>
      <c r="DM94" s="356"/>
      <c r="DN94" s="357"/>
      <c r="DO94" s="357"/>
      <c r="DP94" s="357"/>
      <c r="DQ94" s="357"/>
      <c r="DR94" s="357"/>
      <c r="DS94" s="357"/>
      <c r="DT94" s="357"/>
      <c r="DU94" s="357"/>
      <c r="DV94" s="357"/>
      <c r="DW94" s="357" t="s">
        <v>744</v>
      </c>
    </row>
    <row r="95" customFormat="false" ht="33.75" hidden="false" customHeight="false" outlineLevel="0" collapsed="false">
      <c r="A95" s="314"/>
      <c r="B95" s="315" t="s">
        <v>273</v>
      </c>
      <c r="C95" s="315" t="s">
        <v>770</v>
      </c>
      <c r="D95" s="315" t="n">
        <v>19885</v>
      </c>
      <c r="E95" s="316" t="s">
        <v>771</v>
      </c>
      <c r="F95" s="316" t="s">
        <v>644</v>
      </c>
      <c r="G95" s="316" t="s">
        <v>300</v>
      </c>
      <c r="H95" s="317" t="s">
        <v>752</v>
      </c>
      <c r="I95" s="316" t="s">
        <v>772</v>
      </c>
      <c r="J95" s="316" t="s">
        <v>773</v>
      </c>
      <c r="K95" s="318" t="n">
        <v>41613</v>
      </c>
      <c r="L95" s="318"/>
      <c r="M95" s="318" t="n">
        <v>45054</v>
      </c>
      <c r="N95" s="319" t="s">
        <v>281</v>
      </c>
      <c r="O95" s="319" t="n">
        <v>38</v>
      </c>
      <c r="P95" s="320" t="n">
        <f aca="false">$O:$O/38</f>
        <v>1</v>
      </c>
      <c r="Q95" s="316" t="s">
        <v>582</v>
      </c>
      <c r="R95" s="316" t="n">
        <v>19890</v>
      </c>
      <c r="S95" s="316" t="s">
        <v>755</v>
      </c>
      <c r="T95" s="316" t="s">
        <v>756</v>
      </c>
      <c r="U95" s="316" t="s">
        <v>757</v>
      </c>
      <c r="V95" s="317" t="s">
        <v>58</v>
      </c>
      <c r="W95" s="317" t="s">
        <v>62</v>
      </c>
      <c r="X95" s="317" t="s">
        <v>286</v>
      </c>
      <c r="Y95" s="321" t="s">
        <v>287</v>
      </c>
      <c r="Z95" s="317" t="s">
        <v>758</v>
      </c>
      <c r="AA95" s="317" t="s">
        <v>338</v>
      </c>
      <c r="AB95" s="321" t="s">
        <v>759</v>
      </c>
      <c r="AC95" s="317" t="s">
        <v>289</v>
      </c>
      <c r="AD95" s="321" t="s">
        <v>290</v>
      </c>
      <c r="AE95" s="322" t="n">
        <f aca="false">IFERROR(INDEX('[3]Lookup_Rem Ranges'!$D$1:$D$1048576,MATCH($AL:$AL,'[3]Lookup_Rem Ranges'!$C$1:$C$1048576,0)),0)</f>
        <v>83400</v>
      </c>
      <c r="AF95" s="322" t="n">
        <f aca="false">IFERROR(INDEX('[3]Lookup_Rem Ranges'!$E$1:$E$1048576,MATCH($AL:$AL,'[3]Lookup_Rem Ranges'!$C$1:$C$1048576,0)),0)</f>
        <v>98100</v>
      </c>
      <c r="AG95" s="322" t="n">
        <f aca="false">IFERROR(INDEX('[3]Lookup_Rem Ranges'!$F$1:$F$1048576,MATCH($AL:$AL,'[3]Lookup_Rem Ranges'!$C$1:$C$1048576,0)),)</f>
        <v>112800</v>
      </c>
      <c r="AH95" s="317" t="s">
        <v>291</v>
      </c>
      <c r="AI95" s="319"/>
      <c r="AJ95" s="323" t="n">
        <v>0</v>
      </c>
      <c r="AK95" s="316"/>
      <c r="AL95" s="324" t="str">
        <f aca="false">CONCATENATE(AM95,"",AN95)</f>
        <v>CASS5</v>
      </c>
      <c r="AM95" s="324" t="s">
        <v>292</v>
      </c>
      <c r="AN95" s="319" t="n">
        <v>5</v>
      </c>
      <c r="AO95" s="316" t="s">
        <v>698</v>
      </c>
      <c r="AP95" s="325" t="n">
        <v>107600</v>
      </c>
      <c r="AQ95" s="322" t="n">
        <f aca="false">ROUND(IF($P:$P&gt;1,$AP:$AP*1,$AP:$AP*$P:$P),0)</f>
        <v>107600</v>
      </c>
      <c r="AR95" s="322" t="n">
        <f aca="false">IF(BA95="Yes",AP95,0)</f>
        <v>0</v>
      </c>
      <c r="AS95" s="326" t="n">
        <v>0.0456754130223518</v>
      </c>
      <c r="AT95" s="326" t="n">
        <v>0</v>
      </c>
      <c r="AU95" s="327"/>
      <c r="AV95" s="322"/>
      <c r="AW95" s="328" t="n">
        <v>0</v>
      </c>
      <c r="AX95" s="322" t="n">
        <v>0</v>
      </c>
      <c r="AY95" s="322" t="n">
        <v>107600</v>
      </c>
      <c r="AZ95" s="329" t="n">
        <f aca="false">IFERROR(($AY:$AY+$AJ:$AJ+$AK:$AK)/$AF:$AF,0)</f>
        <v>1.09683995922528</v>
      </c>
      <c r="BA95" s="330" t="s">
        <v>294</v>
      </c>
      <c r="BB95" s="331" t="n">
        <v>3</v>
      </c>
      <c r="BC95" s="326" t="n">
        <f aca="false">IFERROR($BD:$BD/$AY:$AY,0)</f>
        <v>0</v>
      </c>
      <c r="BD95" s="332" t="n">
        <f aca="false">ROUND(IF($AY:$AY&lt;$AE:$AE,$AE:$AE-$AY:$AY,0),0)</f>
        <v>0</v>
      </c>
      <c r="BE95" s="333" t="n">
        <v>0</v>
      </c>
      <c r="BF95" s="334" t="n">
        <f aca="false">ROUND($AR:$AR*$BE:$BE,0)</f>
        <v>0</v>
      </c>
      <c r="BG95" s="335" t="n">
        <v>0</v>
      </c>
      <c r="BH95" s="336" t="n">
        <f aca="false">ROUND($AR:$AR*$BG:$BG,0)</f>
        <v>0</v>
      </c>
      <c r="BI95" s="333" t="n">
        <v>0</v>
      </c>
      <c r="BJ95" s="334" t="n">
        <f aca="false">ROUND($AR:$AR*$BI:$BI,0)</f>
        <v>0</v>
      </c>
      <c r="BK95" s="334" t="n">
        <f aca="false">ROUND(IF($P:$P&gt;1,$BJ:$BJ*1,$BJ:$BJ*$P:$P),0)</f>
        <v>0</v>
      </c>
      <c r="BL95" s="337"/>
      <c r="BM95" s="338" t="n">
        <f aca="false">$BC:$BC+$BE:$BE+$BG:$BG</f>
        <v>0</v>
      </c>
      <c r="BN95" s="339" t="n">
        <f aca="false">$BD:$BD+$BF:$BF+$BH:$BH</f>
        <v>0</v>
      </c>
      <c r="BO95" s="340" t="n">
        <f aca="false">IFERROR(ROUND($AY:$AY+$BN:$BN,0),0)</f>
        <v>107600</v>
      </c>
      <c r="BP95" s="341" t="n">
        <f aca="false">ROUND(IF(SUM($BO:$BO&lt;249080),SUM(ROUND($BO:$BO*11%,0)),27398.8),0)</f>
        <v>11836</v>
      </c>
      <c r="BQ95" s="342" t="n">
        <f aca="false">$BO:$BO+$BP:$BP</f>
        <v>119436</v>
      </c>
      <c r="BR95" s="329" t="n">
        <f aca="false">IFERROR(($BO:$BO+$AJ:$AJ+$AK:$AK)/$AF:$AF,0)</f>
        <v>1.09683995922528</v>
      </c>
      <c r="BS95" s="343" t="n">
        <f aca="false">IF($N:$N="CASUAL","TBC",ROUND($BN:$BN/(NETWORKDAYS("01/07/2023","30/06/2024"))*NETWORKDAYS("10/07/2023","04/09/2023"),0)*$P:$P)</f>
        <v>0</v>
      </c>
      <c r="BT95" s="326" t="n">
        <f aca="false">$BM95+$BI95</f>
        <v>0</v>
      </c>
      <c r="BU95" s="332" t="n">
        <f aca="false">$BN:$BN+$BJ:$BJ</f>
        <v>0</v>
      </c>
      <c r="BV95" s="342" t="n">
        <f aca="false">$BO:$BO*$P:$P</f>
        <v>107600</v>
      </c>
      <c r="BW95" s="344" t="n">
        <f aca="false">ROUND($BO:$BO/1976,2)</f>
        <v>54.45</v>
      </c>
      <c r="BX95" s="316"/>
      <c r="BY95" s="342" t="n">
        <f aca="false">$BQ:$BQ+$BX:$BX</f>
        <v>119436</v>
      </c>
      <c r="BZ95" s="345" t="s">
        <v>294</v>
      </c>
      <c r="CA95" s="316"/>
      <c r="CB95" s="316"/>
      <c r="CC95" s="324" t="str">
        <f aca="false">CONCATENATE(CD95,"",CE95)</f>
        <v/>
      </c>
      <c r="CD95" s="319"/>
      <c r="CE95" s="319"/>
      <c r="CF95" s="322" t="str">
        <f aca="false">IFERROR(INDEX('[4]Lookup_Rem Ranges'!$D$1:$D$1048576,MATCH($CC:$CC,'[4]Lookup_Rem Ranges'!$C$1:$C$1048576,0)),"")</f>
        <v/>
      </c>
      <c r="CG95" s="346"/>
      <c r="CH95" s="346"/>
      <c r="CI95" s="347"/>
      <c r="CJ95" s="348"/>
      <c r="CK95" s="342" t="n">
        <f aca="false">IFERROR(ROUND($CI:$CI*$CJ:$CJ,0),0)</f>
        <v>0</v>
      </c>
      <c r="CL95" s="342" t="n">
        <f aca="false">$CI:$CI+$CK:$CK</f>
        <v>0</v>
      </c>
      <c r="CM95" s="349"/>
      <c r="CN95" s="350" t="n">
        <f aca="false">IF(SUM($CL:$CL&lt;249080),SUM(ROUND($CL:$CL*11%,0)),27398.8)</f>
        <v>0</v>
      </c>
      <c r="CO95" s="350" t="s">
        <v>324</v>
      </c>
      <c r="CP95" s="351" t="n">
        <f aca="false">IF(BA95="Yes",3.25%,0)</f>
        <v>0</v>
      </c>
      <c r="CQ95" s="352" t="n">
        <f aca="false">ROUND(AR95*CP95,0)</f>
        <v>0</v>
      </c>
      <c r="CR95" s="353" t="n">
        <f aca="false">IF($AW:$AW&lt;3.25%,$AW:$AW,3.25%)</f>
        <v>0</v>
      </c>
      <c r="CS95" s="354" t="n">
        <f aca="false">ROUND($AR:$AR*$CR:$CR,0)</f>
        <v>0</v>
      </c>
      <c r="CT95" s="353" t="n">
        <f aca="false">IF($AW:$AW&gt;=3.25%,$AW:$AW-$CR:$CR,0)</f>
        <v>0</v>
      </c>
      <c r="CU95" s="354" t="n">
        <f aca="false">ROUND($AR:$AR*$CT:$CT,0)</f>
        <v>0</v>
      </c>
      <c r="CV95" s="353" t="n">
        <f aca="false">IF($CR:$CR=3.25%,0,IF($BC:$BC&lt;3.25%,$BC:$BC,IF($BC:$BC&gt;3.25%,3.25%-$CR:$CR,0)))</f>
        <v>0</v>
      </c>
      <c r="CW95" s="354" t="n">
        <f aca="false">IFERROR(ROUND($AY:$AY*$CV:$CV,0),0)</f>
        <v>0</v>
      </c>
      <c r="CX95" s="353" t="n">
        <f aca="false">IF($CV:$CV=0,$BC:$BC,BC:BC-$CV:$CV)</f>
        <v>0</v>
      </c>
      <c r="CY95" s="354" t="n">
        <f aca="false">IFERROR(ROUND($AY:$AY*$CX:$CX,0),0)</f>
        <v>0</v>
      </c>
      <c r="CZ95" s="353" t="n">
        <f aca="false">$CR:$CR+$CT:CT+$CV:$CV+$CX:$CX</f>
        <v>0</v>
      </c>
      <c r="DA95" s="353" t="n">
        <f aca="false">(SUM($AW:$AW+$BC:$BC)-$CZ:$CZ)</f>
        <v>0</v>
      </c>
      <c r="DB95" s="353"/>
      <c r="DC95" s="353" t="n">
        <f aca="false">$BE:$BE</f>
        <v>0</v>
      </c>
      <c r="DD95" s="354" t="n">
        <f aca="false">$BF:$BF</f>
        <v>0</v>
      </c>
      <c r="DE95" s="355" t="n">
        <f aca="false">$BI:$BI</f>
        <v>0</v>
      </c>
      <c r="DF95" s="354" t="n">
        <f aca="false">$BJ:$BJ</f>
        <v>0</v>
      </c>
      <c r="DG95" s="355" t="n">
        <f aca="false">$BG:$BG</f>
        <v>0</v>
      </c>
      <c r="DH95" s="354" t="n">
        <f aca="false">IFERROR(ROUND($AP:$AP*$DG:$DG,0),0)</f>
        <v>0</v>
      </c>
      <c r="DI95" s="353" t="n">
        <f aca="false">$CR:$CR+$CV:$CV+$DC:$DC+$DE:$DE+$DG:$DG</f>
        <v>0</v>
      </c>
      <c r="DJ95" s="354" t="n">
        <f aca="false">$CS:$CS+$CW:$CW+$DD:$DD+$DF:$DF+$DH:$DH</f>
        <v>0</v>
      </c>
      <c r="DK95" s="353" t="n">
        <f aca="false">$CT:$CT+$CX:$CX</f>
        <v>0</v>
      </c>
      <c r="DL95" s="354" t="n">
        <f aca="false">$CU:$CU+$CY:$CY</f>
        <v>0</v>
      </c>
      <c r="DM95" s="356"/>
      <c r="DN95" s="357"/>
      <c r="DO95" s="357"/>
      <c r="DP95" s="357"/>
      <c r="DQ95" s="357"/>
      <c r="DR95" s="357"/>
      <c r="DS95" s="357"/>
      <c r="DT95" s="357"/>
      <c r="DU95" s="357"/>
      <c r="DV95" s="357"/>
      <c r="DW95" s="357" t="s">
        <v>744</v>
      </c>
    </row>
    <row r="96" customFormat="false" ht="22.5" hidden="false" customHeight="false" outlineLevel="0" collapsed="false">
      <c r="A96" s="314"/>
      <c r="B96" s="315" t="s">
        <v>273</v>
      </c>
      <c r="C96" s="315" t="s">
        <v>774</v>
      </c>
      <c r="D96" s="315" t="n">
        <v>20185</v>
      </c>
      <c r="E96" s="316" t="s">
        <v>775</v>
      </c>
      <c r="F96" s="316" t="s">
        <v>361</v>
      </c>
      <c r="G96" s="316" t="s">
        <v>277</v>
      </c>
      <c r="H96" s="317" t="s">
        <v>776</v>
      </c>
      <c r="I96" s="316" t="s">
        <v>777</v>
      </c>
      <c r="J96" s="316" t="s">
        <v>778</v>
      </c>
      <c r="K96" s="318" t="n">
        <v>44389</v>
      </c>
      <c r="L96" s="318"/>
      <c r="M96" s="318" t="n">
        <v>44986</v>
      </c>
      <c r="N96" s="319" t="s">
        <v>281</v>
      </c>
      <c r="O96" s="319" t="n">
        <v>38</v>
      </c>
      <c r="P96" s="320" t="n">
        <f aca="false">$O:$O/38</f>
        <v>1</v>
      </c>
      <c r="Q96" s="316" t="s">
        <v>332</v>
      </c>
      <c r="R96" s="316" t="n">
        <v>19890</v>
      </c>
      <c r="S96" s="316" t="s">
        <v>755</v>
      </c>
      <c r="T96" s="316" t="s">
        <v>756</v>
      </c>
      <c r="U96" s="316" t="s">
        <v>757</v>
      </c>
      <c r="V96" s="317" t="s">
        <v>58</v>
      </c>
      <c r="W96" s="317" t="s">
        <v>62</v>
      </c>
      <c r="X96" s="317" t="s">
        <v>286</v>
      </c>
      <c r="Y96" s="360" t="s">
        <v>287</v>
      </c>
      <c r="Z96" s="317" t="s">
        <v>758</v>
      </c>
      <c r="AA96" s="317" t="s">
        <v>338</v>
      </c>
      <c r="AB96" s="321" t="s">
        <v>759</v>
      </c>
      <c r="AC96" s="317" t="s">
        <v>289</v>
      </c>
      <c r="AD96" s="360" t="s">
        <v>290</v>
      </c>
      <c r="AE96" s="322" t="n">
        <f aca="false">IFERROR(INDEX('[3]Lookup_Rem Ranges'!$D$1:$D$1048576,MATCH($AL:$AL,'[3]Lookup_Rem Ranges'!$C$1:$C$1048576,0)),0)</f>
        <v>83400</v>
      </c>
      <c r="AF96" s="322" t="n">
        <f aca="false">IFERROR(INDEX('[3]Lookup_Rem Ranges'!$E$1:$E$1048576,MATCH($AL:$AL,'[3]Lookup_Rem Ranges'!$C$1:$C$1048576,0)),0)</f>
        <v>98100</v>
      </c>
      <c r="AG96" s="322" t="n">
        <f aca="false">IFERROR(INDEX('[3]Lookup_Rem Ranges'!$F$1:$F$1048576,MATCH($AL:$AL,'[3]Lookup_Rem Ranges'!$C$1:$C$1048576,0)),)</f>
        <v>112800</v>
      </c>
      <c r="AH96" s="317" t="s">
        <v>291</v>
      </c>
      <c r="AI96" s="319"/>
      <c r="AJ96" s="323" t="n">
        <v>0</v>
      </c>
      <c r="AK96" s="316"/>
      <c r="AL96" s="324" t="str">
        <f aca="false">CONCATENATE(AM96,"",AN96)</f>
        <v>CASS5</v>
      </c>
      <c r="AM96" s="324" t="s">
        <v>292</v>
      </c>
      <c r="AN96" s="319" t="n">
        <v>5</v>
      </c>
      <c r="AO96" s="316" t="s">
        <v>358</v>
      </c>
      <c r="AP96" s="325" t="n">
        <v>104500</v>
      </c>
      <c r="AQ96" s="322" t="n">
        <f aca="false">ROUND(IF($P:$P&gt;1,$AP:$AP*1,$AP:$AP*$P:$P),0)</f>
        <v>104500</v>
      </c>
      <c r="AR96" s="322" t="n">
        <f aca="false">IF(BA96="Yes",AP96,0)</f>
        <v>0</v>
      </c>
      <c r="AS96" s="326" t="n">
        <v>0.045</v>
      </c>
      <c r="AT96" s="326" t="n">
        <v>0</v>
      </c>
      <c r="AU96" s="327"/>
      <c r="AV96" s="322"/>
      <c r="AW96" s="328" t="n">
        <v>0</v>
      </c>
      <c r="AX96" s="322" t="n">
        <v>0</v>
      </c>
      <c r="AY96" s="322" t="n">
        <v>104500</v>
      </c>
      <c r="AZ96" s="329" t="n">
        <f aca="false">IFERROR(($AY:$AY+$AJ:$AJ+$AK:$AK)/$AF:$AF,0)</f>
        <v>1.06523955147808</v>
      </c>
      <c r="BA96" s="330" t="s">
        <v>294</v>
      </c>
      <c r="BB96" s="331" t="n">
        <v>3</v>
      </c>
      <c r="BC96" s="326" t="n">
        <f aca="false">IFERROR($BD:$BD/$AY:$AY,0)</f>
        <v>0</v>
      </c>
      <c r="BD96" s="332" t="n">
        <f aca="false">ROUND(IF($AY:$AY&lt;$AE:$AE,$AE:$AE-$AY:$AY,0),0)</f>
        <v>0</v>
      </c>
      <c r="BE96" s="333" t="n">
        <v>0</v>
      </c>
      <c r="BF96" s="334" t="n">
        <f aca="false">ROUND($AR:$AR*$BE:$BE,0)</f>
        <v>0</v>
      </c>
      <c r="BG96" s="335" t="n">
        <v>0</v>
      </c>
      <c r="BH96" s="336" t="n">
        <f aca="false">ROUND($AR:$AR*$BG:$BG,0)</f>
        <v>0</v>
      </c>
      <c r="BI96" s="333" t="n">
        <v>0</v>
      </c>
      <c r="BJ96" s="334" t="n">
        <f aca="false">ROUND($AR:$AR*$BI:$BI,0)</f>
        <v>0</v>
      </c>
      <c r="BK96" s="334" t="n">
        <f aca="false">ROUND(IF($P:$P&gt;1,$BJ:$BJ*1,$BJ:$BJ*$P:$P),0)</f>
        <v>0</v>
      </c>
      <c r="BL96" s="337"/>
      <c r="BM96" s="338" t="n">
        <f aca="false">$BC:$BC+$BE:$BE+$BG:$BG</f>
        <v>0</v>
      </c>
      <c r="BN96" s="339" t="n">
        <f aca="false">$BD:$BD+$BF:$BF+$BH:$BH</f>
        <v>0</v>
      </c>
      <c r="BO96" s="340" t="n">
        <f aca="false">IFERROR(ROUND($AY:$AY+$BN:$BN,0),0)</f>
        <v>104500</v>
      </c>
      <c r="BP96" s="341" t="n">
        <f aca="false">ROUND(IF(SUM($BO:$BO&lt;249080),SUM(ROUND($BO:$BO*11%,0)),27398.8),0)</f>
        <v>11495</v>
      </c>
      <c r="BQ96" s="342" t="n">
        <f aca="false">$BO:$BO+$BP:$BP</f>
        <v>115995</v>
      </c>
      <c r="BR96" s="329" t="n">
        <f aca="false">IFERROR(($BO:$BO+$AJ:$AJ+$AK:$AK)/$AF:$AF,0)</f>
        <v>1.06523955147808</v>
      </c>
      <c r="BS96" s="343" t="n">
        <f aca="false">IF($N:$N="CASUAL","TBC",ROUND($BN:$BN/(NETWORKDAYS("01/07/2023","30/06/2024"))*NETWORKDAYS("10/07/2023","04/09/2023"),0)*$P:$P)</f>
        <v>0</v>
      </c>
      <c r="BT96" s="326" t="n">
        <f aca="false">$BM96+$BI96</f>
        <v>0</v>
      </c>
      <c r="BU96" s="332" t="n">
        <f aca="false">$BN:$BN+$BJ:$BJ</f>
        <v>0</v>
      </c>
      <c r="BV96" s="342" t="n">
        <f aca="false">$BO:$BO*$P:$P</f>
        <v>104500</v>
      </c>
      <c r="BW96" s="344" t="n">
        <f aca="false">ROUND($BO:$BO/1976,2)</f>
        <v>52.88</v>
      </c>
      <c r="BX96" s="316"/>
      <c r="BY96" s="342" t="n">
        <f aca="false">$BQ:$BQ+$BX:$BX</f>
        <v>115995</v>
      </c>
      <c r="BZ96" s="345" t="s">
        <v>294</v>
      </c>
      <c r="CA96" s="316"/>
      <c r="CB96" s="316"/>
      <c r="CC96" s="324" t="str">
        <f aca="false">CONCATENATE(CD96,"",CE96)</f>
        <v/>
      </c>
      <c r="CD96" s="319"/>
      <c r="CE96" s="319"/>
      <c r="CF96" s="322" t="str">
        <f aca="false">IFERROR(INDEX('[4]Lookup_Rem Ranges'!$D$1:$D$1048576,MATCH($CC:$CC,'[4]Lookup_Rem Ranges'!$C$1:$C$1048576,0)),"")</f>
        <v/>
      </c>
      <c r="CG96" s="318"/>
      <c r="CH96" s="318"/>
      <c r="CI96" s="361"/>
      <c r="CJ96" s="348"/>
      <c r="CK96" s="342" t="n">
        <f aca="false">IFERROR(ROUND($CI:$CI*$CJ:$CJ,0),0)</f>
        <v>0</v>
      </c>
      <c r="CL96" s="342" t="n">
        <f aca="false">$CI:$CI+$CK:$CK</f>
        <v>0</v>
      </c>
      <c r="CM96" s="349"/>
      <c r="CN96" s="350" t="n">
        <f aca="false">IF(SUM($CL:$CL&lt;249080),SUM(ROUND($CL:$CL*11%,0)),27398.8)</f>
        <v>0</v>
      </c>
      <c r="CO96" s="350" t="s">
        <v>305</v>
      </c>
      <c r="CP96" s="351" t="n">
        <f aca="false">IF(BA96="Yes",3.25%,0)</f>
        <v>0</v>
      </c>
      <c r="CQ96" s="352" t="n">
        <f aca="false">ROUND(AR96*CP96,0)</f>
        <v>0</v>
      </c>
      <c r="CR96" s="353" t="n">
        <f aca="false">IF($AW:$AW&lt;3.25%,$AW:$AW,3.25%)</f>
        <v>0</v>
      </c>
      <c r="CS96" s="354" t="n">
        <f aca="false">ROUND($AR:$AR*$CR:$CR,0)</f>
        <v>0</v>
      </c>
      <c r="CT96" s="353" t="n">
        <f aca="false">IF($AW:$AW&gt;=3.25%,$AW:$AW-$CR:$CR,0)</f>
        <v>0</v>
      </c>
      <c r="CU96" s="354" t="n">
        <f aca="false">ROUND($AR:$AR*$CT:$CT,0)</f>
        <v>0</v>
      </c>
      <c r="CV96" s="353" t="n">
        <f aca="false">IF($CR:$CR=3.25%,0,IF($BC:$BC&lt;3.25%,$BC:$BC,IF($BC:$BC&gt;3.25%,3.25%-$CR:$CR,0)))</f>
        <v>0</v>
      </c>
      <c r="CW96" s="354" t="n">
        <f aca="false">IFERROR(ROUND($AY:$AY*$CV:$CV,0),0)</f>
        <v>0</v>
      </c>
      <c r="CX96" s="353" t="n">
        <f aca="false">IF($CV:$CV=0,$BC:$BC,BC:BC-$CV:$CV)</f>
        <v>0</v>
      </c>
      <c r="CY96" s="354" t="n">
        <f aca="false">IFERROR(ROUND($AY:$AY*$CX:$CX,0),0)</f>
        <v>0</v>
      </c>
      <c r="CZ96" s="353" t="n">
        <f aca="false">$CR:$CR+$CT:CT+$CV:$CV+$CX:$CX</f>
        <v>0</v>
      </c>
      <c r="DA96" s="353" t="n">
        <f aca="false">(SUM($AW:$AW+$BC:$BC)-$CZ:$CZ)</f>
        <v>0</v>
      </c>
      <c r="DB96" s="353"/>
      <c r="DC96" s="353" t="n">
        <f aca="false">$BE:$BE</f>
        <v>0</v>
      </c>
      <c r="DD96" s="354" t="n">
        <f aca="false">$BF:$BF</f>
        <v>0</v>
      </c>
      <c r="DE96" s="355" t="n">
        <f aca="false">$BI:$BI</f>
        <v>0</v>
      </c>
      <c r="DF96" s="354" t="n">
        <f aca="false">$BJ:$BJ</f>
        <v>0</v>
      </c>
      <c r="DG96" s="355" t="n">
        <f aca="false">$BG:$BG</f>
        <v>0</v>
      </c>
      <c r="DH96" s="354" t="n">
        <f aca="false">IFERROR(ROUND($AP:$AP*$DG:$DG,0),0)</f>
        <v>0</v>
      </c>
      <c r="DI96" s="353" t="n">
        <f aca="false">$CR:$CR+$CV:$CV+$DC:$DC+$DE:$DE+$DG:$DG</f>
        <v>0</v>
      </c>
      <c r="DJ96" s="354" t="n">
        <f aca="false">$CS:$CS+$CW:$CW+$DD:$DD+$DF:$DF+$DH:$DH</f>
        <v>0</v>
      </c>
      <c r="DK96" s="353" t="n">
        <f aca="false">$CT:$CT+$CX:$CX</f>
        <v>0</v>
      </c>
      <c r="DL96" s="354" t="n">
        <f aca="false">$CU:$CU+$CY:$CY</f>
        <v>0</v>
      </c>
      <c r="DM96" s="356"/>
      <c r="DN96" s="357"/>
      <c r="DO96" s="357"/>
      <c r="DP96" s="357"/>
      <c r="DQ96" s="357"/>
      <c r="DR96" s="357"/>
      <c r="DS96" s="357"/>
      <c r="DT96" s="357"/>
      <c r="DU96" s="357"/>
      <c r="DV96" s="357"/>
      <c r="DW96" s="357" t="s">
        <v>744</v>
      </c>
    </row>
    <row r="97" customFormat="false" ht="22.5" hidden="false" customHeight="false" outlineLevel="0" collapsed="false">
      <c r="A97" s="314"/>
      <c r="B97" s="315" t="s">
        <v>273</v>
      </c>
      <c r="C97" s="315" t="s">
        <v>779</v>
      </c>
      <c r="D97" s="315" t="n">
        <v>17933</v>
      </c>
      <c r="E97" s="316" t="s">
        <v>780</v>
      </c>
      <c r="F97" s="316" t="s">
        <v>781</v>
      </c>
      <c r="G97" s="316" t="s">
        <v>277</v>
      </c>
      <c r="H97" s="317" t="s">
        <v>752</v>
      </c>
      <c r="I97" s="316" t="s">
        <v>782</v>
      </c>
      <c r="J97" s="316" t="s">
        <v>783</v>
      </c>
      <c r="K97" s="318" t="n">
        <v>43325</v>
      </c>
      <c r="L97" s="318"/>
      <c r="M97" s="318" t="n">
        <v>44188</v>
      </c>
      <c r="N97" s="319" t="s">
        <v>281</v>
      </c>
      <c r="O97" s="319" t="n">
        <v>38</v>
      </c>
      <c r="P97" s="320" t="n">
        <f aca="false">$O:$O/38</f>
        <v>1</v>
      </c>
      <c r="Q97" s="316" t="s">
        <v>582</v>
      </c>
      <c r="R97" s="316" t="n">
        <v>19890</v>
      </c>
      <c r="S97" s="316" t="s">
        <v>755</v>
      </c>
      <c r="T97" s="316" t="s">
        <v>756</v>
      </c>
      <c r="U97" s="316" t="s">
        <v>757</v>
      </c>
      <c r="V97" s="317" t="s">
        <v>58</v>
      </c>
      <c r="W97" s="317" t="s">
        <v>62</v>
      </c>
      <c r="X97" s="317" t="s">
        <v>286</v>
      </c>
      <c r="Y97" s="321" t="s">
        <v>287</v>
      </c>
      <c r="Z97" s="317" t="s">
        <v>758</v>
      </c>
      <c r="AA97" s="317" t="s">
        <v>338</v>
      </c>
      <c r="AB97" s="321" t="s">
        <v>759</v>
      </c>
      <c r="AC97" s="317" t="s">
        <v>289</v>
      </c>
      <c r="AD97" s="321" t="s">
        <v>290</v>
      </c>
      <c r="AE97" s="322" t="n">
        <f aca="false">IFERROR(INDEX('[3]Lookup_Rem Ranges'!$D$1:$D$1048576,MATCH($AL:$AL,'[3]Lookup_Rem Ranges'!$C$1:$C$1048576,0)),0)</f>
        <v>83400</v>
      </c>
      <c r="AF97" s="322" t="n">
        <f aca="false">IFERROR(INDEX('[3]Lookup_Rem Ranges'!$E$1:$E$1048576,MATCH($AL:$AL,'[3]Lookup_Rem Ranges'!$C$1:$C$1048576,0)),0)</f>
        <v>98100</v>
      </c>
      <c r="AG97" s="322" t="n">
        <f aca="false">IFERROR(INDEX('[3]Lookup_Rem Ranges'!$F$1:$F$1048576,MATCH($AL:$AL,'[3]Lookup_Rem Ranges'!$C$1:$C$1048576,0)),)</f>
        <v>112800</v>
      </c>
      <c r="AH97" s="317" t="s">
        <v>291</v>
      </c>
      <c r="AI97" s="319"/>
      <c r="AJ97" s="323" t="n">
        <v>0</v>
      </c>
      <c r="AK97" s="316"/>
      <c r="AL97" s="324" t="str">
        <f aca="false">CONCATENATE(AM97,"",AN97)</f>
        <v>CASS5</v>
      </c>
      <c r="AM97" s="324" t="s">
        <v>292</v>
      </c>
      <c r="AN97" s="319" t="n">
        <v>5</v>
      </c>
      <c r="AO97" s="316" t="s">
        <v>358</v>
      </c>
      <c r="AP97" s="325" t="n">
        <v>98700</v>
      </c>
      <c r="AQ97" s="322" t="n">
        <f aca="false">ROUND(IF($P:$P&gt;1,$AP:$AP*1,$AP:$AP*$P:$P),0)</f>
        <v>98700</v>
      </c>
      <c r="AR97" s="322" t="n">
        <f aca="false">IF(BA97="Yes",AP97,0)</f>
        <v>0</v>
      </c>
      <c r="AS97" s="326" t="n">
        <v>0.0751633986928105</v>
      </c>
      <c r="AT97" s="326" t="n">
        <v>0</v>
      </c>
      <c r="AU97" s="327"/>
      <c r="AV97" s="322"/>
      <c r="AW97" s="328" t="n">
        <v>0</v>
      </c>
      <c r="AX97" s="322" t="n">
        <v>0</v>
      </c>
      <c r="AY97" s="322" t="n">
        <v>98700</v>
      </c>
      <c r="AZ97" s="329" t="n">
        <f aca="false">IFERROR(($AY:$AY+$AJ:$AJ+$AK:$AK)/$AF:$AF,0)</f>
        <v>1.00611620795107</v>
      </c>
      <c r="BA97" s="330" t="s">
        <v>294</v>
      </c>
      <c r="BB97" s="331" t="n">
        <v>3</v>
      </c>
      <c r="BC97" s="326" t="n">
        <f aca="false">IFERROR($BD:$BD/$AY:$AY,0)</f>
        <v>0</v>
      </c>
      <c r="BD97" s="332" t="n">
        <f aca="false">ROUND(IF($AY:$AY&lt;$AE:$AE,$AE:$AE-$AY:$AY,0),0)</f>
        <v>0</v>
      </c>
      <c r="BE97" s="333" t="n">
        <v>0</v>
      </c>
      <c r="BF97" s="334" t="n">
        <f aca="false">ROUND($AR:$AR*$BE:$BE,0)</f>
        <v>0</v>
      </c>
      <c r="BG97" s="335" t="n">
        <v>0</v>
      </c>
      <c r="BH97" s="336" t="n">
        <f aca="false">ROUND($AR:$AR*$BG:$BG,0)</f>
        <v>0</v>
      </c>
      <c r="BI97" s="333" t="n">
        <v>0</v>
      </c>
      <c r="BJ97" s="334" t="n">
        <f aca="false">ROUND($AR:$AR*$BI:$BI,0)</f>
        <v>0</v>
      </c>
      <c r="BK97" s="334" t="n">
        <f aca="false">ROUND(IF($P:$P&gt;1,$BJ:$BJ*1,$BJ:$BJ*$P:$P),0)</f>
        <v>0</v>
      </c>
      <c r="BL97" s="337"/>
      <c r="BM97" s="338" t="n">
        <f aca="false">$BC:$BC+$BE:$BE+$BG:$BG</f>
        <v>0</v>
      </c>
      <c r="BN97" s="339" t="n">
        <f aca="false">$BD:$BD+$BF:$BF+$BH:$BH</f>
        <v>0</v>
      </c>
      <c r="BO97" s="340" t="n">
        <f aca="false">IFERROR(ROUND($AY:$AY+$BN:$BN,0),0)</f>
        <v>98700</v>
      </c>
      <c r="BP97" s="341" t="n">
        <f aca="false">ROUND(IF(SUM($BO:$BO&lt;249080),SUM(ROUND($BO:$BO*11%,0)),27398.8),0)</f>
        <v>10857</v>
      </c>
      <c r="BQ97" s="342" t="n">
        <f aca="false">$BO:$BO+$BP:$BP</f>
        <v>109557</v>
      </c>
      <c r="BR97" s="329" t="n">
        <f aca="false">IFERROR(($BO:$BO+$AJ:$AJ+$AK:$AK)/$AF:$AF,0)</f>
        <v>1.00611620795107</v>
      </c>
      <c r="BS97" s="343" t="n">
        <f aca="false">IF($N:$N="CASUAL","TBC",ROUND($BN:$BN/(NETWORKDAYS("01/07/2023","30/06/2024"))*NETWORKDAYS("10/07/2023","04/09/2023"),0)*$P:$P)</f>
        <v>0</v>
      </c>
      <c r="BT97" s="326" t="n">
        <f aca="false">$BM97+$BI97</f>
        <v>0</v>
      </c>
      <c r="BU97" s="332" t="n">
        <f aca="false">$BN:$BN+$BJ:$BJ</f>
        <v>0</v>
      </c>
      <c r="BV97" s="342" t="n">
        <f aca="false">$BO:$BO*$P:$P</f>
        <v>98700</v>
      </c>
      <c r="BW97" s="344" t="n">
        <f aca="false">ROUND($BO:$BO/1976,2)</f>
        <v>49.95</v>
      </c>
      <c r="BX97" s="316"/>
      <c r="BY97" s="342" t="n">
        <f aca="false">$BQ:$BQ+$BX:$BX</f>
        <v>109557</v>
      </c>
      <c r="BZ97" s="345" t="s">
        <v>294</v>
      </c>
      <c r="CA97" s="316"/>
      <c r="CB97" s="316"/>
      <c r="CC97" s="324" t="str">
        <f aca="false">CONCATENATE(CD97,"",CE97)</f>
        <v/>
      </c>
      <c r="CD97" s="319"/>
      <c r="CE97" s="319"/>
      <c r="CF97" s="322" t="str">
        <f aca="false">IFERROR(INDEX('[4]Lookup_Rem Ranges'!$D$1:$D$1048576,MATCH($CC:$CC,'[4]Lookup_Rem Ranges'!$C$1:$C$1048576,0)),"")</f>
        <v/>
      </c>
      <c r="CG97" s="346"/>
      <c r="CH97" s="346"/>
      <c r="CI97" s="347"/>
      <c r="CJ97" s="348"/>
      <c r="CK97" s="342" t="n">
        <f aca="false">IFERROR(ROUND($CI:$CI*$CJ:$CJ,0),0)</f>
        <v>0</v>
      </c>
      <c r="CL97" s="342" t="n">
        <f aca="false">$CI:$CI+$CK:$CK</f>
        <v>0</v>
      </c>
      <c r="CM97" s="349"/>
      <c r="CN97" s="350" t="n">
        <f aca="false">IF(SUM($CL:$CL&lt;249080),SUM(ROUND($CL:$CL*11%,0)),27398.8)</f>
        <v>0</v>
      </c>
      <c r="CO97" s="350" t="s">
        <v>313</v>
      </c>
      <c r="CP97" s="351" t="n">
        <f aca="false">IF(BA97="Yes",3.25%,0)</f>
        <v>0</v>
      </c>
      <c r="CQ97" s="352" t="n">
        <f aca="false">ROUND(AR97*CP97,0)</f>
        <v>0</v>
      </c>
      <c r="CR97" s="353" t="n">
        <f aca="false">IF($AW:$AW&lt;3.25%,$AW:$AW,3.25%)</f>
        <v>0</v>
      </c>
      <c r="CS97" s="354" t="n">
        <f aca="false">ROUND($AR:$AR*$CR:$CR,0)</f>
        <v>0</v>
      </c>
      <c r="CT97" s="353" t="n">
        <f aca="false">IF($AW:$AW&gt;=3.25%,$AW:$AW-$CR:$CR,0)</f>
        <v>0</v>
      </c>
      <c r="CU97" s="354" t="n">
        <f aca="false">ROUND($AR:$AR*$CT:$CT,0)</f>
        <v>0</v>
      </c>
      <c r="CV97" s="353" t="n">
        <f aca="false">IF($CR:$CR=3.25%,0,IF($BC:$BC&lt;3.25%,$BC:$BC,IF($BC:$BC&gt;3.25%,3.25%-$CR:$CR,0)))</f>
        <v>0</v>
      </c>
      <c r="CW97" s="354" t="n">
        <f aca="false">IFERROR(ROUND($AY:$AY*$CV:$CV,0),0)</f>
        <v>0</v>
      </c>
      <c r="CX97" s="353" t="n">
        <f aca="false">IF($CV:$CV=0,$BC:$BC,BC:BC-$CV:$CV)</f>
        <v>0</v>
      </c>
      <c r="CY97" s="354" t="n">
        <f aca="false">IFERROR(ROUND($AY:$AY*$CX:$CX,0),0)</f>
        <v>0</v>
      </c>
      <c r="CZ97" s="353" t="n">
        <f aca="false">$CR:$CR+$CT:CT+$CV:$CV+$CX:$CX</f>
        <v>0</v>
      </c>
      <c r="DA97" s="353" t="n">
        <f aca="false">(SUM($AW:$AW+$BC:$BC)-$CZ:$CZ)</f>
        <v>0</v>
      </c>
      <c r="DB97" s="353"/>
      <c r="DC97" s="353" t="n">
        <f aca="false">$BE:$BE</f>
        <v>0</v>
      </c>
      <c r="DD97" s="354" t="n">
        <f aca="false">$BF:$BF</f>
        <v>0</v>
      </c>
      <c r="DE97" s="355" t="n">
        <f aca="false">$BI:$BI</f>
        <v>0</v>
      </c>
      <c r="DF97" s="354" t="n">
        <f aca="false">$BJ:$BJ</f>
        <v>0</v>
      </c>
      <c r="DG97" s="355" t="n">
        <f aca="false">$BG:$BG</f>
        <v>0</v>
      </c>
      <c r="DH97" s="354" t="n">
        <f aca="false">IFERROR(ROUND($AP:$AP*$DG:$DG,0),0)</f>
        <v>0</v>
      </c>
      <c r="DI97" s="353" t="n">
        <f aca="false">$CR:$CR+$CV:$CV+$DC:$DC+$DE:$DE+$DG:$DG</f>
        <v>0</v>
      </c>
      <c r="DJ97" s="354" t="n">
        <f aca="false">$CS:$CS+$CW:$CW+$DD:$DD+$DF:$DF+$DH:$DH</f>
        <v>0</v>
      </c>
      <c r="DK97" s="353" t="n">
        <f aca="false">$CT:$CT+$CX:$CX</f>
        <v>0</v>
      </c>
      <c r="DL97" s="354" t="n">
        <f aca="false">$CU:$CU+$CY:$CY</f>
        <v>0</v>
      </c>
      <c r="DM97" s="356"/>
      <c r="DN97" s="357"/>
      <c r="DO97" s="357"/>
      <c r="DP97" s="357"/>
      <c r="DQ97" s="357"/>
      <c r="DR97" s="357"/>
      <c r="DS97" s="357"/>
      <c r="DT97" s="357"/>
      <c r="DU97" s="357"/>
      <c r="DV97" s="357"/>
      <c r="DW97" s="357" t="s">
        <v>744</v>
      </c>
    </row>
    <row r="98" customFormat="false" ht="33.75" hidden="false" customHeight="false" outlineLevel="0" collapsed="false">
      <c r="A98" s="314"/>
      <c r="B98" s="315" t="s">
        <v>273</v>
      </c>
      <c r="C98" s="315" t="s">
        <v>784</v>
      </c>
      <c r="D98" s="315" t="n">
        <v>7077</v>
      </c>
      <c r="E98" s="316" t="s">
        <v>785</v>
      </c>
      <c r="F98" s="316" t="s">
        <v>786</v>
      </c>
      <c r="G98" s="316" t="s">
        <v>277</v>
      </c>
      <c r="H98" s="317" t="s">
        <v>752</v>
      </c>
      <c r="I98" s="316" t="s">
        <v>787</v>
      </c>
      <c r="J98" s="316" t="s">
        <v>788</v>
      </c>
      <c r="K98" s="318" t="n">
        <v>38926</v>
      </c>
      <c r="L98" s="318"/>
      <c r="M98" s="318" t="n">
        <v>44828</v>
      </c>
      <c r="N98" s="319" t="s">
        <v>281</v>
      </c>
      <c r="O98" s="319" t="n">
        <v>38</v>
      </c>
      <c r="P98" s="320" t="n">
        <f aca="false">$O:$O/38</f>
        <v>1</v>
      </c>
      <c r="Q98" s="316" t="s">
        <v>582</v>
      </c>
      <c r="R98" s="316" t="n">
        <v>7326</v>
      </c>
      <c r="S98" s="316" t="s">
        <v>789</v>
      </c>
      <c r="T98" s="316" t="s">
        <v>790</v>
      </c>
      <c r="U98" s="316" t="s">
        <v>791</v>
      </c>
      <c r="V98" s="317" t="s">
        <v>58</v>
      </c>
      <c r="W98" s="317" t="s">
        <v>62</v>
      </c>
      <c r="X98" s="317" t="s">
        <v>286</v>
      </c>
      <c r="Y98" s="321" t="s">
        <v>287</v>
      </c>
      <c r="Z98" s="317" t="s">
        <v>758</v>
      </c>
      <c r="AA98" s="317" t="s">
        <v>338</v>
      </c>
      <c r="AB98" s="321" t="s">
        <v>759</v>
      </c>
      <c r="AC98" s="317" t="s">
        <v>289</v>
      </c>
      <c r="AD98" s="321" t="s">
        <v>290</v>
      </c>
      <c r="AE98" s="322" t="n">
        <f aca="false">IFERROR(INDEX('[3]Lookup_Rem Ranges'!$D$1:$D$1048576,MATCH($AL:$AL,'[3]Lookup_Rem Ranges'!$C$1:$C$1048576,0)),0)</f>
        <v>83400</v>
      </c>
      <c r="AF98" s="322" t="n">
        <f aca="false">IFERROR(INDEX('[3]Lookup_Rem Ranges'!$E$1:$E$1048576,MATCH($AL:$AL,'[3]Lookup_Rem Ranges'!$C$1:$C$1048576,0)),0)</f>
        <v>98100</v>
      </c>
      <c r="AG98" s="322" t="n">
        <f aca="false">IFERROR(INDEX('[3]Lookup_Rem Ranges'!$F$1:$F$1048576,MATCH($AL:$AL,'[3]Lookup_Rem Ranges'!$C$1:$C$1048576,0)),)</f>
        <v>112800</v>
      </c>
      <c r="AH98" s="317" t="s">
        <v>291</v>
      </c>
      <c r="AI98" s="319"/>
      <c r="AJ98" s="323" t="n">
        <v>0</v>
      </c>
      <c r="AK98" s="316"/>
      <c r="AL98" s="324" t="str">
        <f aca="false">CONCATENATE(AM98,"",AN98)</f>
        <v>CASS5</v>
      </c>
      <c r="AM98" s="324" t="s">
        <v>292</v>
      </c>
      <c r="AN98" s="319" t="n">
        <v>5</v>
      </c>
      <c r="AO98" s="316" t="s">
        <v>358</v>
      </c>
      <c r="AP98" s="325" t="n">
        <v>102900</v>
      </c>
      <c r="AQ98" s="322" t="n">
        <f aca="false">ROUND(IF($P:$P&gt;1,$AP:$AP*1,$AP:$AP*$P:$P),0)</f>
        <v>102900</v>
      </c>
      <c r="AR98" s="322" t="n">
        <f aca="false">IF(BA98="Yes",AP98,0)</f>
        <v>0</v>
      </c>
      <c r="AS98" s="326" t="n">
        <v>0.0608247422680412</v>
      </c>
      <c r="AT98" s="326" t="n">
        <v>0</v>
      </c>
      <c r="AU98" s="327"/>
      <c r="AV98" s="322"/>
      <c r="AW98" s="328" t="n">
        <v>0</v>
      </c>
      <c r="AX98" s="322" t="n">
        <v>0</v>
      </c>
      <c r="AY98" s="322" t="n">
        <v>102900</v>
      </c>
      <c r="AZ98" s="329" t="n">
        <f aca="false">IFERROR(($AY:$AY+$AJ:$AJ+$AK:$AK)/$AF:$AF,0)</f>
        <v>1.04892966360856</v>
      </c>
      <c r="BA98" s="330" t="s">
        <v>294</v>
      </c>
      <c r="BB98" s="331" t="n">
        <v>3</v>
      </c>
      <c r="BC98" s="326" t="n">
        <f aca="false">IFERROR($BD:$BD/$AY:$AY,0)</f>
        <v>0</v>
      </c>
      <c r="BD98" s="332" t="n">
        <f aca="false">ROUND(IF($AY:$AY&lt;$AE:$AE,$AE:$AE-$AY:$AY,0),0)</f>
        <v>0</v>
      </c>
      <c r="BE98" s="333" t="n">
        <v>0</v>
      </c>
      <c r="BF98" s="334" t="n">
        <f aca="false">ROUND($AR:$AR*$BE:$BE,0)</f>
        <v>0</v>
      </c>
      <c r="BG98" s="335" t="n">
        <v>0</v>
      </c>
      <c r="BH98" s="336" t="n">
        <f aca="false">ROUND($AR:$AR*$BG:$BG,0)</f>
        <v>0</v>
      </c>
      <c r="BI98" s="333" t="n">
        <v>0</v>
      </c>
      <c r="BJ98" s="334" t="n">
        <f aca="false">ROUND($AR:$AR*$BI:$BI,0)</f>
        <v>0</v>
      </c>
      <c r="BK98" s="334" t="n">
        <f aca="false">ROUND(IF($P:$P&gt;1,$BJ:$BJ*1,$BJ:$BJ*$P:$P),0)</f>
        <v>0</v>
      </c>
      <c r="BL98" s="337"/>
      <c r="BM98" s="338" t="n">
        <f aca="false">$BC:$BC+$BE:$BE+$BG:$BG</f>
        <v>0</v>
      </c>
      <c r="BN98" s="339" t="n">
        <f aca="false">$BD:$BD+$BF:$BF+$BH:$BH</f>
        <v>0</v>
      </c>
      <c r="BO98" s="340" t="n">
        <f aca="false">IFERROR(ROUND($AY:$AY+$BN:$BN,0),0)</f>
        <v>102900</v>
      </c>
      <c r="BP98" s="341" t="n">
        <f aca="false">ROUND(IF(SUM($BO:$BO&lt;249080),SUM(ROUND($BO:$BO*11%,0)),27398.8),0)</f>
        <v>11319</v>
      </c>
      <c r="BQ98" s="342" t="n">
        <f aca="false">$BO:$BO+$BP:$BP</f>
        <v>114219</v>
      </c>
      <c r="BR98" s="329" t="n">
        <f aca="false">IFERROR(($BO:$BO+$AJ:$AJ+$AK:$AK)/$AF:$AF,0)</f>
        <v>1.04892966360856</v>
      </c>
      <c r="BS98" s="343" t="n">
        <f aca="false">IF($N:$N="CASUAL","TBC",ROUND($BN:$BN/(NETWORKDAYS("01/07/2023","30/06/2024"))*NETWORKDAYS("10/07/2023","04/09/2023"),0)*$P:$P)</f>
        <v>0</v>
      </c>
      <c r="BT98" s="326" t="n">
        <f aca="false">$BM98+$BI98</f>
        <v>0</v>
      </c>
      <c r="BU98" s="332" t="n">
        <f aca="false">$BN:$BN+$BJ:$BJ</f>
        <v>0</v>
      </c>
      <c r="BV98" s="342" t="n">
        <f aca="false">$BO:$BO*$P:$P</f>
        <v>102900</v>
      </c>
      <c r="BW98" s="344" t="n">
        <f aca="false">ROUND($BO:$BO/1976,2)</f>
        <v>52.07</v>
      </c>
      <c r="BX98" s="316"/>
      <c r="BY98" s="342" t="n">
        <f aca="false">$BQ:$BQ+$BX:$BX</f>
        <v>114219</v>
      </c>
      <c r="BZ98" s="345" t="s">
        <v>294</v>
      </c>
      <c r="CA98" s="316"/>
      <c r="CB98" s="316"/>
      <c r="CC98" s="324" t="str">
        <f aca="false">CONCATENATE(CD98,"",CE98)</f>
        <v/>
      </c>
      <c r="CD98" s="319"/>
      <c r="CE98" s="319"/>
      <c r="CF98" s="322" t="str">
        <f aca="false">IFERROR(INDEX('[4]Lookup_Rem Ranges'!$D$1:$D$1048576,MATCH($CC:$CC,'[4]Lookup_Rem Ranges'!$C$1:$C$1048576,0)),"")</f>
        <v/>
      </c>
      <c r="CG98" s="346"/>
      <c r="CH98" s="346"/>
      <c r="CI98" s="347"/>
      <c r="CJ98" s="348"/>
      <c r="CK98" s="342" t="n">
        <f aca="false">IFERROR(ROUND($CI:$CI*$CJ:$CJ,0),0)</f>
        <v>0</v>
      </c>
      <c r="CL98" s="342" t="n">
        <f aca="false">$CI:$CI+$CK:$CK</f>
        <v>0</v>
      </c>
      <c r="CM98" s="349"/>
      <c r="CN98" s="350" t="n">
        <f aca="false">IF(SUM($CL:$CL&lt;249080),SUM(ROUND($CL:$CL*11%,0)),27398.8)</f>
        <v>0</v>
      </c>
      <c r="CO98" s="350" t="s">
        <v>324</v>
      </c>
      <c r="CP98" s="351" t="n">
        <f aca="false">IF(BA98="Yes",3.25%,0)</f>
        <v>0</v>
      </c>
      <c r="CQ98" s="352" t="n">
        <f aca="false">ROUND(AR98*CP98,0)</f>
        <v>0</v>
      </c>
      <c r="CR98" s="353" t="n">
        <f aca="false">IF($AW:$AW&lt;3.25%,$AW:$AW,3.25%)</f>
        <v>0</v>
      </c>
      <c r="CS98" s="354" t="n">
        <f aca="false">ROUND($AR:$AR*$CR:$CR,0)</f>
        <v>0</v>
      </c>
      <c r="CT98" s="353" t="n">
        <f aca="false">IF($AW:$AW&gt;=3.25%,$AW:$AW-$CR:$CR,0)</f>
        <v>0</v>
      </c>
      <c r="CU98" s="354" t="n">
        <f aca="false">ROUND($AR:$AR*$CT:$CT,0)</f>
        <v>0</v>
      </c>
      <c r="CV98" s="353" t="n">
        <f aca="false">IF($CR:$CR=3.25%,0,IF($BC:$BC&lt;3.25%,$BC:$BC,IF($BC:$BC&gt;3.25%,3.25%-$CR:$CR,0)))</f>
        <v>0</v>
      </c>
      <c r="CW98" s="354" t="n">
        <f aca="false">IFERROR(ROUND($AY:$AY*$CV:$CV,0),0)</f>
        <v>0</v>
      </c>
      <c r="CX98" s="353" t="n">
        <f aca="false">IF($CV:$CV=0,$BC:$BC,BC:BC-$CV:$CV)</f>
        <v>0</v>
      </c>
      <c r="CY98" s="354" t="n">
        <f aca="false">IFERROR(ROUND($AY:$AY*$CX:$CX,0),0)</f>
        <v>0</v>
      </c>
      <c r="CZ98" s="353" t="n">
        <f aca="false">$CR:$CR+$CT:CT+$CV:$CV+$CX:$CX</f>
        <v>0</v>
      </c>
      <c r="DA98" s="353" t="n">
        <f aca="false">(SUM($AW:$AW+$BC:$BC)-$CZ:$CZ)</f>
        <v>0</v>
      </c>
      <c r="DB98" s="353"/>
      <c r="DC98" s="353" t="n">
        <f aca="false">$BE:$BE</f>
        <v>0</v>
      </c>
      <c r="DD98" s="354" t="n">
        <f aca="false">$BF:$BF</f>
        <v>0</v>
      </c>
      <c r="DE98" s="355" t="n">
        <f aca="false">$BI:$BI</f>
        <v>0</v>
      </c>
      <c r="DF98" s="354" t="n">
        <f aca="false">$BJ:$BJ</f>
        <v>0</v>
      </c>
      <c r="DG98" s="355" t="n">
        <f aca="false">$BG:$BG</f>
        <v>0</v>
      </c>
      <c r="DH98" s="354" t="n">
        <f aca="false">IFERROR(ROUND($AP:$AP*$DG:$DG,0),0)</f>
        <v>0</v>
      </c>
      <c r="DI98" s="353" t="n">
        <f aca="false">$CR:$CR+$CV:$CV+$DC:$DC+$DE:$DE+$DG:$DG</f>
        <v>0</v>
      </c>
      <c r="DJ98" s="354" t="n">
        <f aca="false">$CS:$CS+$CW:$CW+$DD:$DD+$DF:$DF+$DH:$DH</f>
        <v>0</v>
      </c>
      <c r="DK98" s="353" t="n">
        <f aca="false">$CT:$CT+$CX:$CX</f>
        <v>0</v>
      </c>
      <c r="DL98" s="354" t="n">
        <f aca="false">$CU:$CU+$CY:$CY</f>
        <v>0</v>
      </c>
      <c r="DM98" s="356"/>
      <c r="DN98" s="357"/>
      <c r="DO98" s="357"/>
      <c r="DP98" s="357"/>
      <c r="DQ98" s="357"/>
      <c r="DR98" s="357"/>
      <c r="DS98" s="357"/>
      <c r="DT98" s="357"/>
      <c r="DU98" s="357"/>
      <c r="DV98" s="357"/>
      <c r="DW98" s="357" t="s">
        <v>744</v>
      </c>
    </row>
    <row r="99" customFormat="false" ht="22.5" hidden="false" customHeight="false" outlineLevel="0" collapsed="false">
      <c r="A99" s="314"/>
      <c r="B99" s="315" t="s">
        <v>273</v>
      </c>
      <c r="C99" s="315" t="s">
        <v>792</v>
      </c>
      <c r="D99" s="315" t="n">
        <v>15833</v>
      </c>
      <c r="E99" s="316" t="s">
        <v>793</v>
      </c>
      <c r="F99" s="316" t="s">
        <v>794</v>
      </c>
      <c r="G99" s="316" t="s">
        <v>277</v>
      </c>
      <c r="H99" s="317" t="s">
        <v>752</v>
      </c>
      <c r="I99" s="316" t="s">
        <v>795</v>
      </c>
      <c r="J99" s="316" t="s">
        <v>788</v>
      </c>
      <c r="K99" s="318" t="n">
        <v>42373</v>
      </c>
      <c r="L99" s="318"/>
      <c r="M99" s="318" t="n">
        <v>44929</v>
      </c>
      <c r="N99" s="319" t="s">
        <v>281</v>
      </c>
      <c r="O99" s="319" t="n">
        <v>38</v>
      </c>
      <c r="P99" s="320" t="n">
        <f aca="false">$O:$O/38</f>
        <v>1</v>
      </c>
      <c r="Q99" s="316" t="s">
        <v>582</v>
      </c>
      <c r="R99" s="316" t="n">
        <v>7326</v>
      </c>
      <c r="S99" s="316" t="s">
        <v>789</v>
      </c>
      <c r="T99" s="316" t="s">
        <v>790</v>
      </c>
      <c r="U99" s="316" t="s">
        <v>791</v>
      </c>
      <c r="V99" s="317" t="s">
        <v>58</v>
      </c>
      <c r="W99" s="317" t="s">
        <v>62</v>
      </c>
      <c r="X99" s="317" t="s">
        <v>286</v>
      </c>
      <c r="Y99" s="321" t="s">
        <v>287</v>
      </c>
      <c r="Z99" s="317" t="s">
        <v>758</v>
      </c>
      <c r="AA99" s="317" t="s">
        <v>338</v>
      </c>
      <c r="AB99" s="321" t="s">
        <v>759</v>
      </c>
      <c r="AC99" s="317" t="s">
        <v>289</v>
      </c>
      <c r="AD99" s="321" t="s">
        <v>290</v>
      </c>
      <c r="AE99" s="322" t="n">
        <f aca="false">IFERROR(INDEX('[3]Lookup_Rem Ranges'!$D$1:$D$1048576,MATCH($AL:$AL,'[3]Lookup_Rem Ranges'!$C$1:$C$1048576,0)),0)</f>
        <v>83400</v>
      </c>
      <c r="AF99" s="322" t="n">
        <f aca="false">IFERROR(INDEX('[3]Lookup_Rem Ranges'!$E$1:$E$1048576,MATCH($AL:$AL,'[3]Lookup_Rem Ranges'!$C$1:$C$1048576,0)),0)</f>
        <v>98100</v>
      </c>
      <c r="AG99" s="322" t="n">
        <f aca="false">IFERROR(INDEX('[3]Lookup_Rem Ranges'!$F$1:$F$1048576,MATCH($AL:$AL,'[3]Lookup_Rem Ranges'!$C$1:$C$1048576,0)),)</f>
        <v>112800</v>
      </c>
      <c r="AH99" s="317" t="s">
        <v>291</v>
      </c>
      <c r="AI99" s="319"/>
      <c r="AJ99" s="323" t="n">
        <v>0</v>
      </c>
      <c r="AK99" s="316"/>
      <c r="AL99" s="324" t="str">
        <f aca="false">CONCATENATE(AM99,"",AN99)</f>
        <v>CASS5</v>
      </c>
      <c r="AM99" s="324" t="s">
        <v>292</v>
      </c>
      <c r="AN99" s="319" t="n">
        <v>5</v>
      </c>
      <c r="AO99" s="316" t="s">
        <v>358</v>
      </c>
      <c r="AP99" s="325" t="n">
        <v>102827</v>
      </c>
      <c r="AQ99" s="322" t="n">
        <f aca="false">ROUND(IF($P:$P&gt;1,$AP:$AP*1,$AP:$AP*$P:$P),0)</f>
        <v>102827</v>
      </c>
      <c r="AR99" s="322" t="n">
        <f aca="false">IF(BA99="Yes",AP99,0)</f>
        <v>0</v>
      </c>
      <c r="AS99" s="326" t="s">
        <v>339</v>
      </c>
      <c r="AT99" s="326" t="n">
        <v>0</v>
      </c>
      <c r="AU99" s="327"/>
      <c r="AV99" s="322"/>
      <c r="AW99" s="328" t="n">
        <v>0</v>
      </c>
      <c r="AX99" s="322" t="n">
        <v>0</v>
      </c>
      <c r="AY99" s="322" t="n">
        <v>102827</v>
      </c>
      <c r="AZ99" s="329" t="n">
        <f aca="false">IFERROR(($AY:$AY+$AJ:$AJ+$AK:$AK)/$AF:$AF,0)</f>
        <v>1.04818552497452</v>
      </c>
      <c r="BA99" s="330" t="s">
        <v>294</v>
      </c>
      <c r="BB99" s="331" t="n">
        <v>3</v>
      </c>
      <c r="BC99" s="326" t="n">
        <f aca="false">IFERROR($BD:$BD/$AY:$AY,0)</f>
        <v>0</v>
      </c>
      <c r="BD99" s="332" t="n">
        <f aca="false">ROUND(IF($AY:$AY&lt;$AE:$AE,$AE:$AE-$AY:$AY,0),0)</f>
        <v>0</v>
      </c>
      <c r="BE99" s="333" t="n">
        <v>0</v>
      </c>
      <c r="BF99" s="334" t="n">
        <f aca="false">ROUND($AR:$AR*$BE:$BE,0)</f>
        <v>0</v>
      </c>
      <c r="BG99" s="335" t="n">
        <v>0</v>
      </c>
      <c r="BH99" s="336" t="n">
        <f aca="false">ROUND($AR:$AR*$BG:$BG,0)</f>
        <v>0</v>
      </c>
      <c r="BI99" s="333" t="n">
        <v>0</v>
      </c>
      <c r="BJ99" s="334" t="n">
        <f aca="false">ROUND($AR:$AR*$BI:$BI,0)</f>
        <v>0</v>
      </c>
      <c r="BK99" s="334" t="n">
        <f aca="false">ROUND(IF($P:$P&gt;1,$BJ:$BJ*1,$BJ:$BJ*$P:$P),0)</f>
        <v>0</v>
      </c>
      <c r="BL99" s="337"/>
      <c r="BM99" s="338" t="n">
        <f aca="false">$BC:$BC+$BE:$BE+$BG:$BG</f>
        <v>0</v>
      </c>
      <c r="BN99" s="339" t="n">
        <f aca="false">$BD:$BD+$BF:$BF+$BH:$BH</f>
        <v>0</v>
      </c>
      <c r="BO99" s="340" t="n">
        <f aca="false">IFERROR(ROUND($AY:$AY+$BN:$BN,0),0)</f>
        <v>102827</v>
      </c>
      <c r="BP99" s="341" t="n">
        <f aca="false">ROUND(IF(SUM($BO:$BO&lt;249080),SUM(ROUND($BO:$BO*11%,0)),27398.8),0)</f>
        <v>11311</v>
      </c>
      <c r="BQ99" s="342" t="n">
        <f aca="false">$BO:$BO+$BP:$BP</f>
        <v>114138</v>
      </c>
      <c r="BR99" s="329" t="n">
        <f aca="false">IFERROR(($BO:$BO+$AJ:$AJ+$AK:$AK)/$AF:$AF,0)</f>
        <v>1.04818552497452</v>
      </c>
      <c r="BS99" s="343" t="n">
        <f aca="false">IF($N:$N="CASUAL","TBC",ROUND($BN:$BN/(NETWORKDAYS("01/07/2023","30/06/2024"))*NETWORKDAYS("10/07/2023","04/09/2023"),0)*$P:$P)</f>
        <v>0</v>
      </c>
      <c r="BT99" s="326" t="n">
        <f aca="false">$BM99+$BI99</f>
        <v>0</v>
      </c>
      <c r="BU99" s="332" t="n">
        <f aca="false">$BN:$BN+$BJ:$BJ</f>
        <v>0</v>
      </c>
      <c r="BV99" s="342" t="n">
        <f aca="false">$BO:$BO*$P:$P</f>
        <v>102827</v>
      </c>
      <c r="BW99" s="344" t="n">
        <f aca="false">ROUND($BO:$BO/1976,2)</f>
        <v>52.04</v>
      </c>
      <c r="BX99" s="316"/>
      <c r="BY99" s="342" t="n">
        <f aca="false">$BQ:$BQ+$BX:$BX</f>
        <v>114138</v>
      </c>
      <c r="BZ99" s="345" t="s">
        <v>294</v>
      </c>
      <c r="CA99" s="316"/>
      <c r="CB99" s="316"/>
      <c r="CC99" s="324" t="str">
        <f aca="false">CONCATENATE(CD99,"",CE99)</f>
        <v/>
      </c>
      <c r="CD99" s="319"/>
      <c r="CE99" s="319"/>
      <c r="CF99" s="322" t="str">
        <f aca="false">IFERROR(INDEX('[4]Lookup_Rem Ranges'!$D$1:$D$1048576,MATCH($CC:$CC,'[4]Lookup_Rem Ranges'!$C$1:$C$1048576,0)),"")</f>
        <v/>
      </c>
      <c r="CG99" s="346"/>
      <c r="CH99" s="346"/>
      <c r="CI99" s="347"/>
      <c r="CJ99" s="348"/>
      <c r="CK99" s="342" t="n">
        <f aca="false">IFERROR(ROUND($CI:$CI*$CJ:$CJ,0),0)</f>
        <v>0</v>
      </c>
      <c r="CL99" s="342" t="n">
        <f aca="false">$CI:$CI+$CK:$CK</f>
        <v>0</v>
      </c>
      <c r="CM99" s="349"/>
      <c r="CN99" s="350" t="n">
        <f aca="false">IF(SUM($CL:$CL&lt;249080),SUM(ROUND($CL:$CL*11%,0)),27398.8)</f>
        <v>0</v>
      </c>
      <c r="CO99" s="350" t="s">
        <v>305</v>
      </c>
      <c r="CP99" s="351" t="n">
        <f aca="false">IF(BA99="Yes",3.25%,0)</f>
        <v>0</v>
      </c>
      <c r="CQ99" s="352" t="n">
        <f aca="false">ROUND(AR99*CP99,0)</f>
        <v>0</v>
      </c>
      <c r="CR99" s="353" t="n">
        <f aca="false">IF($AW:$AW&lt;3.25%,$AW:$AW,3.25%)</f>
        <v>0</v>
      </c>
      <c r="CS99" s="354" t="n">
        <f aca="false">ROUND($AR:$AR*$CR:$CR,0)</f>
        <v>0</v>
      </c>
      <c r="CT99" s="353" t="n">
        <f aca="false">IF($AW:$AW&gt;=3.25%,$AW:$AW-$CR:$CR,0)</f>
        <v>0</v>
      </c>
      <c r="CU99" s="354" t="n">
        <f aca="false">ROUND($AR:$AR*$CT:$CT,0)</f>
        <v>0</v>
      </c>
      <c r="CV99" s="353" t="n">
        <f aca="false">IF($CR:$CR=3.25%,0,IF($BC:$BC&lt;3.25%,$BC:$BC,IF($BC:$BC&gt;3.25%,3.25%-$CR:$CR,0)))</f>
        <v>0</v>
      </c>
      <c r="CW99" s="354" t="n">
        <f aca="false">IFERROR(ROUND($AY:$AY*$CV:$CV,0),0)</f>
        <v>0</v>
      </c>
      <c r="CX99" s="353" t="n">
        <f aca="false">IF($CV:$CV=0,$BC:$BC,BC:BC-$CV:$CV)</f>
        <v>0</v>
      </c>
      <c r="CY99" s="354" t="n">
        <f aca="false">IFERROR(ROUND($AY:$AY*$CX:$CX,0),0)</f>
        <v>0</v>
      </c>
      <c r="CZ99" s="353" t="n">
        <f aca="false">$CR:$CR+$CT:CT+$CV:$CV+$CX:$CX</f>
        <v>0</v>
      </c>
      <c r="DA99" s="353" t="n">
        <f aca="false">(SUM($AW:$AW+$BC:$BC)-$CZ:$CZ)</f>
        <v>0</v>
      </c>
      <c r="DB99" s="353"/>
      <c r="DC99" s="353" t="n">
        <f aca="false">$BE:$BE</f>
        <v>0</v>
      </c>
      <c r="DD99" s="354" t="n">
        <f aca="false">$BF:$BF</f>
        <v>0</v>
      </c>
      <c r="DE99" s="355" t="n">
        <f aca="false">$BI:$BI</f>
        <v>0</v>
      </c>
      <c r="DF99" s="354" t="n">
        <f aca="false">$BJ:$BJ</f>
        <v>0</v>
      </c>
      <c r="DG99" s="355" t="n">
        <f aca="false">$BG:$BG</f>
        <v>0</v>
      </c>
      <c r="DH99" s="354" t="n">
        <f aca="false">IFERROR(ROUND($AP:$AP*$DG:$DG,0),0)</f>
        <v>0</v>
      </c>
      <c r="DI99" s="353" t="n">
        <f aca="false">$CR:$CR+$CV:$CV+$DC:$DC+$DE:$DE+$DG:$DG</f>
        <v>0</v>
      </c>
      <c r="DJ99" s="354" t="n">
        <f aca="false">$CS:$CS+$CW:$CW+$DD:$DD+$DF:$DF+$DH:$DH</f>
        <v>0</v>
      </c>
      <c r="DK99" s="353" t="n">
        <f aca="false">$CT:$CT+$CX:$CX</f>
        <v>0</v>
      </c>
      <c r="DL99" s="354" t="n">
        <f aca="false">$CU:$CU+$CY:$CY</f>
        <v>0</v>
      </c>
      <c r="DM99" s="356"/>
      <c r="DN99" s="357"/>
      <c r="DO99" s="357"/>
      <c r="DP99" s="357"/>
      <c r="DQ99" s="357"/>
      <c r="DR99" s="357"/>
      <c r="DS99" s="357"/>
      <c r="DT99" s="357"/>
      <c r="DU99" s="357"/>
      <c r="DV99" s="357"/>
      <c r="DW99" s="357" t="s">
        <v>744</v>
      </c>
    </row>
    <row r="100" customFormat="false" ht="22.5" hidden="false" customHeight="false" outlineLevel="0" collapsed="false">
      <c r="A100" s="314"/>
      <c r="B100" s="315" t="s">
        <v>273</v>
      </c>
      <c r="C100" s="315" t="s">
        <v>796</v>
      </c>
      <c r="D100" s="315" t="n">
        <v>15553</v>
      </c>
      <c r="E100" s="316" t="s">
        <v>797</v>
      </c>
      <c r="F100" s="316" t="s">
        <v>798</v>
      </c>
      <c r="G100" s="316" t="s">
        <v>277</v>
      </c>
      <c r="H100" s="317" t="s">
        <v>752</v>
      </c>
      <c r="I100" s="316" t="s">
        <v>799</v>
      </c>
      <c r="J100" s="316" t="s">
        <v>788</v>
      </c>
      <c r="K100" s="318" t="n">
        <v>42261</v>
      </c>
      <c r="L100" s="318"/>
      <c r="M100" s="318" t="n">
        <v>45040</v>
      </c>
      <c r="N100" s="319" t="s">
        <v>281</v>
      </c>
      <c r="O100" s="319" t="n">
        <v>38</v>
      </c>
      <c r="P100" s="320" t="n">
        <f aca="false">$O:$O/38</f>
        <v>1</v>
      </c>
      <c r="Q100" s="316" t="s">
        <v>582</v>
      </c>
      <c r="R100" s="316" t="n">
        <v>7326</v>
      </c>
      <c r="S100" s="316" t="s">
        <v>789</v>
      </c>
      <c r="T100" s="316" t="s">
        <v>790</v>
      </c>
      <c r="U100" s="316" t="s">
        <v>791</v>
      </c>
      <c r="V100" s="317" t="s">
        <v>58</v>
      </c>
      <c r="W100" s="317" t="s">
        <v>62</v>
      </c>
      <c r="X100" s="317" t="s">
        <v>286</v>
      </c>
      <c r="Y100" s="321" t="s">
        <v>287</v>
      </c>
      <c r="Z100" s="317" t="s">
        <v>758</v>
      </c>
      <c r="AA100" s="317" t="s">
        <v>338</v>
      </c>
      <c r="AB100" s="321" t="s">
        <v>759</v>
      </c>
      <c r="AC100" s="317" t="s">
        <v>289</v>
      </c>
      <c r="AD100" s="321" t="s">
        <v>290</v>
      </c>
      <c r="AE100" s="322" t="n">
        <f aca="false">IFERROR(INDEX('[3]Lookup_Rem Ranges'!$D$1:$D$1048576,MATCH($AL:$AL,'[3]Lookup_Rem Ranges'!$C$1:$C$1048576,0)),0)</f>
        <v>83400</v>
      </c>
      <c r="AF100" s="322" t="n">
        <f aca="false">IFERROR(INDEX('[3]Lookup_Rem Ranges'!$E$1:$E$1048576,MATCH($AL:$AL,'[3]Lookup_Rem Ranges'!$C$1:$C$1048576,0)),0)</f>
        <v>98100</v>
      </c>
      <c r="AG100" s="322" t="n">
        <f aca="false">IFERROR(INDEX('[3]Lookup_Rem Ranges'!$F$1:$F$1048576,MATCH($AL:$AL,'[3]Lookup_Rem Ranges'!$C$1:$C$1048576,0)),)</f>
        <v>112800</v>
      </c>
      <c r="AH100" s="317" t="s">
        <v>291</v>
      </c>
      <c r="AI100" s="319"/>
      <c r="AJ100" s="323" t="n">
        <v>0</v>
      </c>
      <c r="AK100" s="316"/>
      <c r="AL100" s="324" t="str">
        <f aca="false">CONCATENATE(AM100,"",AN100)</f>
        <v>CASS5</v>
      </c>
      <c r="AM100" s="324" t="s">
        <v>292</v>
      </c>
      <c r="AN100" s="319" t="n">
        <v>5</v>
      </c>
      <c r="AO100" s="316" t="s">
        <v>358</v>
      </c>
      <c r="AP100" s="325" t="n">
        <v>113300</v>
      </c>
      <c r="AQ100" s="322" t="n">
        <f aca="false">ROUND(IF($P:$P&gt;1,$AP:$AP*1,$AP:$AP*$P:$P),0)</f>
        <v>113300</v>
      </c>
      <c r="AR100" s="322" t="n">
        <f aca="false">IF(BA100="Yes",AP100,0)</f>
        <v>0</v>
      </c>
      <c r="AS100" s="326" t="n">
        <v>0.0356489945155393</v>
      </c>
      <c r="AT100" s="326" t="n">
        <v>0</v>
      </c>
      <c r="AU100" s="327"/>
      <c r="AV100" s="322"/>
      <c r="AW100" s="328" t="n">
        <v>0</v>
      </c>
      <c r="AX100" s="322" t="n">
        <v>0</v>
      </c>
      <c r="AY100" s="322" t="n">
        <v>113300</v>
      </c>
      <c r="AZ100" s="329" t="n">
        <f aca="false">IFERROR(($AY:$AY+$AJ:$AJ+$AK:$AK)/$AF:$AF,0)</f>
        <v>1.15494393476045</v>
      </c>
      <c r="BA100" s="330" t="s">
        <v>294</v>
      </c>
      <c r="BB100" s="331" t="n">
        <v>3</v>
      </c>
      <c r="BC100" s="326" t="n">
        <f aca="false">IFERROR($BD:$BD/$AY:$AY,0)</f>
        <v>0</v>
      </c>
      <c r="BD100" s="332" t="n">
        <f aca="false">ROUND(IF($AY:$AY&lt;$AE:$AE,$AE:$AE-$AY:$AY,0),0)</f>
        <v>0</v>
      </c>
      <c r="BE100" s="333" t="n">
        <v>0</v>
      </c>
      <c r="BF100" s="334" t="n">
        <f aca="false">ROUND($AR:$AR*$BE:$BE,0)</f>
        <v>0</v>
      </c>
      <c r="BG100" s="335" t="n">
        <v>0</v>
      </c>
      <c r="BH100" s="336" t="n">
        <f aca="false">ROUND($AR:$AR*$BG:$BG,0)</f>
        <v>0</v>
      </c>
      <c r="BI100" s="333" t="n">
        <v>0</v>
      </c>
      <c r="BJ100" s="334" t="n">
        <f aca="false">ROUND($AR:$AR*$BI:$BI,0)</f>
        <v>0</v>
      </c>
      <c r="BK100" s="334" t="n">
        <f aca="false">ROUND(IF($P:$P&gt;1,$BJ:$BJ*1,$BJ:$BJ*$P:$P),0)</f>
        <v>0</v>
      </c>
      <c r="BL100" s="337"/>
      <c r="BM100" s="338" t="n">
        <f aca="false">$BC:$BC+$BE:$BE+$BG:$BG</f>
        <v>0</v>
      </c>
      <c r="BN100" s="339" t="n">
        <f aca="false">$BD:$BD+$BF:$BF+$BH:$BH</f>
        <v>0</v>
      </c>
      <c r="BO100" s="340" t="n">
        <f aca="false">IFERROR(ROUND($AY:$AY+$BN:$BN,0),0)</f>
        <v>113300</v>
      </c>
      <c r="BP100" s="341" t="n">
        <f aca="false">ROUND(IF(SUM($BO:$BO&lt;249080),SUM(ROUND($BO:$BO*11%,0)),27398.8),0)</f>
        <v>12463</v>
      </c>
      <c r="BQ100" s="342" t="n">
        <f aca="false">$BO:$BO+$BP:$BP</f>
        <v>125763</v>
      </c>
      <c r="BR100" s="329" t="n">
        <f aca="false">IFERROR(($BO:$BO+$AJ:$AJ+$AK:$AK)/$AF:$AF,0)</f>
        <v>1.15494393476045</v>
      </c>
      <c r="BS100" s="343" t="n">
        <f aca="false">IF($N:$N="CASUAL","TBC",ROUND($BN:$BN/(NETWORKDAYS("01/07/2023","30/06/2024"))*NETWORKDAYS("10/07/2023","04/09/2023"),0)*$P:$P)</f>
        <v>0</v>
      </c>
      <c r="BT100" s="326" t="n">
        <f aca="false">$BM100+$BI100</f>
        <v>0</v>
      </c>
      <c r="BU100" s="332" t="n">
        <f aca="false">$BN:$BN+$BJ:$BJ</f>
        <v>0</v>
      </c>
      <c r="BV100" s="342" t="n">
        <f aca="false">$BO:$BO*$P:$P</f>
        <v>113300</v>
      </c>
      <c r="BW100" s="344" t="n">
        <f aca="false">ROUND($BO:$BO/1976,2)</f>
        <v>57.34</v>
      </c>
      <c r="BX100" s="316"/>
      <c r="BY100" s="342" t="n">
        <f aca="false">$BQ:$BQ+$BX:$BX</f>
        <v>125763</v>
      </c>
      <c r="BZ100" s="345" t="s">
        <v>294</v>
      </c>
      <c r="CA100" s="316"/>
      <c r="CB100" s="316"/>
      <c r="CC100" s="324" t="str">
        <f aca="false">CONCATENATE(CD100,"",CE100)</f>
        <v/>
      </c>
      <c r="CD100" s="319"/>
      <c r="CE100" s="319"/>
      <c r="CF100" s="322" t="str">
        <f aca="false">IFERROR(INDEX('[4]Lookup_Rem Ranges'!$D$1:$D$1048576,MATCH($CC:$CC,'[4]Lookup_Rem Ranges'!$C$1:$C$1048576,0)),"")</f>
        <v/>
      </c>
      <c r="CG100" s="346"/>
      <c r="CH100" s="346"/>
      <c r="CI100" s="347"/>
      <c r="CJ100" s="348"/>
      <c r="CK100" s="342" t="n">
        <f aca="false">IFERROR(ROUND($CI:$CI*$CJ:$CJ,0),0)</f>
        <v>0</v>
      </c>
      <c r="CL100" s="342" t="n">
        <f aca="false">$CI:$CI+$CK:$CK</f>
        <v>0</v>
      </c>
      <c r="CM100" s="349"/>
      <c r="CN100" s="350" t="n">
        <f aca="false">IF(SUM($CL:$CL&lt;249080),SUM(ROUND($CL:$CL*11%,0)),27398.8)</f>
        <v>0</v>
      </c>
      <c r="CO100" s="350" t="s">
        <v>313</v>
      </c>
      <c r="CP100" s="351" t="n">
        <f aca="false">IF(BA100="Yes",3.25%,0)</f>
        <v>0</v>
      </c>
      <c r="CQ100" s="352" t="n">
        <f aca="false">ROUND(AR100*CP100,0)</f>
        <v>0</v>
      </c>
      <c r="CR100" s="353" t="n">
        <f aca="false">IF($AW:$AW&lt;3.25%,$AW:$AW,3.25%)</f>
        <v>0</v>
      </c>
      <c r="CS100" s="354" t="n">
        <f aca="false">ROUND($AR:$AR*$CR:$CR,0)</f>
        <v>0</v>
      </c>
      <c r="CT100" s="353" t="n">
        <f aca="false">IF($AW:$AW&gt;=3.25%,$AW:$AW-$CR:$CR,0)</f>
        <v>0</v>
      </c>
      <c r="CU100" s="354" t="n">
        <f aca="false">ROUND($AR:$AR*$CT:$CT,0)</f>
        <v>0</v>
      </c>
      <c r="CV100" s="353" t="n">
        <f aca="false">IF($CR:$CR=3.25%,0,IF($BC:$BC&lt;3.25%,$BC:$BC,IF($BC:$BC&gt;3.25%,3.25%-$CR:$CR,0)))</f>
        <v>0</v>
      </c>
      <c r="CW100" s="354" t="n">
        <f aca="false">IFERROR(ROUND($AY:$AY*$CV:$CV,0),0)</f>
        <v>0</v>
      </c>
      <c r="CX100" s="353" t="n">
        <f aca="false">IF($CV:$CV=0,$BC:$BC,BC:BC-$CV:$CV)</f>
        <v>0</v>
      </c>
      <c r="CY100" s="354" t="n">
        <f aca="false">IFERROR(ROUND($AY:$AY*$CX:$CX,0),0)</f>
        <v>0</v>
      </c>
      <c r="CZ100" s="353" t="n">
        <f aca="false">$CR:$CR+$CT:CT+$CV:$CV+$CX:$CX</f>
        <v>0</v>
      </c>
      <c r="DA100" s="353" t="n">
        <f aca="false">(SUM($AW:$AW+$BC:$BC)-$CZ:$CZ)</f>
        <v>0</v>
      </c>
      <c r="DB100" s="353"/>
      <c r="DC100" s="353" t="n">
        <f aca="false">$BE:$BE</f>
        <v>0</v>
      </c>
      <c r="DD100" s="354" t="n">
        <f aca="false">$BF:$BF</f>
        <v>0</v>
      </c>
      <c r="DE100" s="355" t="n">
        <f aca="false">$BI:$BI</f>
        <v>0</v>
      </c>
      <c r="DF100" s="354" t="n">
        <f aca="false">$BJ:$BJ</f>
        <v>0</v>
      </c>
      <c r="DG100" s="355" t="n">
        <f aca="false">$BG:$BG</f>
        <v>0</v>
      </c>
      <c r="DH100" s="354" t="n">
        <f aca="false">IFERROR(ROUND($AP:$AP*$DG:$DG,0),0)</f>
        <v>0</v>
      </c>
      <c r="DI100" s="353" t="n">
        <f aca="false">$CR:$CR+$CV:$CV+$DC:$DC+$DE:$DE+$DG:$DG</f>
        <v>0</v>
      </c>
      <c r="DJ100" s="354" t="n">
        <f aca="false">$CS:$CS+$CW:$CW+$DD:$DD+$DF:$DF+$DH:$DH</f>
        <v>0</v>
      </c>
      <c r="DK100" s="353" t="n">
        <f aca="false">$CT:$CT+$CX:$CX</f>
        <v>0</v>
      </c>
      <c r="DL100" s="354" t="n">
        <f aca="false">$CU:$CU+$CY:$CY</f>
        <v>0</v>
      </c>
      <c r="DM100" s="356"/>
      <c r="DN100" s="357"/>
      <c r="DO100" s="357"/>
      <c r="DP100" s="357"/>
      <c r="DQ100" s="357"/>
      <c r="DR100" s="357"/>
      <c r="DS100" s="357"/>
      <c r="DT100" s="357"/>
      <c r="DU100" s="357"/>
      <c r="DV100" s="357"/>
      <c r="DW100" s="357" t="s">
        <v>744</v>
      </c>
    </row>
    <row r="101" customFormat="false" ht="33.75" hidden="false" customHeight="false" outlineLevel="0" collapsed="false">
      <c r="A101" s="314"/>
      <c r="B101" s="315" t="s">
        <v>273</v>
      </c>
      <c r="C101" s="315" t="s">
        <v>800</v>
      </c>
      <c r="D101" s="315" t="n">
        <v>20190</v>
      </c>
      <c r="E101" s="316" t="s">
        <v>801</v>
      </c>
      <c r="F101" s="316" t="s">
        <v>802</v>
      </c>
      <c r="G101" s="316" t="s">
        <v>300</v>
      </c>
      <c r="H101" s="317" t="s">
        <v>776</v>
      </c>
      <c r="I101" s="316" t="s">
        <v>803</v>
      </c>
      <c r="J101" s="316" t="s">
        <v>778</v>
      </c>
      <c r="K101" s="318" t="n">
        <v>44403</v>
      </c>
      <c r="L101" s="318"/>
      <c r="M101" s="318" t="n">
        <v>44403</v>
      </c>
      <c r="N101" s="319" t="s">
        <v>281</v>
      </c>
      <c r="O101" s="319" t="n">
        <v>38</v>
      </c>
      <c r="P101" s="320" t="n">
        <f aca="false">$O:$O/38</f>
        <v>1</v>
      </c>
      <c r="Q101" s="316" t="s">
        <v>332</v>
      </c>
      <c r="R101" s="316" t="n">
        <v>7326</v>
      </c>
      <c r="S101" s="316" t="s">
        <v>789</v>
      </c>
      <c r="T101" s="316" t="s">
        <v>790</v>
      </c>
      <c r="U101" s="316" t="s">
        <v>791</v>
      </c>
      <c r="V101" s="317" t="s">
        <v>58</v>
      </c>
      <c r="W101" s="317" t="s">
        <v>62</v>
      </c>
      <c r="X101" s="317" t="s">
        <v>286</v>
      </c>
      <c r="Y101" s="360" t="s">
        <v>287</v>
      </c>
      <c r="Z101" s="317" t="s">
        <v>758</v>
      </c>
      <c r="AA101" s="317" t="s">
        <v>338</v>
      </c>
      <c r="AB101" s="321" t="s">
        <v>759</v>
      </c>
      <c r="AC101" s="317" t="s">
        <v>289</v>
      </c>
      <c r="AD101" s="360" t="s">
        <v>290</v>
      </c>
      <c r="AE101" s="322" t="n">
        <f aca="false">IFERROR(INDEX('[3]Lookup_Rem Ranges'!$D$1:$D$1048576,MATCH($AL:$AL,'[3]Lookup_Rem Ranges'!$C$1:$C$1048576,0)),0)</f>
        <v>83400</v>
      </c>
      <c r="AF101" s="322" t="n">
        <f aca="false">IFERROR(INDEX('[3]Lookup_Rem Ranges'!$E$1:$E$1048576,MATCH($AL:$AL,'[3]Lookup_Rem Ranges'!$C$1:$C$1048576,0)),0)</f>
        <v>98100</v>
      </c>
      <c r="AG101" s="322" t="n">
        <f aca="false">IFERROR(INDEX('[3]Lookup_Rem Ranges'!$F$1:$F$1048576,MATCH($AL:$AL,'[3]Lookup_Rem Ranges'!$C$1:$C$1048576,0)),)</f>
        <v>112800</v>
      </c>
      <c r="AH101" s="317" t="s">
        <v>291</v>
      </c>
      <c r="AI101" s="319"/>
      <c r="AJ101" s="323" t="n">
        <v>0</v>
      </c>
      <c r="AK101" s="316"/>
      <c r="AL101" s="324" t="str">
        <f aca="false">CONCATENATE(AM101,"",AN101)</f>
        <v>CASS5</v>
      </c>
      <c r="AM101" s="324" t="s">
        <v>292</v>
      </c>
      <c r="AN101" s="319" t="n">
        <v>5</v>
      </c>
      <c r="AO101" s="316" t="s">
        <v>358</v>
      </c>
      <c r="AP101" s="325" t="n">
        <v>100700</v>
      </c>
      <c r="AQ101" s="322" t="n">
        <f aca="false">ROUND(IF($P:$P&gt;1,$AP:$AP*1,$AP:$AP*$P:$P),0)</f>
        <v>100700</v>
      </c>
      <c r="AR101" s="322" t="n">
        <f aca="false">IF(BA101="Yes",AP101,0)</f>
        <v>0</v>
      </c>
      <c r="AS101" s="326" t="n">
        <v>0.06</v>
      </c>
      <c r="AT101" s="326" t="n">
        <v>0</v>
      </c>
      <c r="AU101" s="327"/>
      <c r="AV101" s="322"/>
      <c r="AW101" s="328" t="n">
        <v>0</v>
      </c>
      <c r="AX101" s="322" t="n">
        <v>0</v>
      </c>
      <c r="AY101" s="322" t="n">
        <v>100700</v>
      </c>
      <c r="AZ101" s="329" t="n">
        <f aca="false">IFERROR(($AY:$AY+$AJ:$AJ+$AK:$AK)/$AF:$AF,0)</f>
        <v>1.02650356778797</v>
      </c>
      <c r="BA101" s="330" t="s">
        <v>294</v>
      </c>
      <c r="BB101" s="331" t="n">
        <v>3</v>
      </c>
      <c r="BC101" s="326" t="n">
        <f aca="false">IFERROR($BD:$BD/$AY:$AY,0)</f>
        <v>0</v>
      </c>
      <c r="BD101" s="332" t="n">
        <f aca="false">ROUND(IF($AY:$AY&lt;$AE:$AE,$AE:$AE-$AY:$AY,0),0)</f>
        <v>0</v>
      </c>
      <c r="BE101" s="333" t="n">
        <v>0</v>
      </c>
      <c r="BF101" s="334" t="n">
        <f aca="false">ROUND($AR:$AR*$BE:$BE,0)</f>
        <v>0</v>
      </c>
      <c r="BG101" s="335" t="n">
        <v>0</v>
      </c>
      <c r="BH101" s="336" t="n">
        <f aca="false">ROUND($AR:$AR*$BG:$BG,0)</f>
        <v>0</v>
      </c>
      <c r="BI101" s="333" t="n">
        <v>0</v>
      </c>
      <c r="BJ101" s="334" t="n">
        <f aca="false">ROUND($AR:$AR*$BI:$BI,0)</f>
        <v>0</v>
      </c>
      <c r="BK101" s="334" t="n">
        <f aca="false">ROUND(IF($P:$P&gt;1,$BJ:$BJ*1,$BJ:$BJ*$P:$P),0)</f>
        <v>0</v>
      </c>
      <c r="BL101" s="337"/>
      <c r="BM101" s="338" t="n">
        <f aca="false">$BC:$BC+$BE:$BE+$BG:$BG</f>
        <v>0</v>
      </c>
      <c r="BN101" s="339" t="n">
        <f aca="false">$BD:$BD+$BF:$BF+$BH:$BH</f>
        <v>0</v>
      </c>
      <c r="BO101" s="340" t="n">
        <f aca="false">IFERROR(ROUND($AY:$AY+$BN:$BN,0),0)</f>
        <v>100700</v>
      </c>
      <c r="BP101" s="341" t="n">
        <f aca="false">ROUND(IF(SUM($BO:$BO&lt;249080),SUM(ROUND($BO:$BO*11%,0)),27398.8),0)</f>
        <v>11077</v>
      </c>
      <c r="BQ101" s="342" t="n">
        <f aca="false">$BO:$BO+$BP:$BP</f>
        <v>111777</v>
      </c>
      <c r="BR101" s="329" t="n">
        <f aca="false">IFERROR(($BO:$BO+$AJ:$AJ+$AK:$AK)/$AF:$AF,0)</f>
        <v>1.02650356778797</v>
      </c>
      <c r="BS101" s="343" t="n">
        <f aca="false">IF($N:$N="CASUAL","TBC",ROUND($BN:$BN/(NETWORKDAYS("01/07/2023","30/06/2024"))*NETWORKDAYS("10/07/2023","04/09/2023"),0)*$P:$P)</f>
        <v>0</v>
      </c>
      <c r="BT101" s="326" t="n">
        <f aca="false">$BM101+$BI101</f>
        <v>0</v>
      </c>
      <c r="BU101" s="332" t="n">
        <f aca="false">$BN:$BN+$BJ:$BJ</f>
        <v>0</v>
      </c>
      <c r="BV101" s="342" t="n">
        <f aca="false">$BO:$BO*$P:$P</f>
        <v>100700</v>
      </c>
      <c r="BW101" s="344" t="n">
        <f aca="false">ROUND($BO:$BO/1976,2)</f>
        <v>50.96</v>
      </c>
      <c r="BX101" s="316"/>
      <c r="BY101" s="342" t="n">
        <f aca="false">$BQ:$BQ+$BX:$BX</f>
        <v>111777</v>
      </c>
      <c r="BZ101" s="345" t="s">
        <v>294</v>
      </c>
      <c r="CA101" s="316"/>
      <c r="CB101" s="316"/>
      <c r="CC101" s="324" t="str">
        <f aca="false">CONCATENATE(CD101,"",CE101)</f>
        <v/>
      </c>
      <c r="CD101" s="319"/>
      <c r="CE101" s="319"/>
      <c r="CF101" s="322" t="str">
        <f aca="false">IFERROR(INDEX('[4]Lookup_Rem Ranges'!$D$1:$D$1048576,MATCH($CC:$CC,'[4]Lookup_Rem Ranges'!$C$1:$C$1048576,0)),"")</f>
        <v/>
      </c>
      <c r="CG101" s="318"/>
      <c r="CH101" s="318"/>
      <c r="CI101" s="361"/>
      <c r="CJ101" s="348"/>
      <c r="CK101" s="342" t="n">
        <f aca="false">IFERROR(ROUND($CI:$CI*$CJ:$CJ,0),0)</f>
        <v>0</v>
      </c>
      <c r="CL101" s="342" t="n">
        <f aca="false">$CI:$CI+$CK:$CK</f>
        <v>0</v>
      </c>
      <c r="CM101" s="349"/>
      <c r="CN101" s="350" t="n">
        <f aca="false">IF(SUM($CL:$CL&lt;249080),SUM(ROUND($CL:$CL*11%,0)),27398.8)</f>
        <v>0</v>
      </c>
      <c r="CO101" s="350" t="s">
        <v>324</v>
      </c>
      <c r="CP101" s="351" t="n">
        <f aca="false">IF(BA101="Yes",3.25%,0)</f>
        <v>0</v>
      </c>
      <c r="CQ101" s="352" t="n">
        <f aca="false">ROUND(AR101*CP101,0)</f>
        <v>0</v>
      </c>
      <c r="CR101" s="353" t="n">
        <f aca="false">IF($AW:$AW&lt;3.25%,$AW:$AW,3.25%)</f>
        <v>0</v>
      </c>
      <c r="CS101" s="354" t="n">
        <f aca="false">ROUND($AR:$AR*$CR:$CR,0)</f>
        <v>0</v>
      </c>
      <c r="CT101" s="353" t="n">
        <f aca="false">IF($AW:$AW&gt;=3.25%,$AW:$AW-$CR:$CR,0)</f>
        <v>0</v>
      </c>
      <c r="CU101" s="354" t="n">
        <f aca="false">ROUND($AR:$AR*$CT:$CT,0)</f>
        <v>0</v>
      </c>
      <c r="CV101" s="353" t="n">
        <f aca="false">IF($CR:$CR=3.25%,0,IF($BC:$BC&lt;3.25%,$BC:$BC,IF($BC:$BC&gt;3.25%,3.25%-$CR:$CR,0)))</f>
        <v>0</v>
      </c>
      <c r="CW101" s="354" t="n">
        <f aca="false">IFERROR(ROUND($AY:$AY*$CV:$CV,0),0)</f>
        <v>0</v>
      </c>
      <c r="CX101" s="353" t="n">
        <f aca="false">IF($CV:$CV=0,$BC:$BC,BC:BC-$CV:$CV)</f>
        <v>0</v>
      </c>
      <c r="CY101" s="354" t="n">
        <f aca="false">IFERROR(ROUND($AY:$AY*$CX:$CX,0),0)</f>
        <v>0</v>
      </c>
      <c r="CZ101" s="353" t="n">
        <f aca="false">$CR:$CR+$CT:CT+$CV:$CV+$CX:$CX</f>
        <v>0</v>
      </c>
      <c r="DA101" s="353" t="n">
        <f aca="false">(SUM($AW:$AW+$BC:$BC)-$CZ:$CZ)</f>
        <v>0</v>
      </c>
      <c r="DB101" s="353"/>
      <c r="DC101" s="353" t="n">
        <f aca="false">$BE:$BE</f>
        <v>0</v>
      </c>
      <c r="DD101" s="354" t="n">
        <f aca="false">$BF:$BF</f>
        <v>0</v>
      </c>
      <c r="DE101" s="355" t="n">
        <f aca="false">$BI:$BI</f>
        <v>0</v>
      </c>
      <c r="DF101" s="354" t="n">
        <f aca="false">$BJ:$BJ</f>
        <v>0</v>
      </c>
      <c r="DG101" s="355" t="n">
        <f aca="false">$BG:$BG</f>
        <v>0</v>
      </c>
      <c r="DH101" s="354" t="n">
        <f aca="false">IFERROR(ROUND($AP:$AP*$DG:$DG,0),0)</f>
        <v>0</v>
      </c>
      <c r="DI101" s="353" t="n">
        <f aca="false">$CR:$CR+$CV:$CV+$DC:$DC+$DE:$DE+$DG:$DG</f>
        <v>0</v>
      </c>
      <c r="DJ101" s="354" t="n">
        <f aca="false">$CS:$CS+$CW:$CW+$DD:$DD+$DF:$DF+$DH:$DH</f>
        <v>0</v>
      </c>
      <c r="DK101" s="353" t="n">
        <f aca="false">$CT:$CT+$CX:$CX</f>
        <v>0</v>
      </c>
      <c r="DL101" s="354" t="n">
        <f aca="false">$CU:$CU+$CY:$CY</f>
        <v>0</v>
      </c>
      <c r="DM101" s="356"/>
      <c r="DN101" s="357"/>
      <c r="DO101" s="357"/>
      <c r="DP101" s="357"/>
      <c r="DQ101" s="357"/>
      <c r="DR101" s="357"/>
      <c r="DS101" s="357"/>
      <c r="DT101" s="357"/>
      <c r="DU101" s="357"/>
      <c r="DV101" s="357"/>
      <c r="DW101" s="357" t="s">
        <v>744</v>
      </c>
    </row>
    <row r="102" customFormat="false" ht="22.5" hidden="false" customHeight="false" outlineLevel="0" collapsed="false">
      <c r="A102" s="314"/>
      <c r="B102" s="315" t="s">
        <v>273</v>
      </c>
      <c r="C102" s="315" t="s">
        <v>804</v>
      </c>
      <c r="D102" s="315" t="n">
        <v>19890</v>
      </c>
      <c r="E102" s="316" t="s">
        <v>805</v>
      </c>
      <c r="F102" s="316" t="s">
        <v>806</v>
      </c>
      <c r="G102" s="316" t="s">
        <v>277</v>
      </c>
      <c r="H102" s="317" t="s">
        <v>752</v>
      </c>
      <c r="I102" s="316" t="s">
        <v>807</v>
      </c>
      <c r="J102" s="316" t="s">
        <v>808</v>
      </c>
      <c r="K102" s="318" t="n">
        <v>41890</v>
      </c>
      <c r="L102" s="318"/>
      <c r="M102" s="318" t="n">
        <v>44685</v>
      </c>
      <c r="N102" s="319" t="s">
        <v>281</v>
      </c>
      <c r="O102" s="319" t="n">
        <v>38</v>
      </c>
      <c r="P102" s="320" t="n">
        <f aca="false">$O:$O/38</f>
        <v>1</v>
      </c>
      <c r="Q102" s="316" t="s">
        <v>582</v>
      </c>
      <c r="R102" s="316" t="n">
        <v>13369</v>
      </c>
      <c r="S102" s="316" t="s">
        <v>809</v>
      </c>
      <c r="T102" s="316" t="s">
        <v>810</v>
      </c>
      <c r="U102" s="316" t="s">
        <v>811</v>
      </c>
      <c r="V102" s="317" t="s">
        <v>58</v>
      </c>
      <c r="W102" s="317" t="s">
        <v>62</v>
      </c>
      <c r="X102" s="317" t="s">
        <v>286</v>
      </c>
      <c r="Y102" s="321" t="s">
        <v>287</v>
      </c>
      <c r="Z102" s="317" t="s">
        <v>758</v>
      </c>
      <c r="AA102" s="317" t="s">
        <v>338</v>
      </c>
      <c r="AB102" s="321" t="s">
        <v>759</v>
      </c>
      <c r="AC102" s="317" t="s">
        <v>289</v>
      </c>
      <c r="AD102" s="321" t="s">
        <v>290</v>
      </c>
      <c r="AE102" s="322" t="n">
        <f aca="false">IFERROR(INDEX('[3]Lookup_Rem Ranges'!$D$1:$D$1048576,MATCH($AL:$AL,'[3]Lookup_Rem Ranges'!$C$1:$C$1048576,0)),0)</f>
        <v>83400</v>
      </c>
      <c r="AF102" s="322" t="n">
        <f aca="false">IFERROR(INDEX('[3]Lookup_Rem Ranges'!$E$1:$E$1048576,MATCH($AL:$AL,'[3]Lookup_Rem Ranges'!$C$1:$C$1048576,0)),0)</f>
        <v>98100</v>
      </c>
      <c r="AG102" s="322" t="n">
        <f aca="false">IFERROR(INDEX('[3]Lookup_Rem Ranges'!$F$1:$F$1048576,MATCH($AL:$AL,'[3]Lookup_Rem Ranges'!$C$1:$C$1048576,0)),)</f>
        <v>112800</v>
      </c>
      <c r="AH102" s="317" t="s">
        <v>291</v>
      </c>
      <c r="AI102" s="319"/>
      <c r="AJ102" s="323" t="n">
        <v>0</v>
      </c>
      <c r="AK102" s="316"/>
      <c r="AL102" s="324" t="str">
        <f aca="false">CONCATENATE(AM102,"",AN102)</f>
        <v>CASS5</v>
      </c>
      <c r="AM102" s="324" t="s">
        <v>292</v>
      </c>
      <c r="AN102" s="319" t="n">
        <v>5</v>
      </c>
      <c r="AO102" s="316" t="s">
        <v>358</v>
      </c>
      <c r="AP102" s="325" t="n">
        <v>102900</v>
      </c>
      <c r="AQ102" s="322" t="n">
        <f aca="false">ROUND(IF($P:$P&gt;1,$AP:$AP*1,$AP:$AP*$P:$P),0)</f>
        <v>102900</v>
      </c>
      <c r="AR102" s="322" t="n">
        <f aca="false">IF(BA102="Yes",AP102,0)</f>
        <v>0</v>
      </c>
      <c r="AS102" s="326" t="n">
        <v>0.0521472392638037</v>
      </c>
      <c r="AT102" s="326" t="n">
        <v>0</v>
      </c>
      <c r="AU102" s="327"/>
      <c r="AV102" s="322"/>
      <c r="AW102" s="328" t="n">
        <v>0</v>
      </c>
      <c r="AX102" s="322" t="n">
        <v>0</v>
      </c>
      <c r="AY102" s="322" t="n">
        <v>102900</v>
      </c>
      <c r="AZ102" s="329" t="n">
        <f aca="false">IFERROR(($AY:$AY+$AJ:$AJ+$AK:$AK)/$AF:$AF,0)</f>
        <v>1.04892966360856</v>
      </c>
      <c r="BA102" s="330" t="s">
        <v>294</v>
      </c>
      <c r="BB102" s="331" t="n">
        <v>3</v>
      </c>
      <c r="BC102" s="326" t="n">
        <f aca="false">IFERROR($BD:$BD/$AY:$AY,0)</f>
        <v>0</v>
      </c>
      <c r="BD102" s="332" t="n">
        <f aca="false">ROUND(IF($AY:$AY&lt;$AE:$AE,$AE:$AE-$AY:$AY,0),0)</f>
        <v>0</v>
      </c>
      <c r="BE102" s="333" t="n">
        <v>0</v>
      </c>
      <c r="BF102" s="334" t="n">
        <f aca="false">ROUND($AR:$AR*$BE:$BE,0)</f>
        <v>0</v>
      </c>
      <c r="BG102" s="335" t="n">
        <v>0</v>
      </c>
      <c r="BH102" s="336" t="n">
        <f aca="false">ROUND($AR:$AR*$BG:$BG,0)</f>
        <v>0</v>
      </c>
      <c r="BI102" s="333" t="n">
        <v>0</v>
      </c>
      <c r="BJ102" s="334" t="n">
        <f aca="false">ROUND($AR:$AR*$BI:$BI,0)</f>
        <v>0</v>
      </c>
      <c r="BK102" s="334" t="n">
        <f aca="false">ROUND(IF($P:$P&gt;1,$BJ:$BJ*1,$BJ:$BJ*$P:$P),0)</f>
        <v>0</v>
      </c>
      <c r="BL102" s="337"/>
      <c r="BM102" s="338" t="n">
        <f aca="false">$BC:$BC+$BE:$BE+$BG:$BG</f>
        <v>0</v>
      </c>
      <c r="BN102" s="339" t="n">
        <f aca="false">$BD:$BD+$BF:$BF+$BH:$BH</f>
        <v>0</v>
      </c>
      <c r="BO102" s="340" t="n">
        <f aca="false">IFERROR(ROUND($AY:$AY+$BN:$BN,0),0)</f>
        <v>102900</v>
      </c>
      <c r="BP102" s="341" t="n">
        <f aca="false">ROUND(IF(SUM($BO:$BO&lt;249080),SUM(ROUND($BO:$BO*11%,0)),27398.8),0)</f>
        <v>11319</v>
      </c>
      <c r="BQ102" s="342" t="n">
        <f aca="false">$BO:$BO+$BP:$BP</f>
        <v>114219</v>
      </c>
      <c r="BR102" s="329" t="n">
        <f aca="false">IFERROR(($BO:$BO+$AJ:$AJ+$AK:$AK)/$AF:$AF,0)</f>
        <v>1.04892966360856</v>
      </c>
      <c r="BS102" s="343" t="n">
        <f aca="false">IF($N:$N="CASUAL","TBC",ROUND($BN:$BN/(NETWORKDAYS("01/07/2023","30/06/2024"))*NETWORKDAYS("10/07/2023","04/09/2023"),0)*$P:$P)</f>
        <v>0</v>
      </c>
      <c r="BT102" s="326" t="n">
        <f aca="false">$BM102+$BI102</f>
        <v>0</v>
      </c>
      <c r="BU102" s="332" t="n">
        <f aca="false">$BN:$BN+$BJ:$BJ</f>
        <v>0</v>
      </c>
      <c r="BV102" s="342" t="n">
        <f aca="false">$BO:$BO*$P:$P</f>
        <v>102900</v>
      </c>
      <c r="BW102" s="344" t="n">
        <f aca="false">ROUND($BO:$BO/1976,2)</f>
        <v>52.07</v>
      </c>
      <c r="BX102" s="316"/>
      <c r="BY102" s="342" t="n">
        <f aca="false">$BQ:$BQ+$BX:$BX</f>
        <v>114219</v>
      </c>
      <c r="BZ102" s="345" t="s">
        <v>294</v>
      </c>
      <c r="CA102" s="316"/>
      <c r="CB102" s="316"/>
      <c r="CC102" s="324" t="str">
        <f aca="false">CONCATENATE(CD102,"",CE102)</f>
        <v/>
      </c>
      <c r="CD102" s="319"/>
      <c r="CE102" s="319"/>
      <c r="CF102" s="322" t="str">
        <f aca="false">IFERROR(INDEX('[4]Lookup_Rem Ranges'!$D$1:$D$1048576,MATCH($CC:$CC,'[4]Lookup_Rem Ranges'!$C$1:$C$1048576,0)),"")</f>
        <v/>
      </c>
      <c r="CG102" s="346"/>
      <c r="CH102" s="346"/>
      <c r="CI102" s="347"/>
      <c r="CJ102" s="348"/>
      <c r="CK102" s="342" t="n">
        <f aca="false">IFERROR(ROUND($CI:$CI*$CJ:$CJ,0),0)</f>
        <v>0</v>
      </c>
      <c r="CL102" s="342" t="n">
        <f aca="false">$CI:$CI+$CK:$CK</f>
        <v>0</v>
      </c>
      <c r="CM102" s="349"/>
      <c r="CN102" s="350" t="n">
        <f aca="false">IF(SUM($CL:$CL&lt;249080),SUM(ROUND($CL:$CL*11%,0)),27398.8)</f>
        <v>0</v>
      </c>
      <c r="CO102" s="350" t="s">
        <v>305</v>
      </c>
      <c r="CP102" s="351" t="n">
        <f aca="false">IF(BA102="Yes",3.25%,0)</f>
        <v>0</v>
      </c>
      <c r="CQ102" s="352" t="n">
        <f aca="false">ROUND(AR102*CP102,0)</f>
        <v>0</v>
      </c>
      <c r="CR102" s="353" t="n">
        <f aca="false">IF($AW:$AW&lt;3.25%,$AW:$AW,3.25%)</f>
        <v>0</v>
      </c>
      <c r="CS102" s="354" t="n">
        <f aca="false">ROUND($AR:$AR*$CR:$CR,0)</f>
        <v>0</v>
      </c>
      <c r="CT102" s="353" t="n">
        <f aca="false">IF($AW:$AW&gt;=3.25%,$AW:$AW-$CR:$CR,0)</f>
        <v>0</v>
      </c>
      <c r="CU102" s="354" t="n">
        <f aca="false">ROUND($AR:$AR*$CT:$CT,0)</f>
        <v>0</v>
      </c>
      <c r="CV102" s="353" t="n">
        <f aca="false">IF($CR:$CR=3.25%,0,IF($BC:$BC&lt;3.25%,$BC:$BC,IF($BC:$BC&gt;3.25%,3.25%-$CR:$CR,0)))</f>
        <v>0</v>
      </c>
      <c r="CW102" s="354" t="n">
        <f aca="false">IFERROR(ROUND($AY:$AY*$CV:$CV,0),0)</f>
        <v>0</v>
      </c>
      <c r="CX102" s="353" t="n">
        <f aca="false">IF($CV:$CV=0,$BC:$BC,BC:BC-$CV:$CV)</f>
        <v>0</v>
      </c>
      <c r="CY102" s="354" t="n">
        <f aca="false">IFERROR(ROUND($AY:$AY*$CX:$CX,0),0)</f>
        <v>0</v>
      </c>
      <c r="CZ102" s="353" t="n">
        <f aca="false">$CR:$CR+$CT:CT+$CV:$CV+$CX:$CX</f>
        <v>0</v>
      </c>
      <c r="DA102" s="353" t="n">
        <f aca="false">(SUM($AW:$AW+$BC:$BC)-$CZ:$CZ)</f>
        <v>0</v>
      </c>
      <c r="DB102" s="353"/>
      <c r="DC102" s="353" t="n">
        <f aca="false">$BE:$BE</f>
        <v>0</v>
      </c>
      <c r="DD102" s="354" t="n">
        <f aca="false">$BF:$BF</f>
        <v>0</v>
      </c>
      <c r="DE102" s="355" t="n">
        <f aca="false">$BI:$BI</f>
        <v>0</v>
      </c>
      <c r="DF102" s="354" t="n">
        <f aca="false">$BJ:$BJ</f>
        <v>0</v>
      </c>
      <c r="DG102" s="355" t="n">
        <f aca="false">$BG:$BG</f>
        <v>0</v>
      </c>
      <c r="DH102" s="354" t="n">
        <f aca="false">IFERROR(ROUND($AP:$AP*$DG:$DG,0),0)</f>
        <v>0</v>
      </c>
      <c r="DI102" s="353" t="n">
        <f aca="false">$CR:$CR+$CV:$CV+$DC:$DC+$DE:$DE+$DG:$DG</f>
        <v>0</v>
      </c>
      <c r="DJ102" s="354" t="n">
        <f aca="false">$CS:$CS+$CW:$CW+$DD:$DD+$DF:$DF+$DH:$DH</f>
        <v>0</v>
      </c>
      <c r="DK102" s="353" t="n">
        <f aca="false">$CT:$CT+$CX:$CX</f>
        <v>0</v>
      </c>
      <c r="DL102" s="354" t="n">
        <f aca="false">$CU:$CU+$CY:$CY</f>
        <v>0</v>
      </c>
      <c r="DM102" s="356"/>
      <c r="DN102" s="357"/>
      <c r="DO102" s="357"/>
      <c r="DP102" s="357"/>
      <c r="DQ102" s="357"/>
      <c r="DR102" s="357"/>
      <c r="DS102" s="357"/>
      <c r="DT102" s="357"/>
      <c r="DU102" s="357"/>
      <c r="DV102" s="357"/>
      <c r="DW102" s="357" t="s">
        <v>744</v>
      </c>
    </row>
    <row r="103" customFormat="false" ht="22.5" hidden="false" customHeight="false" outlineLevel="0" collapsed="false">
      <c r="A103" s="314"/>
      <c r="B103" s="315" t="s">
        <v>273</v>
      </c>
      <c r="C103" s="315" t="s">
        <v>812</v>
      </c>
      <c r="D103" s="315" t="n">
        <v>4221</v>
      </c>
      <c r="E103" s="316" t="s">
        <v>813</v>
      </c>
      <c r="F103" s="316" t="s">
        <v>814</v>
      </c>
      <c r="G103" s="316" t="s">
        <v>277</v>
      </c>
      <c r="H103" s="317" t="s">
        <v>752</v>
      </c>
      <c r="I103" s="316" t="s">
        <v>815</v>
      </c>
      <c r="J103" s="316" t="s">
        <v>816</v>
      </c>
      <c r="K103" s="318" t="n">
        <v>37883</v>
      </c>
      <c r="L103" s="318"/>
      <c r="M103" s="318" t="n">
        <v>44166</v>
      </c>
      <c r="N103" s="319" t="s">
        <v>281</v>
      </c>
      <c r="O103" s="319" t="n">
        <v>38</v>
      </c>
      <c r="P103" s="320" t="n">
        <f aca="false">$O:$O/38</f>
        <v>1</v>
      </c>
      <c r="Q103" s="316" t="s">
        <v>582</v>
      </c>
      <c r="R103" s="316" t="n">
        <v>13369</v>
      </c>
      <c r="S103" s="316" t="s">
        <v>809</v>
      </c>
      <c r="T103" s="316" t="s">
        <v>810</v>
      </c>
      <c r="U103" s="316" t="s">
        <v>811</v>
      </c>
      <c r="V103" s="317" t="s">
        <v>58</v>
      </c>
      <c r="W103" s="317" t="s">
        <v>62</v>
      </c>
      <c r="X103" s="317" t="s">
        <v>286</v>
      </c>
      <c r="Y103" s="321" t="s">
        <v>287</v>
      </c>
      <c r="Z103" s="317" t="s">
        <v>758</v>
      </c>
      <c r="AA103" s="317" t="s">
        <v>338</v>
      </c>
      <c r="AB103" s="321" t="s">
        <v>759</v>
      </c>
      <c r="AC103" s="317" t="s">
        <v>289</v>
      </c>
      <c r="AD103" s="321" t="s">
        <v>290</v>
      </c>
      <c r="AE103" s="322" t="n">
        <f aca="false">IFERROR(INDEX('[3]Lookup_Rem Ranges'!$D$1:$D$1048576,MATCH($AL:$AL,'[3]Lookup_Rem Ranges'!$C$1:$C$1048576,0)),0)</f>
        <v>83400</v>
      </c>
      <c r="AF103" s="322" t="n">
        <f aca="false">IFERROR(INDEX('[3]Lookup_Rem Ranges'!$E$1:$E$1048576,MATCH($AL:$AL,'[3]Lookup_Rem Ranges'!$C$1:$C$1048576,0)),0)</f>
        <v>98100</v>
      </c>
      <c r="AG103" s="322" t="n">
        <f aca="false">IFERROR(INDEX('[3]Lookup_Rem Ranges'!$F$1:$F$1048576,MATCH($AL:$AL,'[3]Lookup_Rem Ranges'!$C$1:$C$1048576,0)),)</f>
        <v>112800</v>
      </c>
      <c r="AH103" s="317" t="s">
        <v>291</v>
      </c>
      <c r="AI103" s="319"/>
      <c r="AJ103" s="323" t="n">
        <v>0</v>
      </c>
      <c r="AK103" s="316"/>
      <c r="AL103" s="324" t="str">
        <f aca="false">CONCATENATE(AM103,"",AN103)</f>
        <v>CASS5</v>
      </c>
      <c r="AM103" s="324" t="s">
        <v>292</v>
      </c>
      <c r="AN103" s="319" t="n">
        <v>5</v>
      </c>
      <c r="AO103" s="316" t="s">
        <v>358</v>
      </c>
      <c r="AP103" s="325" t="n">
        <v>107000</v>
      </c>
      <c r="AQ103" s="322" t="n">
        <f aca="false">ROUND(IF($P:$P&gt;1,$AP:$AP*1,$AP:$AP*$P:$P),0)</f>
        <v>107000</v>
      </c>
      <c r="AR103" s="322" t="n">
        <f aca="false">IF(BA103="Yes",AP103,0)</f>
        <v>0</v>
      </c>
      <c r="AS103" s="326" t="n">
        <v>0.0689310689310689</v>
      </c>
      <c r="AT103" s="326" t="n">
        <v>0</v>
      </c>
      <c r="AU103" s="327"/>
      <c r="AV103" s="322"/>
      <c r="AW103" s="328" t="n">
        <v>0</v>
      </c>
      <c r="AX103" s="322" t="n">
        <v>0</v>
      </c>
      <c r="AY103" s="322" t="n">
        <v>107000</v>
      </c>
      <c r="AZ103" s="329" t="n">
        <f aca="false">IFERROR(($AY:$AY+$AJ:$AJ+$AK:$AK)/$AF:$AF,0)</f>
        <v>1.09072375127421</v>
      </c>
      <c r="BA103" s="330" t="s">
        <v>294</v>
      </c>
      <c r="BB103" s="331" t="n">
        <v>3</v>
      </c>
      <c r="BC103" s="326" t="n">
        <f aca="false">IFERROR($BD:$BD/$AY:$AY,0)</f>
        <v>0</v>
      </c>
      <c r="BD103" s="332" t="n">
        <f aca="false">ROUND(IF($AY:$AY&lt;$AE:$AE,$AE:$AE-$AY:$AY,0),0)</f>
        <v>0</v>
      </c>
      <c r="BE103" s="333" t="n">
        <v>0</v>
      </c>
      <c r="BF103" s="334" t="n">
        <f aca="false">ROUND($AR:$AR*$BE:$BE,0)</f>
        <v>0</v>
      </c>
      <c r="BG103" s="335" t="n">
        <v>0</v>
      </c>
      <c r="BH103" s="336" t="n">
        <f aca="false">ROUND($AR:$AR*$BG:$BG,0)</f>
        <v>0</v>
      </c>
      <c r="BI103" s="333" t="n">
        <v>0</v>
      </c>
      <c r="BJ103" s="334" t="n">
        <f aca="false">ROUND($AR:$AR*$BI:$BI,0)</f>
        <v>0</v>
      </c>
      <c r="BK103" s="334" t="n">
        <f aca="false">ROUND(IF($P:$P&gt;1,$BJ:$BJ*1,$BJ:$BJ*$P:$P),0)</f>
        <v>0</v>
      </c>
      <c r="BL103" s="337"/>
      <c r="BM103" s="338" t="n">
        <f aca="false">$BC:$BC+$BE:$BE+$BG:$BG</f>
        <v>0</v>
      </c>
      <c r="BN103" s="339" t="n">
        <f aca="false">$BD:$BD+$BF:$BF+$BH:$BH</f>
        <v>0</v>
      </c>
      <c r="BO103" s="340" t="n">
        <f aca="false">IFERROR(ROUND($AY:$AY+$BN:$BN,0),0)</f>
        <v>107000</v>
      </c>
      <c r="BP103" s="341" t="n">
        <f aca="false">ROUND(IF(SUM($BO:$BO&lt;249080),SUM(ROUND($BO:$BO*11%,0)),27398.8),0)</f>
        <v>11770</v>
      </c>
      <c r="BQ103" s="342" t="n">
        <f aca="false">$BO:$BO+$BP:$BP</f>
        <v>118770</v>
      </c>
      <c r="BR103" s="329" t="n">
        <f aca="false">IFERROR(($BO:$BO+$AJ:$AJ+$AK:$AK)/$AF:$AF,0)</f>
        <v>1.09072375127421</v>
      </c>
      <c r="BS103" s="343" t="n">
        <f aca="false">IF($N:$N="CASUAL","TBC",ROUND($BN:$BN/(NETWORKDAYS("01/07/2023","30/06/2024"))*NETWORKDAYS("10/07/2023","04/09/2023"),0)*$P:$P)</f>
        <v>0</v>
      </c>
      <c r="BT103" s="326" t="n">
        <f aca="false">$BM103+$BI103</f>
        <v>0</v>
      </c>
      <c r="BU103" s="332" t="n">
        <f aca="false">$BN:$BN+$BJ:$BJ</f>
        <v>0</v>
      </c>
      <c r="BV103" s="342" t="n">
        <f aca="false">$BO:$BO*$P:$P</f>
        <v>107000</v>
      </c>
      <c r="BW103" s="344" t="n">
        <f aca="false">ROUND($BO:$BO/1976,2)</f>
        <v>54.15</v>
      </c>
      <c r="BX103" s="316"/>
      <c r="BY103" s="342" t="n">
        <f aca="false">$BQ:$BQ+$BX:$BX</f>
        <v>118770</v>
      </c>
      <c r="BZ103" s="345" t="s">
        <v>294</v>
      </c>
      <c r="CA103" s="316"/>
      <c r="CB103" s="316"/>
      <c r="CC103" s="324" t="str">
        <f aca="false">CONCATENATE(CD103,"",CE103)</f>
        <v/>
      </c>
      <c r="CD103" s="319"/>
      <c r="CE103" s="319"/>
      <c r="CF103" s="322" t="str">
        <f aca="false">IFERROR(INDEX('[4]Lookup_Rem Ranges'!$D$1:$D$1048576,MATCH($CC:$CC,'[4]Lookup_Rem Ranges'!$C$1:$C$1048576,0)),"")</f>
        <v/>
      </c>
      <c r="CG103" s="346"/>
      <c r="CH103" s="346"/>
      <c r="CI103" s="347"/>
      <c r="CJ103" s="348"/>
      <c r="CK103" s="342" t="n">
        <f aca="false">IFERROR(ROUND($CI:$CI*$CJ:$CJ,0),0)</f>
        <v>0</v>
      </c>
      <c r="CL103" s="342" t="n">
        <f aca="false">$CI:$CI+$CK:$CK</f>
        <v>0</v>
      </c>
      <c r="CM103" s="349"/>
      <c r="CN103" s="350" t="n">
        <f aca="false">IF(SUM($CL:$CL&lt;249080),SUM(ROUND($CL:$CL*11%,0)),27398.8)</f>
        <v>0</v>
      </c>
      <c r="CO103" s="350" t="s">
        <v>313</v>
      </c>
      <c r="CP103" s="351" t="n">
        <f aca="false">IF(BA103="Yes",3.25%,0)</f>
        <v>0</v>
      </c>
      <c r="CQ103" s="352" t="n">
        <f aca="false">ROUND(AR103*CP103,0)</f>
        <v>0</v>
      </c>
      <c r="CR103" s="353" t="n">
        <f aca="false">IF($AW:$AW&lt;3.25%,$AW:$AW,3.25%)</f>
        <v>0</v>
      </c>
      <c r="CS103" s="354" t="n">
        <f aca="false">ROUND($AR:$AR*$CR:$CR,0)</f>
        <v>0</v>
      </c>
      <c r="CT103" s="353" t="n">
        <f aca="false">IF($AW:$AW&gt;=3.25%,$AW:$AW-$CR:$CR,0)</f>
        <v>0</v>
      </c>
      <c r="CU103" s="354" t="n">
        <f aca="false">ROUND($AR:$AR*$CT:$CT,0)</f>
        <v>0</v>
      </c>
      <c r="CV103" s="353" t="n">
        <f aca="false">IF($CR:$CR=3.25%,0,IF($BC:$BC&lt;3.25%,$BC:$BC,IF($BC:$BC&gt;3.25%,3.25%-$CR:$CR,0)))</f>
        <v>0</v>
      </c>
      <c r="CW103" s="354" t="n">
        <f aca="false">IFERROR(ROUND($AY:$AY*$CV:$CV,0),0)</f>
        <v>0</v>
      </c>
      <c r="CX103" s="353" t="n">
        <f aca="false">IF($CV:$CV=0,$BC:$BC,BC:BC-$CV:$CV)</f>
        <v>0</v>
      </c>
      <c r="CY103" s="354" t="n">
        <f aca="false">IFERROR(ROUND($AY:$AY*$CX:$CX,0),0)</f>
        <v>0</v>
      </c>
      <c r="CZ103" s="353" t="n">
        <f aca="false">$CR:$CR+$CT:CT+$CV:$CV+$CX:$CX</f>
        <v>0</v>
      </c>
      <c r="DA103" s="353" t="n">
        <f aca="false">(SUM($AW:$AW+$BC:$BC)-$CZ:$CZ)</f>
        <v>0</v>
      </c>
      <c r="DB103" s="353"/>
      <c r="DC103" s="353" t="n">
        <f aca="false">$BE:$BE</f>
        <v>0</v>
      </c>
      <c r="DD103" s="354" t="n">
        <f aca="false">$BF:$BF</f>
        <v>0</v>
      </c>
      <c r="DE103" s="355" t="n">
        <f aca="false">$BI:$BI</f>
        <v>0</v>
      </c>
      <c r="DF103" s="354" t="n">
        <f aca="false">$BJ:$BJ</f>
        <v>0</v>
      </c>
      <c r="DG103" s="355" t="n">
        <f aca="false">$BG:$BG</f>
        <v>0</v>
      </c>
      <c r="DH103" s="354" t="n">
        <f aca="false">IFERROR(ROUND($AP:$AP*$DG:$DG,0),0)</f>
        <v>0</v>
      </c>
      <c r="DI103" s="353" t="n">
        <f aca="false">$CR:$CR+$CV:$CV+$DC:$DC+$DE:$DE+$DG:$DG</f>
        <v>0</v>
      </c>
      <c r="DJ103" s="354" t="n">
        <f aca="false">$CS:$CS+$CW:$CW+$DD:$DD+$DF:$DF+$DH:$DH</f>
        <v>0</v>
      </c>
      <c r="DK103" s="353" t="n">
        <f aca="false">$CT:$CT+$CX:$CX</f>
        <v>0</v>
      </c>
      <c r="DL103" s="354" t="n">
        <f aca="false">$CU:$CU+$CY:$CY</f>
        <v>0</v>
      </c>
      <c r="DM103" s="356"/>
      <c r="DN103" s="357"/>
      <c r="DO103" s="357"/>
      <c r="DP103" s="357"/>
      <c r="DQ103" s="357"/>
      <c r="DR103" s="357"/>
      <c r="DS103" s="357"/>
      <c r="DT103" s="357"/>
      <c r="DU103" s="357"/>
      <c r="DV103" s="357"/>
      <c r="DW103" s="357" t="s">
        <v>744</v>
      </c>
    </row>
    <row r="104" customFormat="false" ht="33.75" hidden="false" customHeight="false" outlineLevel="0" collapsed="false">
      <c r="A104" s="314"/>
      <c r="B104" s="315" t="s">
        <v>273</v>
      </c>
      <c r="C104" s="315" t="s">
        <v>817</v>
      </c>
      <c r="D104" s="315" t="n">
        <v>7326</v>
      </c>
      <c r="E104" s="316" t="s">
        <v>818</v>
      </c>
      <c r="F104" s="316" t="s">
        <v>819</v>
      </c>
      <c r="G104" s="316" t="s">
        <v>277</v>
      </c>
      <c r="H104" s="317" t="s">
        <v>820</v>
      </c>
      <c r="I104" s="316" t="s">
        <v>790</v>
      </c>
      <c r="J104" s="316" t="s">
        <v>791</v>
      </c>
      <c r="K104" s="318" t="n">
        <v>39023</v>
      </c>
      <c r="L104" s="318"/>
      <c r="M104" s="318" t="n">
        <v>44653</v>
      </c>
      <c r="N104" s="319" t="s">
        <v>281</v>
      </c>
      <c r="O104" s="319" t="n">
        <v>38</v>
      </c>
      <c r="P104" s="320" t="n">
        <f aca="false">$O:$O/38</f>
        <v>1</v>
      </c>
      <c r="Q104" s="316" t="s">
        <v>304</v>
      </c>
      <c r="R104" s="316" t="n">
        <v>21991</v>
      </c>
      <c r="S104" s="316" t="s">
        <v>821</v>
      </c>
      <c r="T104" s="316" t="s">
        <v>337</v>
      </c>
      <c r="U104" s="316" t="s">
        <v>338</v>
      </c>
      <c r="V104" s="317" t="s">
        <v>58</v>
      </c>
      <c r="W104" s="317" t="s">
        <v>62</v>
      </c>
      <c r="X104" s="317" t="s">
        <v>286</v>
      </c>
      <c r="Y104" s="321" t="s">
        <v>287</v>
      </c>
      <c r="Z104" s="317" t="s">
        <v>758</v>
      </c>
      <c r="AA104" s="317" t="s">
        <v>338</v>
      </c>
      <c r="AB104" s="321" t="s">
        <v>759</v>
      </c>
      <c r="AC104" s="317" t="s">
        <v>289</v>
      </c>
      <c r="AD104" s="321" t="s">
        <v>290</v>
      </c>
      <c r="AE104" s="322" t="n">
        <f aca="false">IFERROR(INDEX('[3]Lookup_Rem Ranges'!$D$1:$D$1048576,MATCH($AL:$AL,'[3]Lookup_Rem Ranges'!$C$1:$C$1048576,0)),0)</f>
        <v>133400</v>
      </c>
      <c r="AF104" s="322" t="n">
        <f aca="false">IFERROR(INDEX('[3]Lookup_Rem Ranges'!$E$1:$E$1048576,MATCH($AL:$AL,'[3]Lookup_Rem Ranges'!$C$1:$C$1048576,0)),0)</f>
        <v>156900</v>
      </c>
      <c r="AG104" s="322" t="n">
        <f aca="false">IFERROR(INDEX('[3]Lookup_Rem Ranges'!$F$1:$F$1048576,MATCH($AL:$AL,'[3]Lookup_Rem Ranges'!$C$1:$C$1048576,0)),)</f>
        <v>180400</v>
      </c>
      <c r="AH104" s="317" t="s">
        <v>291</v>
      </c>
      <c r="AI104" s="319"/>
      <c r="AJ104" s="323" t="n">
        <v>0</v>
      </c>
      <c r="AK104" s="316"/>
      <c r="AL104" s="324" t="str">
        <f aca="false">CONCATENATE(AM104,"",AN104)</f>
        <v>CASS7</v>
      </c>
      <c r="AM104" s="324" t="s">
        <v>292</v>
      </c>
      <c r="AN104" s="319" t="n">
        <v>7</v>
      </c>
      <c r="AO104" s="316"/>
      <c r="AP104" s="325" t="n">
        <v>134200</v>
      </c>
      <c r="AQ104" s="322" t="n">
        <f aca="false">ROUND(IF($P:$P&gt;1,$AP:$AP*1,$AP:$AP*$P:$P),0)</f>
        <v>134200</v>
      </c>
      <c r="AR104" s="322" t="n">
        <f aca="false">IF(BA104="Yes",AP104,0)</f>
        <v>134200</v>
      </c>
      <c r="AS104" s="326" t="n">
        <v>0.0451713395638629</v>
      </c>
      <c r="AT104" s="326" t="n">
        <v>0</v>
      </c>
      <c r="AU104" s="327"/>
      <c r="AV104" s="322"/>
      <c r="AW104" s="328" t="n">
        <v>0</v>
      </c>
      <c r="AX104" s="322" t="n">
        <v>0</v>
      </c>
      <c r="AY104" s="322" t="n">
        <v>134200</v>
      </c>
      <c r="AZ104" s="329" t="n">
        <f aca="false">IFERROR(($AY:$AY+$AJ:$AJ+$AK:$AK)/$AF:$AF,0)</f>
        <v>0.855321861057999</v>
      </c>
      <c r="BA104" s="330" t="s">
        <v>293</v>
      </c>
      <c r="BB104" s="331" t="n">
        <v>3</v>
      </c>
      <c r="BC104" s="326" t="n">
        <f aca="false">IFERROR($BD:$BD/$AY:$AY,0)</f>
        <v>0</v>
      </c>
      <c r="BD104" s="332" t="n">
        <f aca="false">ROUND(IF($AY:$AY&lt;$AE:$AE,$AE:$AE-$AY:$AY,0),0)</f>
        <v>0</v>
      </c>
      <c r="BE104" s="333" t="n">
        <v>0.0325</v>
      </c>
      <c r="BF104" s="334" t="n">
        <f aca="false">ROUND($AR:$AR*$BE:$BE,0)</f>
        <v>4362</v>
      </c>
      <c r="BG104" s="335" t="n">
        <v>0</v>
      </c>
      <c r="BH104" s="336" t="n">
        <f aca="false">ROUND($AR:$AR*$BG:$BG,0)</f>
        <v>0</v>
      </c>
      <c r="BI104" s="333" t="n">
        <v>0</v>
      </c>
      <c r="BJ104" s="334" t="n">
        <f aca="false">ROUND($AR:$AR*$BI:$BI,0)</f>
        <v>0</v>
      </c>
      <c r="BK104" s="334" t="n">
        <f aca="false">ROUND(IF($P:$P&gt;1,$BJ:$BJ*1,$BJ:$BJ*$P:$P),0)</f>
        <v>0</v>
      </c>
      <c r="BL104" s="337"/>
      <c r="BM104" s="338" t="n">
        <f aca="false">$BC:$BC+$BE:$BE+$BG:$BG</f>
        <v>0.0325</v>
      </c>
      <c r="BN104" s="339" t="n">
        <f aca="false">$BD:$BD+$BF:$BF+$BH:$BH</f>
        <v>4362</v>
      </c>
      <c r="BO104" s="340" t="n">
        <f aca="false">IFERROR(ROUND($AY:$AY+$BN:$BN,0),0)</f>
        <v>138562</v>
      </c>
      <c r="BP104" s="341" t="n">
        <f aca="false">ROUND(IF(SUM($BO:$BO&lt;249080),SUM(ROUND($BO:$BO*11%,0)),27398.8),0)</f>
        <v>15242</v>
      </c>
      <c r="BQ104" s="342" t="n">
        <f aca="false">$BO:$BO+$BP:$BP</f>
        <v>153804</v>
      </c>
      <c r="BR104" s="329" t="n">
        <f aca="false">IFERROR(($BO:$BO+$AJ:$AJ+$AK:$AK)/$AF:$AF,0)</f>
        <v>0.883123008285532</v>
      </c>
      <c r="BS104" s="343" t="n">
        <f aca="false">IF($N:$N="CASUAL","TBC",ROUND($BN:$BN/(NETWORKDAYS("01/07/2023","30/06/2024"))*NETWORKDAYS("10/07/2023","04/09/2023"),0)*$P:$P)</f>
        <v>688</v>
      </c>
      <c r="BT104" s="326" t="n">
        <f aca="false">$BM104+$BI104</f>
        <v>0.0325</v>
      </c>
      <c r="BU104" s="332" t="n">
        <f aca="false">$BN:$BN+$BJ:$BJ</f>
        <v>4362</v>
      </c>
      <c r="BV104" s="342" t="n">
        <f aca="false">$BO:$BO*$P:$P</f>
        <v>138562</v>
      </c>
      <c r="BW104" s="344" t="n">
        <f aca="false">ROUND($BO:$BO/1976,2)</f>
        <v>70.12</v>
      </c>
      <c r="BX104" s="316"/>
      <c r="BY104" s="342" t="n">
        <f aca="false">$BQ:$BQ+$BX:$BX</f>
        <v>153804</v>
      </c>
      <c r="BZ104" s="345" t="s">
        <v>294</v>
      </c>
      <c r="CA104" s="316"/>
      <c r="CB104" s="316"/>
      <c r="CC104" s="324" t="str">
        <f aca="false">CONCATENATE(CD104,"",CE104)</f>
        <v/>
      </c>
      <c r="CD104" s="319"/>
      <c r="CE104" s="319"/>
      <c r="CF104" s="322" t="str">
        <f aca="false">IFERROR(INDEX('[4]Lookup_Rem Ranges'!$D$1:$D$1048576,MATCH($CC:$CC,'[4]Lookup_Rem Ranges'!$C$1:$C$1048576,0)),"")</f>
        <v/>
      </c>
      <c r="CG104" s="346"/>
      <c r="CH104" s="346"/>
      <c r="CI104" s="347"/>
      <c r="CJ104" s="348"/>
      <c r="CK104" s="342" t="n">
        <f aca="false">IFERROR(ROUND($CI:$CI*$CJ:$CJ,0),0)</f>
        <v>0</v>
      </c>
      <c r="CL104" s="342" t="n">
        <f aca="false">$CI:$CI+$CK:$CK</f>
        <v>0</v>
      </c>
      <c r="CM104" s="349"/>
      <c r="CN104" s="350" t="n">
        <f aca="false">IF(SUM($CL:$CL&lt;249080),SUM(ROUND($CL:$CL*11%,0)),27398.8)</f>
        <v>0</v>
      </c>
      <c r="CO104" s="350" t="s">
        <v>324</v>
      </c>
      <c r="CP104" s="351" t="n">
        <f aca="false">IF(BA104="Yes",3.25%,0)</f>
        <v>0.0325</v>
      </c>
      <c r="CQ104" s="352" t="n">
        <f aca="false">ROUND(AR104*CP104,0)</f>
        <v>4362</v>
      </c>
      <c r="CR104" s="353" t="n">
        <f aca="false">IF($AW:$AW&lt;3.25%,$AW:$AW,3.25%)</f>
        <v>0</v>
      </c>
      <c r="CS104" s="354" t="n">
        <f aca="false">ROUND($AR:$AR*$CR:$CR,0)</f>
        <v>0</v>
      </c>
      <c r="CT104" s="353" t="n">
        <f aca="false">IF($AW:$AW&gt;=3.25%,$AW:$AW-$CR:$CR,0)</f>
        <v>0</v>
      </c>
      <c r="CU104" s="354" t="n">
        <f aca="false">ROUND($AR:$AR*$CT:$CT,0)</f>
        <v>0</v>
      </c>
      <c r="CV104" s="353" t="n">
        <f aca="false">IF($CR:$CR=3.25%,0,IF($BC:$BC&lt;3.25%,$BC:$BC,IF($BC:$BC&gt;3.25%,3.25%-$CR:$CR,0)))</f>
        <v>0</v>
      </c>
      <c r="CW104" s="354" t="n">
        <f aca="false">IFERROR(ROUND($AY:$AY*$CV:$CV,0),0)</f>
        <v>0</v>
      </c>
      <c r="CX104" s="353" t="n">
        <f aca="false">IF($CV:$CV=0,$BC:$BC,BC:BC-$CV:$CV)</f>
        <v>0</v>
      </c>
      <c r="CY104" s="354" t="n">
        <f aca="false">IFERROR(ROUND($AY:$AY*$CX:$CX,0),0)</f>
        <v>0</v>
      </c>
      <c r="CZ104" s="353" t="n">
        <f aca="false">$CR:$CR+$CT:CT+$CV:$CV+$CX:$CX</f>
        <v>0</v>
      </c>
      <c r="DA104" s="353" t="n">
        <f aca="false">(SUM($AW:$AW+$BC:$BC)-$CZ:$CZ)</f>
        <v>0</v>
      </c>
      <c r="DB104" s="353"/>
      <c r="DC104" s="353" t="n">
        <f aca="false">$BE:$BE</f>
        <v>0.0325</v>
      </c>
      <c r="DD104" s="354" t="n">
        <f aca="false">$BF:$BF</f>
        <v>4362</v>
      </c>
      <c r="DE104" s="355" t="n">
        <f aca="false">$BI:$BI</f>
        <v>0</v>
      </c>
      <c r="DF104" s="354" t="n">
        <f aca="false">$BJ:$BJ</f>
        <v>0</v>
      </c>
      <c r="DG104" s="355" t="n">
        <f aca="false">$BG:$BG</f>
        <v>0</v>
      </c>
      <c r="DH104" s="354" t="n">
        <f aca="false">IFERROR(ROUND($AP:$AP*$DG:$DG,0),0)</f>
        <v>0</v>
      </c>
      <c r="DI104" s="353" t="n">
        <f aca="false">$CR:$CR+$CV:$CV+$DC:$DC+$DE:$DE+$DG:$DG</f>
        <v>0.0325</v>
      </c>
      <c r="DJ104" s="354" t="n">
        <f aca="false">$CS:$CS+$CW:$CW+$DD:$DD+$DF:$DF+$DH:$DH</f>
        <v>4362</v>
      </c>
      <c r="DK104" s="353" t="n">
        <f aca="false">$CT:$CT+$CX:$CX</f>
        <v>0</v>
      </c>
      <c r="DL104" s="354" t="n">
        <f aca="false">$CU:$CU+$CY:$CY</f>
        <v>0</v>
      </c>
      <c r="DM104" s="356"/>
      <c r="DN104" s="357"/>
      <c r="DO104" s="357"/>
      <c r="DP104" s="357"/>
      <c r="DQ104" s="357"/>
      <c r="DR104" s="357"/>
      <c r="DS104" s="357"/>
      <c r="DT104" s="357"/>
      <c r="DU104" s="357"/>
      <c r="DV104" s="357"/>
      <c r="DW104" s="357" t="s">
        <v>744</v>
      </c>
    </row>
    <row r="105" customFormat="false" ht="33.75" hidden="false" customHeight="false" outlineLevel="0" collapsed="false">
      <c r="A105" s="314"/>
      <c r="B105" s="315" t="s">
        <v>273</v>
      </c>
      <c r="C105" s="315" t="s">
        <v>822</v>
      </c>
      <c r="D105" s="315" t="n">
        <v>8681</v>
      </c>
      <c r="E105" s="316" t="s">
        <v>823</v>
      </c>
      <c r="F105" s="316" t="s">
        <v>824</v>
      </c>
      <c r="G105" s="316" t="s">
        <v>277</v>
      </c>
      <c r="H105" s="317" t="s">
        <v>825</v>
      </c>
      <c r="I105" s="316" t="s">
        <v>826</v>
      </c>
      <c r="J105" s="316" t="s">
        <v>827</v>
      </c>
      <c r="K105" s="318" t="n">
        <v>38957</v>
      </c>
      <c r="L105" s="318"/>
      <c r="M105" s="318" t="n">
        <v>44197</v>
      </c>
      <c r="N105" s="319" t="s">
        <v>281</v>
      </c>
      <c r="O105" s="319" t="n">
        <v>38</v>
      </c>
      <c r="P105" s="320" t="n">
        <f aca="false">$O:$O/38</f>
        <v>1</v>
      </c>
      <c r="Q105" s="316" t="s">
        <v>320</v>
      </c>
      <c r="R105" s="316" t="n">
        <v>21991</v>
      </c>
      <c r="S105" s="316" t="s">
        <v>821</v>
      </c>
      <c r="T105" s="316" t="s">
        <v>337</v>
      </c>
      <c r="U105" s="316" t="s">
        <v>338</v>
      </c>
      <c r="V105" s="317" t="s">
        <v>58</v>
      </c>
      <c r="W105" s="317" t="s">
        <v>62</v>
      </c>
      <c r="X105" s="317" t="s">
        <v>286</v>
      </c>
      <c r="Y105" s="321" t="s">
        <v>287</v>
      </c>
      <c r="Z105" s="317" t="s">
        <v>758</v>
      </c>
      <c r="AA105" s="317" t="s">
        <v>338</v>
      </c>
      <c r="AB105" s="321" t="s">
        <v>759</v>
      </c>
      <c r="AC105" s="317" t="s">
        <v>289</v>
      </c>
      <c r="AD105" s="321" t="s">
        <v>290</v>
      </c>
      <c r="AE105" s="322" t="n">
        <f aca="false">IFERROR(INDEX('[3]Lookup_Rem Ranges'!$D$1:$D$1048576,MATCH($AL:$AL,'[3]Lookup_Rem Ranges'!$C$1:$C$1048576,0)),0)</f>
        <v>105500</v>
      </c>
      <c r="AF105" s="322" t="n">
        <f aca="false">IFERROR(INDEX('[3]Lookup_Rem Ranges'!$E$1:$E$1048576,MATCH($AL:$AL,'[3]Lookup_Rem Ranges'!$C$1:$C$1048576,0)),0)</f>
        <v>124100</v>
      </c>
      <c r="AG105" s="322" t="n">
        <f aca="false">IFERROR(INDEX('[3]Lookup_Rem Ranges'!$F$1:$F$1048576,MATCH($AL:$AL,'[3]Lookup_Rem Ranges'!$C$1:$C$1048576,0)),)</f>
        <v>142700</v>
      </c>
      <c r="AH105" s="317" t="s">
        <v>291</v>
      </c>
      <c r="AI105" s="319"/>
      <c r="AJ105" s="323" t="n">
        <v>0</v>
      </c>
      <c r="AK105" s="316"/>
      <c r="AL105" s="324" t="str">
        <f aca="false">CONCATENATE(AM105,"",AN105)</f>
        <v>CASS6</v>
      </c>
      <c r="AM105" s="324" t="s">
        <v>292</v>
      </c>
      <c r="AN105" s="319" t="n">
        <v>6</v>
      </c>
      <c r="AO105" s="316"/>
      <c r="AP105" s="325" t="n">
        <v>115600</v>
      </c>
      <c r="AQ105" s="322" t="n">
        <f aca="false">ROUND(IF($P:$P&gt;1,$AP:$AP*1,$AP:$AP*$P:$P),0)</f>
        <v>115600</v>
      </c>
      <c r="AR105" s="322" t="n">
        <f aca="false">IF(BA105="Yes",AP105,0)</f>
        <v>115600</v>
      </c>
      <c r="AS105" s="326" t="n">
        <v>0.0803738317757009</v>
      </c>
      <c r="AT105" s="326" t="n">
        <v>0</v>
      </c>
      <c r="AU105" s="327"/>
      <c r="AV105" s="322"/>
      <c r="AW105" s="328" t="n">
        <v>0</v>
      </c>
      <c r="AX105" s="322" t="n">
        <v>0</v>
      </c>
      <c r="AY105" s="322" t="n">
        <v>115600</v>
      </c>
      <c r="AZ105" s="329" t="n">
        <f aca="false">IFERROR(($AY:$AY+$AJ:$AJ+$AK:$AK)/$AF:$AF,0)</f>
        <v>0.931506849315068</v>
      </c>
      <c r="BA105" s="330" t="s">
        <v>293</v>
      </c>
      <c r="BB105" s="331" t="n">
        <v>3</v>
      </c>
      <c r="BC105" s="326" t="n">
        <f aca="false">IFERROR($BD:$BD/$AY:$AY,0)</f>
        <v>0</v>
      </c>
      <c r="BD105" s="332" t="n">
        <f aca="false">ROUND(IF($AY:$AY&lt;$AE:$AE,$AE:$AE-$AY:$AY,0),0)</f>
        <v>0</v>
      </c>
      <c r="BE105" s="333" t="n">
        <v>0.0325</v>
      </c>
      <c r="BF105" s="334" t="n">
        <f aca="false">ROUND($AR:$AR*$BE:$BE,0)</f>
        <v>3757</v>
      </c>
      <c r="BG105" s="335" t="n">
        <v>0</v>
      </c>
      <c r="BH105" s="336" t="n">
        <f aca="false">ROUND($AR:$AR*$BG:$BG,0)</f>
        <v>0</v>
      </c>
      <c r="BI105" s="333" t="n">
        <v>0</v>
      </c>
      <c r="BJ105" s="334" t="n">
        <f aca="false">ROUND($AR:$AR*$BI:$BI,0)</f>
        <v>0</v>
      </c>
      <c r="BK105" s="334" t="n">
        <f aca="false">ROUND(IF($P:$P&gt;1,$BJ:$BJ*1,$BJ:$BJ*$P:$P),0)</f>
        <v>0</v>
      </c>
      <c r="BL105" s="337"/>
      <c r="BM105" s="338" t="n">
        <f aca="false">$BC:$BC+$BE:$BE+$BG:$BG</f>
        <v>0.0325</v>
      </c>
      <c r="BN105" s="339" t="n">
        <f aca="false">$BD:$BD+$BF:$BF+$BH:$BH</f>
        <v>3757</v>
      </c>
      <c r="BO105" s="340" t="n">
        <f aca="false">IFERROR(ROUND($AY:$AY+$BN:$BN,0),0)</f>
        <v>119357</v>
      </c>
      <c r="BP105" s="341" t="n">
        <f aca="false">ROUND(IF(SUM($BO:$BO&lt;249080),SUM(ROUND($BO:$BO*11%,0)),27398.8),0)</f>
        <v>13129</v>
      </c>
      <c r="BQ105" s="342" t="n">
        <f aca="false">$BO:$BO+$BP:$BP</f>
        <v>132486</v>
      </c>
      <c r="BR105" s="329" t="n">
        <f aca="false">IFERROR(($BO:$BO+$AJ:$AJ+$AK:$AK)/$AF:$AF,0)</f>
        <v>0.961780821917808</v>
      </c>
      <c r="BS105" s="343" t="n">
        <f aca="false">IF($N:$N="CASUAL","TBC",ROUND($BN:$BN/(NETWORKDAYS("01/07/2023","30/06/2024"))*NETWORKDAYS("10/07/2023","04/09/2023"),0)*$P:$P)</f>
        <v>592</v>
      </c>
      <c r="BT105" s="326" t="n">
        <f aca="false">$BM105+$BI105</f>
        <v>0.0325</v>
      </c>
      <c r="BU105" s="332" t="n">
        <f aca="false">$BN:$BN+$BJ:$BJ</f>
        <v>3757</v>
      </c>
      <c r="BV105" s="342" t="n">
        <f aca="false">$BO:$BO*$P:$P</f>
        <v>119357</v>
      </c>
      <c r="BW105" s="344" t="n">
        <f aca="false">ROUND($BO:$BO/1976,2)</f>
        <v>60.4</v>
      </c>
      <c r="BX105" s="316"/>
      <c r="BY105" s="342" t="n">
        <f aca="false">$BQ:$BQ+$BX:$BX</f>
        <v>132486</v>
      </c>
      <c r="BZ105" s="345" t="s">
        <v>294</v>
      </c>
      <c r="CA105" s="316"/>
      <c r="CB105" s="316"/>
      <c r="CC105" s="324" t="str">
        <f aca="false">CONCATENATE(CD105,"",CE105)</f>
        <v/>
      </c>
      <c r="CD105" s="319"/>
      <c r="CE105" s="319"/>
      <c r="CF105" s="322" t="str">
        <f aca="false">IFERROR(INDEX('[4]Lookup_Rem Ranges'!$D$1:$D$1048576,MATCH($CC:$CC,'[4]Lookup_Rem Ranges'!$C$1:$C$1048576,0)),"")</f>
        <v/>
      </c>
      <c r="CG105" s="346"/>
      <c r="CH105" s="346"/>
      <c r="CI105" s="347"/>
      <c r="CJ105" s="348"/>
      <c r="CK105" s="342" t="n">
        <f aca="false">IFERROR(ROUND($CI:$CI*$CJ:$CJ,0),0)</f>
        <v>0</v>
      </c>
      <c r="CL105" s="342" t="n">
        <f aca="false">$CI:$CI+$CK:$CK</f>
        <v>0</v>
      </c>
      <c r="CM105" s="349"/>
      <c r="CN105" s="350" t="n">
        <f aca="false">IF(SUM($CL:$CL&lt;249080),SUM(ROUND($CL:$CL*11%,0)),27398.8)</f>
        <v>0</v>
      </c>
      <c r="CO105" s="350" t="s">
        <v>324</v>
      </c>
      <c r="CP105" s="351" t="n">
        <f aca="false">IF(BA105="Yes",3.25%,0)</f>
        <v>0.0325</v>
      </c>
      <c r="CQ105" s="352" t="n">
        <f aca="false">ROUND(AR105*CP105,0)</f>
        <v>3757</v>
      </c>
      <c r="CR105" s="353" t="n">
        <f aca="false">IF($AW:$AW&lt;3.25%,$AW:$AW,3.25%)</f>
        <v>0</v>
      </c>
      <c r="CS105" s="354" t="n">
        <f aca="false">ROUND($AR:$AR*$CR:$CR,0)</f>
        <v>0</v>
      </c>
      <c r="CT105" s="353" t="n">
        <f aca="false">IF($AW:$AW&gt;=3.25%,$AW:$AW-$CR:$CR,0)</f>
        <v>0</v>
      </c>
      <c r="CU105" s="354" t="n">
        <f aca="false">ROUND($AR:$AR*$CT:$CT,0)</f>
        <v>0</v>
      </c>
      <c r="CV105" s="353" t="n">
        <f aca="false">IF($CR:$CR=3.25%,0,IF($BC:$BC&lt;3.25%,$BC:$BC,IF($BC:$BC&gt;3.25%,3.25%-$CR:$CR,0)))</f>
        <v>0</v>
      </c>
      <c r="CW105" s="354" t="n">
        <f aca="false">IFERROR(ROUND($AY:$AY*$CV:$CV,0),0)</f>
        <v>0</v>
      </c>
      <c r="CX105" s="353" t="n">
        <f aca="false">IF($CV:$CV=0,$BC:$BC,BC:BC-$CV:$CV)</f>
        <v>0</v>
      </c>
      <c r="CY105" s="354" t="n">
        <f aca="false">IFERROR(ROUND($AY:$AY*$CX:$CX,0),0)</f>
        <v>0</v>
      </c>
      <c r="CZ105" s="353" t="n">
        <f aca="false">$CR:$CR+$CT:CT+$CV:$CV+$CX:$CX</f>
        <v>0</v>
      </c>
      <c r="DA105" s="353" t="n">
        <f aca="false">(SUM($AW:$AW+$BC:$BC)-$CZ:$CZ)</f>
        <v>0</v>
      </c>
      <c r="DB105" s="353"/>
      <c r="DC105" s="353" t="n">
        <f aca="false">$BE:$BE</f>
        <v>0.0325</v>
      </c>
      <c r="DD105" s="354" t="n">
        <f aca="false">$BF:$BF</f>
        <v>3757</v>
      </c>
      <c r="DE105" s="355" t="n">
        <f aca="false">$BI:$BI</f>
        <v>0</v>
      </c>
      <c r="DF105" s="354" t="n">
        <f aca="false">$BJ:$BJ</f>
        <v>0</v>
      </c>
      <c r="DG105" s="355" t="n">
        <f aca="false">$BG:$BG</f>
        <v>0</v>
      </c>
      <c r="DH105" s="354" t="n">
        <f aca="false">IFERROR(ROUND($AP:$AP*$DG:$DG,0),0)</f>
        <v>0</v>
      </c>
      <c r="DI105" s="353" t="n">
        <f aca="false">$CR:$CR+$CV:$CV+$DC:$DC+$DE:$DE+$DG:$DG</f>
        <v>0.0325</v>
      </c>
      <c r="DJ105" s="354" t="n">
        <f aca="false">$CS:$CS+$CW:$CW+$DD:$DD+$DF:$DF+$DH:$DH</f>
        <v>3757</v>
      </c>
      <c r="DK105" s="353" t="n">
        <f aca="false">$CT:$CT+$CX:$CX</f>
        <v>0</v>
      </c>
      <c r="DL105" s="354" t="n">
        <f aca="false">$CU:$CU+$CY:$CY</f>
        <v>0</v>
      </c>
      <c r="DM105" s="356"/>
      <c r="DN105" s="357"/>
      <c r="DO105" s="357"/>
      <c r="DP105" s="357"/>
      <c r="DQ105" s="357"/>
      <c r="DR105" s="357"/>
      <c r="DS105" s="357"/>
      <c r="DT105" s="357"/>
      <c r="DU105" s="357"/>
      <c r="DV105" s="357"/>
      <c r="DW105" s="357" t="s">
        <v>744</v>
      </c>
    </row>
    <row r="106" customFormat="false" ht="33.75" hidden="false" customHeight="false" outlineLevel="0" collapsed="false">
      <c r="A106" s="314"/>
      <c r="B106" s="315" t="s">
        <v>273</v>
      </c>
      <c r="C106" s="315" t="s">
        <v>828</v>
      </c>
      <c r="D106" s="315" t="n">
        <v>13369</v>
      </c>
      <c r="E106" s="316" t="s">
        <v>829</v>
      </c>
      <c r="F106" s="316" t="s">
        <v>830</v>
      </c>
      <c r="G106" s="316" t="s">
        <v>277</v>
      </c>
      <c r="H106" s="317" t="s">
        <v>820</v>
      </c>
      <c r="I106" s="316" t="s">
        <v>810</v>
      </c>
      <c r="J106" s="316" t="s">
        <v>811</v>
      </c>
      <c r="K106" s="318" t="n">
        <v>41211</v>
      </c>
      <c r="L106" s="318"/>
      <c r="M106" s="318" t="n">
        <v>45048</v>
      </c>
      <c r="N106" s="319" t="s">
        <v>281</v>
      </c>
      <c r="O106" s="319" t="n">
        <v>38</v>
      </c>
      <c r="P106" s="320" t="n">
        <f aca="false">$O:$O/38</f>
        <v>1</v>
      </c>
      <c r="Q106" s="316" t="s">
        <v>304</v>
      </c>
      <c r="R106" s="316" t="n">
        <v>21991</v>
      </c>
      <c r="S106" s="316" t="s">
        <v>821</v>
      </c>
      <c r="T106" s="316" t="s">
        <v>337</v>
      </c>
      <c r="U106" s="316" t="s">
        <v>338</v>
      </c>
      <c r="V106" s="317" t="s">
        <v>58</v>
      </c>
      <c r="W106" s="317" t="s">
        <v>62</v>
      </c>
      <c r="X106" s="317" t="s">
        <v>286</v>
      </c>
      <c r="Y106" s="321" t="s">
        <v>287</v>
      </c>
      <c r="Z106" s="317" t="s">
        <v>758</v>
      </c>
      <c r="AA106" s="317" t="s">
        <v>338</v>
      </c>
      <c r="AB106" s="321" t="s">
        <v>759</v>
      </c>
      <c r="AC106" s="317" t="s">
        <v>289</v>
      </c>
      <c r="AD106" s="321" t="s">
        <v>290</v>
      </c>
      <c r="AE106" s="322" t="n">
        <f aca="false">IFERROR(INDEX('[3]Lookup_Rem Ranges'!$D$1:$D$1048576,MATCH($AL:$AL,'[3]Lookup_Rem Ranges'!$C$1:$C$1048576,0)),0)</f>
        <v>133400</v>
      </c>
      <c r="AF106" s="322" t="n">
        <f aca="false">IFERROR(INDEX('[3]Lookup_Rem Ranges'!$E$1:$E$1048576,MATCH($AL:$AL,'[3]Lookup_Rem Ranges'!$C$1:$C$1048576,0)),0)</f>
        <v>156900</v>
      </c>
      <c r="AG106" s="322" t="n">
        <f aca="false">IFERROR(INDEX('[3]Lookup_Rem Ranges'!$F$1:$F$1048576,MATCH($AL:$AL,'[3]Lookup_Rem Ranges'!$C$1:$C$1048576,0)),)</f>
        <v>180400</v>
      </c>
      <c r="AH106" s="317" t="s">
        <v>291</v>
      </c>
      <c r="AI106" s="319"/>
      <c r="AJ106" s="323" t="n">
        <v>0</v>
      </c>
      <c r="AK106" s="316"/>
      <c r="AL106" s="324" t="str">
        <f aca="false">CONCATENATE(AM106,"",AN106)</f>
        <v>CASS7</v>
      </c>
      <c r="AM106" s="324" t="s">
        <v>292</v>
      </c>
      <c r="AN106" s="319" t="n">
        <v>7</v>
      </c>
      <c r="AO106" s="316"/>
      <c r="AP106" s="325" t="n">
        <v>122200</v>
      </c>
      <c r="AQ106" s="322" t="n">
        <f aca="false">ROUND(IF($P:$P&gt;1,$AP:$AP*1,$AP:$AP*$P:$P),0)</f>
        <v>122200</v>
      </c>
      <c r="AR106" s="322" t="n">
        <f aca="false">IF(BA106="Yes",AP106,0)</f>
        <v>122200</v>
      </c>
      <c r="AS106" s="326" t="n">
        <v>0.0453378956372968</v>
      </c>
      <c r="AT106" s="326" t="n">
        <v>0</v>
      </c>
      <c r="AU106" s="327"/>
      <c r="AV106" s="322"/>
      <c r="AW106" s="328" t="n">
        <v>0</v>
      </c>
      <c r="AX106" s="322" t="n">
        <v>0</v>
      </c>
      <c r="AY106" s="322" t="n">
        <v>122200</v>
      </c>
      <c r="AZ106" s="329" t="n">
        <f aca="false">IFERROR(($AY:$AY+$AJ:$AJ+$AK:$AK)/$AF:$AF,0)</f>
        <v>0.778840025493945</v>
      </c>
      <c r="BA106" s="330" t="s">
        <v>293</v>
      </c>
      <c r="BB106" s="331" t="n">
        <v>3</v>
      </c>
      <c r="BC106" s="326" t="n">
        <f aca="false">IFERROR($BD:$BD/$AY:$AY,0)</f>
        <v>0.0916530278232406</v>
      </c>
      <c r="BD106" s="332" t="n">
        <f aca="false">ROUND(IF($AY:$AY&lt;$AE:$AE,$AE:$AE-$AY:$AY,0),0)</f>
        <v>11200</v>
      </c>
      <c r="BE106" s="333" t="n">
        <v>0</v>
      </c>
      <c r="BF106" s="334" t="n">
        <f aca="false">ROUND($AR:$AR*$BE:$BE,0)</f>
        <v>0</v>
      </c>
      <c r="BG106" s="335" t="n">
        <v>0</v>
      </c>
      <c r="BH106" s="336" t="n">
        <f aca="false">ROUND($AR:$AR*$BG:$BG,0)</f>
        <v>0</v>
      </c>
      <c r="BI106" s="333" t="n">
        <v>0</v>
      </c>
      <c r="BJ106" s="334" t="n">
        <f aca="false">ROUND($AR:$AR*$BI:$BI,0)</f>
        <v>0</v>
      </c>
      <c r="BK106" s="334" t="n">
        <f aca="false">ROUND(IF($P:$P&gt;1,$BJ:$BJ*1,$BJ:$BJ*$P:$P),0)</f>
        <v>0</v>
      </c>
      <c r="BL106" s="337"/>
      <c r="BM106" s="338" t="n">
        <f aca="false">$BC:$BC+$BE:$BE+$BG:$BG</f>
        <v>0.0916530278232406</v>
      </c>
      <c r="BN106" s="339" t="n">
        <f aca="false">$BD:$BD+$BF:$BF+$BH:$BH</f>
        <v>11200</v>
      </c>
      <c r="BO106" s="340" t="n">
        <f aca="false">IFERROR(ROUND($AY:$AY+$BN:$BN,0),0)</f>
        <v>133400</v>
      </c>
      <c r="BP106" s="341" t="n">
        <f aca="false">ROUND(IF(SUM($BO:$BO&lt;249080),SUM(ROUND($BO:$BO*11%,0)),27398.8),0)</f>
        <v>14674</v>
      </c>
      <c r="BQ106" s="342" t="n">
        <f aca="false">$BO:$BO+$BP:$BP</f>
        <v>148074</v>
      </c>
      <c r="BR106" s="329" t="n">
        <f aca="false">IFERROR(($BO:$BO+$AJ:$AJ+$AK:$AK)/$AF:$AF,0)</f>
        <v>0.850223072020395</v>
      </c>
      <c r="BS106" s="343" t="n">
        <f aca="false">IF($N:$N="CASUAL","TBC",ROUND($BN:$BN/(NETWORKDAYS("01/07/2023","30/06/2024"))*NETWORKDAYS("10/07/2023","04/09/2023"),0)*$P:$P)</f>
        <v>1766</v>
      </c>
      <c r="BT106" s="326" t="n">
        <f aca="false">$BM106+$BI106</f>
        <v>0.0916530278232406</v>
      </c>
      <c r="BU106" s="332" t="n">
        <f aca="false">$BN:$BN+$BJ:$BJ</f>
        <v>11200</v>
      </c>
      <c r="BV106" s="342" t="n">
        <f aca="false">$BO:$BO*$P:$P</f>
        <v>133400</v>
      </c>
      <c r="BW106" s="344" t="n">
        <f aca="false">ROUND($BO:$BO/1976,2)</f>
        <v>67.51</v>
      </c>
      <c r="BX106" s="316"/>
      <c r="BY106" s="342" t="n">
        <f aca="false">$BQ:$BQ+$BX:$BX</f>
        <v>148074</v>
      </c>
      <c r="BZ106" s="345" t="s">
        <v>294</v>
      </c>
      <c r="CA106" s="316"/>
      <c r="CB106" s="316"/>
      <c r="CC106" s="324" t="str">
        <f aca="false">CONCATENATE(CD106,"",CE106)</f>
        <v/>
      </c>
      <c r="CD106" s="319"/>
      <c r="CE106" s="319"/>
      <c r="CF106" s="322" t="str">
        <f aca="false">IFERROR(INDEX('[4]Lookup_Rem Ranges'!$D$1:$D$1048576,MATCH($CC:$CC,'[4]Lookup_Rem Ranges'!$C$1:$C$1048576,0)),"")</f>
        <v/>
      </c>
      <c r="CG106" s="346"/>
      <c r="CH106" s="346"/>
      <c r="CI106" s="347"/>
      <c r="CJ106" s="348"/>
      <c r="CK106" s="342" t="n">
        <f aca="false">IFERROR(ROUND($CI:$CI*$CJ:$CJ,0),0)</f>
        <v>0</v>
      </c>
      <c r="CL106" s="342" t="n">
        <f aca="false">$CI:$CI+$CK:$CK</f>
        <v>0</v>
      </c>
      <c r="CM106" s="349"/>
      <c r="CN106" s="350" t="n">
        <f aca="false">IF(SUM($CL:$CL&lt;249080),SUM(ROUND($CL:$CL*11%,0)),27398.8)</f>
        <v>0</v>
      </c>
      <c r="CO106" s="350" t="s">
        <v>324</v>
      </c>
      <c r="CP106" s="351" t="n">
        <f aca="false">IF(BA106="Yes",3.25%,0)</f>
        <v>0.0325</v>
      </c>
      <c r="CQ106" s="352" t="n">
        <f aca="false">ROUND(AR106*CP106,0)</f>
        <v>3972</v>
      </c>
      <c r="CR106" s="353" t="n">
        <f aca="false">IF($AW:$AW&lt;3.25%,$AW:$AW,3.25%)</f>
        <v>0</v>
      </c>
      <c r="CS106" s="354" t="n">
        <f aca="false">ROUND($AR:$AR*$CR:$CR,0)</f>
        <v>0</v>
      </c>
      <c r="CT106" s="353" t="n">
        <f aca="false">IF($AW:$AW&gt;=3.25%,$AW:$AW-$CR:$CR,0)</f>
        <v>0</v>
      </c>
      <c r="CU106" s="354" t="n">
        <f aca="false">ROUND($AR:$AR*$CT:$CT,0)</f>
        <v>0</v>
      </c>
      <c r="CV106" s="353" t="n">
        <f aca="false">IF($CR:$CR=3.25%,0,IF($BC:$BC&lt;3.25%,$BC:$BC,IF($BC:$BC&gt;3.25%,3.25%-$CR:$CR,0)))</f>
        <v>0.0325</v>
      </c>
      <c r="CW106" s="354" t="n">
        <f aca="false">IFERROR(ROUND($AY:$AY*$CV:$CV,0),0)</f>
        <v>3972</v>
      </c>
      <c r="CX106" s="353" t="n">
        <f aca="false">IF($CV:$CV=0,$BC:$BC,BC:BC-$CV:$CV)</f>
        <v>0.0591530278232406</v>
      </c>
      <c r="CY106" s="354" t="n">
        <f aca="false">IFERROR(ROUND($AY:$AY*$CX:$CX,0),0)</f>
        <v>7228</v>
      </c>
      <c r="CZ106" s="353" t="n">
        <f aca="false">$CR:$CR+$CT:CT+$CV:$CV+$CX:$CX</f>
        <v>0.0916530278232406</v>
      </c>
      <c r="DA106" s="353" t="n">
        <f aca="false">(SUM($AW:$AW+$BC:$BC)-$CZ:$CZ)</f>
        <v>0</v>
      </c>
      <c r="DB106" s="353"/>
      <c r="DC106" s="353" t="n">
        <f aca="false">$BE:$BE</f>
        <v>0</v>
      </c>
      <c r="DD106" s="354" t="n">
        <f aca="false">$BF:$BF</f>
        <v>0</v>
      </c>
      <c r="DE106" s="355" t="n">
        <f aca="false">$BI:$BI</f>
        <v>0</v>
      </c>
      <c r="DF106" s="354" t="n">
        <f aca="false">$BJ:$BJ</f>
        <v>0</v>
      </c>
      <c r="DG106" s="355" t="n">
        <f aca="false">$BG:$BG</f>
        <v>0</v>
      </c>
      <c r="DH106" s="354" t="n">
        <f aca="false">IFERROR(ROUND($AP:$AP*$DG:$DG,0),0)</f>
        <v>0</v>
      </c>
      <c r="DI106" s="353" t="n">
        <f aca="false">$CR:$CR+$CV:$CV+$DC:$DC+$DE:$DE+$DG:$DG</f>
        <v>0.0325</v>
      </c>
      <c r="DJ106" s="354" t="n">
        <f aca="false">$CS:$CS+$CW:$CW+$DD:$DD+$DF:$DF+$DH:$DH</f>
        <v>3972</v>
      </c>
      <c r="DK106" s="353" t="n">
        <f aca="false">$CT:$CT+$CX:$CX</f>
        <v>0.0591530278232406</v>
      </c>
      <c r="DL106" s="354" t="n">
        <f aca="false">$CU:$CU+$CY:$CY</f>
        <v>7228</v>
      </c>
      <c r="DM106" s="356"/>
      <c r="DN106" s="357"/>
      <c r="DO106" s="357"/>
      <c r="DP106" s="357"/>
      <c r="DQ106" s="357"/>
      <c r="DR106" s="357"/>
      <c r="DS106" s="357"/>
      <c r="DT106" s="357"/>
      <c r="DU106" s="357"/>
      <c r="DV106" s="357"/>
      <c r="DW106" s="357" t="s">
        <v>744</v>
      </c>
    </row>
    <row r="107" customFormat="false" ht="22.5" hidden="false" customHeight="false" outlineLevel="0" collapsed="false">
      <c r="A107" s="314"/>
      <c r="B107" s="315" t="s">
        <v>273</v>
      </c>
      <c r="C107" s="315" t="s">
        <v>831</v>
      </c>
      <c r="D107" s="315" t="n">
        <v>21375</v>
      </c>
      <c r="E107" s="316" t="s">
        <v>832</v>
      </c>
      <c r="F107" s="316" t="s">
        <v>833</v>
      </c>
      <c r="G107" s="316" t="s">
        <v>277</v>
      </c>
      <c r="H107" s="317" t="s">
        <v>834</v>
      </c>
      <c r="I107" s="316" t="s">
        <v>835</v>
      </c>
      <c r="J107" s="316" t="s">
        <v>836</v>
      </c>
      <c r="K107" s="318" t="n">
        <v>44830</v>
      </c>
      <c r="L107" s="318"/>
      <c r="M107" s="318" t="n">
        <v>44999</v>
      </c>
      <c r="N107" s="319" t="s">
        <v>281</v>
      </c>
      <c r="O107" s="319" t="n">
        <v>38</v>
      </c>
      <c r="P107" s="320" t="n">
        <f aca="false">$O:$O/38</f>
        <v>1</v>
      </c>
      <c r="Q107" s="316" t="s">
        <v>837</v>
      </c>
      <c r="R107" s="316" t="n">
        <v>17933</v>
      </c>
      <c r="S107" s="316" t="s">
        <v>838</v>
      </c>
      <c r="T107" s="316" t="s">
        <v>782</v>
      </c>
      <c r="U107" s="316" t="s">
        <v>783</v>
      </c>
      <c r="V107" s="317" t="s">
        <v>58</v>
      </c>
      <c r="W107" s="317" t="s">
        <v>62</v>
      </c>
      <c r="X107" s="317" t="s">
        <v>286</v>
      </c>
      <c r="Y107" s="321" t="s">
        <v>287</v>
      </c>
      <c r="Z107" s="317" t="s">
        <v>758</v>
      </c>
      <c r="AA107" s="317" t="s">
        <v>338</v>
      </c>
      <c r="AB107" s="321" t="s">
        <v>759</v>
      </c>
      <c r="AC107" s="317" t="s">
        <v>289</v>
      </c>
      <c r="AD107" s="321" t="s">
        <v>290</v>
      </c>
      <c r="AE107" s="322" t="n">
        <f aca="false">IFERROR(INDEX('[3]Lookup_Rem Ranges'!$D$1:$D$1048576,MATCH($AL:$AL,'[3]Lookup_Rem Ranges'!$C$1:$C$1048576,0)),0)</f>
        <v>70000</v>
      </c>
      <c r="AF107" s="322" t="n">
        <f aca="false">IFERROR(INDEX('[3]Lookup_Rem Ranges'!$E$1:$E$1048576,MATCH($AL:$AL,'[3]Lookup_Rem Ranges'!$C$1:$C$1048576,0)),0)</f>
        <v>82300</v>
      </c>
      <c r="AG107" s="322" t="n">
        <f aca="false">IFERROR(INDEX('[3]Lookup_Rem Ranges'!$F$1:$F$1048576,MATCH($AL:$AL,'[3]Lookup_Rem Ranges'!$C$1:$C$1048576,0)),)</f>
        <v>94600</v>
      </c>
      <c r="AH107" s="317" t="s">
        <v>291</v>
      </c>
      <c r="AI107" s="319"/>
      <c r="AJ107" s="323" t="n">
        <v>0</v>
      </c>
      <c r="AK107" s="316"/>
      <c r="AL107" s="324" t="str">
        <f aca="false">CONCATENATE(AM107,"",AN107)</f>
        <v>CASS4</v>
      </c>
      <c r="AM107" s="324" t="s">
        <v>292</v>
      </c>
      <c r="AN107" s="319" t="n">
        <v>4</v>
      </c>
      <c r="AO107" s="316" t="s">
        <v>358</v>
      </c>
      <c r="AP107" s="325" t="n">
        <v>82000</v>
      </c>
      <c r="AQ107" s="322" t="n">
        <f aca="false">ROUND(IF($P:$P&gt;1,$AP:$AP*1,$AP:$AP*$P:$P),0)</f>
        <v>82000</v>
      </c>
      <c r="AR107" s="322" t="n">
        <f aca="false">IF(BA107="Yes",AP107,0)</f>
        <v>0</v>
      </c>
      <c r="AS107" s="326" t="s">
        <v>339</v>
      </c>
      <c r="AT107" s="326" t="n">
        <v>0</v>
      </c>
      <c r="AU107" s="327"/>
      <c r="AV107" s="322"/>
      <c r="AW107" s="328" t="n">
        <v>0</v>
      </c>
      <c r="AX107" s="322" t="n">
        <v>0</v>
      </c>
      <c r="AY107" s="322" t="n">
        <v>82000</v>
      </c>
      <c r="AZ107" s="329" t="n">
        <f aca="false">IFERROR(($AY:$AY+$AJ:$AJ+$AK:$AK)/$AF:$AF,0)</f>
        <v>0.996354799513973</v>
      </c>
      <c r="BA107" s="330" t="s">
        <v>294</v>
      </c>
      <c r="BB107" s="331" t="n">
        <v>3</v>
      </c>
      <c r="BC107" s="326" t="n">
        <f aca="false">IFERROR($BD:$BD/$AY:$AY,0)</f>
        <v>0</v>
      </c>
      <c r="BD107" s="332" t="n">
        <f aca="false">ROUND(IF($AY:$AY&lt;$AE:$AE,$AE:$AE-$AY:$AY,0),0)</f>
        <v>0</v>
      </c>
      <c r="BE107" s="333" t="n">
        <v>0</v>
      </c>
      <c r="BF107" s="334" t="n">
        <f aca="false">ROUND($AR:$AR*$BE:$BE,0)</f>
        <v>0</v>
      </c>
      <c r="BG107" s="335" t="n">
        <v>0</v>
      </c>
      <c r="BH107" s="336" t="n">
        <f aca="false">ROUND($AR:$AR*$BG:$BG,0)</f>
        <v>0</v>
      </c>
      <c r="BI107" s="333" t="n">
        <v>0</v>
      </c>
      <c r="BJ107" s="334" t="n">
        <f aca="false">ROUND($AR:$AR*$BI:$BI,0)</f>
        <v>0</v>
      </c>
      <c r="BK107" s="334" t="n">
        <f aca="false">ROUND(IF($P:$P&gt;1,$BJ:$BJ*1,$BJ:$BJ*$P:$P),0)</f>
        <v>0</v>
      </c>
      <c r="BL107" s="337"/>
      <c r="BM107" s="338" t="n">
        <f aca="false">$BC:$BC+$BE:$BE+$BG:$BG</f>
        <v>0</v>
      </c>
      <c r="BN107" s="339" t="n">
        <f aca="false">$BD:$BD+$BF:$BF+$BH:$BH</f>
        <v>0</v>
      </c>
      <c r="BO107" s="340" t="n">
        <f aca="false">IFERROR(ROUND($AY:$AY+$BN:$BN,0),0)</f>
        <v>82000</v>
      </c>
      <c r="BP107" s="341" t="n">
        <f aca="false">ROUND(IF(SUM($BO:$BO&lt;249080),SUM(ROUND($BO:$BO*11%,0)),27398.8),0)</f>
        <v>9020</v>
      </c>
      <c r="BQ107" s="342" t="n">
        <f aca="false">$BO:$BO+$BP:$BP</f>
        <v>91020</v>
      </c>
      <c r="BR107" s="329" t="n">
        <f aca="false">IFERROR(($BO:$BO+$AJ:$AJ+$AK:$AK)/$AF:$AF,0)</f>
        <v>0.996354799513973</v>
      </c>
      <c r="BS107" s="343" t="n">
        <f aca="false">IF($N:$N="CASUAL","TBC",ROUND($BN:$BN/(NETWORKDAYS("01/07/2023","30/06/2024"))*NETWORKDAYS("10/07/2023","04/09/2023"),0)*$P:$P)</f>
        <v>0</v>
      </c>
      <c r="BT107" s="326" t="n">
        <f aca="false">$BM107+$BI107</f>
        <v>0</v>
      </c>
      <c r="BU107" s="332" t="n">
        <f aca="false">$BN:$BN+$BJ:$BJ</f>
        <v>0</v>
      </c>
      <c r="BV107" s="342" t="n">
        <f aca="false">$BO:$BO*$P:$P</f>
        <v>82000</v>
      </c>
      <c r="BW107" s="344" t="n">
        <f aca="false">ROUND($BO:$BO/1976,2)</f>
        <v>41.5</v>
      </c>
      <c r="BX107" s="316"/>
      <c r="BY107" s="342" t="n">
        <f aca="false">$BQ:$BQ+$BX:$BX</f>
        <v>91020</v>
      </c>
      <c r="BZ107" s="345" t="s">
        <v>294</v>
      </c>
      <c r="CA107" s="316"/>
      <c r="CB107" s="316"/>
      <c r="CC107" s="324" t="str">
        <f aca="false">CONCATENATE(CD107,"",CE107)</f>
        <v/>
      </c>
      <c r="CD107" s="319"/>
      <c r="CE107" s="319"/>
      <c r="CF107" s="322" t="str">
        <f aca="false">IFERROR(INDEX('[4]Lookup_Rem Ranges'!$D$1:$D$1048576,MATCH($CC:$CC,'[4]Lookup_Rem Ranges'!$C$1:$C$1048576,0)),"")</f>
        <v/>
      </c>
      <c r="CG107" s="346"/>
      <c r="CH107" s="346"/>
      <c r="CI107" s="347"/>
      <c r="CJ107" s="348"/>
      <c r="CK107" s="342" t="n">
        <f aca="false">IFERROR(ROUND($CI:$CI*$CJ:$CJ,0),0)</f>
        <v>0</v>
      </c>
      <c r="CL107" s="342" t="n">
        <f aca="false">$CI:$CI+$CK:$CK</f>
        <v>0</v>
      </c>
      <c r="CM107" s="349"/>
      <c r="CN107" s="350" t="n">
        <f aca="false">IF(SUM($CL:$CL&lt;249080),SUM(ROUND($CL:$CL*11%,0)),27398.8)</f>
        <v>0</v>
      </c>
      <c r="CO107" s="350" t="s">
        <v>305</v>
      </c>
      <c r="CP107" s="351" t="n">
        <f aca="false">IF(BA107="Yes",3.25%,0)</f>
        <v>0</v>
      </c>
      <c r="CQ107" s="352" t="n">
        <f aca="false">ROUND(AR107*CP107,0)</f>
        <v>0</v>
      </c>
      <c r="CR107" s="353" t="n">
        <f aca="false">IF($AW:$AW&lt;3.25%,$AW:$AW,3.25%)</f>
        <v>0</v>
      </c>
      <c r="CS107" s="354" t="n">
        <f aca="false">ROUND($AR:$AR*$CR:$CR,0)</f>
        <v>0</v>
      </c>
      <c r="CT107" s="353" t="n">
        <f aca="false">IF($AW:$AW&gt;=3.25%,$AW:$AW-$CR:$CR,0)</f>
        <v>0</v>
      </c>
      <c r="CU107" s="354" t="n">
        <f aca="false">ROUND($AR:$AR*$CT:$CT,0)</f>
        <v>0</v>
      </c>
      <c r="CV107" s="353" t="n">
        <f aca="false">IF($CR:$CR=3.25%,0,IF($BC:$BC&lt;3.25%,$BC:$BC,IF($BC:$BC&gt;3.25%,3.25%-$CR:$CR,0)))</f>
        <v>0</v>
      </c>
      <c r="CW107" s="354" t="n">
        <f aca="false">IFERROR(ROUND($AY:$AY*$CV:$CV,0),0)</f>
        <v>0</v>
      </c>
      <c r="CX107" s="353" t="n">
        <f aca="false">IF($CV:$CV=0,$BC:$BC,BC:BC-$CV:$CV)</f>
        <v>0</v>
      </c>
      <c r="CY107" s="354" t="n">
        <f aca="false">IFERROR(ROUND($AY:$AY*$CX:$CX,0),0)</f>
        <v>0</v>
      </c>
      <c r="CZ107" s="353" t="n">
        <f aca="false">$CR:$CR+$CT:CT+$CV:$CV+$CX:$CX</f>
        <v>0</v>
      </c>
      <c r="DA107" s="353" t="n">
        <f aca="false">(SUM($AW:$AW+$BC:$BC)-$CZ:$CZ)</f>
        <v>0</v>
      </c>
      <c r="DB107" s="353"/>
      <c r="DC107" s="353" t="n">
        <f aca="false">$BE:$BE</f>
        <v>0</v>
      </c>
      <c r="DD107" s="354" t="n">
        <f aca="false">$BF:$BF</f>
        <v>0</v>
      </c>
      <c r="DE107" s="355" t="n">
        <f aca="false">$BI:$BI</f>
        <v>0</v>
      </c>
      <c r="DF107" s="354" t="n">
        <f aca="false">$BJ:$BJ</f>
        <v>0</v>
      </c>
      <c r="DG107" s="355" t="n">
        <f aca="false">$BG:$BG</f>
        <v>0</v>
      </c>
      <c r="DH107" s="354" t="n">
        <f aca="false">IFERROR(ROUND($AP:$AP*$DG:$DG,0),0)</f>
        <v>0</v>
      </c>
      <c r="DI107" s="353" t="n">
        <f aca="false">$CR:$CR+$CV:$CV+$DC:$DC+$DE:$DE+$DG:$DG</f>
        <v>0</v>
      </c>
      <c r="DJ107" s="354" t="n">
        <f aca="false">$CS:$CS+$CW:$CW+$DD:$DD+$DF:$DF+$DH:$DH</f>
        <v>0</v>
      </c>
      <c r="DK107" s="353" t="n">
        <f aca="false">$CT:$CT+$CX:$CX</f>
        <v>0</v>
      </c>
      <c r="DL107" s="354" t="n">
        <f aca="false">$CU:$CU+$CY:$CY</f>
        <v>0</v>
      </c>
      <c r="DM107" s="356"/>
      <c r="DN107" s="357"/>
      <c r="DO107" s="357"/>
      <c r="DP107" s="357"/>
      <c r="DQ107" s="357"/>
      <c r="DR107" s="357"/>
      <c r="DS107" s="357"/>
      <c r="DT107" s="357"/>
      <c r="DU107" s="357"/>
      <c r="DV107" s="357"/>
      <c r="DW107" s="357" t="s">
        <v>744</v>
      </c>
    </row>
    <row r="108" customFormat="false" ht="24" hidden="false" customHeight="false" outlineLevel="0" collapsed="false">
      <c r="A108" s="314"/>
      <c r="B108" s="315" t="s">
        <v>273</v>
      </c>
      <c r="C108" s="315" t="s">
        <v>839</v>
      </c>
      <c r="D108" s="315" t="n">
        <v>19012</v>
      </c>
      <c r="E108" s="316" t="s">
        <v>840</v>
      </c>
      <c r="F108" s="316" t="s">
        <v>841</v>
      </c>
      <c r="G108" s="316" t="s">
        <v>277</v>
      </c>
      <c r="H108" s="317" t="s">
        <v>842</v>
      </c>
      <c r="I108" s="316" t="s">
        <v>843</v>
      </c>
      <c r="J108" s="316" t="s">
        <v>844</v>
      </c>
      <c r="K108" s="318" t="n">
        <v>43773</v>
      </c>
      <c r="L108" s="318"/>
      <c r="M108" s="318" t="n">
        <v>44713</v>
      </c>
      <c r="N108" s="319" t="s">
        <v>281</v>
      </c>
      <c r="O108" s="319" t="n">
        <v>38</v>
      </c>
      <c r="P108" s="320" t="n">
        <f aca="false">$O:$O/38</f>
        <v>1</v>
      </c>
      <c r="Q108" s="316" t="s">
        <v>332</v>
      </c>
      <c r="R108" s="316" t="n">
        <v>21062</v>
      </c>
      <c r="S108" s="316" t="s">
        <v>845</v>
      </c>
      <c r="T108" s="316" t="s">
        <v>846</v>
      </c>
      <c r="U108" s="316" t="s">
        <v>847</v>
      </c>
      <c r="V108" s="317" t="s">
        <v>58</v>
      </c>
      <c r="W108" s="317" t="s">
        <v>60</v>
      </c>
      <c r="X108" s="317" t="s">
        <v>286</v>
      </c>
      <c r="Y108" s="360" t="s">
        <v>287</v>
      </c>
      <c r="Z108" s="317" t="s">
        <v>848</v>
      </c>
      <c r="AA108" s="317" t="s">
        <v>345</v>
      </c>
      <c r="AB108" s="321" t="s">
        <v>849</v>
      </c>
      <c r="AC108" s="317" t="s">
        <v>289</v>
      </c>
      <c r="AD108" s="360" t="s">
        <v>290</v>
      </c>
      <c r="AE108" s="322" t="n">
        <f aca="false">IFERROR(INDEX('[3]Lookup_Rem Ranges'!$D$1:$D$1048576,MATCH($AL:$AL,'[3]Lookup_Rem Ranges'!$C$1:$C$1048576,0)),0)</f>
        <v>88700</v>
      </c>
      <c r="AF108" s="322" t="n">
        <f aca="false">IFERROR(INDEX('[3]Lookup_Rem Ranges'!$E$1:$E$1048576,MATCH($AL:$AL,'[3]Lookup_Rem Ranges'!$C$1:$C$1048576,0)),0)</f>
        <v>104300</v>
      </c>
      <c r="AG108" s="322" t="n">
        <f aca="false">IFERROR(INDEX('[3]Lookup_Rem Ranges'!$F$1:$F$1048576,MATCH($AL:$AL,'[3]Lookup_Rem Ranges'!$C$1:$C$1048576,0)),)</f>
        <v>119900</v>
      </c>
      <c r="AH108" s="317" t="s">
        <v>291</v>
      </c>
      <c r="AI108" s="319"/>
      <c r="AJ108" s="323" t="n">
        <v>0</v>
      </c>
      <c r="AK108" s="316"/>
      <c r="AL108" s="324" t="str">
        <f aca="false">CONCATENATE(AM108,"",AN108)</f>
        <v>GI5</v>
      </c>
      <c r="AM108" s="324" t="s">
        <v>312</v>
      </c>
      <c r="AN108" s="319" t="n">
        <v>5</v>
      </c>
      <c r="AO108" s="316"/>
      <c r="AP108" s="325" t="n">
        <v>107100</v>
      </c>
      <c r="AQ108" s="322" t="n">
        <f aca="false">ROUND(IF($P:$P&gt;1,$AP:$AP*1,$AP:$AP*$P:$P),0)</f>
        <v>107100</v>
      </c>
      <c r="AR108" s="322" t="n">
        <f aca="false">IF(BA108="Yes",AP108,0)</f>
        <v>107100</v>
      </c>
      <c r="AS108" s="326" t="n">
        <v>0.02</v>
      </c>
      <c r="AT108" s="326" t="n">
        <v>0</v>
      </c>
      <c r="AU108" s="327"/>
      <c r="AV108" s="322"/>
      <c r="AW108" s="328" t="n">
        <v>0</v>
      </c>
      <c r="AX108" s="322" t="n">
        <v>0</v>
      </c>
      <c r="AY108" s="322" t="n">
        <v>107100</v>
      </c>
      <c r="AZ108" s="329" t="n">
        <f aca="false">IFERROR(($AY:$AY+$AJ:$AJ+$AK:$AK)/$AF:$AF,0)</f>
        <v>1.02684563758389</v>
      </c>
      <c r="BA108" s="330" t="s">
        <v>293</v>
      </c>
      <c r="BB108" s="331" t="n">
        <v>3</v>
      </c>
      <c r="BC108" s="326" t="n">
        <f aca="false">IFERROR($BD:$BD/$AY:$AY,0)</f>
        <v>0</v>
      </c>
      <c r="BD108" s="332" t="n">
        <f aca="false">ROUND(IF($AY:$AY&lt;$AE:$AE,$AE:$AE-$AY:$AY,0),0)</f>
        <v>0</v>
      </c>
      <c r="BE108" s="333" t="n">
        <v>0.0325</v>
      </c>
      <c r="BF108" s="334" t="n">
        <f aca="false">ROUND($AR:$AR*$BE:$BE,0)</f>
        <v>3481</v>
      </c>
      <c r="BG108" s="335" t="n">
        <v>0</v>
      </c>
      <c r="BH108" s="336" t="n">
        <f aca="false">ROUND($AR:$AR*$BG:$BG,0)</f>
        <v>0</v>
      </c>
      <c r="BI108" s="333" t="n">
        <v>0</v>
      </c>
      <c r="BJ108" s="334" t="n">
        <f aca="false">ROUND($AR:$AR*$BI:$BI,0)</f>
        <v>0</v>
      </c>
      <c r="BK108" s="334" t="n">
        <f aca="false">ROUND(IF($P:$P&gt;1,$BJ:$BJ*1,$BJ:$BJ*$P:$P),0)</f>
        <v>0</v>
      </c>
      <c r="BL108" s="337"/>
      <c r="BM108" s="338" t="n">
        <f aca="false">$BC:$BC+$BE:$BE+$BG:$BG</f>
        <v>0.0325</v>
      </c>
      <c r="BN108" s="339" t="n">
        <f aca="false">$BD:$BD+$BF:$BF+$BH:$BH</f>
        <v>3481</v>
      </c>
      <c r="BO108" s="340" t="n">
        <f aca="false">IFERROR(ROUND($AY:$AY+$BN:$BN,0),0)</f>
        <v>110581</v>
      </c>
      <c r="BP108" s="341" t="n">
        <f aca="false">ROUND(IF(SUM($BO:$BO&lt;249080),SUM(ROUND($BO:$BO*11%,0)),27398.8),0)</f>
        <v>12164</v>
      </c>
      <c r="BQ108" s="342" t="n">
        <f aca="false">$BO:$BO+$BP:$BP</f>
        <v>122745</v>
      </c>
      <c r="BR108" s="329" t="n">
        <f aca="false">IFERROR(($BO:$BO+$AJ:$AJ+$AK:$AK)/$AF:$AF,0)</f>
        <v>1.0602205177373</v>
      </c>
      <c r="BS108" s="343" t="n">
        <f aca="false">IF($N:$N="CASUAL","TBC",ROUND($BN:$BN/(NETWORKDAYS("01/07/2023","30/06/2024"))*NETWORKDAYS("10/07/2023","04/09/2023"),0)*$P:$P)</f>
        <v>549</v>
      </c>
      <c r="BT108" s="326" t="n">
        <f aca="false">$BM108+$BI108</f>
        <v>0.0325</v>
      </c>
      <c r="BU108" s="332" t="n">
        <f aca="false">$BN:$BN+$BJ:$BJ</f>
        <v>3481</v>
      </c>
      <c r="BV108" s="342" t="n">
        <f aca="false">$BO:$BO*$P:$P</f>
        <v>110581</v>
      </c>
      <c r="BW108" s="344" t="n">
        <f aca="false">ROUND($BO:$BO/1976,2)</f>
        <v>55.96</v>
      </c>
      <c r="BX108" s="316"/>
      <c r="BY108" s="342" t="n">
        <f aca="false">$BQ:$BQ+$BX:$BX</f>
        <v>122745</v>
      </c>
      <c r="BZ108" s="345" t="s">
        <v>294</v>
      </c>
      <c r="CA108" s="316"/>
      <c r="CB108" s="316"/>
      <c r="CC108" s="324" t="str">
        <f aca="false">CONCATENATE(CD108,"",CE108)</f>
        <v/>
      </c>
      <c r="CD108" s="319"/>
      <c r="CE108" s="319"/>
      <c r="CF108" s="322" t="str">
        <f aca="false">IFERROR(INDEX('[4]Lookup_Rem Ranges'!$D$1:$D$1048576,MATCH($CC:$CC,'[4]Lookup_Rem Ranges'!$C$1:$C$1048576,0)),"")</f>
        <v/>
      </c>
      <c r="CG108" s="318"/>
      <c r="CH108" s="318"/>
      <c r="CI108" s="361"/>
      <c r="CJ108" s="348"/>
      <c r="CK108" s="342" t="n">
        <f aca="false">IFERROR(ROUND($CI:$CI*$CJ:$CJ,0),0)</f>
        <v>0</v>
      </c>
      <c r="CL108" s="342" t="n">
        <f aca="false">$CI:$CI+$CK:$CK</f>
        <v>0</v>
      </c>
      <c r="CM108" s="349"/>
      <c r="CN108" s="350" t="n">
        <f aca="false">IF(SUM($CL:$CL&lt;249080),SUM(ROUND($CL:$CL*11%,0)),27398.8)</f>
        <v>0</v>
      </c>
      <c r="CO108" s="350" t="s">
        <v>313</v>
      </c>
      <c r="CP108" s="351" t="n">
        <f aca="false">IF(BA108="Yes",3.25%,0)</f>
        <v>0.0325</v>
      </c>
      <c r="CQ108" s="352" t="n">
        <f aca="false">ROUND(AR108*CP108,0)</f>
        <v>3481</v>
      </c>
      <c r="CR108" s="353" t="n">
        <f aca="false">IF($AW:$AW&lt;3.25%,$AW:$AW,3.25%)</f>
        <v>0</v>
      </c>
      <c r="CS108" s="354" t="n">
        <f aca="false">ROUND($AR:$AR*$CR:$CR,0)</f>
        <v>0</v>
      </c>
      <c r="CT108" s="353" t="n">
        <f aca="false">IF($AW:$AW&gt;=3.25%,$AW:$AW-$CR:$CR,0)</f>
        <v>0</v>
      </c>
      <c r="CU108" s="354" t="n">
        <f aca="false">ROUND($AR:$AR*$CT:$CT,0)</f>
        <v>0</v>
      </c>
      <c r="CV108" s="353" t="n">
        <f aca="false">IF($CR:$CR=3.25%,0,IF($BC:$BC&lt;3.25%,$BC:$BC,IF($BC:$BC&gt;3.25%,3.25%-$CR:$CR,0)))</f>
        <v>0</v>
      </c>
      <c r="CW108" s="354" t="n">
        <f aca="false">IFERROR(ROUND($AY:$AY*$CV:$CV,0),0)</f>
        <v>0</v>
      </c>
      <c r="CX108" s="353" t="n">
        <f aca="false">IF($CV:$CV=0,$BC:$BC,BC:BC-$CV:$CV)</f>
        <v>0</v>
      </c>
      <c r="CY108" s="354" t="n">
        <f aca="false">IFERROR(ROUND($AY:$AY*$CX:$CX,0),0)</f>
        <v>0</v>
      </c>
      <c r="CZ108" s="353" t="n">
        <f aca="false">$CR:$CR+$CT:CT+$CV:$CV+$CX:$CX</f>
        <v>0</v>
      </c>
      <c r="DA108" s="353" t="n">
        <f aca="false">(SUM($AW:$AW+$BC:$BC)-$CZ:$CZ)</f>
        <v>0</v>
      </c>
      <c r="DB108" s="353"/>
      <c r="DC108" s="353" t="n">
        <f aca="false">$BE:$BE</f>
        <v>0.0325</v>
      </c>
      <c r="DD108" s="354" t="n">
        <f aca="false">$BF:$BF</f>
        <v>3481</v>
      </c>
      <c r="DE108" s="355" t="n">
        <f aca="false">$BI:$BI</f>
        <v>0</v>
      </c>
      <c r="DF108" s="354" t="n">
        <f aca="false">$BJ:$BJ</f>
        <v>0</v>
      </c>
      <c r="DG108" s="355" t="n">
        <f aca="false">$BG:$BG</f>
        <v>0</v>
      </c>
      <c r="DH108" s="354" t="n">
        <f aca="false">IFERROR(ROUND($AP:$AP*$DG:$DG,0),0)</f>
        <v>0</v>
      </c>
      <c r="DI108" s="353" t="n">
        <f aca="false">$CR:$CR+$CV:$CV+$DC:$DC+$DE:$DE+$DG:$DG</f>
        <v>0.0325</v>
      </c>
      <c r="DJ108" s="354" t="n">
        <f aca="false">$CS:$CS+$CW:$CW+$DD:$DD+$DF:$DF+$DH:$DH</f>
        <v>3481</v>
      </c>
      <c r="DK108" s="353" t="n">
        <f aca="false">$CT:$CT+$CX:$CX</f>
        <v>0</v>
      </c>
      <c r="DL108" s="354" t="n">
        <f aca="false">$CU:$CU+$CY:$CY</f>
        <v>0</v>
      </c>
      <c r="DM108" s="356"/>
      <c r="DN108" s="357"/>
      <c r="DO108" s="357"/>
      <c r="DP108" s="357"/>
      <c r="DQ108" s="357"/>
      <c r="DR108" s="357"/>
      <c r="DS108" s="357"/>
      <c r="DT108" s="357"/>
      <c r="DU108" s="357"/>
      <c r="DV108" s="357"/>
      <c r="DW108" s="357" t="s">
        <v>744</v>
      </c>
    </row>
    <row r="109" customFormat="false" ht="33.75" hidden="false" customHeight="false" outlineLevel="0" collapsed="false">
      <c r="A109" s="314"/>
      <c r="B109" s="315" t="s">
        <v>273</v>
      </c>
      <c r="C109" s="315" t="s">
        <v>850</v>
      </c>
      <c r="D109" s="315" t="n">
        <v>21035</v>
      </c>
      <c r="E109" s="316" t="s">
        <v>683</v>
      </c>
      <c r="F109" s="316" t="s">
        <v>851</v>
      </c>
      <c r="G109" s="316" t="s">
        <v>277</v>
      </c>
      <c r="H109" s="317" t="s">
        <v>852</v>
      </c>
      <c r="I109" s="316" t="s">
        <v>853</v>
      </c>
      <c r="J109" s="316" t="s">
        <v>854</v>
      </c>
      <c r="K109" s="318" t="n">
        <v>44718</v>
      </c>
      <c r="L109" s="318"/>
      <c r="M109" s="318" t="n">
        <v>44718</v>
      </c>
      <c r="N109" s="319" t="s">
        <v>281</v>
      </c>
      <c r="O109" s="319" t="n">
        <v>38</v>
      </c>
      <c r="P109" s="320" t="n">
        <f aca="false">$O:$O/38</f>
        <v>1</v>
      </c>
      <c r="Q109" s="316" t="s">
        <v>332</v>
      </c>
      <c r="R109" s="316" t="n">
        <v>21062</v>
      </c>
      <c r="S109" s="316" t="s">
        <v>845</v>
      </c>
      <c r="T109" s="316" t="s">
        <v>846</v>
      </c>
      <c r="U109" s="316" t="s">
        <v>847</v>
      </c>
      <c r="V109" s="317" t="s">
        <v>58</v>
      </c>
      <c r="W109" s="317" t="s">
        <v>60</v>
      </c>
      <c r="X109" s="317" t="s">
        <v>286</v>
      </c>
      <c r="Y109" s="321" t="s">
        <v>287</v>
      </c>
      <c r="Z109" s="317" t="s">
        <v>848</v>
      </c>
      <c r="AA109" s="317" t="s">
        <v>345</v>
      </c>
      <c r="AB109" s="321" t="s">
        <v>849</v>
      </c>
      <c r="AC109" s="317" t="s">
        <v>289</v>
      </c>
      <c r="AD109" s="321" t="s">
        <v>290</v>
      </c>
      <c r="AE109" s="322" t="n">
        <f aca="false">IFERROR(INDEX('[3]Lookup_Rem Ranges'!$D$1:$D$1048576,MATCH($AL:$AL,'[3]Lookup_Rem Ranges'!$C$1:$C$1048576,0)),0)</f>
        <v>88700</v>
      </c>
      <c r="AF109" s="322" t="n">
        <f aca="false">IFERROR(INDEX('[3]Lookup_Rem Ranges'!$E$1:$E$1048576,MATCH($AL:$AL,'[3]Lookup_Rem Ranges'!$C$1:$C$1048576,0)),0)</f>
        <v>104300</v>
      </c>
      <c r="AG109" s="322" t="n">
        <f aca="false">IFERROR(INDEX('[3]Lookup_Rem Ranges'!$F$1:$F$1048576,MATCH($AL:$AL,'[3]Lookup_Rem Ranges'!$C$1:$C$1048576,0)),)</f>
        <v>119900</v>
      </c>
      <c r="AH109" s="317" t="s">
        <v>291</v>
      </c>
      <c r="AI109" s="319"/>
      <c r="AJ109" s="323" t="n">
        <v>0</v>
      </c>
      <c r="AK109" s="316"/>
      <c r="AL109" s="324" t="str">
        <f aca="false">CONCATENATE(AM109,"",AN109)</f>
        <v>GI5</v>
      </c>
      <c r="AM109" s="324" t="s">
        <v>312</v>
      </c>
      <c r="AN109" s="319" t="n">
        <v>5</v>
      </c>
      <c r="AO109" s="316"/>
      <c r="AP109" s="325" t="n">
        <v>106100</v>
      </c>
      <c r="AQ109" s="322" t="n">
        <f aca="false">ROUND(IF($P:$P&gt;1,$AP:$AP*1,$AP:$AP*$P:$P),0)</f>
        <v>106100</v>
      </c>
      <c r="AR109" s="322" t="n">
        <f aca="false">IF(BA109="Yes",AP109,0)</f>
        <v>106100</v>
      </c>
      <c r="AS109" s="326" t="n">
        <v>0.0104761904761905</v>
      </c>
      <c r="AT109" s="326" t="n">
        <v>0</v>
      </c>
      <c r="AU109" s="327"/>
      <c r="AV109" s="322"/>
      <c r="AW109" s="328" t="n">
        <v>0</v>
      </c>
      <c r="AX109" s="322" t="n">
        <v>0</v>
      </c>
      <c r="AY109" s="322" t="n">
        <v>106100</v>
      </c>
      <c r="AZ109" s="329" t="n">
        <f aca="false">IFERROR(($AY:$AY+$AJ:$AJ+$AK:$AK)/$AF:$AF,0)</f>
        <v>1.01725790987536</v>
      </c>
      <c r="BA109" s="330" t="s">
        <v>293</v>
      </c>
      <c r="BB109" s="331" t="n">
        <v>3</v>
      </c>
      <c r="BC109" s="326" t="n">
        <f aca="false">IFERROR($BD:$BD/$AY:$AY,0)</f>
        <v>0</v>
      </c>
      <c r="BD109" s="332" t="n">
        <f aca="false">ROUND(IF($AY:$AY&lt;$AE:$AE,$AE:$AE-$AY:$AY,0),0)</f>
        <v>0</v>
      </c>
      <c r="BE109" s="333" t="n">
        <v>0.0325</v>
      </c>
      <c r="BF109" s="334" t="n">
        <f aca="false">ROUND($AR:$AR*$BE:$BE,0)</f>
        <v>3448</v>
      </c>
      <c r="BG109" s="335" t="n">
        <v>0</v>
      </c>
      <c r="BH109" s="336" t="n">
        <f aca="false">ROUND($AR:$AR*$BG:$BG,0)</f>
        <v>0</v>
      </c>
      <c r="BI109" s="333" t="n">
        <v>0</v>
      </c>
      <c r="BJ109" s="334" t="n">
        <f aca="false">ROUND($AR:$AR*$BI:$BI,0)</f>
        <v>0</v>
      </c>
      <c r="BK109" s="334" t="n">
        <f aca="false">ROUND(IF($P:$P&gt;1,$BJ:$BJ*1,$BJ:$BJ*$P:$P),0)</f>
        <v>0</v>
      </c>
      <c r="BL109" s="337"/>
      <c r="BM109" s="338" t="n">
        <f aca="false">$BC:$BC+$BE:$BE+$BG:$BG</f>
        <v>0.0325</v>
      </c>
      <c r="BN109" s="339" t="n">
        <f aca="false">$BD:$BD+$BF:$BF+$BH:$BH</f>
        <v>3448</v>
      </c>
      <c r="BO109" s="340" t="n">
        <f aca="false">IFERROR(ROUND($AY:$AY+$BN:$BN,0),0)</f>
        <v>109548</v>
      </c>
      <c r="BP109" s="341" t="n">
        <f aca="false">ROUND(IF(SUM($BO:$BO&lt;249080),SUM(ROUND($BO:$BO*11%,0)),27398.8),0)</f>
        <v>12050</v>
      </c>
      <c r="BQ109" s="342" t="n">
        <f aca="false">$BO:$BO+$BP:$BP</f>
        <v>121598</v>
      </c>
      <c r="BR109" s="329" t="n">
        <f aca="false">IFERROR(($BO:$BO+$AJ:$AJ+$AK:$AK)/$AF:$AF,0)</f>
        <v>1.05031639501438</v>
      </c>
      <c r="BS109" s="343" t="n">
        <f aca="false">IF($N:$N="CASUAL","TBC",ROUND($BN:$BN/(NETWORKDAYS("01/07/2023","30/06/2024"))*NETWORKDAYS("10/07/2023","04/09/2023"),0)*$P:$P)</f>
        <v>544</v>
      </c>
      <c r="BT109" s="326" t="n">
        <f aca="false">$BM109+$BI109</f>
        <v>0.0325</v>
      </c>
      <c r="BU109" s="332" t="n">
        <f aca="false">$BN:$BN+$BJ:$BJ</f>
        <v>3448</v>
      </c>
      <c r="BV109" s="342" t="n">
        <f aca="false">$BO:$BO*$P:$P</f>
        <v>109548</v>
      </c>
      <c r="BW109" s="344" t="n">
        <f aca="false">ROUND($BO:$BO/1976,2)</f>
        <v>55.44</v>
      </c>
      <c r="BX109" s="316"/>
      <c r="BY109" s="342" t="n">
        <f aca="false">$BQ:$BQ+$BX:$BX</f>
        <v>121598</v>
      </c>
      <c r="BZ109" s="345" t="s">
        <v>294</v>
      </c>
      <c r="CA109" s="316"/>
      <c r="CB109" s="316"/>
      <c r="CC109" s="324" t="str">
        <f aca="false">CONCATENATE(CD109,"",CE109)</f>
        <v/>
      </c>
      <c r="CD109" s="319"/>
      <c r="CE109" s="319"/>
      <c r="CF109" s="322" t="str">
        <f aca="false">IFERROR(INDEX('[4]Lookup_Rem Ranges'!$D$1:$D$1048576,MATCH($CC:$CC,'[4]Lookup_Rem Ranges'!$C$1:$C$1048576,0)),"")</f>
        <v/>
      </c>
      <c r="CG109" s="346"/>
      <c r="CH109" s="346"/>
      <c r="CI109" s="347"/>
      <c r="CJ109" s="348"/>
      <c r="CK109" s="342" t="n">
        <f aca="false">IFERROR(ROUND($CI:$CI*$CJ:$CJ,0),0)</f>
        <v>0</v>
      </c>
      <c r="CL109" s="342" t="n">
        <f aca="false">$CI:$CI+$CK:$CK</f>
        <v>0</v>
      </c>
      <c r="CM109" s="349"/>
      <c r="CN109" s="350" t="n">
        <f aca="false">IF(SUM($CL:$CL&lt;249080),SUM(ROUND($CL:$CL*11%,0)),27398.8)</f>
        <v>0</v>
      </c>
      <c r="CO109" s="350" t="s">
        <v>324</v>
      </c>
      <c r="CP109" s="351" t="n">
        <f aca="false">IF(BA109="Yes",3.25%,0)</f>
        <v>0.0325</v>
      </c>
      <c r="CQ109" s="352" t="n">
        <f aca="false">ROUND(AR109*CP109,0)</f>
        <v>3448</v>
      </c>
      <c r="CR109" s="353" t="n">
        <f aca="false">IF($AW:$AW&lt;3.25%,$AW:$AW,3.25%)</f>
        <v>0</v>
      </c>
      <c r="CS109" s="354" t="n">
        <f aca="false">ROUND($AR:$AR*$CR:$CR,0)</f>
        <v>0</v>
      </c>
      <c r="CT109" s="353" t="n">
        <f aca="false">IF($AW:$AW&gt;=3.25%,$AW:$AW-$CR:$CR,0)</f>
        <v>0</v>
      </c>
      <c r="CU109" s="354" t="n">
        <f aca="false">ROUND($AR:$AR*$CT:$CT,0)</f>
        <v>0</v>
      </c>
      <c r="CV109" s="353" t="n">
        <f aca="false">IF($CR:$CR=3.25%,0,IF($BC:$BC&lt;3.25%,$BC:$BC,IF($BC:$BC&gt;3.25%,3.25%-$CR:$CR,0)))</f>
        <v>0</v>
      </c>
      <c r="CW109" s="354" t="n">
        <f aca="false">IFERROR(ROUND($AY:$AY*$CV:$CV,0),0)</f>
        <v>0</v>
      </c>
      <c r="CX109" s="353" t="n">
        <f aca="false">IF($CV:$CV=0,$BC:$BC,BC:BC-$CV:$CV)</f>
        <v>0</v>
      </c>
      <c r="CY109" s="354" t="n">
        <f aca="false">IFERROR(ROUND($AY:$AY*$CX:$CX,0),0)</f>
        <v>0</v>
      </c>
      <c r="CZ109" s="353" t="n">
        <f aca="false">$CR:$CR+$CT:CT+$CV:$CV+$CX:$CX</f>
        <v>0</v>
      </c>
      <c r="DA109" s="353" t="n">
        <f aca="false">(SUM($AW:$AW+$BC:$BC)-$CZ:$CZ)</f>
        <v>0</v>
      </c>
      <c r="DB109" s="353"/>
      <c r="DC109" s="353" t="n">
        <f aca="false">$BE:$BE</f>
        <v>0.0325</v>
      </c>
      <c r="DD109" s="354" t="n">
        <f aca="false">$BF:$BF</f>
        <v>3448</v>
      </c>
      <c r="DE109" s="355" t="n">
        <f aca="false">$BI:$BI</f>
        <v>0</v>
      </c>
      <c r="DF109" s="354" t="n">
        <f aca="false">$BJ:$BJ</f>
        <v>0</v>
      </c>
      <c r="DG109" s="355" t="n">
        <f aca="false">$BG:$BG</f>
        <v>0</v>
      </c>
      <c r="DH109" s="354" t="n">
        <f aca="false">IFERROR(ROUND($AP:$AP*$DG:$DG,0),0)</f>
        <v>0</v>
      </c>
      <c r="DI109" s="353" t="n">
        <f aca="false">$CR:$CR+$CV:$CV+$DC:$DC+$DE:$DE+$DG:$DG</f>
        <v>0.0325</v>
      </c>
      <c r="DJ109" s="354" t="n">
        <f aca="false">$CS:$CS+$CW:$CW+$DD:$DD+$DF:$DF+$DH:$DH</f>
        <v>3448</v>
      </c>
      <c r="DK109" s="353" t="n">
        <f aca="false">$CT:$CT+$CX:$CX</f>
        <v>0</v>
      </c>
      <c r="DL109" s="354" t="n">
        <f aca="false">$CU:$CU+$CY:$CY</f>
        <v>0</v>
      </c>
      <c r="DM109" s="356"/>
      <c r="DN109" s="357"/>
      <c r="DO109" s="357"/>
      <c r="DP109" s="357"/>
      <c r="DQ109" s="357"/>
      <c r="DR109" s="357"/>
      <c r="DS109" s="357"/>
      <c r="DT109" s="357"/>
      <c r="DU109" s="357"/>
      <c r="DV109" s="357"/>
      <c r="DW109" s="357" t="s">
        <v>744</v>
      </c>
    </row>
    <row r="110" customFormat="false" ht="24" hidden="false" customHeight="false" outlineLevel="0" collapsed="false">
      <c r="A110" s="314"/>
      <c r="B110" s="315" t="s">
        <v>273</v>
      </c>
      <c r="C110" s="315" t="s">
        <v>855</v>
      </c>
      <c r="D110" s="315" t="n">
        <v>19860</v>
      </c>
      <c r="E110" s="316" t="s">
        <v>856</v>
      </c>
      <c r="F110" s="316" t="s">
        <v>857</v>
      </c>
      <c r="G110" s="316" t="s">
        <v>277</v>
      </c>
      <c r="H110" s="317" t="s">
        <v>842</v>
      </c>
      <c r="I110" s="316" t="s">
        <v>858</v>
      </c>
      <c r="J110" s="316" t="s">
        <v>844</v>
      </c>
      <c r="K110" s="318" t="n">
        <v>44235</v>
      </c>
      <c r="L110" s="318"/>
      <c r="M110" s="318" t="n">
        <v>44713</v>
      </c>
      <c r="N110" s="319" t="s">
        <v>281</v>
      </c>
      <c r="O110" s="319" t="n">
        <v>38</v>
      </c>
      <c r="P110" s="320" t="n">
        <f aca="false">$O:$O/38</f>
        <v>1</v>
      </c>
      <c r="Q110" s="316" t="s">
        <v>332</v>
      </c>
      <c r="R110" s="316" t="n">
        <v>21062</v>
      </c>
      <c r="S110" s="316" t="s">
        <v>845</v>
      </c>
      <c r="T110" s="316" t="s">
        <v>846</v>
      </c>
      <c r="U110" s="316" t="s">
        <v>847</v>
      </c>
      <c r="V110" s="317" t="s">
        <v>58</v>
      </c>
      <c r="W110" s="317" t="s">
        <v>60</v>
      </c>
      <c r="X110" s="317" t="s">
        <v>286</v>
      </c>
      <c r="Y110" s="360" t="s">
        <v>287</v>
      </c>
      <c r="Z110" s="317" t="s">
        <v>848</v>
      </c>
      <c r="AA110" s="317" t="s">
        <v>345</v>
      </c>
      <c r="AB110" s="321" t="s">
        <v>849</v>
      </c>
      <c r="AC110" s="317" t="s">
        <v>289</v>
      </c>
      <c r="AD110" s="360" t="s">
        <v>290</v>
      </c>
      <c r="AE110" s="322" t="n">
        <f aca="false">IFERROR(INDEX('[3]Lookup_Rem Ranges'!$D$1:$D$1048576,MATCH($AL:$AL,'[3]Lookup_Rem Ranges'!$C$1:$C$1048576,0)),0)</f>
        <v>88700</v>
      </c>
      <c r="AF110" s="322" t="n">
        <f aca="false">IFERROR(INDEX('[3]Lookup_Rem Ranges'!$E$1:$E$1048576,MATCH($AL:$AL,'[3]Lookup_Rem Ranges'!$C$1:$C$1048576,0)),0)</f>
        <v>104300</v>
      </c>
      <c r="AG110" s="322" t="n">
        <f aca="false">IFERROR(INDEX('[3]Lookup_Rem Ranges'!$F$1:$F$1048576,MATCH($AL:$AL,'[3]Lookup_Rem Ranges'!$C$1:$C$1048576,0)),)</f>
        <v>119900</v>
      </c>
      <c r="AH110" s="317" t="s">
        <v>291</v>
      </c>
      <c r="AI110" s="319"/>
      <c r="AJ110" s="323" t="n">
        <v>0</v>
      </c>
      <c r="AK110" s="316"/>
      <c r="AL110" s="324" t="str">
        <f aca="false">CONCATENATE(AM110,"",AN110)</f>
        <v>GI5</v>
      </c>
      <c r="AM110" s="324" t="s">
        <v>312</v>
      </c>
      <c r="AN110" s="319" t="n">
        <v>5</v>
      </c>
      <c r="AO110" s="316"/>
      <c r="AP110" s="325" t="n">
        <v>108200</v>
      </c>
      <c r="AQ110" s="322" t="n">
        <f aca="false">ROUND(IF($P:$P&gt;1,$AP:$AP*1,$AP:$AP*$P:$P),0)</f>
        <v>108200</v>
      </c>
      <c r="AR110" s="322" t="n">
        <f aca="false">IF(BA110="Yes",AP110,0)</f>
        <v>108200</v>
      </c>
      <c r="AS110" s="326" t="n">
        <v>0.0304761904761905</v>
      </c>
      <c r="AT110" s="326" t="n">
        <v>0</v>
      </c>
      <c r="AU110" s="327"/>
      <c r="AV110" s="322"/>
      <c r="AW110" s="328" t="n">
        <v>0</v>
      </c>
      <c r="AX110" s="322" t="n">
        <v>0</v>
      </c>
      <c r="AY110" s="322" t="n">
        <v>108200</v>
      </c>
      <c r="AZ110" s="329" t="n">
        <f aca="false">IFERROR(($AY:$AY+$AJ:$AJ+$AK:$AK)/$AF:$AF,0)</f>
        <v>1.03739213806328</v>
      </c>
      <c r="BA110" s="330" t="s">
        <v>293</v>
      </c>
      <c r="BB110" s="331" t="n">
        <v>3</v>
      </c>
      <c r="BC110" s="326" t="n">
        <f aca="false">IFERROR($BD:$BD/$AY:$AY,0)</f>
        <v>0</v>
      </c>
      <c r="BD110" s="332" t="n">
        <f aca="false">ROUND(IF($AY:$AY&lt;$AE:$AE,$AE:$AE-$AY:$AY,0),0)</f>
        <v>0</v>
      </c>
      <c r="BE110" s="333" t="n">
        <v>0.0325</v>
      </c>
      <c r="BF110" s="334" t="n">
        <f aca="false">ROUND($AR:$AR*$BE:$BE,0)</f>
        <v>3517</v>
      </c>
      <c r="BG110" s="335" t="n">
        <v>0</v>
      </c>
      <c r="BH110" s="336" t="n">
        <f aca="false">ROUND($AR:$AR*$BG:$BG,0)</f>
        <v>0</v>
      </c>
      <c r="BI110" s="333" t="n">
        <v>0</v>
      </c>
      <c r="BJ110" s="334" t="n">
        <f aca="false">ROUND($AR:$AR*$BI:$BI,0)</f>
        <v>0</v>
      </c>
      <c r="BK110" s="334" t="n">
        <f aca="false">ROUND(IF($P:$P&gt;1,$BJ:$BJ*1,$BJ:$BJ*$P:$P),0)</f>
        <v>0</v>
      </c>
      <c r="BL110" s="337"/>
      <c r="BM110" s="338" t="n">
        <f aca="false">$BC:$BC+$BE:$BE+$BG:$BG</f>
        <v>0.0325</v>
      </c>
      <c r="BN110" s="339" t="n">
        <f aca="false">$BD:$BD+$BF:$BF+$BH:$BH</f>
        <v>3517</v>
      </c>
      <c r="BO110" s="340" t="n">
        <f aca="false">IFERROR(ROUND($AY:$AY+$BN:$BN,0),0)</f>
        <v>111717</v>
      </c>
      <c r="BP110" s="341" t="n">
        <f aca="false">ROUND(IF(SUM($BO:$BO&lt;249080),SUM(ROUND($BO:$BO*11%,0)),27398.8),0)</f>
        <v>12289</v>
      </c>
      <c r="BQ110" s="342" t="n">
        <f aca="false">$BO:$BO+$BP:$BP</f>
        <v>124006</v>
      </c>
      <c r="BR110" s="329" t="n">
        <f aca="false">IFERROR(($BO:$BO+$AJ:$AJ+$AK:$AK)/$AF:$AF,0)</f>
        <v>1.07111217641419</v>
      </c>
      <c r="BS110" s="343" t="n">
        <f aca="false">IF($N:$N="CASUAL","TBC",ROUND($BN:$BN/(NETWORKDAYS("01/07/2023","30/06/2024"))*NETWORKDAYS("10/07/2023","04/09/2023"),0)*$P:$P)</f>
        <v>555</v>
      </c>
      <c r="BT110" s="326" t="n">
        <f aca="false">$BM110+$BI110</f>
        <v>0.0325</v>
      </c>
      <c r="BU110" s="332" t="n">
        <f aca="false">$BN:$BN+$BJ:$BJ</f>
        <v>3517</v>
      </c>
      <c r="BV110" s="342" t="n">
        <f aca="false">$BO:$BO*$P:$P</f>
        <v>111717</v>
      </c>
      <c r="BW110" s="344" t="n">
        <f aca="false">ROUND($BO:$BO/1976,2)</f>
        <v>56.54</v>
      </c>
      <c r="BX110" s="316"/>
      <c r="BY110" s="342" t="n">
        <f aca="false">$BQ:$BQ+$BX:$BX</f>
        <v>124006</v>
      </c>
      <c r="BZ110" s="345" t="s">
        <v>294</v>
      </c>
      <c r="CA110" s="316"/>
      <c r="CB110" s="316"/>
      <c r="CC110" s="324" t="str">
        <f aca="false">CONCATENATE(CD110,"",CE110)</f>
        <v/>
      </c>
      <c r="CD110" s="319"/>
      <c r="CE110" s="319"/>
      <c r="CF110" s="322" t="str">
        <f aca="false">IFERROR(INDEX('[4]Lookup_Rem Ranges'!$D$1:$D$1048576,MATCH($CC:$CC,'[4]Lookup_Rem Ranges'!$C$1:$C$1048576,0)),"")</f>
        <v/>
      </c>
      <c r="CG110" s="318"/>
      <c r="CH110" s="318"/>
      <c r="CI110" s="361"/>
      <c r="CJ110" s="348"/>
      <c r="CK110" s="342" t="n">
        <f aca="false">IFERROR(ROUND($CI:$CI*$CJ:$CJ,0),0)</f>
        <v>0</v>
      </c>
      <c r="CL110" s="342" t="n">
        <f aca="false">$CI:$CI+$CK:$CK</f>
        <v>0</v>
      </c>
      <c r="CM110" s="349"/>
      <c r="CN110" s="350" t="n">
        <f aca="false">IF(SUM($CL:$CL&lt;249080),SUM(ROUND($CL:$CL*11%,0)),27398.8)</f>
        <v>0</v>
      </c>
      <c r="CO110" s="350"/>
      <c r="CP110" s="351" t="n">
        <f aca="false">IF(BA110="Yes",3.25%,0)</f>
        <v>0.0325</v>
      </c>
      <c r="CQ110" s="352" t="n">
        <f aca="false">ROUND(AR110*CP110,0)</f>
        <v>3517</v>
      </c>
      <c r="CR110" s="353" t="n">
        <f aca="false">IF($AW:$AW&lt;3.25%,$AW:$AW,3.25%)</f>
        <v>0</v>
      </c>
      <c r="CS110" s="354" t="n">
        <f aca="false">ROUND($AR:$AR*$CR:$CR,0)</f>
        <v>0</v>
      </c>
      <c r="CT110" s="353" t="n">
        <f aca="false">IF($AW:$AW&gt;=3.25%,$AW:$AW-$CR:$CR,0)</f>
        <v>0</v>
      </c>
      <c r="CU110" s="354" t="n">
        <f aca="false">ROUND($AR:$AR*$CT:$CT,0)</f>
        <v>0</v>
      </c>
      <c r="CV110" s="353" t="n">
        <f aca="false">IF($CR:$CR=3.25%,0,IF($BC:$BC&lt;3.25%,$BC:$BC,IF($BC:$BC&gt;3.25%,3.25%-$CR:$CR,0)))</f>
        <v>0</v>
      </c>
      <c r="CW110" s="354" t="n">
        <f aca="false">IFERROR(ROUND($AY:$AY*$CV:$CV,0),0)</f>
        <v>0</v>
      </c>
      <c r="CX110" s="353" t="n">
        <f aca="false">IF($CV:$CV=0,$BC:$BC,BC:BC-$CV:$CV)</f>
        <v>0</v>
      </c>
      <c r="CY110" s="354" t="n">
        <f aca="false">IFERROR(ROUND($AY:$AY*$CX:$CX,0),0)</f>
        <v>0</v>
      </c>
      <c r="CZ110" s="353" t="n">
        <f aca="false">$CR:$CR+$CT:CT+$CV:$CV+$CX:$CX</f>
        <v>0</v>
      </c>
      <c r="DA110" s="353" t="n">
        <f aca="false">(SUM($AW:$AW+$BC:$BC)-$CZ:$CZ)</f>
        <v>0</v>
      </c>
      <c r="DB110" s="353"/>
      <c r="DC110" s="353" t="n">
        <f aca="false">$BE:$BE</f>
        <v>0.0325</v>
      </c>
      <c r="DD110" s="354" t="n">
        <f aca="false">$BF:$BF</f>
        <v>3517</v>
      </c>
      <c r="DE110" s="355" t="n">
        <f aca="false">$BI:$BI</f>
        <v>0</v>
      </c>
      <c r="DF110" s="354" t="n">
        <f aca="false">$BJ:$BJ</f>
        <v>0</v>
      </c>
      <c r="DG110" s="355" t="n">
        <f aca="false">$BG:$BG</f>
        <v>0</v>
      </c>
      <c r="DH110" s="354" t="n">
        <f aca="false">IFERROR(ROUND($AP:$AP*$DG:$DG,0),0)</f>
        <v>0</v>
      </c>
      <c r="DI110" s="353" t="n">
        <f aca="false">$CR:$CR+$CV:$CV+$DC:$DC+$DE:$DE+$DG:$DG</f>
        <v>0.0325</v>
      </c>
      <c r="DJ110" s="354" t="n">
        <f aca="false">$CS:$CS+$CW:$CW+$DD:$DD+$DF:$DF+$DH:$DH</f>
        <v>3517</v>
      </c>
      <c r="DK110" s="353" t="n">
        <f aca="false">$CT:$CT+$CX:$CX</f>
        <v>0</v>
      </c>
      <c r="DL110" s="354" t="n">
        <f aca="false">$CU:$CU+$CY:$CY</f>
        <v>0</v>
      </c>
      <c r="DM110" s="356"/>
      <c r="DN110" s="357"/>
      <c r="DO110" s="357"/>
      <c r="DP110" s="357"/>
      <c r="DQ110" s="357"/>
      <c r="DR110" s="357"/>
      <c r="DS110" s="357"/>
      <c r="DT110" s="357"/>
      <c r="DU110" s="357"/>
      <c r="DV110" s="357"/>
      <c r="DW110" s="357" t="s">
        <v>744</v>
      </c>
    </row>
    <row r="111" customFormat="false" ht="24" hidden="false" customHeight="false" outlineLevel="0" collapsed="false">
      <c r="A111" s="314"/>
      <c r="B111" s="315" t="s">
        <v>273</v>
      </c>
      <c r="C111" s="315" t="s">
        <v>859</v>
      </c>
      <c r="D111" s="315" t="n">
        <v>20270</v>
      </c>
      <c r="E111" s="316" t="s">
        <v>860</v>
      </c>
      <c r="F111" s="316" t="s">
        <v>663</v>
      </c>
      <c r="G111" s="316" t="s">
        <v>277</v>
      </c>
      <c r="H111" s="317" t="s">
        <v>852</v>
      </c>
      <c r="I111" s="316" t="s">
        <v>861</v>
      </c>
      <c r="J111" s="316" t="s">
        <v>854</v>
      </c>
      <c r="K111" s="318" t="n">
        <v>44431</v>
      </c>
      <c r="L111" s="318"/>
      <c r="M111" s="318" t="n">
        <v>44713</v>
      </c>
      <c r="N111" s="319" t="s">
        <v>331</v>
      </c>
      <c r="O111" s="319" t="n">
        <v>30.4</v>
      </c>
      <c r="P111" s="320" t="n">
        <f aca="false">$O:$O/38</f>
        <v>0.8</v>
      </c>
      <c r="Q111" s="316" t="s">
        <v>332</v>
      </c>
      <c r="R111" s="316" t="n">
        <v>21062</v>
      </c>
      <c r="S111" s="316" t="s">
        <v>845</v>
      </c>
      <c r="T111" s="316" t="s">
        <v>846</v>
      </c>
      <c r="U111" s="316" t="s">
        <v>847</v>
      </c>
      <c r="V111" s="317" t="s">
        <v>58</v>
      </c>
      <c r="W111" s="317" t="s">
        <v>60</v>
      </c>
      <c r="X111" s="317" t="s">
        <v>286</v>
      </c>
      <c r="Y111" s="321" t="s">
        <v>287</v>
      </c>
      <c r="Z111" s="317" t="s">
        <v>848</v>
      </c>
      <c r="AA111" s="317" t="s">
        <v>345</v>
      </c>
      <c r="AB111" s="321" t="s">
        <v>849</v>
      </c>
      <c r="AC111" s="317" t="s">
        <v>289</v>
      </c>
      <c r="AD111" s="321" t="s">
        <v>290</v>
      </c>
      <c r="AE111" s="322" t="n">
        <f aca="false">IFERROR(INDEX('[3]Lookup_Rem Ranges'!$D$1:$D$1048576,MATCH($AL:$AL,'[3]Lookup_Rem Ranges'!$C$1:$C$1048576,0)),0)</f>
        <v>88700</v>
      </c>
      <c r="AF111" s="322" t="n">
        <f aca="false">IFERROR(INDEX('[3]Lookup_Rem Ranges'!$E$1:$E$1048576,MATCH($AL:$AL,'[3]Lookup_Rem Ranges'!$C$1:$C$1048576,0)),0)</f>
        <v>104300</v>
      </c>
      <c r="AG111" s="322" t="n">
        <f aca="false">IFERROR(INDEX('[3]Lookup_Rem Ranges'!$F$1:$F$1048576,MATCH($AL:$AL,'[3]Lookup_Rem Ranges'!$C$1:$C$1048576,0)),)</f>
        <v>119900</v>
      </c>
      <c r="AH111" s="317" t="s">
        <v>291</v>
      </c>
      <c r="AI111" s="319"/>
      <c r="AJ111" s="323" t="n">
        <v>0</v>
      </c>
      <c r="AK111" s="316"/>
      <c r="AL111" s="324" t="str">
        <f aca="false">CONCATENATE(AM111,"",AN111)</f>
        <v>GI5</v>
      </c>
      <c r="AM111" s="324" t="s">
        <v>312</v>
      </c>
      <c r="AN111" s="319" t="n">
        <v>5</v>
      </c>
      <c r="AO111" s="316"/>
      <c r="AP111" s="325" t="n">
        <v>108200</v>
      </c>
      <c r="AQ111" s="322" t="n">
        <f aca="false">ROUND(IF($P:$P&gt;1,$AP:$AP*1,$AP:$AP*$P:$P),0)</f>
        <v>86560</v>
      </c>
      <c r="AR111" s="322" t="n">
        <f aca="false">IF(BA111="Yes",AP111,0)</f>
        <v>108200</v>
      </c>
      <c r="AS111" s="326" t="n">
        <v>0.0304761904761905</v>
      </c>
      <c r="AT111" s="326" t="n">
        <v>0</v>
      </c>
      <c r="AU111" s="327"/>
      <c r="AV111" s="322"/>
      <c r="AW111" s="328" t="n">
        <v>0</v>
      </c>
      <c r="AX111" s="322" t="n">
        <v>0</v>
      </c>
      <c r="AY111" s="322" t="n">
        <v>108200</v>
      </c>
      <c r="AZ111" s="329" t="n">
        <f aca="false">IFERROR(($AY:$AY+$AJ:$AJ+$AK:$AK)/$AF:$AF,0)</f>
        <v>1.03739213806328</v>
      </c>
      <c r="BA111" s="330" t="s">
        <v>293</v>
      </c>
      <c r="BB111" s="331" t="n">
        <v>3</v>
      </c>
      <c r="BC111" s="326" t="n">
        <f aca="false">IFERROR($BD:$BD/$AY:$AY,0)</f>
        <v>0</v>
      </c>
      <c r="BD111" s="332" t="n">
        <f aca="false">ROUND(IF($AY:$AY&lt;$AE:$AE,$AE:$AE-$AY:$AY,0),0)</f>
        <v>0</v>
      </c>
      <c r="BE111" s="333" t="n">
        <v>0.0325</v>
      </c>
      <c r="BF111" s="334" t="n">
        <f aca="false">ROUND($AR:$AR*$BE:$BE,0)</f>
        <v>3517</v>
      </c>
      <c r="BG111" s="335" t="n">
        <v>0</v>
      </c>
      <c r="BH111" s="336" t="n">
        <f aca="false">ROUND($AR:$AR*$BG:$BG,0)</f>
        <v>0</v>
      </c>
      <c r="BI111" s="333" t="n">
        <v>0</v>
      </c>
      <c r="BJ111" s="334" t="n">
        <f aca="false">ROUND($AR:$AR*$BI:$BI,0)</f>
        <v>0</v>
      </c>
      <c r="BK111" s="334" t="n">
        <f aca="false">ROUND(IF($P:$P&gt;1,$BJ:$BJ*1,$BJ:$BJ*$P:$P),0)</f>
        <v>0</v>
      </c>
      <c r="BL111" s="337"/>
      <c r="BM111" s="338" t="n">
        <f aca="false">$BC:$BC+$BE:$BE+$BG:$BG</f>
        <v>0.0325</v>
      </c>
      <c r="BN111" s="339" t="n">
        <f aca="false">$BD:$BD+$BF:$BF+$BH:$BH</f>
        <v>3517</v>
      </c>
      <c r="BO111" s="340" t="n">
        <f aca="false">IFERROR(ROUND($AY:$AY+$BN:$BN,0),0)</f>
        <v>111717</v>
      </c>
      <c r="BP111" s="341" t="n">
        <f aca="false">ROUND(IF(SUM($BO:$BO&lt;249080),SUM(ROUND($BO:$BO*11%,0)),27398.8),0)</f>
        <v>12289</v>
      </c>
      <c r="BQ111" s="342" t="n">
        <f aca="false">$BO:$BO+$BP:$BP</f>
        <v>124006</v>
      </c>
      <c r="BR111" s="329" t="n">
        <f aca="false">IFERROR(($BO:$BO+$AJ:$AJ+$AK:$AK)/$AF:$AF,0)</f>
        <v>1.07111217641419</v>
      </c>
      <c r="BS111" s="343" t="n">
        <f aca="false">IF($N:$N="CASUAL","TBC",ROUND($BN:$BN/(NETWORKDAYS("01/07/2023","30/06/2024"))*NETWORKDAYS("10/07/2023","04/09/2023"),0)*$P:$P)</f>
        <v>444</v>
      </c>
      <c r="BT111" s="326" t="n">
        <f aca="false">$BM111+$BI111</f>
        <v>0.0325</v>
      </c>
      <c r="BU111" s="332" t="n">
        <f aca="false">$BN:$BN+$BJ:$BJ</f>
        <v>3517</v>
      </c>
      <c r="BV111" s="342" t="n">
        <f aca="false">$BO:$BO*$P:$P</f>
        <v>89373.6</v>
      </c>
      <c r="BW111" s="344" t="n">
        <f aca="false">ROUND($BO:$BO/1976,2)</f>
        <v>56.54</v>
      </c>
      <c r="BX111" s="316"/>
      <c r="BY111" s="342" t="n">
        <f aca="false">$BQ:$BQ+$BX:$BX</f>
        <v>124006</v>
      </c>
      <c r="BZ111" s="345" t="s">
        <v>294</v>
      </c>
      <c r="CA111" s="316"/>
      <c r="CB111" s="316"/>
      <c r="CC111" s="324" t="str">
        <f aca="false">CONCATENATE(CD111,"",CE111)</f>
        <v/>
      </c>
      <c r="CD111" s="319"/>
      <c r="CE111" s="319"/>
      <c r="CF111" s="322" t="str">
        <f aca="false">IFERROR(INDEX('[4]Lookup_Rem Ranges'!$D$1:$D$1048576,MATCH($CC:$CC,'[4]Lookup_Rem Ranges'!$C$1:$C$1048576,0)),"")</f>
        <v/>
      </c>
      <c r="CG111" s="346"/>
      <c r="CH111" s="346"/>
      <c r="CI111" s="347"/>
      <c r="CJ111" s="348"/>
      <c r="CK111" s="342" t="n">
        <f aca="false">IFERROR(ROUND($CI:$CI*$CJ:$CJ,0),0)</f>
        <v>0</v>
      </c>
      <c r="CL111" s="342" t="n">
        <f aca="false">$CI:$CI+$CK:$CK</f>
        <v>0</v>
      </c>
      <c r="CM111" s="349"/>
      <c r="CN111" s="350" t="n">
        <f aca="false">IF(SUM($CL:$CL&lt;249080),SUM(ROUND($CL:$CL*11%,0)),27398.8)</f>
        <v>0</v>
      </c>
      <c r="CO111" s="350" t="s">
        <v>862</v>
      </c>
      <c r="CP111" s="351" t="n">
        <f aca="false">IF(BA111="Yes",3.25%,0)</f>
        <v>0.0325</v>
      </c>
      <c r="CQ111" s="352" t="n">
        <f aca="false">ROUND(AR111*CP111,0)</f>
        <v>3517</v>
      </c>
      <c r="CR111" s="353" t="n">
        <f aca="false">IF($AW:$AW&lt;3.25%,$AW:$AW,3.25%)</f>
        <v>0</v>
      </c>
      <c r="CS111" s="354" t="n">
        <f aca="false">ROUND($AR:$AR*$CR:$CR,0)</f>
        <v>0</v>
      </c>
      <c r="CT111" s="353" t="n">
        <f aca="false">IF($AW:$AW&gt;=3.25%,$AW:$AW-$CR:$CR,0)</f>
        <v>0</v>
      </c>
      <c r="CU111" s="354" t="n">
        <f aca="false">ROUND($AR:$AR*$CT:$CT,0)</f>
        <v>0</v>
      </c>
      <c r="CV111" s="353" t="n">
        <f aca="false">IF($CR:$CR=3.25%,0,IF($BC:$BC&lt;3.25%,$BC:$BC,IF($BC:$BC&gt;3.25%,3.25%-$CR:$CR,0)))</f>
        <v>0</v>
      </c>
      <c r="CW111" s="354" t="n">
        <f aca="false">IFERROR(ROUND($AY:$AY*$CV:$CV,0),0)</f>
        <v>0</v>
      </c>
      <c r="CX111" s="353" t="n">
        <f aca="false">IF($CV:$CV=0,$BC:$BC,BC:BC-$CV:$CV)</f>
        <v>0</v>
      </c>
      <c r="CY111" s="354" t="n">
        <f aca="false">IFERROR(ROUND($AY:$AY*$CX:$CX,0),0)</f>
        <v>0</v>
      </c>
      <c r="CZ111" s="353" t="n">
        <f aca="false">$CR:$CR+$CT:CT+$CV:$CV+$CX:$CX</f>
        <v>0</v>
      </c>
      <c r="DA111" s="353" t="n">
        <f aca="false">(SUM($AW:$AW+$BC:$BC)-$CZ:$CZ)</f>
        <v>0</v>
      </c>
      <c r="DB111" s="353"/>
      <c r="DC111" s="353" t="n">
        <f aca="false">$BE:$BE</f>
        <v>0.0325</v>
      </c>
      <c r="DD111" s="354" t="n">
        <f aca="false">$BF:$BF</f>
        <v>3517</v>
      </c>
      <c r="DE111" s="355" t="n">
        <f aca="false">$BI:$BI</f>
        <v>0</v>
      </c>
      <c r="DF111" s="354" t="n">
        <f aca="false">$BJ:$BJ</f>
        <v>0</v>
      </c>
      <c r="DG111" s="355" t="n">
        <f aca="false">$BG:$BG</f>
        <v>0</v>
      </c>
      <c r="DH111" s="354" t="n">
        <f aca="false">IFERROR(ROUND($AP:$AP*$DG:$DG,0),0)</f>
        <v>0</v>
      </c>
      <c r="DI111" s="353" t="n">
        <f aca="false">$CR:$CR+$CV:$CV+$DC:$DC+$DE:$DE+$DG:$DG</f>
        <v>0.0325</v>
      </c>
      <c r="DJ111" s="354" t="n">
        <f aca="false">$CS:$CS+$CW:$CW+$DD:$DD+$DF:$DF+$DH:$DH</f>
        <v>3517</v>
      </c>
      <c r="DK111" s="353" t="n">
        <f aca="false">$CT:$CT+$CX:$CX</f>
        <v>0</v>
      </c>
      <c r="DL111" s="354" t="n">
        <f aca="false">$CU:$CU+$CY:$CY</f>
        <v>0</v>
      </c>
      <c r="DM111" s="356"/>
      <c r="DN111" s="357"/>
      <c r="DO111" s="357"/>
      <c r="DP111" s="357"/>
      <c r="DQ111" s="357"/>
      <c r="DR111" s="357"/>
      <c r="DS111" s="357"/>
      <c r="DT111" s="357"/>
      <c r="DU111" s="357"/>
      <c r="DV111" s="357"/>
      <c r="DW111" s="357" t="s">
        <v>744</v>
      </c>
    </row>
    <row r="112" customFormat="false" ht="36" hidden="false" customHeight="false" outlineLevel="0" collapsed="false">
      <c r="A112" s="314"/>
      <c r="B112" s="315" t="s">
        <v>273</v>
      </c>
      <c r="C112" s="315" t="s">
        <v>863</v>
      </c>
      <c r="D112" s="315" t="n">
        <v>18450</v>
      </c>
      <c r="E112" s="316" t="s">
        <v>864</v>
      </c>
      <c r="F112" s="316" t="s">
        <v>865</v>
      </c>
      <c r="G112" s="316" t="s">
        <v>277</v>
      </c>
      <c r="H112" s="317" t="s">
        <v>866</v>
      </c>
      <c r="I112" s="316" t="s">
        <v>867</v>
      </c>
      <c r="J112" s="316" t="s">
        <v>868</v>
      </c>
      <c r="K112" s="318" t="n">
        <v>43535</v>
      </c>
      <c r="L112" s="318"/>
      <c r="M112" s="318" t="n">
        <v>43535</v>
      </c>
      <c r="N112" s="319" t="s">
        <v>281</v>
      </c>
      <c r="O112" s="319" t="n">
        <v>38</v>
      </c>
      <c r="P112" s="320" t="n">
        <f aca="false">$O:$O/38</f>
        <v>1</v>
      </c>
      <c r="Q112" s="316" t="s">
        <v>582</v>
      </c>
      <c r="R112" s="316" t="n">
        <v>20741</v>
      </c>
      <c r="S112" s="316" t="s">
        <v>869</v>
      </c>
      <c r="T112" s="316" t="s">
        <v>344</v>
      </c>
      <c r="U112" s="316" t="s">
        <v>345</v>
      </c>
      <c r="V112" s="317" t="s">
        <v>58</v>
      </c>
      <c r="W112" s="317" t="s">
        <v>60</v>
      </c>
      <c r="X112" s="317" t="s">
        <v>286</v>
      </c>
      <c r="Y112" s="321" t="s">
        <v>287</v>
      </c>
      <c r="Z112" s="317" t="s">
        <v>848</v>
      </c>
      <c r="AA112" s="317" t="s">
        <v>345</v>
      </c>
      <c r="AB112" s="321" t="s">
        <v>849</v>
      </c>
      <c r="AC112" s="317" t="s">
        <v>289</v>
      </c>
      <c r="AD112" s="321" t="s">
        <v>290</v>
      </c>
      <c r="AE112" s="322" t="n">
        <f aca="false">IFERROR(INDEX('[3]Lookup_Rem Ranges'!$D$1:$D$1048576,MATCH($AL:$AL,'[3]Lookup_Rem Ranges'!$C$1:$C$1048576,0)),0)</f>
        <v>64900</v>
      </c>
      <c r="AF112" s="322" t="n">
        <f aca="false">IFERROR(INDEX('[3]Lookup_Rem Ranges'!$E$1:$E$1048576,MATCH($AL:$AL,'[3]Lookup_Rem Ranges'!$C$1:$C$1048576,0)),0)</f>
        <v>76300</v>
      </c>
      <c r="AG112" s="322" t="n">
        <f aca="false">IFERROR(INDEX('[3]Lookup_Rem Ranges'!$F$1:$F$1048576,MATCH($AL:$AL,'[3]Lookup_Rem Ranges'!$C$1:$C$1048576,0)),)</f>
        <v>87700</v>
      </c>
      <c r="AH112" s="317" t="s">
        <v>291</v>
      </c>
      <c r="AI112" s="319"/>
      <c r="AJ112" s="323" t="n">
        <v>0</v>
      </c>
      <c r="AK112" s="316"/>
      <c r="AL112" s="324" t="str">
        <f aca="false">CONCATENATE(AM112,"",AN112)</f>
        <v>GI3</v>
      </c>
      <c r="AM112" s="324" t="s">
        <v>312</v>
      </c>
      <c r="AN112" s="319" t="n">
        <v>3</v>
      </c>
      <c r="AO112" s="316" t="s">
        <v>321</v>
      </c>
      <c r="AP112" s="325" t="n">
        <v>108200</v>
      </c>
      <c r="AQ112" s="322" t="n">
        <f aca="false">ROUND(IF($P:$P&gt;1,$AP:$AP*1,$AP:$AP*$P:$P),0)</f>
        <v>108200</v>
      </c>
      <c r="AR112" s="322" t="n">
        <f aca="false">IF(BA112="Yes",AP112,0)</f>
        <v>108200</v>
      </c>
      <c r="AS112" s="326" t="n">
        <v>0.0304761904761905</v>
      </c>
      <c r="AT112" s="326" t="n">
        <v>0</v>
      </c>
      <c r="AU112" s="327"/>
      <c r="AV112" s="322"/>
      <c r="AW112" s="328" t="n">
        <v>0</v>
      </c>
      <c r="AX112" s="322" t="n">
        <v>0</v>
      </c>
      <c r="AY112" s="322" t="n">
        <v>108200</v>
      </c>
      <c r="AZ112" s="329" t="n">
        <f aca="false">IFERROR(($AY:$AY+$AJ:$AJ+$AK:$AK)/$AF:$AF,0)</f>
        <v>1.41808650065531</v>
      </c>
      <c r="BA112" s="330" t="s">
        <v>293</v>
      </c>
      <c r="BB112" s="331" t="n">
        <v>3</v>
      </c>
      <c r="BC112" s="326" t="n">
        <f aca="false">IFERROR($BD:$BD/$AY:$AY,0)</f>
        <v>0</v>
      </c>
      <c r="BD112" s="332" t="n">
        <f aca="false">ROUND(IF($AY:$AY&lt;$AE:$AE,$AE:$AE-$AY:$AY,0),0)</f>
        <v>0</v>
      </c>
      <c r="BE112" s="333" t="n">
        <v>0</v>
      </c>
      <c r="BF112" s="334" t="n">
        <f aca="false">ROUND($AR:$AR*$BE:$BE,0)</f>
        <v>0</v>
      </c>
      <c r="BG112" s="335" t="n">
        <v>0</v>
      </c>
      <c r="BH112" s="336" t="n">
        <f aca="false">ROUND($AR:$AR*$BG:$BG,0)</f>
        <v>0</v>
      </c>
      <c r="BI112" s="333" t="n">
        <v>0.0325</v>
      </c>
      <c r="BJ112" s="334" t="n">
        <f aca="false">ROUND($AR:$AR*$BI:$BI,0)</f>
        <v>3517</v>
      </c>
      <c r="BK112" s="334" t="n">
        <f aca="false">ROUND(IF($P:$P&gt;1,$BJ:$BJ*1,$BJ:$BJ*$P:$P),0)</f>
        <v>3517</v>
      </c>
      <c r="BL112" s="337"/>
      <c r="BM112" s="338" t="n">
        <f aca="false">$BC:$BC+$BE:$BE+$BG:$BG</f>
        <v>0</v>
      </c>
      <c r="BN112" s="339" t="n">
        <f aca="false">$BD:$BD+$BF:$BF+$BH:$BH</f>
        <v>0</v>
      </c>
      <c r="BO112" s="340" t="n">
        <f aca="false">IFERROR(ROUND($AY:$AY+$BN:$BN,0),0)</f>
        <v>108200</v>
      </c>
      <c r="BP112" s="341" t="n">
        <f aca="false">ROUND(IF(SUM($BO:$BO&lt;249080),SUM(ROUND($BO:$BO*11%,0)),27398.8),0)</f>
        <v>11902</v>
      </c>
      <c r="BQ112" s="342" t="n">
        <f aca="false">$BO:$BO+$BP:$BP</f>
        <v>120102</v>
      </c>
      <c r="BR112" s="329" t="n">
        <f aca="false">IFERROR(($BO:$BO+$AJ:$AJ+$AK:$AK)/$AF:$AF,0)</f>
        <v>1.41808650065531</v>
      </c>
      <c r="BS112" s="343" t="n">
        <f aca="false">IF($N:$N="CASUAL","TBC",ROUND($BN:$BN/(NETWORKDAYS("01/07/2023","30/06/2024"))*NETWORKDAYS("10/07/2023","04/09/2023"),0)*$P:$P)</f>
        <v>0</v>
      </c>
      <c r="BT112" s="326" t="n">
        <f aca="false">$BM112+$BI112</f>
        <v>0.0325</v>
      </c>
      <c r="BU112" s="332" t="n">
        <f aca="false">$BN:$BN+$BJ:$BJ</f>
        <v>3517</v>
      </c>
      <c r="BV112" s="342" t="n">
        <f aca="false">$BO:$BO*$P:$P</f>
        <v>108200</v>
      </c>
      <c r="BW112" s="344" t="n">
        <f aca="false">ROUND($BO:$BO/1976,2)</f>
        <v>54.76</v>
      </c>
      <c r="BX112" s="316"/>
      <c r="BY112" s="342" t="n">
        <f aca="false">$BQ:$BQ+$BX:$BX</f>
        <v>120102</v>
      </c>
      <c r="BZ112" s="345" t="s">
        <v>293</v>
      </c>
      <c r="CA112" s="316" t="s">
        <v>870</v>
      </c>
      <c r="CB112" s="316" t="s">
        <v>871</v>
      </c>
      <c r="CC112" s="324" t="str">
        <f aca="false">CONCATENATE(CD112,"",CE112)</f>
        <v>GI6</v>
      </c>
      <c r="CD112" s="319" t="s">
        <v>312</v>
      </c>
      <c r="CE112" s="319" t="n">
        <v>6</v>
      </c>
      <c r="CF112" s="322" t="n">
        <f aca="false">IFERROR(INDEX('[4]Lookup_Rem Ranges'!$D$1:$D$1048576,MATCH($CC:$CC,'[4]Lookup_Rem Ranges'!$C$1:$C$1048576,0)),"")</f>
        <v>114200</v>
      </c>
      <c r="CG112" s="346" t="n">
        <v>44970</v>
      </c>
      <c r="CH112" s="346"/>
      <c r="CI112" s="347" t="n">
        <v>120000</v>
      </c>
      <c r="CJ112" s="348" t="n">
        <v>0</v>
      </c>
      <c r="CK112" s="342" t="n">
        <f aca="false">IFERROR(ROUND($CI:$CI*$CJ:$CJ,0),0)</f>
        <v>0</v>
      </c>
      <c r="CL112" s="342" t="n">
        <f aca="false">$CI:$CI+$CK:$CK</f>
        <v>120000</v>
      </c>
      <c r="CM112" s="349"/>
      <c r="CN112" s="350" t="n">
        <f aca="false">IF(SUM($CL:$CL&lt;249080),SUM(ROUND($CL:$CL*11%,0)),27398.8)</f>
        <v>13200</v>
      </c>
      <c r="CO112" s="350" t="s">
        <v>862</v>
      </c>
      <c r="CP112" s="351" t="n">
        <f aca="false">IF(BA112="Yes",3.25%,0)</f>
        <v>0.0325</v>
      </c>
      <c r="CQ112" s="352" t="n">
        <f aca="false">ROUND(AR112*CP112,0)</f>
        <v>3517</v>
      </c>
      <c r="CR112" s="353" t="n">
        <f aca="false">IF($AW:$AW&lt;3.25%,$AW:$AW,3.25%)</f>
        <v>0</v>
      </c>
      <c r="CS112" s="354" t="n">
        <f aca="false">ROUND($AR:$AR*$CR:$CR,0)</f>
        <v>0</v>
      </c>
      <c r="CT112" s="353" t="n">
        <f aca="false">IF($AW:$AW&gt;=3.25%,$AW:$AW-$CR:$CR,0)</f>
        <v>0</v>
      </c>
      <c r="CU112" s="354" t="n">
        <f aca="false">ROUND($AR:$AR*$CT:$CT,0)</f>
        <v>0</v>
      </c>
      <c r="CV112" s="353" t="n">
        <f aca="false">IF($CR:$CR=3.25%,0,IF($BC:$BC&lt;3.25%,$BC:$BC,IF($BC:$BC&gt;3.25%,3.25%-$CR:$CR,0)))</f>
        <v>0</v>
      </c>
      <c r="CW112" s="354" t="n">
        <f aca="false">IFERROR(ROUND($AY:$AY*$CV:$CV,0),0)</f>
        <v>0</v>
      </c>
      <c r="CX112" s="353" t="n">
        <f aca="false">IF($CV:$CV=0,$BC:$BC,BC:BC-$CV:$CV)</f>
        <v>0</v>
      </c>
      <c r="CY112" s="354" t="n">
        <f aca="false">IFERROR(ROUND($AY:$AY*$CX:$CX,0),0)</f>
        <v>0</v>
      </c>
      <c r="CZ112" s="353" t="n">
        <f aca="false">$CR:$CR+$CT:CT+$CV:$CV+$CX:$CX</f>
        <v>0</v>
      </c>
      <c r="DA112" s="353" t="n">
        <f aca="false">(SUM($AW:$AW+$BC:$BC)-$CZ:$CZ)</f>
        <v>0</v>
      </c>
      <c r="DB112" s="353"/>
      <c r="DC112" s="353" t="n">
        <f aca="false">$BE:$BE</f>
        <v>0</v>
      </c>
      <c r="DD112" s="354" t="n">
        <f aca="false">$BF:$BF</f>
        <v>0</v>
      </c>
      <c r="DE112" s="355" t="n">
        <f aca="false">$BI:$BI</f>
        <v>0.0325</v>
      </c>
      <c r="DF112" s="354" t="n">
        <f aca="false">$BJ:$BJ</f>
        <v>3517</v>
      </c>
      <c r="DG112" s="355" t="n">
        <f aca="false">$BG:$BG</f>
        <v>0</v>
      </c>
      <c r="DH112" s="354" t="n">
        <f aca="false">IFERROR(ROUND($AP:$AP*$DG:$DG,0),0)</f>
        <v>0</v>
      </c>
      <c r="DI112" s="353" t="n">
        <f aca="false">$CR:$CR+$CV:$CV+$DC:$DC+$DE:$DE+$DG:$DG</f>
        <v>0.0325</v>
      </c>
      <c r="DJ112" s="354" t="n">
        <f aca="false">$CS:$CS+$CW:$CW+$DD:$DD+$DF:$DF+$DH:$DH</f>
        <v>3517</v>
      </c>
      <c r="DK112" s="353" t="n">
        <f aca="false">$CT:$CT+$CX:$CX</f>
        <v>0</v>
      </c>
      <c r="DL112" s="354" t="n">
        <f aca="false">$CU:$CU+$CY:$CY</f>
        <v>0</v>
      </c>
      <c r="DM112" s="356"/>
      <c r="DN112" s="357"/>
      <c r="DO112" s="357"/>
      <c r="DP112" s="357"/>
      <c r="DQ112" s="357"/>
      <c r="DR112" s="357"/>
      <c r="DS112" s="357"/>
      <c r="DT112" s="357"/>
      <c r="DU112" s="357"/>
      <c r="DV112" s="357"/>
      <c r="DW112" s="357" t="s">
        <v>744</v>
      </c>
    </row>
    <row r="113" customFormat="false" ht="24" hidden="false" customHeight="false" outlineLevel="0" collapsed="false">
      <c r="A113" s="314"/>
      <c r="B113" s="315" t="s">
        <v>273</v>
      </c>
      <c r="C113" s="315" t="s">
        <v>872</v>
      </c>
      <c r="D113" s="315" t="n">
        <v>21411</v>
      </c>
      <c r="E113" s="316" t="s">
        <v>461</v>
      </c>
      <c r="F113" s="316" t="s">
        <v>637</v>
      </c>
      <c r="G113" s="316" t="s">
        <v>300</v>
      </c>
      <c r="H113" s="317" t="s">
        <v>873</v>
      </c>
      <c r="I113" s="316" t="s">
        <v>874</v>
      </c>
      <c r="J113" s="316" t="s">
        <v>875</v>
      </c>
      <c r="K113" s="318" t="n">
        <v>44841</v>
      </c>
      <c r="L113" s="318"/>
      <c r="M113" s="318" t="n">
        <v>44841</v>
      </c>
      <c r="N113" s="319" t="s">
        <v>424</v>
      </c>
      <c r="O113" s="319" t="n">
        <v>38</v>
      </c>
      <c r="P113" s="320" t="n">
        <f aca="false">$O:$O/38</f>
        <v>1</v>
      </c>
      <c r="Q113" s="316" t="s">
        <v>332</v>
      </c>
      <c r="R113" s="316" t="n">
        <v>20741</v>
      </c>
      <c r="S113" s="316" t="s">
        <v>869</v>
      </c>
      <c r="T113" s="316" t="s">
        <v>344</v>
      </c>
      <c r="U113" s="316" t="s">
        <v>345</v>
      </c>
      <c r="V113" s="317" t="s">
        <v>58</v>
      </c>
      <c r="W113" s="317" t="s">
        <v>60</v>
      </c>
      <c r="X113" s="317" t="s">
        <v>286</v>
      </c>
      <c r="Y113" s="360" t="s">
        <v>287</v>
      </c>
      <c r="Z113" s="317" t="s">
        <v>848</v>
      </c>
      <c r="AA113" s="317" t="s">
        <v>345</v>
      </c>
      <c r="AB113" s="321" t="s">
        <v>849</v>
      </c>
      <c r="AC113" s="317" t="s">
        <v>289</v>
      </c>
      <c r="AD113" s="360" t="s">
        <v>290</v>
      </c>
      <c r="AE113" s="322" t="n">
        <f aca="false">IFERROR(INDEX('[3]Lookup_Rem Ranges'!$D$1:$D$1048576,MATCH($AL:$AL,'[3]Lookup_Rem Ranges'!$C$1:$C$1048576,0)),0)</f>
        <v>114200</v>
      </c>
      <c r="AF113" s="322" t="n">
        <f aca="false">IFERROR(INDEX('[3]Lookup_Rem Ranges'!$E$1:$E$1048576,MATCH($AL:$AL,'[3]Lookup_Rem Ranges'!$C$1:$C$1048576,0)),0)</f>
        <v>134400</v>
      </c>
      <c r="AG113" s="322" t="n">
        <f aca="false">IFERROR(INDEX('[3]Lookup_Rem Ranges'!$F$1:$F$1048576,MATCH($AL:$AL,'[3]Lookup_Rem Ranges'!$C$1:$C$1048576,0)),)</f>
        <v>154600</v>
      </c>
      <c r="AH113" s="317" t="s">
        <v>426</v>
      </c>
      <c r="AI113" s="319"/>
      <c r="AJ113" s="323" t="n">
        <v>0</v>
      </c>
      <c r="AK113" s="316"/>
      <c r="AL113" s="324" t="str">
        <f aca="false">CONCATENATE(AM113,"",AN113)</f>
        <v>GI6</v>
      </c>
      <c r="AM113" s="324" t="s">
        <v>312</v>
      </c>
      <c r="AN113" s="319" t="n">
        <v>6</v>
      </c>
      <c r="AO113" s="316"/>
      <c r="AP113" s="325" t="n">
        <v>197600</v>
      </c>
      <c r="AQ113" s="322" t="n">
        <f aca="false">ROUND(IF($P:$P&gt;1,$AP:$AP*1,$AP:$AP*$P:$P),0)</f>
        <v>197600</v>
      </c>
      <c r="AR113" s="322" t="n">
        <f aca="false">IF(BA113="Yes",AP113,0)</f>
        <v>197600</v>
      </c>
      <c r="AS113" s="326" t="s">
        <v>339</v>
      </c>
      <c r="AT113" s="326" t="n">
        <v>0</v>
      </c>
      <c r="AU113" s="327"/>
      <c r="AV113" s="322"/>
      <c r="AW113" s="328" t="n">
        <v>0</v>
      </c>
      <c r="AX113" s="322" t="n">
        <v>0</v>
      </c>
      <c r="AY113" s="322" t="n">
        <v>197600</v>
      </c>
      <c r="AZ113" s="329" t="n">
        <f aca="false">IFERROR(($AY:$AY+$AJ:$AJ+$AK:$AK)/$AF:$AF,0)</f>
        <v>1.4702380952381</v>
      </c>
      <c r="BA113" s="330" t="s">
        <v>293</v>
      </c>
      <c r="BB113" s="331" t="n">
        <v>3</v>
      </c>
      <c r="BC113" s="326" t="n">
        <f aca="false">IFERROR($BD:$BD/$AY:$AY,0)</f>
        <v>0</v>
      </c>
      <c r="BD113" s="332" t="n">
        <f aca="false">ROUND(IF($AY:$AY&lt;$AE:$AE,$AE:$AE-$AY:$AY,0),0)</f>
        <v>0</v>
      </c>
      <c r="BE113" s="333" t="n">
        <v>0</v>
      </c>
      <c r="BF113" s="334" t="n">
        <f aca="false">ROUND($AR:$AR*$BE:$BE,0)</f>
        <v>0</v>
      </c>
      <c r="BG113" s="335" t="n">
        <v>0</v>
      </c>
      <c r="BH113" s="336" t="n">
        <f aca="false">ROUND($AR:$AR*$BG:$BG,0)</f>
        <v>0</v>
      </c>
      <c r="BI113" s="333" t="n">
        <v>0.0325</v>
      </c>
      <c r="BJ113" s="334" t="n">
        <f aca="false">ROUND($AR:$AR*$BI:$BI,0)</f>
        <v>6422</v>
      </c>
      <c r="BK113" s="334" t="n">
        <f aca="false">ROUND(IF($P:$P&gt;1,$BJ:$BJ*1,$BJ:$BJ*$P:$P),0)</f>
        <v>6422</v>
      </c>
      <c r="BL113" s="337"/>
      <c r="BM113" s="338" t="n">
        <f aca="false">$BC:$BC+$BE:$BE+$BG:$BG</f>
        <v>0</v>
      </c>
      <c r="BN113" s="339" t="n">
        <f aca="false">$BD:$BD+$BF:$BF+$BH:$BH</f>
        <v>0</v>
      </c>
      <c r="BO113" s="340" t="n">
        <f aca="false">IFERROR(ROUND($AY:$AY+$BN:$BN,0),0)</f>
        <v>197600</v>
      </c>
      <c r="BP113" s="341" t="n">
        <f aca="false">ROUND(IF(SUM($BO:$BO&lt;249080),SUM(ROUND($BO:$BO*11%,0)),27398.8),0)</f>
        <v>21736</v>
      </c>
      <c r="BQ113" s="342" t="n">
        <f aca="false">$BO:$BO+$BP:$BP</f>
        <v>219336</v>
      </c>
      <c r="BR113" s="329" t="n">
        <f aca="false">IFERROR(($BO:$BO+$AJ:$AJ+$AK:$AK)/$AF:$AF,0)</f>
        <v>1.4702380952381</v>
      </c>
      <c r="BS113" s="343" t="str">
        <f aca="false">IF($N:$N="CASUAL","TBC",ROUND($BN:$BN/(NETWORKDAYS("01/07/2023","30/06/2024"))*NETWORKDAYS("10/07/2023","04/09/2023"),0)*$P:$P)</f>
        <v>TBC</v>
      </c>
      <c r="BT113" s="326" t="n">
        <f aca="false">$BM113+$BI113</f>
        <v>0.0325</v>
      </c>
      <c r="BU113" s="332" t="n">
        <f aca="false">$BN:$BN+$BJ:$BJ</f>
        <v>6422</v>
      </c>
      <c r="BV113" s="342" t="n">
        <f aca="false">$BO:$BO*$P:$P</f>
        <v>197600</v>
      </c>
      <c r="BW113" s="344" t="n">
        <f aca="false">ROUND($BO:$BO/1976,2)</f>
        <v>100</v>
      </c>
      <c r="BX113" s="316"/>
      <c r="BY113" s="342" t="n">
        <f aca="false">$BQ:$BQ+$BX:$BX</f>
        <v>219336</v>
      </c>
      <c r="BZ113" s="345" t="s">
        <v>294</v>
      </c>
      <c r="CA113" s="316"/>
      <c r="CB113" s="316"/>
      <c r="CC113" s="324" t="str">
        <f aca="false">CONCATENATE(CD113,"",CE113)</f>
        <v/>
      </c>
      <c r="CD113" s="319"/>
      <c r="CE113" s="319"/>
      <c r="CF113" s="322" t="str">
        <f aca="false">IFERROR(INDEX('[4]Lookup_Rem Ranges'!$D$1:$D$1048576,MATCH($CC:$CC,'[4]Lookup_Rem Ranges'!$C$1:$C$1048576,0)),"")</f>
        <v/>
      </c>
      <c r="CG113" s="318"/>
      <c r="CH113" s="318"/>
      <c r="CI113" s="361"/>
      <c r="CJ113" s="348"/>
      <c r="CK113" s="342" t="n">
        <f aca="false">IFERROR(ROUND($CI:$CI*$CJ:$CJ,0),0)</f>
        <v>0</v>
      </c>
      <c r="CL113" s="342" t="n">
        <f aca="false">$CI:$CI+$CK:$CK</f>
        <v>0</v>
      </c>
      <c r="CM113" s="349"/>
      <c r="CN113" s="350" t="n">
        <f aca="false">IF(SUM($CL:$CL&lt;249080),SUM(ROUND($CL:$CL*11%,0)),27398.8)</f>
        <v>0</v>
      </c>
      <c r="CO113" s="350" t="s">
        <v>862</v>
      </c>
      <c r="CP113" s="351" t="n">
        <f aca="false">IF(BA113="Yes",3.25%,0)</f>
        <v>0.0325</v>
      </c>
      <c r="CQ113" s="352" t="n">
        <f aca="false">ROUND(AR113*CP113,0)</f>
        <v>6422</v>
      </c>
      <c r="CR113" s="353" t="n">
        <f aca="false">IF($AW:$AW&lt;3.25%,$AW:$AW,3.25%)</f>
        <v>0</v>
      </c>
      <c r="CS113" s="354" t="n">
        <f aca="false">ROUND($AR:$AR*$CR:$CR,0)</f>
        <v>0</v>
      </c>
      <c r="CT113" s="353" t="n">
        <f aca="false">IF($AW:$AW&gt;=3.25%,$AW:$AW-$CR:$CR,0)</f>
        <v>0</v>
      </c>
      <c r="CU113" s="354" t="n">
        <f aca="false">ROUND($AR:$AR*$CT:$CT,0)</f>
        <v>0</v>
      </c>
      <c r="CV113" s="353" t="n">
        <f aca="false">IF($CR:$CR=3.25%,0,IF($BC:$BC&lt;3.25%,$BC:$BC,IF($BC:$BC&gt;3.25%,3.25%-$CR:$CR,0)))</f>
        <v>0</v>
      </c>
      <c r="CW113" s="354" t="n">
        <f aca="false">IFERROR(ROUND($AY:$AY*$CV:$CV,0),0)</f>
        <v>0</v>
      </c>
      <c r="CX113" s="353" t="n">
        <f aca="false">IF($CV:$CV=0,$BC:$BC,BC:BC-$CV:$CV)</f>
        <v>0</v>
      </c>
      <c r="CY113" s="354" t="n">
        <f aca="false">IFERROR(ROUND($AY:$AY*$CX:$CX,0),0)</f>
        <v>0</v>
      </c>
      <c r="CZ113" s="353" t="n">
        <f aca="false">$CR:$CR+$CT:CT+$CV:$CV+$CX:$CX</f>
        <v>0</v>
      </c>
      <c r="DA113" s="353" t="n">
        <f aca="false">(SUM($AW:$AW+$BC:$BC)-$CZ:$CZ)</f>
        <v>0</v>
      </c>
      <c r="DB113" s="353"/>
      <c r="DC113" s="353" t="n">
        <f aca="false">$BE:$BE</f>
        <v>0</v>
      </c>
      <c r="DD113" s="354" t="n">
        <f aca="false">$BF:$BF</f>
        <v>0</v>
      </c>
      <c r="DE113" s="355" t="n">
        <f aca="false">$BI:$BI</f>
        <v>0.0325</v>
      </c>
      <c r="DF113" s="354" t="n">
        <f aca="false">$BJ:$BJ</f>
        <v>6422</v>
      </c>
      <c r="DG113" s="355" t="n">
        <f aca="false">$BG:$BG</f>
        <v>0</v>
      </c>
      <c r="DH113" s="354" t="n">
        <f aca="false">IFERROR(ROUND($AP:$AP*$DG:$DG,0),0)</f>
        <v>0</v>
      </c>
      <c r="DI113" s="353" t="n">
        <f aca="false">$CR:$CR+$CV:$CV+$DC:$DC+$DE:$DE+$DG:$DG</f>
        <v>0.0325</v>
      </c>
      <c r="DJ113" s="354" t="n">
        <f aca="false">$CS:$CS+$CW:$CW+$DD:$DD+$DF:$DF+$DH:$DH</f>
        <v>6422</v>
      </c>
      <c r="DK113" s="353" t="n">
        <f aca="false">$CT:$CT+$CX:$CX</f>
        <v>0</v>
      </c>
      <c r="DL113" s="354" t="n">
        <f aca="false">$CU:$CU+$CY:$CY</f>
        <v>0</v>
      </c>
      <c r="DM113" s="356"/>
      <c r="DN113" s="357"/>
      <c r="DO113" s="357"/>
      <c r="DP113" s="357"/>
      <c r="DQ113" s="357"/>
      <c r="DR113" s="357"/>
      <c r="DS113" s="357"/>
      <c r="DT113" s="357"/>
      <c r="DU113" s="357"/>
      <c r="DV113" s="357"/>
      <c r="DW113" s="357" t="s">
        <v>744</v>
      </c>
    </row>
    <row r="114" customFormat="false" ht="24" hidden="false" customHeight="false" outlineLevel="0" collapsed="false">
      <c r="A114" s="314"/>
      <c r="B114" s="315" t="s">
        <v>273</v>
      </c>
      <c r="C114" s="315" t="s">
        <v>876</v>
      </c>
      <c r="D114" s="315" t="n">
        <v>21062</v>
      </c>
      <c r="E114" s="316" t="s">
        <v>877</v>
      </c>
      <c r="F114" s="316" t="s">
        <v>878</v>
      </c>
      <c r="G114" s="316" t="s">
        <v>300</v>
      </c>
      <c r="H114" s="317" t="s">
        <v>879</v>
      </c>
      <c r="I114" s="316" t="s">
        <v>846</v>
      </c>
      <c r="J114" s="316" t="s">
        <v>847</v>
      </c>
      <c r="K114" s="318" t="n">
        <v>44711</v>
      </c>
      <c r="L114" s="318"/>
      <c r="M114" s="318" t="n">
        <v>44711</v>
      </c>
      <c r="N114" s="319" t="s">
        <v>281</v>
      </c>
      <c r="O114" s="319" t="n">
        <v>38</v>
      </c>
      <c r="P114" s="320" t="n">
        <f aca="false">$O:$O/38</f>
        <v>1</v>
      </c>
      <c r="Q114" s="316" t="s">
        <v>332</v>
      </c>
      <c r="R114" s="316" t="n">
        <v>20741</v>
      </c>
      <c r="S114" s="316" t="s">
        <v>869</v>
      </c>
      <c r="T114" s="316" t="s">
        <v>344</v>
      </c>
      <c r="U114" s="316" t="s">
        <v>345</v>
      </c>
      <c r="V114" s="317" t="s">
        <v>58</v>
      </c>
      <c r="W114" s="317" t="s">
        <v>60</v>
      </c>
      <c r="X114" s="317" t="s">
        <v>286</v>
      </c>
      <c r="Y114" s="360" t="s">
        <v>287</v>
      </c>
      <c r="Z114" s="317" t="s">
        <v>848</v>
      </c>
      <c r="AA114" s="317" t="s">
        <v>345</v>
      </c>
      <c r="AB114" s="321" t="s">
        <v>849</v>
      </c>
      <c r="AC114" s="317" t="s">
        <v>289</v>
      </c>
      <c r="AD114" s="360" t="s">
        <v>290</v>
      </c>
      <c r="AE114" s="322" t="n">
        <f aca="false">IFERROR(INDEX('[3]Lookup_Rem Ranges'!$D$1:$D$1048576,MATCH($AL:$AL,'[3]Lookup_Rem Ranges'!$C$1:$C$1048576,0)),0)</f>
        <v>114200</v>
      </c>
      <c r="AF114" s="322" t="n">
        <f aca="false">IFERROR(INDEX('[3]Lookup_Rem Ranges'!$E$1:$E$1048576,MATCH($AL:$AL,'[3]Lookup_Rem Ranges'!$C$1:$C$1048576,0)),0)</f>
        <v>134400</v>
      </c>
      <c r="AG114" s="322" t="n">
        <f aca="false">IFERROR(INDEX('[3]Lookup_Rem Ranges'!$F$1:$F$1048576,MATCH($AL:$AL,'[3]Lookup_Rem Ranges'!$C$1:$C$1048576,0)),)</f>
        <v>154600</v>
      </c>
      <c r="AH114" s="317" t="s">
        <v>291</v>
      </c>
      <c r="AI114" s="319"/>
      <c r="AJ114" s="323" t="n">
        <v>0</v>
      </c>
      <c r="AK114" s="316"/>
      <c r="AL114" s="324" t="str">
        <f aca="false">CONCATENATE(AM114,"",AN114)</f>
        <v>GI6</v>
      </c>
      <c r="AM114" s="324" t="s">
        <v>312</v>
      </c>
      <c r="AN114" s="319" t="n">
        <v>6</v>
      </c>
      <c r="AO114" s="316"/>
      <c r="AP114" s="325" t="n">
        <v>130000</v>
      </c>
      <c r="AQ114" s="322" t="n">
        <f aca="false">ROUND(IF($P:$P&gt;1,$AP:$AP*1,$AP:$AP*$P:$P),0)</f>
        <v>130000</v>
      </c>
      <c r="AR114" s="322" t="n">
        <f aca="false">IF(BA114="Yes",AP114,0)</f>
        <v>130000</v>
      </c>
      <c r="AS114" s="326" t="n">
        <v>0</v>
      </c>
      <c r="AT114" s="326" t="n">
        <v>0</v>
      </c>
      <c r="AU114" s="327"/>
      <c r="AV114" s="322"/>
      <c r="AW114" s="328" t="n">
        <v>0</v>
      </c>
      <c r="AX114" s="322" t="n">
        <v>0</v>
      </c>
      <c r="AY114" s="322" t="n">
        <v>130000</v>
      </c>
      <c r="AZ114" s="329" t="n">
        <f aca="false">IFERROR(($AY:$AY+$AJ:$AJ+$AK:$AK)/$AF:$AF,0)</f>
        <v>0.967261904761905</v>
      </c>
      <c r="BA114" s="330" t="s">
        <v>293</v>
      </c>
      <c r="BB114" s="331" t="n">
        <v>4</v>
      </c>
      <c r="BC114" s="326" t="n">
        <f aca="false">IFERROR($BD:$BD/$AY:$AY,0)</f>
        <v>0</v>
      </c>
      <c r="BD114" s="332" t="n">
        <f aca="false">ROUND(IF($AY:$AY&lt;$AE:$AE,$AE:$AE-$AY:$AY,0),0)</f>
        <v>0</v>
      </c>
      <c r="BE114" s="333" t="n">
        <v>0.0325</v>
      </c>
      <c r="BF114" s="334" t="n">
        <f aca="false">ROUND($AR:$AR*$BE:$BE,0)</f>
        <v>4225</v>
      </c>
      <c r="BG114" s="335" t="n">
        <v>0</v>
      </c>
      <c r="BH114" s="336" t="n">
        <f aca="false">ROUND($AR:$AR*$BG:$BG,0)</f>
        <v>0</v>
      </c>
      <c r="BI114" s="333" t="n">
        <v>0</v>
      </c>
      <c r="BJ114" s="334" t="n">
        <f aca="false">ROUND($AR:$AR*$BI:$BI,0)</f>
        <v>0</v>
      </c>
      <c r="BK114" s="334" t="n">
        <f aca="false">ROUND(IF($P:$P&gt;1,$BJ:$BJ*1,$BJ:$BJ*$P:$P),0)</f>
        <v>0</v>
      </c>
      <c r="BL114" s="337"/>
      <c r="BM114" s="338" t="n">
        <f aca="false">$BC:$BC+$BE:$BE+$BG:$BG</f>
        <v>0.0325</v>
      </c>
      <c r="BN114" s="339" t="n">
        <f aca="false">$BD:$BD+$BF:$BF+$BH:$BH</f>
        <v>4225</v>
      </c>
      <c r="BO114" s="340" t="n">
        <f aca="false">IFERROR(ROUND($AY:$AY+$BN:$BN,0),0)</f>
        <v>134225</v>
      </c>
      <c r="BP114" s="341" t="n">
        <f aca="false">ROUND(IF(SUM($BO:$BO&lt;249080),SUM(ROUND($BO:$BO*11%,0)),27398.8),0)</f>
        <v>14765</v>
      </c>
      <c r="BQ114" s="342" t="n">
        <f aca="false">$BO:$BO+$BP:$BP</f>
        <v>148990</v>
      </c>
      <c r="BR114" s="329" t="n">
        <f aca="false">IFERROR(($BO:$BO+$AJ:$AJ+$AK:$AK)/$AF:$AF,0)</f>
        <v>0.998697916666667</v>
      </c>
      <c r="BS114" s="343" t="n">
        <f aca="false">IF($N:$N="CASUAL","TBC",ROUND($BN:$BN/(NETWORKDAYS("01/07/2023","30/06/2024"))*NETWORKDAYS("10/07/2023","04/09/2023"),0)*$P:$P)</f>
        <v>666</v>
      </c>
      <c r="BT114" s="326" t="n">
        <f aca="false">$BM114+$BI114</f>
        <v>0.0325</v>
      </c>
      <c r="BU114" s="332" t="n">
        <f aca="false">$BN:$BN+$BJ:$BJ</f>
        <v>4225</v>
      </c>
      <c r="BV114" s="342" t="n">
        <f aca="false">$BO:$BO*$P:$P</f>
        <v>134225</v>
      </c>
      <c r="BW114" s="344" t="n">
        <f aca="false">ROUND($BO:$BO/1976,2)</f>
        <v>67.93</v>
      </c>
      <c r="BX114" s="316"/>
      <c r="BY114" s="342" t="n">
        <f aca="false">$BQ:$BQ+$BX:$BX</f>
        <v>148990</v>
      </c>
      <c r="BZ114" s="345" t="s">
        <v>294</v>
      </c>
      <c r="CA114" s="316"/>
      <c r="CB114" s="316"/>
      <c r="CC114" s="324" t="str">
        <f aca="false">CONCATENATE(CD114,"",CE114)</f>
        <v/>
      </c>
      <c r="CD114" s="319"/>
      <c r="CE114" s="319"/>
      <c r="CF114" s="322" t="str">
        <f aca="false">IFERROR(INDEX('[4]Lookup_Rem Ranges'!$D$1:$D$1048576,MATCH($CC:$CC,'[4]Lookup_Rem Ranges'!$C$1:$C$1048576,0)),"")</f>
        <v/>
      </c>
      <c r="CG114" s="318"/>
      <c r="CH114" s="318"/>
      <c r="CI114" s="361"/>
      <c r="CJ114" s="348"/>
      <c r="CK114" s="342" t="n">
        <f aca="false">IFERROR(ROUND($CI:$CI*$CJ:$CJ,0),0)</f>
        <v>0</v>
      </c>
      <c r="CL114" s="342" t="n">
        <f aca="false">$CI:$CI+$CK:$CK</f>
        <v>0</v>
      </c>
      <c r="CM114" s="349"/>
      <c r="CN114" s="350" t="n">
        <f aca="false">IF(SUM($CL:$CL&lt;249080),SUM(ROUND($CL:$CL*11%,0)),27398.8)</f>
        <v>0</v>
      </c>
      <c r="CO114" s="350" t="s">
        <v>862</v>
      </c>
      <c r="CP114" s="351" t="n">
        <f aca="false">IF(BA114="Yes",3.25%,0)</f>
        <v>0.0325</v>
      </c>
      <c r="CQ114" s="352" t="n">
        <f aca="false">ROUND(AR114*CP114,0)</f>
        <v>4225</v>
      </c>
      <c r="CR114" s="353" t="n">
        <f aca="false">IF($AW:$AW&lt;3.25%,$AW:$AW,3.25%)</f>
        <v>0</v>
      </c>
      <c r="CS114" s="354" t="n">
        <f aca="false">ROUND($AR:$AR*$CR:$CR,0)</f>
        <v>0</v>
      </c>
      <c r="CT114" s="353" t="n">
        <f aca="false">IF($AW:$AW&gt;=3.25%,$AW:$AW-$CR:$CR,0)</f>
        <v>0</v>
      </c>
      <c r="CU114" s="354" t="n">
        <f aca="false">ROUND($AR:$AR*$CT:$CT,0)</f>
        <v>0</v>
      </c>
      <c r="CV114" s="353" t="n">
        <f aca="false">IF($CR:$CR=3.25%,0,IF($BC:$BC&lt;3.25%,$BC:$BC,IF($BC:$BC&gt;3.25%,3.25%-$CR:$CR,0)))</f>
        <v>0</v>
      </c>
      <c r="CW114" s="354" t="n">
        <f aca="false">IFERROR(ROUND($AY:$AY*$CV:$CV,0),0)</f>
        <v>0</v>
      </c>
      <c r="CX114" s="353" t="n">
        <f aca="false">IF($CV:$CV=0,$BC:$BC,BC:BC-$CV:$CV)</f>
        <v>0</v>
      </c>
      <c r="CY114" s="354" t="n">
        <f aca="false">IFERROR(ROUND($AY:$AY*$CX:$CX,0),0)</f>
        <v>0</v>
      </c>
      <c r="CZ114" s="353" t="n">
        <f aca="false">$CR:$CR+$CT:CT+$CV:$CV+$CX:$CX</f>
        <v>0</v>
      </c>
      <c r="DA114" s="353" t="n">
        <f aca="false">(SUM($AW:$AW+$BC:$BC)-$CZ:$CZ)</f>
        <v>0</v>
      </c>
      <c r="DB114" s="353"/>
      <c r="DC114" s="353" t="n">
        <f aca="false">$BE:$BE</f>
        <v>0.0325</v>
      </c>
      <c r="DD114" s="354" t="n">
        <f aca="false">$BF:$BF</f>
        <v>4225</v>
      </c>
      <c r="DE114" s="355" t="n">
        <f aca="false">$BI:$BI</f>
        <v>0</v>
      </c>
      <c r="DF114" s="354" t="n">
        <f aca="false">$BJ:$BJ</f>
        <v>0</v>
      </c>
      <c r="DG114" s="355" t="n">
        <f aca="false">$BG:$BG</f>
        <v>0</v>
      </c>
      <c r="DH114" s="354" t="n">
        <f aca="false">IFERROR(ROUND($AP:$AP*$DG:$DG,0),0)</f>
        <v>0</v>
      </c>
      <c r="DI114" s="353" t="n">
        <f aca="false">$CR:$CR+$CV:$CV+$DC:$DC+$DE:$DE+$DG:$DG</f>
        <v>0.0325</v>
      </c>
      <c r="DJ114" s="354" t="n">
        <f aca="false">$CS:$CS+$CW:$CW+$DD:$DD+$DF:$DF+$DH:$DH</f>
        <v>4225</v>
      </c>
      <c r="DK114" s="353" t="n">
        <f aca="false">$CT:$CT+$CX:$CX</f>
        <v>0</v>
      </c>
      <c r="DL114" s="354" t="n">
        <f aca="false">$CU:$CU+$CY:$CY</f>
        <v>0</v>
      </c>
      <c r="DM114" s="356"/>
      <c r="DN114" s="357"/>
      <c r="DO114" s="357"/>
      <c r="DP114" s="357"/>
      <c r="DQ114" s="357"/>
      <c r="DR114" s="357"/>
      <c r="DS114" s="357"/>
      <c r="DT114" s="357"/>
      <c r="DU114" s="357"/>
      <c r="DV114" s="357"/>
      <c r="DW114" s="357" t="s">
        <v>744</v>
      </c>
    </row>
    <row r="115" customFormat="false" ht="24" hidden="false" customHeight="false" outlineLevel="0" collapsed="false">
      <c r="A115" s="314"/>
      <c r="B115" s="315" t="s">
        <v>273</v>
      </c>
      <c r="C115" s="315" t="s">
        <v>880</v>
      </c>
      <c r="D115" s="315" t="n">
        <v>8450</v>
      </c>
      <c r="E115" s="316" t="s">
        <v>761</v>
      </c>
      <c r="F115" s="316" t="s">
        <v>881</v>
      </c>
      <c r="G115" s="316" t="s">
        <v>277</v>
      </c>
      <c r="H115" s="317" t="s">
        <v>776</v>
      </c>
      <c r="I115" s="316" t="s">
        <v>882</v>
      </c>
      <c r="J115" s="316" t="s">
        <v>883</v>
      </c>
      <c r="K115" s="318" t="n">
        <v>39456</v>
      </c>
      <c r="L115" s="318"/>
      <c r="M115" s="318" t="n">
        <v>44537</v>
      </c>
      <c r="N115" s="319" t="s">
        <v>281</v>
      </c>
      <c r="O115" s="319" t="n">
        <v>38</v>
      </c>
      <c r="P115" s="320" t="n">
        <f aca="false">$O:$O/38</f>
        <v>1</v>
      </c>
      <c r="Q115" s="316" t="s">
        <v>332</v>
      </c>
      <c r="R115" s="316" t="n">
        <v>20741</v>
      </c>
      <c r="S115" s="316" t="s">
        <v>869</v>
      </c>
      <c r="T115" s="316" t="s">
        <v>344</v>
      </c>
      <c r="U115" s="316" t="s">
        <v>345</v>
      </c>
      <c r="V115" s="317" t="s">
        <v>58</v>
      </c>
      <c r="W115" s="317" t="s">
        <v>60</v>
      </c>
      <c r="X115" s="317" t="s">
        <v>286</v>
      </c>
      <c r="Y115" s="360" t="s">
        <v>287</v>
      </c>
      <c r="Z115" s="317" t="s">
        <v>848</v>
      </c>
      <c r="AA115" s="317" t="s">
        <v>345</v>
      </c>
      <c r="AB115" s="321" t="s">
        <v>849</v>
      </c>
      <c r="AC115" s="317" t="s">
        <v>289</v>
      </c>
      <c r="AD115" s="360" t="s">
        <v>290</v>
      </c>
      <c r="AE115" s="322" t="n">
        <f aca="false">IFERROR(INDEX('[3]Lookup_Rem Ranges'!$D$1:$D$1048576,MATCH($AL:$AL,'[3]Lookup_Rem Ranges'!$C$1:$C$1048576,0)),0)</f>
        <v>83400</v>
      </c>
      <c r="AF115" s="322" t="n">
        <f aca="false">IFERROR(INDEX('[3]Lookup_Rem Ranges'!$E$1:$E$1048576,MATCH($AL:$AL,'[3]Lookup_Rem Ranges'!$C$1:$C$1048576,0)),0)</f>
        <v>98100</v>
      </c>
      <c r="AG115" s="322" t="n">
        <f aca="false">IFERROR(INDEX('[3]Lookup_Rem Ranges'!$F$1:$F$1048576,MATCH($AL:$AL,'[3]Lookup_Rem Ranges'!$C$1:$C$1048576,0)),)</f>
        <v>112800</v>
      </c>
      <c r="AH115" s="317" t="s">
        <v>291</v>
      </c>
      <c r="AI115" s="319"/>
      <c r="AJ115" s="323" t="n">
        <v>0</v>
      </c>
      <c r="AK115" s="316"/>
      <c r="AL115" s="324" t="str">
        <f aca="false">CONCATENATE(AM115,"",AN115)</f>
        <v>CASS5</v>
      </c>
      <c r="AM115" s="324" t="s">
        <v>292</v>
      </c>
      <c r="AN115" s="319" t="n">
        <v>5</v>
      </c>
      <c r="AO115" s="316" t="s">
        <v>698</v>
      </c>
      <c r="AP115" s="325" t="n">
        <v>94200</v>
      </c>
      <c r="AQ115" s="322" t="n">
        <f aca="false">ROUND(IF($P:$P&gt;1,$AP:$AP*1,$AP:$AP*$P:$P),0)</f>
        <v>94200</v>
      </c>
      <c r="AR115" s="322" t="n">
        <f aca="false">IF(BA115="Yes",AP115,0)</f>
        <v>0</v>
      </c>
      <c r="AS115" s="326" t="n">
        <v>0.0351648351648352</v>
      </c>
      <c r="AT115" s="326" t="n">
        <v>0</v>
      </c>
      <c r="AU115" s="327"/>
      <c r="AV115" s="322"/>
      <c r="AW115" s="328" t="n">
        <v>0</v>
      </c>
      <c r="AX115" s="322" t="n">
        <v>0</v>
      </c>
      <c r="AY115" s="322" t="n">
        <v>94200</v>
      </c>
      <c r="AZ115" s="329" t="n">
        <f aca="false">IFERROR(($AY:$AY+$AJ:$AJ+$AK:$AK)/$AF:$AF,0)</f>
        <v>0.960244648318043</v>
      </c>
      <c r="BA115" s="330" t="s">
        <v>294</v>
      </c>
      <c r="BB115" s="331" t="n">
        <v>3</v>
      </c>
      <c r="BC115" s="326" t="n">
        <f aca="false">IFERROR($BD:$BD/$AY:$AY,0)</f>
        <v>0</v>
      </c>
      <c r="BD115" s="332" t="n">
        <f aca="false">ROUND(IF($AY:$AY&lt;$AE:$AE,$AE:$AE-$AY:$AY,0),0)</f>
        <v>0</v>
      </c>
      <c r="BE115" s="333" t="n">
        <v>0</v>
      </c>
      <c r="BF115" s="334" t="n">
        <f aca="false">ROUND($AR:$AR*$BE:$BE,0)</f>
        <v>0</v>
      </c>
      <c r="BG115" s="335" t="n">
        <v>0</v>
      </c>
      <c r="BH115" s="336" t="n">
        <f aca="false">ROUND($AR:$AR*$BG:$BG,0)</f>
        <v>0</v>
      </c>
      <c r="BI115" s="333" t="n">
        <v>0</v>
      </c>
      <c r="BJ115" s="334" t="n">
        <f aca="false">ROUND($AR:$AR*$BI:$BI,0)</f>
        <v>0</v>
      </c>
      <c r="BK115" s="334" t="n">
        <f aca="false">ROUND(IF($P:$P&gt;1,$BJ:$BJ*1,$BJ:$BJ*$P:$P),0)</f>
        <v>0</v>
      </c>
      <c r="BL115" s="337"/>
      <c r="BM115" s="338" t="n">
        <f aca="false">$BC:$BC+$BE:$BE+$BG:$BG</f>
        <v>0</v>
      </c>
      <c r="BN115" s="339" t="n">
        <f aca="false">$BD:$BD+$BF:$BF+$BH:$BH</f>
        <v>0</v>
      </c>
      <c r="BO115" s="340" t="n">
        <f aca="false">IFERROR(ROUND($AY:$AY+$BN:$BN,0),0)</f>
        <v>94200</v>
      </c>
      <c r="BP115" s="341" t="n">
        <f aca="false">ROUND(IF(SUM($BO:$BO&lt;249080),SUM(ROUND($BO:$BO*11%,0)),27398.8),0)</f>
        <v>10362</v>
      </c>
      <c r="BQ115" s="342" t="n">
        <f aca="false">$BO:$BO+$BP:$BP</f>
        <v>104562</v>
      </c>
      <c r="BR115" s="329" t="n">
        <f aca="false">IFERROR(($BO:$BO+$AJ:$AJ+$AK:$AK)/$AF:$AF,0)</f>
        <v>0.960244648318043</v>
      </c>
      <c r="BS115" s="343" t="n">
        <f aca="false">IF($N:$N="CASUAL","TBC",ROUND($BN:$BN/(NETWORKDAYS("01/07/2023","30/06/2024"))*NETWORKDAYS("10/07/2023","04/09/2023"),0)*$P:$P)</f>
        <v>0</v>
      </c>
      <c r="BT115" s="326" t="n">
        <f aca="false">$BM115+$BI115</f>
        <v>0</v>
      </c>
      <c r="BU115" s="332" t="n">
        <f aca="false">$BN:$BN+$BJ:$BJ</f>
        <v>0</v>
      </c>
      <c r="BV115" s="342" t="n">
        <f aca="false">$BO:$BO*$P:$P</f>
        <v>94200</v>
      </c>
      <c r="BW115" s="344" t="n">
        <f aca="false">ROUND($BO:$BO/1976,2)</f>
        <v>47.67</v>
      </c>
      <c r="BX115" s="316"/>
      <c r="BY115" s="342" t="n">
        <f aca="false">$BQ:$BQ+$BX:$BX</f>
        <v>104562</v>
      </c>
      <c r="BZ115" s="345" t="s">
        <v>293</v>
      </c>
      <c r="CA115" s="316" t="s">
        <v>867</v>
      </c>
      <c r="CB115" s="316" t="s">
        <v>884</v>
      </c>
      <c r="CC115" s="324" t="str">
        <f aca="false">CONCATENATE(CD115,"",CE115)</f>
        <v>GI3</v>
      </c>
      <c r="CD115" s="319" t="s">
        <v>312</v>
      </c>
      <c r="CE115" s="319" t="n">
        <v>3</v>
      </c>
      <c r="CF115" s="322" t="n">
        <f aca="false">IFERROR(INDEX('[4]Lookup_Rem Ranges'!$D$1:$D$1048576,MATCH($CC:$CC,'[4]Lookup_Rem Ranges'!$C$1:$C$1048576,0)),"")</f>
        <v>64900</v>
      </c>
      <c r="CG115" s="318" t="n">
        <v>44977</v>
      </c>
      <c r="CH115" s="318"/>
      <c r="CI115" s="361" t="n">
        <v>97500</v>
      </c>
      <c r="CJ115" s="348" t="n">
        <v>0</v>
      </c>
      <c r="CK115" s="342" t="n">
        <f aca="false">IFERROR(ROUND($CI:$CI*$CJ:$CJ,0),0)</f>
        <v>0</v>
      </c>
      <c r="CL115" s="342" t="n">
        <f aca="false">$CI:$CI+$CK:$CK</f>
        <v>97500</v>
      </c>
      <c r="CM115" s="349"/>
      <c r="CN115" s="350" t="n">
        <f aca="false">IF(SUM($CL:$CL&lt;249080),SUM(ROUND($CL:$CL*11%,0)),27398.8)</f>
        <v>10725</v>
      </c>
      <c r="CO115" s="350" t="s">
        <v>862</v>
      </c>
      <c r="CP115" s="351" t="n">
        <f aca="false">IF(BA115="Yes",3.25%,0)</f>
        <v>0</v>
      </c>
      <c r="CQ115" s="352" t="n">
        <f aca="false">ROUND(AR115*CP115,0)</f>
        <v>0</v>
      </c>
      <c r="CR115" s="353" t="n">
        <f aca="false">IF($AW:$AW&lt;3.25%,$AW:$AW,3.25%)</f>
        <v>0</v>
      </c>
      <c r="CS115" s="354" t="n">
        <f aca="false">ROUND($AR:$AR*$CR:$CR,0)</f>
        <v>0</v>
      </c>
      <c r="CT115" s="353" t="n">
        <f aca="false">IF($AW:$AW&gt;=3.25%,$AW:$AW-$CR:$CR,0)</f>
        <v>0</v>
      </c>
      <c r="CU115" s="354" t="n">
        <f aca="false">ROUND($AR:$AR*$CT:$CT,0)</f>
        <v>0</v>
      </c>
      <c r="CV115" s="353" t="n">
        <f aca="false">IF($CR:$CR=3.25%,0,IF($BC:$BC&lt;3.25%,$BC:$BC,IF($BC:$BC&gt;3.25%,3.25%-$CR:$CR,0)))</f>
        <v>0</v>
      </c>
      <c r="CW115" s="354" t="n">
        <f aca="false">IFERROR(ROUND($AY:$AY*$CV:$CV,0),0)</f>
        <v>0</v>
      </c>
      <c r="CX115" s="353" t="n">
        <f aca="false">IF($CV:$CV=0,$BC:$BC,BC:BC-$CV:$CV)</f>
        <v>0</v>
      </c>
      <c r="CY115" s="354" t="n">
        <f aca="false">IFERROR(ROUND($AY:$AY*$CX:$CX,0),0)</f>
        <v>0</v>
      </c>
      <c r="CZ115" s="353" t="n">
        <f aca="false">$CR:$CR+$CT:CT+$CV:$CV+$CX:$CX</f>
        <v>0</v>
      </c>
      <c r="DA115" s="353" t="n">
        <f aca="false">(SUM($AW:$AW+$BC:$BC)-$CZ:$CZ)</f>
        <v>0</v>
      </c>
      <c r="DB115" s="353"/>
      <c r="DC115" s="353" t="n">
        <f aca="false">$BE:$BE</f>
        <v>0</v>
      </c>
      <c r="DD115" s="354" t="n">
        <f aca="false">$BF:$BF</f>
        <v>0</v>
      </c>
      <c r="DE115" s="355" t="n">
        <f aca="false">$BI:$BI</f>
        <v>0</v>
      </c>
      <c r="DF115" s="354" t="n">
        <f aca="false">$BJ:$BJ</f>
        <v>0</v>
      </c>
      <c r="DG115" s="355" t="n">
        <f aca="false">$BG:$BG</f>
        <v>0</v>
      </c>
      <c r="DH115" s="354" t="n">
        <f aca="false">IFERROR(ROUND($AP:$AP*$DG:$DG,0),0)</f>
        <v>0</v>
      </c>
      <c r="DI115" s="353" t="n">
        <f aca="false">$CR:$CR+$CV:$CV+$DC:$DC+$DE:$DE+$DG:$DG</f>
        <v>0</v>
      </c>
      <c r="DJ115" s="354" t="n">
        <f aca="false">$CS:$CS+$CW:$CW+$DD:$DD+$DF:$DF+$DH:$DH</f>
        <v>0</v>
      </c>
      <c r="DK115" s="353" t="n">
        <f aca="false">$CT:$CT+$CX:$CX</f>
        <v>0</v>
      </c>
      <c r="DL115" s="354" t="n">
        <f aca="false">$CU:$CU+$CY:$CY</f>
        <v>0</v>
      </c>
      <c r="DM115" s="356"/>
      <c r="DN115" s="357"/>
      <c r="DO115" s="357"/>
      <c r="DP115" s="357"/>
      <c r="DQ115" s="357"/>
      <c r="DR115" s="357"/>
      <c r="DS115" s="357"/>
      <c r="DT115" s="357"/>
      <c r="DU115" s="357"/>
      <c r="DV115" s="357"/>
      <c r="DW115" s="357" t="s">
        <v>744</v>
      </c>
    </row>
    <row r="116" customFormat="false" ht="24" hidden="false" customHeight="false" outlineLevel="0" collapsed="false">
      <c r="A116" s="314"/>
      <c r="B116" s="315" t="s">
        <v>273</v>
      </c>
      <c r="C116" s="315" t="s">
        <v>885</v>
      </c>
      <c r="D116" s="315" t="n">
        <v>6389</v>
      </c>
      <c r="E116" s="316" t="s">
        <v>315</v>
      </c>
      <c r="F116" s="316" t="s">
        <v>886</v>
      </c>
      <c r="G116" s="316" t="s">
        <v>277</v>
      </c>
      <c r="H116" s="317" t="s">
        <v>887</v>
      </c>
      <c r="I116" s="316" t="s">
        <v>888</v>
      </c>
      <c r="J116" s="316" t="s">
        <v>889</v>
      </c>
      <c r="K116" s="318" t="n">
        <v>38656</v>
      </c>
      <c r="L116" s="318"/>
      <c r="M116" s="318" t="n">
        <v>45075</v>
      </c>
      <c r="N116" s="319" t="s">
        <v>281</v>
      </c>
      <c r="O116" s="319" t="n">
        <v>38</v>
      </c>
      <c r="P116" s="320" t="n">
        <f aca="false">$O:$O/38</f>
        <v>1</v>
      </c>
      <c r="Q116" s="316" t="s">
        <v>304</v>
      </c>
      <c r="R116" s="316" t="n">
        <v>16308</v>
      </c>
      <c r="S116" s="316" t="s">
        <v>890</v>
      </c>
      <c r="T116" s="316" t="s">
        <v>279</v>
      </c>
      <c r="U116" s="316" t="s">
        <v>280</v>
      </c>
      <c r="V116" s="317" t="s">
        <v>58</v>
      </c>
      <c r="W116" s="317" t="s">
        <v>61</v>
      </c>
      <c r="X116" s="317" t="s">
        <v>286</v>
      </c>
      <c r="Y116" s="321" t="s">
        <v>287</v>
      </c>
      <c r="Z116" s="317" t="s">
        <v>890</v>
      </c>
      <c r="AA116" s="317" t="s">
        <v>280</v>
      </c>
      <c r="AB116" s="321" t="s">
        <v>891</v>
      </c>
      <c r="AC116" s="317" t="s">
        <v>289</v>
      </c>
      <c r="AD116" s="321" t="s">
        <v>290</v>
      </c>
      <c r="AE116" s="322" t="n">
        <f aca="false">IFERROR(INDEX('[3]Lookup_Rem Ranges'!$D$1:$D$1048576,MATCH($AL:$AL,'[3]Lookup_Rem Ranges'!$C$1:$C$1048576,0)),0)</f>
        <v>133400</v>
      </c>
      <c r="AF116" s="322" t="n">
        <f aca="false">IFERROR(INDEX('[3]Lookup_Rem Ranges'!$E$1:$E$1048576,MATCH($AL:$AL,'[3]Lookup_Rem Ranges'!$C$1:$C$1048576,0)),0)</f>
        <v>156900</v>
      </c>
      <c r="AG116" s="322" t="n">
        <f aca="false">IFERROR(INDEX('[3]Lookup_Rem Ranges'!$F$1:$F$1048576,MATCH($AL:$AL,'[3]Lookup_Rem Ranges'!$C$1:$C$1048576,0)),)</f>
        <v>180400</v>
      </c>
      <c r="AH116" s="317" t="s">
        <v>291</v>
      </c>
      <c r="AI116" s="319"/>
      <c r="AJ116" s="323" t="n">
        <v>0</v>
      </c>
      <c r="AK116" s="316"/>
      <c r="AL116" s="324" t="str">
        <f aca="false">CONCATENATE(AM116,"",AN116)</f>
        <v>CASS7</v>
      </c>
      <c r="AM116" s="324" t="s">
        <v>292</v>
      </c>
      <c r="AN116" s="319" t="n">
        <v>7</v>
      </c>
      <c r="AO116" s="316"/>
      <c r="AP116" s="325" t="n">
        <v>134600</v>
      </c>
      <c r="AQ116" s="322" t="n">
        <f aca="false">ROUND(IF($P:$P&gt;1,$AP:$AP*1,$AP:$AP*$P:$P),0)</f>
        <v>134600</v>
      </c>
      <c r="AR116" s="322" t="n">
        <f aca="false">IF(BA116="Yes",AP116,0)</f>
        <v>134600</v>
      </c>
      <c r="AS116" s="326" t="n">
        <v>0.0353846153846154</v>
      </c>
      <c r="AT116" s="326" t="n">
        <v>0</v>
      </c>
      <c r="AU116" s="327"/>
      <c r="AV116" s="322"/>
      <c r="AW116" s="328" t="n">
        <v>0</v>
      </c>
      <c r="AX116" s="322" t="n">
        <v>0</v>
      </c>
      <c r="AY116" s="322" t="n">
        <v>134600</v>
      </c>
      <c r="AZ116" s="329" t="n">
        <f aca="false">IFERROR(($AY:$AY+$AJ:$AJ+$AK:$AK)/$AF:$AF,0)</f>
        <v>0.857871255576801</v>
      </c>
      <c r="BA116" s="330" t="s">
        <v>293</v>
      </c>
      <c r="BB116" s="331" t="n">
        <v>3</v>
      </c>
      <c r="BC116" s="326" t="n">
        <f aca="false">IFERROR($BD:$BD/$AY:$AY,0)</f>
        <v>0</v>
      </c>
      <c r="BD116" s="332" t="n">
        <f aca="false">ROUND(IF($AY:$AY&lt;$AE:$AE,$AE:$AE-$AY:$AY,0),0)</f>
        <v>0</v>
      </c>
      <c r="BE116" s="333" t="n">
        <v>0.0325</v>
      </c>
      <c r="BF116" s="334" t="n">
        <f aca="false">ROUND($AR:$AR*$BE:$BE,0)</f>
        <v>4375</v>
      </c>
      <c r="BG116" s="335" t="n">
        <v>0</v>
      </c>
      <c r="BH116" s="336" t="n">
        <f aca="false">ROUND($AR:$AR*$BG:$BG,0)</f>
        <v>0</v>
      </c>
      <c r="BI116" s="333" t="n">
        <v>0</v>
      </c>
      <c r="BJ116" s="334" t="n">
        <f aca="false">ROUND($AR:$AR*$BI:$BI,0)</f>
        <v>0</v>
      </c>
      <c r="BK116" s="334" t="n">
        <f aca="false">ROUND(IF($P:$P&gt;1,$BJ:$BJ*1,$BJ:$BJ*$P:$P),0)</f>
        <v>0</v>
      </c>
      <c r="BL116" s="337"/>
      <c r="BM116" s="338" t="n">
        <f aca="false">$BC:$BC+$BE:$BE+$BG:$BG</f>
        <v>0.0325</v>
      </c>
      <c r="BN116" s="339" t="n">
        <f aca="false">$BD:$BD+$BF:$BF+$BH:$BH</f>
        <v>4375</v>
      </c>
      <c r="BO116" s="340" t="n">
        <f aca="false">IFERROR(ROUND($AY:$AY+$BN:$BN,0),0)</f>
        <v>138975</v>
      </c>
      <c r="BP116" s="341" t="n">
        <f aca="false">ROUND(IF(SUM($BO:$BO&lt;249080),SUM(ROUND($BO:$BO*11%,0)),27398.8),0)</f>
        <v>15287</v>
      </c>
      <c r="BQ116" s="342" t="n">
        <f aca="false">$BO:$BO+$BP:$BP</f>
        <v>154262</v>
      </c>
      <c r="BR116" s="329" t="n">
        <f aca="false">IFERROR(($BO:$BO+$AJ:$AJ+$AK:$AK)/$AF:$AF,0)</f>
        <v>0.885755258126195</v>
      </c>
      <c r="BS116" s="343" t="n">
        <f aca="false">IF($N:$N="CASUAL","TBC",ROUND($BN:$BN/(NETWORKDAYS("01/07/2023","30/06/2024"))*NETWORKDAYS("10/07/2023","04/09/2023"),0)*$P:$P)</f>
        <v>690</v>
      </c>
      <c r="BT116" s="326" t="n">
        <f aca="false">$BM116+$BI116</f>
        <v>0.0325</v>
      </c>
      <c r="BU116" s="332" t="n">
        <f aca="false">$BN:$BN+$BJ:$BJ</f>
        <v>4375</v>
      </c>
      <c r="BV116" s="342" t="n">
        <f aca="false">$BO:$BO*$P:$P</f>
        <v>138975</v>
      </c>
      <c r="BW116" s="344" t="n">
        <f aca="false">ROUND($BO:$BO/1976,2)</f>
        <v>70.33</v>
      </c>
      <c r="BX116" s="316"/>
      <c r="BY116" s="342" t="n">
        <f aca="false">$BQ:$BQ+$BX:$BX</f>
        <v>154262</v>
      </c>
      <c r="BZ116" s="345" t="s">
        <v>294</v>
      </c>
      <c r="CA116" s="316"/>
      <c r="CB116" s="316"/>
      <c r="CC116" s="324" t="str">
        <f aca="false">CONCATENATE(CD116,"",CE116)</f>
        <v/>
      </c>
      <c r="CD116" s="319"/>
      <c r="CE116" s="319"/>
      <c r="CF116" s="322" t="str">
        <f aca="false">IFERROR(INDEX('[4]Lookup_Rem Ranges'!$D$1:$D$1048576,MATCH($CC:$CC,'[4]Lookup_Rem Ranges'!$C$1:$C$1048576,0)),"")</f>
        <v/>
      </c>
      <c r="CG116" s="346"/>
      <c r="CH116" s="346"/>
      <c r="CI116" s="347"/>
      <c r="CJ116" s="348"/>
      <c r="CK116" s="342" t="n">
        <f aca="false">IFERROR(ROUND($CI:$CI*$CJ:$CJ,0),0)</f>
        <v>0</v>
      </c>
      <c r="CL116" s="342" t="n">
        <f aca="false">$CI:$CI+$CK:$CK</f>
        <v>0</v>
      </c>
      <c r="CM116" s="349"/>
      <c r="CN116" s="350" t="n">
        <f aca="false">IF(SUM($CL:$CL&lt;249080),SUM(ROUND($CL:$CL*11%,0)),27398.8)</f>
        <v>0</v>
      </c>
      <c r="CO116" s="350" t="s">
        <v>305</v>
      </c>
      <c r="CP116" s="351" t="n">
        <f aca="false">IF(BA116="Yes",3.25%,0)</f>
        <v>0.0325</v>
      </c>
      <c r="CQ116" s="352" t="n">
        <f aca="false">ROUND(AR116*CP116,0)</f>
        <v>4375</v>
      </c>
      <c r="CR116" s="353" t="n">
        <f aca="false">IF($AW:$AW&lt;3.25%,$AW:$AW,3.25%)</f>
        <v>0</v>
      </c>
      <c r="CS116" s="354" t="n">
        <f aca="false">ROUND($AR:$AR*$CR:$CR,0)</f>
        <v>0</v>
      </c>
      <c r="CT116" s="353" t="n">
        <f aca="false">IF($AW:$AW&gt;=3.25%,$AW:$AW-$CR:$CR,0)</f>
        <v>0</v>
      </c>
      <c r="CU116" s="354" t="n">
        <f aca="false">ROUND($AR:$AR*$CT:$CT,0)</f>
        <v>0</v>
      </c>
      <c r="CV116" s="353" t="n">
        <f aca="false">IF($CR:$CR=3.25%,0,IF($BC:$BC&lt;3.25%,$BC:$BC,IF($BC:$BC&gt;3.25%,3.25%-$CR:$CR,0)))</f>
        <v>0</v>
      </c>
      <c r="CW116" s="354" t="n">
        <f aca="false">IFERROR(ROUND($AY:$AY*$CV:$CV,0),0)</f>
        <v>0</v>
      </c>
      <c r="CX116" s="353" t="n">
        <f aca="false">IF($CV:$CV=0,$BC:$BC,BC:BC-$CV:$CV)</f>
        <v>0</v>
      </c>
      <c r="CY116" s="354" t="n">
        <f aca="false">IFERROR(ROUND($AY:$AY*$CX:$CX,0),0)</f>
        <v>0</v>
      </c>
      <c r="CZ116" s="353" t="n">
        <f aca="false">$CR:$CR+$CT:CT+$CV:$CV+$CX:$CX</f>
        <v>0</v>
      </c>
      <c r="DA116" s="353" t="n">
        <f aca="false">(SUM($AW:$AW+$BC:$BC)-$CZ:$CZ)</f>
        <v>0</v>
      </c>
      <c r="DB116" s="353"/>
      <c r="DC116" s="353" t="n">
        <f aca="false">$BE:$BE</f>
        <v>0.0325</v>
      </c>
      <c r="DD116" s="354" t="n">
        <f aca="false">$BF:$BF</f>
        <v>4375</v>
      </c>
      <c r="DE116" s="355" t="n">
        <f aca="false">$BI:$BI</f>
        <v>0</v>
      </c>
      <c r="DF116" s="354" t="n">
        <f aca="false">$BJ:$BJ</f>
        <v>0</v>
      </c>
      <c r="DG116" s="355" t="n">
        <f aca="false">$BG:$BG</f>
        <v>0</v>
      </c>
      <c r="DH116" s="354" t="n">
        <f aca="false">IFERROR(ROUND($AP:$AP*$DG:$DG,0),0)</f>
        <v>0</v>
      </c>
      <c r="DI116" s="353" t="n">
        <f aca="false">$CR:$CR+$CV:$CV+$DC:$DC+$DE:$DE+$DG:$DG</f>
        <v>0.0325</v>
      </c>
      <c r="DJ116" s="354" t="n">
        <f aca="false">$CS:$CS+$CW:$CW+$DD:$DD+$DF:$DF+$DH:$DH</f>
        <v>4375</v>
      </c>
      <c r="DK116" s="353" t="n">
        <f aca="false">$CT:$CT+$CX:$CX</f>
        <v>0</v>
      </c>
      <c r="DL116" s="354" t="n">
        <f aca="false">$CU:$CU+$CY:$CY</f>
        <v>0</v>
      </c>
      <c r="DM116" s="356"/>
      <c r="DN116" s="357"/>
      <c r="DO116" s="357"/>
      <c r="DP116" s="357"/>
      <c r="DQ116" s="357"/>
      <c r="DR116" s="357"/>
      <c r="DS116" s="357"/>
      <c r="DT116" s="357"/>
      <c r="DU116" s="357"/>
      <c r="DV116" s="357"/>
      <c r="DW116" s="357" t="s">
        <v>744</v>
      </c>
    </row>
    <row r="117" customFormat="false" ht="36" hidden="false" customHeight="false" outlineLevel="0" collapsed="false">
      <c r="A117" s="314"/>
      <c r="B117" s="315" t="s">
        <v>273</v>
      </c>
      <c r="C117" s="315" t="s">
        <v>892</v>
      </c>
      <c r="D117" s="315" t="n">
        <v>13839</v>
      </c>
      <c r="E117" s="316" t="s">
        <v>860</v>
      </c>
      <c r="F117" s="316" t="s">
        <v>893</v>
      </c>
      <c r="G117" s="316" t="s">
        <v>277</v>
      </c>
      <c r="H117" s="317" t="s">
        <v>711</v>
      </c>
      <c r="I117" s="316" t="s">
        <v>894</v>
      </c>
      <c r="J117" s="316" t="s">
        <v>895</v>
      </c>
      <c r="K117" s="318" t="n">
        <v>41386</v>
      </c>
      <c r="L117" s="318"/>
      <c r="M117" s="318" t="n">
        <v>44929</v>
      </c>
      <c r="N117" s="319" t="s">
        <v>281</v>
      </c>
      <c r="O117" s="319" t="n">
        <v>38</v>
      </c>
      <c r="P117" s="320" t="n">
        <f aca="false">$O:$O/38</f>
        <v>1</v>
      </c>
      <c r="Q117" s="316" t="s">
        <v>304</v>
      </c>
      <c r="R117" s="316" t="n">
        <v>16308</v>
      </c>
      <c r="S117" s="316" t="s">
        <v>890</v>
      </c>
      <c r="T117" s="316" t="s">
        <v>279</v>
      </c>
      <c r="U117" s="316" t="s">
        <v>280</v>
      </c>
      <c r="V117" s="317" t="s">
        <v>58</v>
      </c>
      <c r="W117" s="317" t="s">
        <v>61</v>
      </c>
      <c r="X117" s="317" t="s">
        <v>286</v>
      </c>
      <c r="Y117" s="321" t="s">
        <v>287</v>
      </c>
      <c r="Z117" s="317" t="s">
        <v>890</v>
      </c>
      <c r="AA117" s="317" t="s">
        <v>280</v>
      </c>
      <c r="AB117" s="321" t="s">
        <v>891</v>
      </c>
      <c r="AC117" s="317" t="s">
        <v>289</v>
      </c>
      <c r="AD117" s="321" t="s">
        <v>290</v>
      </c>
      <c r="AE117" s="322" t="n">
        <f aca="false">IFERROR(INDEX('[3]Lookup_Rem Ranges'!$D$1:$D$1048576,MATCH($AL:$AL,'[3]Lookup_Rem Ranges'!$C$1:$C$1048576,0)),0)</f>
        <v>133400</v>
      </c>
      <c r="AF117" s="322" t="n">
        <f aca="false">IFERROR(INDEX('[3]Lookup_Rem Ranges'!$E$1:$E$1048576,MATCH($AL:$AL,'[3]Lookup_Rem Ranges'!$C$1:$C$1048576,0)),0)</f>
        <v>156900</v>
      </c>
      <c r="AG117" s="322" t="n">
        <f aca="false">IFERROR(INDEX('[3]Lookup_Rem Ranges'!$F$1:$F$1048576,MATCH($AL:$AL,'[3]Lookup_Rem Ranges'!$C$1:$C$1048576,0)),)</f>
        <v>180400</v>
      </c>
      <c r="AH117" s="317" t="s">
        <v>291</v>
      </c>
      <c r="AI117" s="319"/>
      <c r="AJ117" s="323" t="n">
        <v>0</v>
      </c>
      <c r="AK117" s="316"/>
      <c r="AL117" s="324" t="str">
        <f aca="false">CONCATENATE(AM117,"",AN117)</f>
        <v>CASS7</v>
      </c>
      <c r="AM117" s="324" t="s">
        <v>292</v>
      </c>
      <c r="AN117" s="319" t="n">
        <v>7</v>
      </c>
      <c r="AO117" s="316" t="s">
        <v>712</v>
      </c>
      <c r="AP117" s="325" t="n">
        <v>131500</v>
      </c>
      <c r="AQ117" s="322" t="n">
        <f aca="false">ROUND(IF($P:$P&gt;1,$AP:$AP*1,$AP:$AP*$P:$P),0)</f>
        <v>131500</v>
      </c>
      <c r="AR117" s="322" t="n">
        <f aca="false">IF(BA117="Yes",AP117,0)</f>
        <v>131500</v>
      </c>
      <c r="AS117" s="326" t="n">
        <v>0.0354330708661417</v>
      </c>
      <c r="AT117" s="326" t="n">
        <v>0</v>
      </c>
      <c r="AU117" s="327"/>
      <c r="AV117" s="322"/>
      <c r="AW117" s="328" t="n">
        <v>0</v>
      </c>
      <c r="AX117" s="322" t="n">
        <v>0</v>
      </c>
      <c r="AY117" s="322" t="n">
        <v>131500</v>
      </c>
      <c r="AZ117" s="329" t="n">
        <f aca="false">IFERROR(($AY:$AY+$AJ:$AJ+$AK:$AK)/$AF:$AF,0)</f>
        <v>0.838113448056087</v>
      </c>
      <c r="BA117" s="330" t="s">
        <v>293</v>
      </c>
      <c r="BB117" s="331" t="n">
        <v>3</v>
      </c>
      <c r="BC117" s="326" t="n">
        <f aca="false">IFERROR($BD:$BD/$AY:$AY,0)</f>
        <v>0.0144486692015209</v>
      </c>
      <c r="BD117" s="332" t="n">
        <f aca="false">ROUND(IF($AY:$AY&lt;$AE:$AE,$AE:$AE-$AY:$AY,0),0)</f>
        <v>1900</v>
      </c>
      <c r="BE117" s="333" t="n">
        <v>0.0180513307984791</v>
      </c>
      <c r="BF117" s="334" t="n">
        <f aca="false">ROUND($AR:$AR*$BE:$BE,0)</f>
        <v>2374</v>
      </c>
      <c r="BG117" s="335" t="n">
        <v>0</v>
      </c>
      <c r="BH117" s="336" t="n">
        <f aca="false">ROUND($AR:$AR*$BG:$BG,0)</f>
        <v>0</v>
      </c>
      <c r="BI117" s="333" t="n">
        <v>0</v>
      </c>
      <c r="BJ117" s="334" t="n">
        <f aca="false">ROUND($AR:$AR*$BI:$BI,0)</f>
        <v>0</v>
      </c>
      <c r="BK117" s="334" t="n">
        <f aca="false">ROUND(IF($P:$P&gt;1,$BJ:$BJ*1,$BJ:$BJ*$P:$P),0)</f>
        <v>0</v>
      </c>
      <c r="BL117" s="337"/>
      <c r="BM117" s="338" t="n">
        <f aca="false">$BC:$BC+$BE:$BE+$BG:$BG</f>
        <v>0.0325</v>
      </c>
      <c r="BN117" s="339" t="n">
        <f aca="false">$BD:$BD+$BF:$BF+$BH:$BH</f>
        <v>4274</v>
      </c>
      <c r="BO117" s="340" t="n">
        <f aca="false">IFERROR(ROUND($AY:$AY+$BN:$BN,0),0)</f>
        <v>135774</v>
      </c>
      <c r="BP117" s="341" t="n">
        <f aca="false">ROUND(IF(SUM($BO:$BO&lt;249080),SUM(ROUND($BO:$BO*11%,0)),27398.8),0)</f>
        <v>14935</v>
      </c>
      <c r="BQ117" s="342" t="n">
        <f aca="false">$BO:$BO+$BP:$BP</f>
        <v>150709</v>
      </c>
      <c r="BR117" s="329" t="n">
        <f aca="false">IFERROR(($BO:$BO+$AJ:$AJ+$AK:$AK)/$AF:$AF,0)</f>
        <v>0.865353728489484</v>
      </c>
      <c r="BS117" s="343" t="n">
        <f aca="false">IF($N:$N="CASUAL","TBC",ROUND($BN:$BN/(NETWORKDAYS("01/07/2023","30/06/2024"))*NETWORKDAYS("10/07/2023","04/09/2023"),0)*$P:$P)</f>
        <v>674</v>
      </c>
      <c r="BT117" s="326" t="n">
        <f aca="false">$BM117+$BI117</f>
        <v>0.0325</v>
      </c>
      <c r="BU117" s="332" t="n">
        <f aca="false">$BN:$BN+$BJ:$BJ</f>
        <v>4274</v>
      </c>
      <c r="BV117" s="342" t="n">
        <f aca="false">$BO:$BO*$P:$P</f>
        <v>135774</v>
      </c>
      <c r="BW117" s="344" t="n">
        <f aca="false">ROUND($BO:$BO/1976,2)</f>
        <v>68.71</v>
      </c>
      <c r="BX117" s="316"/>
      <c r="BY117" s="342" t="n">
        <f aca="false">$BQ:$BQ+$BX:$BX</f>
        <v>150709</v>
      </c>
      <c r="BZ117" s="345" t="s">
        <v>294</v>
      </c>
      <c r="CA117" s="316"/>
      <c r="CB117" s="316"/>
      <c r="CC117" s="324" t="str">
        <f aca="false">CONCATENATE(CD117,"",CE117)</f>
        <v/>
      </c>
      <c r="CD117" s="319"/>
      <c r="CE117" s="319"/>
      <c r="CF117" s="322" t="str">
        <f aca="false">IFERROR(INDEX('[4]Lookup_Rem Ranges'!$D$1:$D$1048576,MATCH($CC:$CC,'[4]Lookup_Rem Ranges'!$C$1:$C$1048576,0)),"")</f>
        <v/>
      </c>
      <c r="CG117" s="346"/>
      <c r="CH117" s="346"/>
      <c r="CI117" s="347"/>
      <c r="CJ117" s="348"/>
      <c r="CK117" s="342" t="n">
        <f aca="false">IFERROR(ROUND($CI:$CI*$CJ:$CJ,0),0)</f>
        <v>0</v>
      </c>
      <c r="CL117" s="342" t="n">
        <f aca="false">$CI:$CI+$CK:$CK</f>
        <v>0</v>
      </c>
      <c r="CM117" s="349"/>
      <c r="CN117" s="350" t="n">
        <f aca="false">IF(SUM($CL:$CL&lt;249080),SUM(ROUND($CL:$CL*11%,0)),27398.8)</f>
        <v>0</v>
      </c>
      <c r="CO117" s="350" t="s">
        <v>313</v>
      </c>
      <c r="CP117" s="351" t="n">
        <f aca="false">IF(BA117="Yes",3.25%,0)</f>
        <v>0.0325</v>
      </c>
      <c r="CQ117" s="352" t="n">
        <f aca="false">ROUND(AR117*CP117,0)</f>
        <v>4274</v>
      </c>
      <c r="CR117" s="353" t="n">
        <f aca="false">IF($AW:$AW&lt;3.25%,$AW:$AW,3.25%)</f>
        <v>0</v>
      </c>
      <c r="CS117" s="354" t="n">
        <f aca="false">ROUND($AR:$AR*$CR:$CR,0)</f>
        <v>0</v>
      </c>
      <c r="CT117" s="353" t="n">
        <f aca="false">IF($AW:$AW&gt;=3.25%,$AW:$AW-$CR:$CR,0)</f>
        <v>0</v>
      </c>
      <c r="CU117" s="354" t="n">
        <f aca="false">ROUND($AR:$AR*$CT:$CT,0)</f>
        <v>0</v>
      </c>
      <c r="CV117" s="353" t="n">
        <f aca="false">IF($CR:$CR=3.25%,0,IF($BC:$BC&lt;3.25%,$BC:$BC,IF($BC:$BC&gt;3.25%,3.25%-$CR:$CR,0)))</f>
        <v>0.0144486692015209</v>
      </c>
      <c r="CW117" s="354" t="n">
        <f aca="false">IFERROR(ROUND($AY:$AY*$CV:$CV,0),0)</f>
        <v>1900</v>
      </c>
      <c r="CX117" s="353" t="n">
        <f aca="false">IF($CV:$CV=0,$BC:$BC,BC:BC-$CV:$CV)</f>
        <v>0</v>
      </c>
      <c r="CY117" s="354" t="n">
        <f aca="false">IFERROR(ROUND($AY:$AY*$CX:$CX,0),0)</f>
        <v>0</v>
      </c>
      <c r="CZ117" s="353" t="n">
        <f aca="false">$CR:$CR+$CT:CT+$CV:$CV+$CX:$CX</f>
        <v>0.0144486692015209</v>
      </c>
      <c r="DA117" s="353" t="n">
        <f aca="false">(SUM($AW:$AW+$BC:$BC)-$CZ:$CZ)</f>
        <v>0</v>
      </c>
      <c r="DB117" s="353"/>
      <c r="DC117" s="353" t="n">
        <f aca="false">$BE:$BE</f>
        <v>0.0180513307984791</v>
      </c>
      <c r="DD117" s="354" t="n">
        <f aca="false">$BF:$BF</f>
        <v>2374</v>
      </c>
      <c r="DE117" s="355" t="n">
        <f aca="false">$BI:$BI</f>
        <v>0</v>
      </c>
      <c r="DF117" s="354" t="n">
        <f aca="false">$BJ:$BJ</f>
        <v>0</v>
      </c>
      <c r="DG117" s="355" t="n">
        <f aca="false">$BG:$BG</f>
        <v>0</v>
      </c>
      <c r="DH117" s="354" t="n">
        <f aca="false">IFERROR(ROUND($AP:$AP*$DG:$DG,0),0)</f>
        <v>0</v>
      </c>
      <c r="DI117" s="353" t="n">
        <f aca="false">$CR:$CR+$CV:$CV+$DC:$DC+$DE:$DE+$DG:$DG</f>
        <v>0.0325</v>
      </c>
      <c r="DJ117" s="354" t="n">
        <f aca="false">$CS:$CS+$CW:$CW+$DD:$DD+$DF:$DF+$DH:$DH</f>
        <v>4274</v>
      </c>
      <c r="DK117" s="353" t="n">
        <f aca="false">$CT:$CT+$CX:$CX</f>
        <v>0</v>
      </c>
      <c r="DL117" s="354" t="n">
        <f aca="false">$CU:$CU+$CY:$CY</f>
        <v>0</v>
      </c>
      <c r="DM117" s="356"/>
      <c r="DN117" s="357"/>
      <c r="DO117" s="357"/>
      <c r="DP117" s="357"/>
      <c r="DQ117" s="357"/>
      <c r="DR117" s="357"/>
      <c r="DS117" s="357"/>
      <c r="DT117" s="357"/>
      <c r="DU117" s="357"/>
      <c r="DV117" s="357"/>
      <c r="DW117" s="357" t="s">
        <v>744</v>
      </c>
    </row>
    <row r="118" customFormat="false" ht="36" hidden="false" customHeight="false" outlineLevel="0" collapsed="false">
      <c r="A118" s="314"/>
      <c r="B118" s="315" t="s">
        <v>273</v>
      </c>
      <c r="C118" s="315" t="s">
        <v>896</v>
      </c>
      <c r="D118" s="315" t="n">
        <v>14970</v>
      </c>
      <c r="E118" s="316" t="s">
        <v>897</v>
      </c>
      <c r="F118" s="316" t="s">
        <v>898</v>
      </c>
      <c r="G118" s="316" t="s">
        <v>300</v>
      </c>
      <c r="H118" s="317" t="s">
        <v>711</v>
      </c>
      <c r="I118" s="316" t="s">
        <v>899</v>
      </c>
      <c r="J118" s="316" t="s">
        <v>900</v>
      </c>
      <c r="K118" s="318" t="n">
        <v>42009</v>
      </c>
      <c r="L118" s="318"/>
      <c r="M118" s="318" t="n">
        <v>44856</v>
      </c>
      <c r="N118" s="319" t="s">
        <v>281</v>
      </c>
      <c r="O118" s="319" t="n">
        <v>38</v>
      </c>
      <c r="P118" s="320" t="n">
        <f aca="false">$O:$O/38</f>
        <v>1</v>
      </c>
      <c r="Q118" s="316" t="s">
        <v>304</v>
      </c>
      <c r="R118" s="316" t="n">
        <v>16308</v>
      </c>
      <c r="S118" s="316" t="s">
        <v>890</v>
      </c>
      <c r="T118" s="316" t="s">
        <v>279</v>
      </c>
      <c r="U118" s="316" t="s">
        <v>280</v>
      </c>
      <c r="V118" s="317" t="s">
        <v>58</v>
      </c>
      <c r="W118" s="317" t="s">
        <v>61</v>
      </c>
      <c r="X118" s="317" t="s">
        <v>286</v>
      </c>
      <c r="Y118" s="321" t="s">
        <v>287</v>
      </c>
      <c r="Z118" s="317" t="s">
        <v>890</v>
      </c>
      <c r="AA118" s="317" t="s">
        <v>280</v>
      </c>
      <c r="AB118" s="321" t="s">
        <v>891</v>
      </c>
      <c r="AC118" s="317" t="s">
        <v>289</v>
      </c>
      <c r="AD118" s="321" t="s">
        <v>290</v>
      </c>
      <c r="AE118" s="322" t="n">
        <f aca="false">IFERROR(INDEX('[3]Lookup_Rem Ranges'!$D$1:$D$1048576,MATCH($AL:$AL,'[3]Lookup_Rem Ranges'!$C$1:$C$1048576,0)),0)</f>
        <v>133400</v>
      </c>
      <c r="AF118" s="322" t="n">
        <f aca="false">IFERROR(INDEX('[3]Lookup_Rem Ranges'!$E$1:$E$1048576,MATCH($AL:$AL,'[3]Lookup_Rem Ranges'!$C$1:$C$1048576,0)),0)</f>
        <v>156900</v>
      </c>
      <c r="AG118" s="322" t="n">
        <f aca="false">IFERROR(INDEX('[3]Lookup_Rem Ranges'!$F$1:$F$1048576,MATCH($AL:$AL,'[3]Lookup_Rem Ranges'!$C$1:$C$1048576,0)),)</f>
        <v>180400</v>
      </c>
      <c r="AH118" s="317" t="s">
        <v>291</v>
      </c>
      <c r="AI118" s="319"/>
      <c r="AJ118" s="323" t="n">
        <v>0</v>
      </c>
      <c r="AK118" s="316"/>
      <c r="AL118" s="324" t="str">
        <f aca="false">CONCATENATE(AM118,"",AN118)</f>
        <v>CASS7</v>
      </c>
      <c r="AM118" s="324" t="s">
        <v>292</v>
      </c>
      <c r="AN118" s="319" t="n">
        <v>7</v>
      </c>
      <c r="AO118" s="316" t="s">
        <v>712</v>
      </c>
      <c r="AP118" s="325" t="n">
        <v>131500</v>
      </c>
      <c r="AQ118" s="322" t="n">
        <f aca="false">ROUND(IF($P:$P&gt;1,$AP:$AP*1,$AP:$AP*$P:$P),0)</f>
        <v>131500</v>
      </c>
      <c r="AR118" s="322" t="n">
        <f aca="false">IF(BA118="Yes",AP118,0)</f>
        <v>131500</v>
      </c>
      <c r="AS118" s="326" t="n">
        <v>0.0354330708661417</v>
      </c>
      <c r="AT118" s="326" t="n">
        <v>0</v>
      </c>
      <c r="AU118" s="327"/>
      <c r="AV118" s="322"/>
      <c r="AW118" s="328" t="n">
        <v>0</v>
      </c>
      <c r="AX118" s="322" t="n">
        <v>0</v>
      </c>
      <c r="AY118" s="322" t="n">
        <v>131500</v>
      </c>
      <c r="AZ118" s="329" t="n">
        <f aca="false">IFERROR(($AY:$AY+$AJ:$AJ+$AK:$AK)/$AF:$AF,0)</f>
        <v>0.838113448056087</v>
      </c>
      <c r="BA118" s="330" t="s">
        <v>293</v>
      </c>
      <c r="BB118" s="331" t="n">
        <v>3</v>
      </c>
      <c r="BC118" s="326" t="n">
        <f aca="false">IFERROR($BD:$BD/$AY:$AY,0)</f>
        <v>0.0144486692015209</v>
      </c>
      <c r="BD118" s="332" t="n">
        <f aca="false">ROUND(IF($AY:$AY&lt;$AE:$AE,$AE:$AE-$AY:$AY,0),0)</f>
        <v>1900</v>
      </c>
      <c r="BE118" s="333" t="n">
        <v>0.0180513307984791</v>
      </c>
      <c r="BF118" s="334" t="n">
        <f aca="false">ROUND($AR:$AR*$BE:$BE,0)</f>
        <v>2374</v>
      </c>
      <c r="BG118" s="335" t="n">
        <v>0</v>
      </c>
      <c r="BH118" s="336" t="n">
        <f aca="false">ROUND($AR:$AR*$BG:$BG,0)</f>
        <v>0</v>
      </c>
      <c r="BI118" s="333" t="n">
        <v>0</v>
      </c>
      <c r="BJ118" s="334" t="n">
        <f aca="false">ROUND($AR:$AR*$BI:$BI,0)</f>
        <v>0</v>
      </c>
      <c r="BK118" s="334" t="n">
        <f aca="false">ROUND(IF($P:$P&gt;1,$BJ:$BJ*1,$BJ:$BJ*$P:$P),0)</f>
        <v>0</v>
      </c>
      <c r="BL118" s="337"/>
      <c r="BM118" s="338" t="n">
        <f aca="false">$BC:$BC+$BE:$BE+$BG:$BG</f>
        <v>0.0325</v>
      </c>
      <c r="BN118" s="339" t="n">
        <f aca="false">$BD:$BD+$BF:$BF+$BH:$BH</f>
        <v>4274</v>
      </c>
      <c r="BO118" s="340" t="n">
        <f aca="false">IFERROR(ROUND($AY:$AY+$BN:$BN,0),0)</f>
        <v>135774</v>
      </c>
      <c r="BP118" s="341" t="n">
        <f aca="false">ROUND(IF(SUM($BO:$BO&lt;249080),SUM(ROUND($BO:$BO*11%,0)),27398.8),0)</f>
        <v>14935</v>
      </c>
      <c r="BQ118" s="342" t="n">
        <f aca="false">$BO:$BO+$BP:$BP</f>
        <v>150709</v>
      </c>
      <c r="BR118" s="329" t="n">
        <f aca="false">IFERROR(($BO:$BO+$AJ:$AJ+$AK:$AK)/$AF:$AF,0)</f>
        <v>0.865353728489484</v>
      </c>
      <c r="BS118" s="343" t="n">
        <f aca="false">IF($N:$N="CASUAL","TBC",ROUND($BN:$BN/(NETWORKDAYS("01/07/2023","30/06/2024"))*NETWORKDAYS("10/07/2023","04/09/2023"),0)*$P:$P)</f>
        <v>674</v>
      </c>
      <c r="BT118" s="326" t="n">
        <f aca="false">$BM118+$BI118</f>
        <v>0.0325</v>
      </c>
      <c r="BU118" s="332" t="n">
        <f aca="false">$BN:$BN+$BJ:$BJ</f>
        <v>4274</v>
      </c>
      <c r="BV118" s="342" t="n">
        <f aca="false">$BO:$BO*$P:$P</f>
        <v>135774</v>
      </c>
      <c r="BW118" s="344" t="n">
        <f aca="false">ROUND($BO:$BO/1976,2)</f>
        <v>68.71</v>
      </c>
      <c r="BX118" s="316"/>
      <c r="BY118" s="342" t="n">
        <f aca="false">$BQ:$BQ+$BX:$BX</f>
        <v>150709</v>
      </c>
      <c r="BZ118" s="345" t="s">
        <v>294</v>
      </c>
      <c r="CA118" s="316"/>
      <c r="CB118" s="316"/>
      <c r="CC118" s="324" t="str">
        <f aca="false">CONCATENATE(CD118,"",CE118)</f>
        <v/>
      </c>
      <c r="CD118" s="319"/>
      <c r="CE118" s="319"/>
      <c r="CF118" s="322" t="str">
        <f aca="false">IFERROR(INDEX('[4]Lookup_Rem Ranges'!$D$1:$D$1048576,MATCH($CC:$CC,'[4]Lookup_Rem Ranges'!$C$1:$C$1048576,0)),"")</f>
        <v/>
      </c>
      <c r="CG118" s="346"/>
      <c r="CH118" s="346"/>
      <c r="CI118" s="347"/>
      <c r="CJ118" s="348"/>
      <c r="CK118" s="342" t="n">
        <f aca="false">IFERROR(ROUND($CI:$CI*$CJ:$CJ,0),0)</f>
        <v>0</v>
      </c>
      <c r="CL118" s="342" t="n">
        <f aca="false">$CI:$CI+$CK:$CK</f>
        <v>0</v>
      </c>
      <c r="CM118" s="349"/>
      <c r="CN118" s="350" t="n">
        <f aca="false">IF(SUM($CL:$CL&lt;249080),SUM(ROUND($CL:$CL*11%,0)),27398.8)</f>
        <v>0</v>
      </c>
      <c r="CO118" s="350" t="s">
        <v>324</v>
      </c>
      <c r="CP118" s="351" t="n">
        <f aca="false">IF(BA118="Yes",3.25%,0)</f>
        <v>0.0325</v>
      </c>
      <c r="CQ118" s="352" t="n">
        <f aca="false">ROUND(AR118*CP118,0)</f>
        <v>4274</v>
      </c>
      <c r="CR118" s="353" t="n">
        <f aca="false">IF($AW:$AW&lt;3.25%,$AW:$AW,3.25%)</f>
        <v>0</v>
      </c>
      <c r="CS118" s="354" t="n">
        <f aca="false">ROUND($AR:$AR*$CR:$CR,0)</f>
        <v>0</v>
      </c>
      <c r="CT118" s="353" t="n">
        <f aca="false">IF($AW:$AW&gt;=3.25%,$AW:$AW-$CR:$CR,0)</f>
        <v>0</v>
      </c>
      <c r="CU118" s="354" t="n">
        <f aca="false">ROUND($AR:$AR*$CT:$CT,0)</f>
        <v>0</v>
      </c>
      <c r="CV118" s="353" t="n">
        <f aca="false">IF($CR:$CR=3.25%,0,IF($BC:$BC&lt;3.25%,$BC:$BC,IF($BC:$BC&gt;3.25%,3.25%-$CR:$CR,0)))</f>
        <v>0.0144486692015209</v>
      </c>
      <c r="CW118" s="354" t="n">
        <f aca="false">IFERROR(ROUND($AY:$AY*$CV:$CV,0),0)</f>
        <v>1900</v>
      </c>
      <c r="CX118" s="353" t="n">
        <f aca="false">IF($CV:$CV=0,$BC:$BC,BC:BC-$CV:$CV)</f>
        <v>0</v>
      </c>
      <c r="CY118" s="354" t="n">
        <f aca="false">IFERROR(ROUND($AY:$AY*$CX:$CX,0),0)</f>
        <v>0</v>
      </c>
      <c r="CZ118" s="353" t="n">
        <f aca="false">$CR:$CR+$CT:CT+$CV:$CV+$CX:$CX</f>
        <v>0.0144486692015209</v>
      </c>
      <c r="DA118" s="353" t="n">
        <f aca="false">(SUM($AW:$AW+$BC:$BC)-$CZ:$CZ)</f>
        <v>0</v>
      </c>
      <c r="DB118" s="353"/>
      <c r="DC118" s="353" t="n">
        <f aca="false">$BE:$BE</f>
        <v>0.0180513307984791</v>
      </c>
      <c r="DD118" s="354" t="n">
        <f aca="false">$BF:$BF</f>
        <v>2374</v>
      </c>
      <c r="DE118" s="355" t="n">
        <f aca="false">$BI:$BI</f>
        <v>0</v>
      </c>
      <c r="DF118" s="354" t="n">
        <f aca="false">$BJ:$BJ</f>
        <v>0</v>
      </c>
      <c r="DG118" s="355" t="n">
        <f aca="false">$BG:$BG</f>
        <v>0</v>
      </c>
      <c r="DH118" s="354" t="n">
        <f aca="false">IFERROR(ROUND($AP:$AP*$DG:$DG,0),0)</f>
        <v>0</v>
      </c>
      <c r="DI118" s="353" t="n">
        <f aca="false">$CR:$CR+$CV:$CV+$DC:$DC+$DE:$DE+$DG:$DG</f>
        <v>0.0325</v>
      </c>
      <c r="DJ118" s="354" t="n">
        <f aca="false">$CS:$CS+$CW:$CW+$DD:$DD+$DF:$DF+$DH:$DH</f>
        <v>4274</v>
      </c>
      <c r="DK118" s="353" t="n">
        <f aca="false">$CT:$CT+$CX:$CX</f>
        <v>0</v>
      </c>
      <c r="DL118" s="354" t="n">
        <f aca="false">$CU:$CU+$CY:$CY</f>
        <v>0</v>
      </c>
      <c r="DM118" s="356"/>
      <c r="DN118" s="357"/>
      <c r="DO118" s="357"/>
      <c r="DP118" s="357"/>
      <c r="DQ118" s="357"/>
      <c r="DR118" s="357"/>
      <c r="DS118" s="357"/>
      <c r="DT118" s="357"/>
      <c r="DU118" s="357"/>
      <c r="DV118" s="357"/>
      <c r="DW118" s="357" t="s">
        <v>744</v>
      </c>
    </row>
    <row r="119" customFormat="false" ht="36" hidden="false" customHeight="false" outlineLevel="0" collapsed="false">
      <c r="A119" s="314"/>
      <c r="B119" s="315" t="s">
        <v>273</v>
      </c>
      <c r="C119" s="315" t="s">
        <v>901</v>
      </c>
      <c r="D119" s="315" t="n">
        <v>15536</v>
      </c>
      <c r="E119" s="316" t="s">
        <v>902</v>
      </c>
      <c r="F119" s="316" t="s">
        <v>903</v>
      </c>
      <c r="G119" s="316" t="s">
        <v>300</v>
      </c>
      <c r="H119" s="317" t="s">
        <v>711</v>
      </c>
      <c r="I119" s="316" t="s">
        <v>904</v>
      </c>
      <c r="J119" s="316" t="s">
        <v>905</v>
      </c>
      <c r="K119" s="318" t="n">
        <v>42254</v>
      </c>
      <c r="L119" s="318"/>
      <c r="M119" s="318" t="n">
        <v>44970</v>
      </c>
      <c r="N119" s="319" t="s">
        <v>281</v>
      </c>
      <c r="O119" s="319" t="n">
        <v>38</v>
      </c>
      <c r="P119" s="320" t="n">
        <f aca="false">$O:$O/38</f>
        <v>1</v>
      </c>
      <c r="Q119" s="316" t="s">
        <v>304</v>
      </c>
      <c r="R119" s="316" t="n">
        <v>16308</v>
      </c>
      <c r="S119" s="316" t="s">
        <v>890</v>
      </c>
      <c r="T119" s="316" t="s">
        <v>279</v>
      </c>
      <c r="U119" s="316" t="s">
        <v>280</v>
      </c>
      <c r="V119" s="317" t="s">
        <v>58</v>
      </c>
      <c r="W119" s="317" t="s">
        <v>61</v>
      </c>
      <c r="X119" s="317" t="s">
        <v>286</v>
      </c>
      <c r="Y119" s="321" t="s">
        <v>287</v>
      </c>
      <c r="Z119" s="317" t="s">
        <v>890</v>
      </c>
      <c r="AA119" s="317" t="s">
        <v>280</v>
      </c>
      <c r="AB119" s="321" t="s">
        <v>891</v>
      </c>
      <c r="AC119" s="317" t="s">
        <v>289</v>
      </c>
      <c r="AD119" s="321" t="s">
        <v>290</v>
      </c>
      <c r="AE119" s="322" t="n">
        <f aca="false">IFERROR(INDEX('[3]Lookup_Rem Ranges'!$D$1:$D$1048576,MATCH($AL:$AL,'[3]Lookup_Rem Ranges'!$C$1:$C$1048576,0)),0)</f>
        <v>133400</v>
      </c>
      <c r="AF119" s="322" t="n">
        <f aca="false">IFERROR(INDEX('[3]Lookup_Rem Ranges'!$E$1:$E$1048576,MATCH($AL:$AL,'[3]Lookup_Rem Ranges'!$C$1:$C$1048576,0)),0)</f>
        <v>156900</v>
      </c>
      <c r="AG119" s="322" t="n">
        <f aca="false">IFERROR(INDEX('[3]Lookup_Rem Ranges'!$F$1:$F$1048576,MATCH($AL:$AL,'[3]Lookup_Rem Ranges'!$C$1:$C$1048576,0)),)</f>
        <v>180400</v>
      </c>
      <c r="AH119" s="317" t="s">
        <v>291</v>
      </c>
      <c r="AI119" s="319"/>
      <c r="AJ119" s="323" t="n">
        <v>0</v>
      </c>
      <c r="AK119" s="316"/>
      <c r="AL119" s="324" t="str">
        <f aca="false">CONCATENATE(AM119,"",AN119)</f>
        <v>CASS7</v>
      </c>
      <c r="AM119" s="324" t="s">
        <v>292</v>
      </c>
      <c r="AN119" s="319" t="n">
        <v>7</v>
      </c>
      <c r="AO119" s="316" t="s">
        <v>712</v>
      </c>
      <c r="AP119" s="325" t="n">
        <v>135900</v>
      </c>
      <c r="AQ119" s="322" t="n">
        <f aca="false">ROUND(IF($P:$P&gt;1,$AP:$AP*1,$AP:$AP*$P:$P),0)</f>
        <v>135900</v>
      </c>
      <c r="AR119" s="322" t="n">
        <f aca="false">IF(BA119="Yes",AP119,0)</f>
        <v>135900</v>
      </c>
      <c r="AS119" s="326" t="n">
        <v>0.0453846153846154</v>
      </c>
      <c r="AT119" s="326" t="n">
        <v>0</v>
      </c>
      <c r="AU119" s="327"/>
      <c r="AV119" s="322"/>
      <c r="AW119" s="328" t="n">
        <v>0</v>
      </c>
      <c r="AX119" s="322" t="n">
        <v>0</v>
      </c>
      <c r="AY119" s="322" t="n">
        <v>135900</v>
      </c>
      <c r="AZ119" s="329" t="n">
        <f aca="false">IFERROR(($AY:$AY+$AJ:$AJ+$AK:$AK)/$AF:$AF,0)</f>
        <v>0.866156787762906</v>
      </c>
      <c r="BA119" s="330" t="s">
        <v>293</v>
      </c>
      <c r="BB119" s="331" t="n">
        <v>3</v>
      </c>
      <c r="BC119" s="326" t="n">
        <f aca="false">IFERROR($BD:$BD/$AY:$AY,0)</f>
        <v>0</v>
      </c>
      <c r="BD119" s="332" t="n">
        <f aca="false">ROUND(IF($AY:$AY&lt;$AE:$AE,$AE:$AE-$AY:$AY,0),0)</f>
        <v>0</v>
      </c>
      <c r="BE119" s="333" t="n">
        <v>0.0325</v>
      </c>
      <c r="BF119" s="334" t="n">
        <f aca="false">ROUND($AR:$AR*$BE:$BE,0)</f>
        <v>4417</v>
      </c>
      <c r="BG119" s="335" t="n">
        <v>0</v>
      </c>
      <c r="BH119" s="336" t="n">
        <f aca="false">ROUND($AR:$AR*$BG:$BG,0)</f>
        <v>0</v>
      </c>
      <c r="BI119" s="333" t="n">
        <v>0</v>
      </c>
      <c r="BJ119" s="334" t="n">
        <f aca="false">ROUND($AR:$AR*$BI:$BI,0)</f>
        <v>0</v>
      </c>
      <c r="BK119" s="334" t="n">
        <f aca="false">ROUND(IF($P:$P&gt;1,$BJ:$BJ*1,$BJ:$BJ*$P:$P),0)</f>
        <v>0</v>
      </c>
      <c r="BL119" s="337"/>
      <c r="BM119" s="338" t="n">
        <f aca="false">$BC:$BC+$BE:$BE+$BG:$BG</f>
        <v>0.0325</v>
      </c>
      <c r="BN119" s="339" t="n">
        <f aca="false">$BD:$BD+$BF:$BF+$BH:$BH</f>
        <v>4417</v>
      </c>
      <c r="BO119" s="340" t="n">
        <f aca="false">IFERROR(ROUND($AY:$AY+$BN:$BN,0),0)</f>
        <v>140317</v>
      </c>
      <c r="BP119" s="341" t="n">
        <f aca="false">ROUND(IF(SUM($BO:$BO&lt;249080),SUM(ROUND($BO:$BO*11%,0)),27398.8),0)</f>
        <v>15435</v>
      </c>
      <c r="BQ119" s="342" t="n">
        <f aca="false">$BO:$BO+$BP:$BP</f>
        <v>155752</v>
      </c>
      <c r="BR119" s="329" t="n">
        <f aca="false">IFERROR(($BO:$BO+$AJ:$AJ+$AK:$AK)/$AF:$AF,0)</f>
        <v>0.894308476736775</v>
      </c>
      <c r="BS119" s="343" t="n">
        <f aca="false">IF($N:$N="CASUAL","TBC",ROUND($BN:$BN/(NETWORKDAYS("01/07/2023","30/06/2024"))*NETWORKDAYS("10/07/2023","04/09/2023"),0)*$P:$P)</f>
        <v>697</v>
      </c>
      <c r="BT119" s="326" t="n">
        <f aca="false">$BM119+$BI119</f>
        <v>0.0325</v>
      </c>
      <c r="BU119" s="332" t="n">
        <f aca="false">$BN:$BN+$BJ:$BJ</f>
        <v>4417</v>
      </c>
      <c r="BV119" s="342" t="n">
        <f aca="false">$BO:$BO*$P:$P</f>
        <v>140317</v>
      </c>
      <c r="BW119" s="344" t="n">
        <f aca="false">ROUND($BO:$BO/1976,2)</f>
        <v>71.01</v>
      </c>
      <c r="BX119" s="316"/>
      <c r="BY119" s="342" t="n">
        <f aca="false">$BQ:$BQ+$BX:$BX</f>
        <v>155752</v>
      </c>
      <c r="BZ119" s="345" t="s">
        <v>294</v>
      </c>
      <c r="CA119" s="316"/>
      <c r="CB119" s="316"/>
      <c r="CC119" s="324" t="str">
        <f aca="false">CONCATENATE(CD119,"",CE119)</f>
        <v/>
      </c>
      <c r="CD119" s="319"/>
      <c r="CE119" s="319"/>
      <c r="CF119" s="322" t="str">
        <f aca="false">IFERROR(INDEX('[4]Lookup_Rem Ranges'!$D$1:$D$1048576,MATCH($CC:$CC,'[4]Lookup_Rem Ranges'!$C$1:$C$1048576,0)),"")</f>
        <v/>
      </c>
      <c r="CG119" s="346"/>
      <c r="CH119" s="346"/>
      <c r="CI119" s="347"/>
      <c r="CJ119" s="348"/>
      <c r="CK119" s="342" t="n">
        <f aca="false">IFERROR(ROUND($CI:$CI*$CJ:$CJ,0),0)</f>
        <v>0</v>
      </c>
      <c r="CL119" s="342" t="n">
        <f aca="false">$CI:$CI+$CK:$CK</f>
        <v>0</v>
      </c>
      <c r="CM119" s="349"/>
      <c r="CN119" s="350" t="n">
        <f aca="false">IF(SUM($CL:$CL&lt;249080),SUM(ROUND($CL:$CL*11%,0)),27398.8)</f>
        <v>0</v>
      </c>
      <c r="CO119" s="350" t="s">
        <v>324</v>
      </c>
      <c r="CP119" s="351" t="n">
        <f aca="false">IF(BA119="Yes",3.25%,0)</f>
        <v>0.0325</v>
      </c>
      <c r="CQ119" s="352" t="n">
        <f aca="false">ROUND(AR119*CP119,0)</f>
        <v>4417</v>
      </c>
      <c r="CR119" s="353" t="n">
        <f aca="false">IF($AW:$AW&lt;3.25%,$AW:$AW,3.25%)</f>
        <v>0</v>
      </c>
      <c r="CS119" s="354" t="n">
        <f aca="false">ROUND($AR:$AR*$CR:$CR,0)</f>
        <v>0</v>
      </c>
      <c r="CT119" s="353" t="n">
        <f aca="false">IF($AW:$AW&gt;=3.25%,$AW:$AW-$CR:$CR,0)</f>
        <v>0</v>
      </c>
      <c r="CU119" s="354" t="n">
        <f aca="false">ROUND($AR:$AR*$CT:$CT,0)</f>
        <v>0</v>
      </c>
      <c r="CV119" s="353" t="n">
        <f aca="false">IF($CR:$CR=3.25%,0,IF($BC:$BC&lt;3.25%,$BC:$BC,IF($BC:$BC&gt;3.25%,3.25%-$CR:$CR,0)))</f>
        <v>0</v>
      </c>
      <c r="CW119" s="354" t="n">
        <f aca="false">IFERROR(ROUND($AY:$AY*$CV:$CV,0),0)</f>
        <v>0</v>
      </c>
      <c r="CX119" s="353" t="n">
        <f aca="false">IF($CV:$CV=0,$BC:$BC,BC:BC-$CV:$CV)</f>
        <v>0</v>
      </c>
      <c r="CY119" s="354" t="n">
        <f aca="false">IFERROR(ROUND($AY:$AY*$CX:$CX,0),0)</f>
        <v>0</v>
      </c>
      <c r="CZ119" s="353" t="n">
        <f aca="false">$CR:$CR+$CT:CT+$CV:$CV+$CX:$CX</f>
        <v>0</v>
      </c>
      <c r="DA119" s="353" t="n">
        <f aca="false">(SUM($AW:$AW+$BC:$BC)-$CZ:$CZ)</f>
        <v>0</v>
      </c>
      <c r="DB119" s="353"/>
      <c r="DC119" s="353" t="n">
        <f aca="false">$BE:$BE</f>
        <v>0.0325</v>
      </c>
      <c r="DD119" s="354" t="n">
        <f aca="false">$BF:$BF</f>
        <v>4417</v>
      </c>
      <c r="DE119" s="355" t="n">
        <f aca="false">$BI:$BI</f>
        <v>0</v>
      </c>
      <c r="DF119" s="354" t="n">
        <f aca="false">$BJ:$BJ</f>
        <v>0</v>
      </c>
      <c r="DG119" s="355" t="n">
        <f aca="false">$BG:$BG</f>
        <v>0</v>
      </c>
      <c r="DH119" s="354" t="n">
        <f aca="false">IFERROR(ROUND($AP:$AP*$DG:$DG,0),0)</f>
        <v>0</v>
      </c>
      <c r="DI119" s="353" t="n">
        <f aca="false">$CR:$CR+$CV:$CV+$DC:$DC+$DE:$DE+$DG:$DG</f>
        <v>0.0325</v>
      </c>
      <c r="DJ119" s="354" t="n">
        <f aca="false">$CS:$CS+$CW:$CW+$DD:$DD+$DF:$DF+$DH:$DH</f>
        <v>4417</v>
      </c>
      <c r="DK119" s="353" t="n">
        <f aca="false">$CT:$CT+$CX:$CX</f>
        <v>0</v>
      </c>
      <c r="DL119" s="354" t="n">
        <f aca="false">$CU:$CU+$CY:$CY</f>
        <v>0</v>
      </c>
      <c r="DM119" s="356"/>
      <c r="DN119" s="357"/>
      <c r="DO119" s="357"/>
      <c r="DP119" s="357"/>
      <c r="DQ119" s="357"/>
      <c r="DR119" s="357"/>
      <c r="DS119" s="357"/>
      <c r="DT119" s="357"/>
      <c r="DU119" s="357"/>
      <c r="DV119" s="357"/>
      <c r="DW119" s="357" t="s">
        <v>744</v>
      </c>
    </row>
    <row r="120" customFormat="false" ht="36" hidden="false" customHeight="false" outlineLevel="0" collapsed="false">
      <c r="A120" s="314"/>
      <c r="B120" s="315" t="s">
        <v>273</v>
      </c>
      <c r="C120" s="315" t="s">
        <v>906</v>
      </c>
      <c r="D120" s="315" t="n">
        <v>7015</v>
      </c>
      <c r="E120" s="316" t="s">
        <v>561</v>
      </c>
      <c r="F120" s="316" t="s">
        <v>907</v>
      </c>
      <c r="G120" s="316" t="s">
        <v>277</v>
      </c>
      <c r="H120" s="317" t="s">
        <v>711</v>
      </c>
      <c r="I120" s="316" t="s">
        <v>908</v>
      </c>
      <c r="J120" s="316" t="s">
        <v>909</v>
      </c>
      <c r="K120" s="318" t="n">
        <v>38910</v>
      </c>
      <c r="L120" s="318"/>
      <c r="M120" s="318" t="n">
        <v>44944</v>
      </c>
      <c r="N120" s="319" t="s">
        <v>281</v>
      </c>
      <c r="O120" s="319" t="n">
        <v>38</v>
      </c>
      <c r="P120" s="320" t="n">
        <f aca="false">$O:$O/38</f>
        <v>1</v>
      </c>
      <c r="Q120" s="316" t="s">
        <v>304</v>
      </c>
      <c r="R120" s="316" t="n">
        <v>16308</v>
      </c>
      <c r="S120" s="316" t="s">
        <v>890</v>
      </c>
      <c r="T120" s="316" t="s">
        <v>279</v>
      </c>
      <c r="U120" s="316" t="s">
        <v>280</v>
      </c>
      <c r="V120" s="317" t="s">
        <v>58</v>
      </c>
      <c r="W120" s="317" t="s">
        <v>61</v>
      </c>
      <c r="X120" s="317" t="s">
        <v>286</v>
      </c>
      <c r="Y120" s="321" t="s">
        <v>287</v>
      </c>
      <c r="Z120" s="317" t="s">
        <v>890</v>
      </c>
      <c r="AA120" s="317" t="s">
        <v>280</v>
      </c>
      <c r="AB120" s="321" t="s">
        <v>891</v>
      </c>
      <c r="AC120" s="317" t="s">
        <v>289</v>
      </c>
      <c r="AD120" s="321" t="s">
        <v>290</v>
      </c>
      <c r="AE120" s="322" t="n">
        <f aca="false">IFERROR(INDEX('[3]Lookup_Rem Ranges'!$D$1:$D$1048576,MATCH($AL:$AL,'[3]Lookup_Rem Ranges'!$C$1:$C$1048576,0)),0)</f>
        <v>133400</v>
      </c>
      <c r="AF120" s="322" t="n">
        <f aca="false">IFERROR(INDEX('[3]Lookup_Rem Ranges'!$E$1:$E$1048576,MATCH($AL:$AL,'[3]Lookup_Rem Ranges'!$C$1:$C$1048576,0)),0)</f>
        <v>156900</v>
      </c>
      <c r="AG120" s="322" t="n">
        <f aca="false">IFERROR(INDEX('[3]Lookup_Rem Ranges'!$F$1:$F$1048576,MATCH($AL:$AL,'[3]Lookup_Rem Ranges'!$C$1:$C$1048576,0)),)</f>
        <v>180400</v>
      </c>
      <c r="AH120" s="317" t="s">
        <v>291</v>
      </c>
      <c r="AI120" s="319"/>
      <c r="AJ120" s="323" t="n">
        <v>0</v>
      </c>
      <c r="AK120" s="316"/>
      <c r="AL120" s="324" t="str">
        <f aca="false">CONCATENATE(AM120,"",AN120)</f>
        <v>CASS7</v>
      </c>
      <c r="AM120" s="324" t="s">
        <v>292</v>
      </c>
      <c r="AN120" s="319" t="n">
        <v>7</v>
      </c>
      <c r="AO120" s="316" t="s">
        <v>712</v>
      </c>
      <c r="AP120" s="325" t="n">
        <v>130500</v>
      </c>
      <c r="AQ120" s="322" t="n">
        <f aca="false">ROUND(IF($P:$P&gt;1,$AP:$AP*1,$AP:$AP*$P:$P),0)</f>
        <v>130500</v>
      </c>
      <c r="AR120" s="322" t="n">
        <f aca="false">IF(BA120="Yes",AP120,0)</f>
        <v>130500</v>
      </c>
      <c r="AS120" s="326" t="n">
        <v>0.0357142857142857</v>
      </c>
      <c r="AT120" s="326" t="n">
        <v>0</v>
      </c>
      <c r="AU120" s="327"/>
      <c r="AV120" s="322"/>
      <c r="AW120" s="328" t="n">
        <v>0</v>
      </c>
      <c r="AX120" s="322" t="n">
        <v>0</v>
      </c>
      <c r="AY120" s="322" t="n">
        <v>130500</v>
      </c>
      <c r="AZ120" s="329" t="n">
        <f aca="false">IFERROR(($AY:$AY+$AJ:$AJ+$AK:$AK)/$AF:$AF,0)</f>
        <v>0.831739961759082</v>
      </c>
      <c r="BA120" s="330" t="s">
        <v>293</v>
      </c>
      <c r="BB120" s="331" t="n">
        <v>3</v>
      </c>
      <c r="BC120" s="326" t="n">
        <f aca="false">IFERROR($BD:$BD/$AY:$AY,0)</f>
        <v>0.0222222222222222</v>
      </c>
      <c r="BD120" s="332" t="n">
        <f aca="false">ROUND(IF($AY:$AY&lt;$AE:$AE,$AE:$AE-$AY:$AY,0),0)</f>
        <v>2900</v>
      </c>
      <c r="BE120" s="333" t="n">
        <v>0.0102777777777778</v>
      </c>
      <c r="BF120" s="334" t="n">
        <f aca="false">ROUND($AR:$AR*$BE:$BE,0)</f>
        <v>1341</v>
      </c>
      <c r="BG120" s="335" t="n">
        <v>0</v>
      </c>
      <c r="BH120" s="336" t="n">
        <f aca="false">ROUND($AR:$AR*$BG:$BG,0)</f>
        <v>0</v>
      </c>
      <c r="BI120" s="333" t="n">
        <v>0</v>
      </c>
      <c r="BJ120" s="334" t="n">
        <f aca="false">ROUND($AR:$AR*$BI:$BI,0)</f>
        <v>0</v>
      </c>
      <c r="BK120" s="334" t="n">
        <f aca="false">ROUND(IF($P:$P&gt;1,$BJ:$BJ*1,$BJ:$BJ*$P:$P),0)</f>
        <v>0</v>
      </c>
      <c r="BL120" s="337"/>
      <c r="BM120" s="338" t="n">
        <f aca="false">$BC:$BC+$BE:$BE+$BG:$BG</f>
        <v>0.0325</v>
      </c>
      <c r="BN120" s="339" t="n">
        <f aca="false">$BD:$BD+$BF:$BF+$BH:$BH</f>
        <v>4241</v>
      </c>
      <c r="BO120" s="340" t="n">
        <f aca="false">IFERROR(ROUND($AY:$AY+$BN:$BN,0),0)</f>
        <v>134741</v>
      </c>
      <c r="BP120" s="341" t="n">
        <f aca="false">ROUND(IF(SUM($BO:$BO&lt;249080),SUM(ROUND($BO:$BO*11%,0)),27398.8),0)</f>
        <v>14822</v>
      </c>
      <c r="BQ120" s="342" t="n">
        <f aca="false">$BO:$BO+$BP:$BP</f>
        <v>149563</v>
      </c>
      <c r="BR120" s="329" t="n">
        <f aca="false">IFERROR(($BO:$BO+$AJ:$AJ+$AK:$AK)/$AF:$AF,0)</f>
        <v>0.858769917144678</v>
      </c>
      <c r="BS120" s="343" t="n">
        <f aca="false">IF($N:$N="CASUAL","TBC",ROUND($BN:$BN/(NETWORKDAYS("01/07/2023","30/06/2024"))*NETWORKDAYS("10/07/2023","04/09/2023"),0)*$P:$P)</f>
        <v>669</v>
      </c>
      <c r="BT120" s="326" t="n">
        <f aca="false">$BM120+$BI120</f>
        <v>0.0325</v>
      </c>
      <c r="BU120" s="332" t="n">
        <f aca="false">$BN:$BN+$BJ:$BJ</f>
        <v>4241</v>
      </c>
      <c r="BV120" s="342" t="n">
        <f aca="false">$BO:$BO*$P:$P</f>
        <v>134741</v>
      </c>
      <c r="BW120" s="344" t="n">
        <f aca="false">ROUND($BO:$BO/1976,2)</f>
        <v>68.19</v>
      </c>
      <c r="BX120" s="316"/>
      <c r="BY120" s="342" t="n">
        <f aca="false">$BQ:$BQ+$BX:$BX</f>
        <v>149563</v>
      </c>
      <c r="BZ120" s="345" t="s">
        <v>294</v>
      </c>
      <c r="CA120" s="316"/>
      <c r="CB120" s="316"/>
      <c r="CC120" s="324" t="str">
        <f aca="false">CONCATENATE(CD120,"",CE120)</f>
        <v/>
      </c>
      <c r="CD120" s="319"/>
      <c r="CE120" s="319"/>
      <c r="CF120" s="322" t="str">
        <f aca="false">IFERROR(INDEX('[4]Lookup_Rem Ranges'!$D$1:$D$1048576,MATCH($CC:$CC,'[4]Lookup_Rem Ranges'!$C$1:$C$1048576,0)),"")</f>
        <v/>
      </c>
      <c r="CG120" s="346"/>
      <c r="CH120" s="346"/>
      <c r="CI120" s="347"/>
      <c r="CJ120" s="348"/>
      <c r="CK120" s="342" t="n">
        <f aca="false">IFERROR(ROUND($CI:$CI*$CJ:$CJ,0),0)</f>
        <v>0</v>
      </c>
      <c r="CL120" s="342" t="n">
        <f aca="false">$CI:$CI+$CK:$CK</f>
        <v>0</v>
      </c>
      <c r="CM120" s="349"/>
      <c r="CN120" s="350" t="n">
        <f aca="false">IF(SUM($CL:$CL&lt;249080),SUM(ROUND($CL:$CL*11%,0)),27398.8)</f>
        <v>0</v>
      </c>
      <c r="CO120" s="350" t="s">
        <v>324</v>
      </c>
      <c r="CP120" s="351" t="n">
        <f aca="false">IF(BA120="Yes",3.25%,0)</f>
        <v>0.0325</v>
      </c>
      <c r="CQ120" s="352" t="n">
        <f aca="false">ROUND(AR120*CP120,0)</f>
        <v>4241</v>
      </c>
      <c r="CR120" s="353" t="n">
        <f aca="false">IF($AW:$AW&lt;3.25%,$AW:$AW,3.25%)</f>
        <v>0</v>
      </c>
      <c r="CS120" s="354" t="n">
        <f aca="false">ROUND($AR:$AR*$CR:$CR,0)</f>
        <v>0</v>
      </c>
      <c r="CT120" s="353" t="n">
        <f aca="false">IF($AW:$AW&gt;=3.25%,$AW:$AW-$CR:$CR,0)</f>
        <v>0</v>
      </c>
      <c r="CU120" s="354" t="n">
        <f aca="false">ROUND($AR:$AR*$CT:$CT,0)</f>
        <v>0</v>
      </c>
      <c r="CV120" s="353" t="n">
        <f aca="false">IF($CR:$CR=3.25%,0,IF($BC:$BC&lt;3.25%,$BC:$BC,IF($BC:$BC&gt;3.25%,3.25%-$CR:$CR,0)))</f>
        <v>0.0222222222222222</v>
      </c>
      <c r="CW120" s="354" t="n">
        <f aca="false">IFERROR(ROUND($AY:$AY*$CV:$CV,0),0)</f>
        <v>2900</v>
      </c>
      <c r="CX120" s="353" t="n">
        <f aca="false">IF($CV:$CV=0,$BC:$BC,BC:BC-$CV:$CV)</f>
        <v>0</v>
      </c>
      <c r="CY120" s="354" t="n">
        <f aca="false">IFERROR(ROUND($AY:$AY*$CX:$CX,0),0)</f>
        <v>0</v>
      </c>
      <c r="CZ120" s="353" t="n">
        <f aca="false">$CR:$CR+$CT:CT+$CV:$CV+$CX:$CX</f>
        <v>0.0222222222222222</v>
      </c>
      <c r="DA120" s="353" t="n">
        <f aca="false">(SUM($AW:$AW+$BC:$BC)-$CZ:$CZ)</f>
        <v>0</v>
      </c>
      <c r="DB120" s="353"/>
      <c r="DC120" s="353" t="n">
        <f aca="false">$BE:$BE</f>
        <v>0.0102777777777778</v>
      </c>
      <c r="DD120" s="354" t="n">
        <f aca="false">$BF:$BF</f>
        <v>1341</v>
      </c>
      <c r="DE120" s="355" t="n">
        <f aca="false">$BI:$BI</f>
        <v>0</v>
      </c>
      <c r="DF120" s="354" t="n">
        <f aca="false">$BJ:$BJ</f>
        <v>0</v>
      </c>
      <c r="DG120" s="355" t="n">
        <f aca="false">$BG:$BG</f>
        <v>0</v>
      </c>
      <c r="DH120" s="354" t="n">
        <f aca="false">IFERROR(ROUND($AP:$AP*$DG:$DG,0),0)</f>
        <v>0</v>
      </c>
      <c r="DI120" s="353" t="n">
        <f aca="false">$CR:$CR+$CV:$CV+$DC:$DC+$DE:$DE+$DG:$DG</f>
        <v>0.0325</v>
      </c>
      <c r="DJ120" s="354" t="n">
        <f aca="false">$CS:$CS+$CW:$CW+$DD:$DD+$DF:$DF+$DH:$DH</f>
        <v>4241</v>
      </c>
      <c r="DK120" s="353" t="n">
        <f aca="false">$CT:$CT+$CX:$CX</f>
        <v>0</v>
      </c>
      <c r="DL120" s="354" t="n">
        <f aca="false">$CU:$CU+$CY:$CY</f>
        <v>0</v>
      </c>
      <c r="DM120" s="356"/>
      <c r="DN120" s="357"/>
      <c r="DO120" s="357"/>
      <c r="DP120" s="357"/>
      <c r="DQ120" s="357"/>
      <c r="DR120" s="357"/>
      <c r="DS120" s="357"/>
      <c r="DT120" s="357"/>
      <c r="DU120" s="357"/>
      <c r="DV120" s="357"/>
      <c r="DW120" s="357" t="s">
        <v>910</v>
      </c>
    </row>
    <row r="121" customFormat="false" ht="36" hidden="false" customHeight="false" outlineLevel="0" collapsed="false">
      <c r="A121" s="314"/>
      <c r="B121" s="315" t="s">
        <v>273</v>
      </c>
      <c r="C121" s="315" t="s">
        <v>911</v>
      </c>
      <c r="D121" s="315" t="n">
        <v>8518</v>
      </c>
      <c r="E121" s="316" t="s">
        <v>912</v>
      </c>
      <c r="F121" s="316" t="s">
        <v>913</v>
      </c>
      <c r="G121" s="316" t="s">
        <v>277</v>
      </c>
      <c r="H121" s="317" t="s">
        <v>887</v>
      </c>
      <c r="I121" s="316" t="s">
        <v>914</v>
      </c>
      <c r="J121" s="316" t="s">
        <v>915</v>
      </c>
      <c r="K121" s="318" t="n">
        <v>41551</v>
      </c>
      <c r="L121" s="318"/>
      <c r="M121" s="318" t="n">
        <v>45034</v>
      </c>
      <c r="N121" s="319" t="s">
        <v>281</v>
      </c>
      <c r="O121" s="319" t="n">
        <v>38</v>
      </c>
      <c r="P121" s="320" t="n">
        <f aca="false">$O:$O/38</f>
        <v>1</v>
      </c>
      <c r="Q121" s="316" t="s">
        <v>320</v>
      </c>
      <c r="R121" s="316" t="n">
        <v>16308</v>
      </c>
      <c r="S121" s="316" t="s">
        <v>890</v>
      </c>
      <c r="T121" s="316" t="s">
        <v>279</v>
      </c>
      <c r="U121" s="316" t="s">
        <v>280</v>
      </c>
      <c r="V121" s="317" t="s">
        <v>58</v>
      </c>
      <c r="W121" s="317" t="s">
        <v>61</v>
      </c>
      <c r="X121" s="317" t="s">
        <v>286</v>
      </c>
      <c r="Y121" s="321" t="s">
        <v>287</v>
      </c>
      <c r="Z121" s="317" t="s">
        <v>890</v>
      </c>
      <c r="AA121" s="317" t="s">
        <v>280</v>
      </c>
      <c r="AB121" s="321" t="s">
        <v>891</v>
      </c>
      <c r="AC121" s="317" t="s">
        <v>289</v>
      </c>
      <c r="AD121" s="321" t="s">
        <v>290</v>
      </c>
      <c r="AE121" s="322" t="n">
        <f aca="false">IFERROR(INDEX('[3]Lookup_Rem Ranges'!$D$1:$D$1048576,MATCH($AL:$AL,'[3]Lookup_Rem Ranges'!$C$1:$C$1048576,0)),0)</f>
        <v>133400</v>
      </c>
      <c r="AF121" s="322" t="n">
        <f aca="false">IFERROR(INDEX('[3]Lookup_Rem Ranges'!$E$1:$E$1048576,MATCH($AL:$AL,'[3]Lookup_Rem Ranges'!$C$1:$C$1048576,0)),0)</f>
        <v>156900</v>
      </c>
      <c r="AG121" s="322" t="n">
        <f aca="false">IFERROR(INDEX('[3]Lookup_Rem Ranges'!$F$1:$F$1048576,MATCH($AL:$AL,'[3]Lookup_Rem Ranges'!$C$1:$C$1048576,0)),)</f>
        <v>180400</v>
      </c>
      <c r="AH121" s="317" t="s">
        <v>291</v>
      </c>
      <c r="AI121" s="319"/>
      <c r="AJ121" s="323" t="n">
        <v>0</v>
      </c>
      <c r="AK121" s="316"/>
      <c r="AL121" s="324" t="str">
        <f aca="false">CONCATENATE(AM121,"",AN121)</f>
        <v>CASS7</v>
      </c>
      <c r="AM121" s="324" t="s">
        <v>292</v>
      </c>
      <c r="AN121" s="319" t="n">
        <v>7</v>
      </c>
      <c r="AO121" s="316" t="s">
        <v>712</v>
      </c>
      <c r="AP121" s="325" t="n">
        <v>133000</v>
      </c>
      <c r="AQ121" s="322" t="n">
        <f aca="false">ROUND(IF($P:$P&gt;1,$AP:$AP*1,$AP:$AP*$P:$P),0)</f>
        <v>133000</v>
      </c>
      <c r="AR121" s="322" t="n">
        <f aca="false">IF(BA121="Yes",AP121,0)</f>
        <v>133000</v>
      </c>
      <c r="AS121" s="326" t="s">
        <v>339</v>
      </c>
      <c r="AT121" s="326" t="n">
        <v>0</v>
      </c>
      <c r="AU121" s="327"/>
      <c r="AV121" s="322"/>
      <c r="AW121" s="328" t="n">
        <v>0</v>
      </c>
      <c r="AX121" s="322" t="n">
        <v>0</v>
      </c>
      <c r="AY121" s="322" t="n">
        <v>133000</v>
      </c>
      <c r="AZ121" s="329" t="n">
        <f aca="false">IFERROR(($AY:$AY+$AJ:$AJ+$AK:$AK)/$AF:$AF,0)</f>
        <v>0.847673677501593</v>
      </c>
      <c r="BA121" s="330" t="s">
        <v>293</v>
      </c>
      <c r="BB121" s="331" t="n">
        <v>3</v>
      </c>
      <c r="BC121" s="326" t="n">
        <f aca="false">IFERROR($BD:$BD/$AY:$AY,0)</f>
        <v>0.00300751879699248</v>
      </c>
      <c r="BD121" s="332" t="n">
        <f aca="false">ROUND(IF($AY:$AY&lt;$AE:$AE,$AE:$AE-$AY:$AY,0),0)</f>
        <v>400</v>
      </c>
      <c r="BE121" s="333" t="n">
        <v>0.0294924812030075</v>
      </c>
      <c r="BF121" s="334" t="n">
        <f aca="false">ROUND($AR:$AR*$BE:$BE,0)</f>
        <v>3923</v>
      </c>
      <c r="BG121" s="335" t="n">
        <v>0</v>
      </c>
      <c r="BH121" s="336" t="n">
        <f aca="false">ROUND($AR:$AR*$BG:$BG,0)</f>
        <v>0</v>
      </c>
      <c r="BI121" s="333" t="n">
        <v>0</v>
      </c>
      <c r="BJ121" s="334" t="n">
        <f aca="false">ROUND($AR:$AR*$BI:$BI,0)</f>
        <v>0</v>
      </c>
      <c r="BK121" s="334" t="n">
        <f aca="false">ROUND(IF($P:$P&gt;1,$BJ:$BJ*1,$BJ:$BJ*$P:$P),0)</f>
        <v>0</v>
      </c>
      <c r="BL121" s="337"/>
      <c r="BM121" s="338" t="n">
        <f aca="false">$BC:$BC+$BE:$BE+$BG:$BG</f>
        <v>0.0325</v>
      </c>
      <c r="BN121" s="339" t="n">
        <f aca="false">$BD:$BD+$BF:$BF+$BH:$BH</f>
        <v>4323</v>
      </c>
      <c r="BO121" s="340" t="n">
        <f aca="false">IFERROR(ROUND($AY:$AY+$BN:$BN,0),0)</f>
        <v>137323</v>
      </c>
      <c r="BP121" s="341" t="n">
        <f aca="false">ROUND(IF(SUM($BO:$BO&lt;249080),SUM(ROUND($BO:$BO*11%,0)),27398.8),0)</f>
        <v>15106</v>
      </c>
      <c r="BQ121" s="342" t="n">
        <f aca="false">$BO:$BO+$BP:$BP</f>
        <v>152429</v>
      </c>
      <c r="BR121" s="329" t="n">
        <f aca="false">IFERROR(($BO:$BO+$AJ:$AJ+$AK:$AK)/$AF:$AF,0)</f>
        <v>0.875226258763544</v>
      </c>
      <c r="BS121" s="343" t="n">
        <f aca="false">IF($N:$N="CASUAL","TBC",ROUND($BN:$BN/(NETWORKDAYS("01/07/2023","30/06/2024"))*NETWORKDAYS("10/07/2023","04/09/2023"),0)*$P:$P)</f>
        <v>682</v>
      </c>
      <c r="BT121" s="326" t="n">
        <f aca="false">$BM121+$BI121</f>
        <v>0.0325</v>
      </c>
      <c r="BU121" s="332" t="n">
        <f aca="false">$BN:$BN+$BJ:$BJ</f>
        <v>4323</v>
      </c>
      <c r="BV121" s="342" t="n">
        <f aca="false">$BO:$BO*$P:$P</f>
        <v>137323</v>
      </c>
      <c r="BW121" s="344" t="n">
        <f aca="false">ROUND($BO:$BO/1976,2)</f>
        <v>69.5</v>
      </c>
      <c r="BX121" s="316"/>
      <c r="BY121" s="342" t="n">
        <f aca="false">$BQ:$BQ+$BX:$BX</f>
        <v>152429</v>
      </c>
      <c r="BZ121" s="345" t="s">
        <v>294</v>
      </c>
      <c r="CA121" s="316"/>
      <c r="CB121" s="316"/>
      <c r="CC121" s="324" t="str">
        <f aca="false">CONCATENATE(CD121,"",CE121)</f>
        <v/>
      </c>
      <c r="CD121" s="319"/>
      <c r="CE121" s="319"/>
      <c r="CF121" s="322" t="str">
        <f aca="false">IFERROR(INDEX('[4]Lookup_Rem Ranges'!$D$1:$D$1048576,MATCH($CC:$CC,'[4]Lookup_Rem Ranges'!$C$1:$C$1048576,0)),"")</f>
        <v/>
      </c>
      <c r="CG121" s="346"/>
      <c r="CH121" s="346"/>
      <c r="CI121" s="347"/>
      <c r="CJ121" s="348"/>
      <c r="CK121" s="342" t="n">
        <f aca="false">IFERROR(ROUND($CI:$CI*$CJ:$CJ,0),0)</f>
        <v>0</v>
      </c>
      <c r="CL121" s="342" t="n">
        <f aca="false">$CI:$CI+$CK:$CK</f>
        <v>0</v>
      </c>
      <c r="CM121" s="349"/>
      <c r="CN121" s="350" t="n">
        <f aca="false">IF(SUM($CL:$CL&lt;249080),SUM(ROUND($CL:$CL*11%,0)),27398.8)</f>
        <v>0</v>
      </c>
      <c r="CO121" s="350" t="s">
        <v>324</v>
      </c>
      <c r="CP121" s="351" t="n">
        <f aca="false">IF(BA121="Yes",3.25%,0)</f>
        <v>0.0325</v>
      </c>
      <c r="CQ121" s="352" t="n">
        <f aca="false">ROUND(AR121*CP121,0)</f>
        <v>4323</v>
      </c>
      <c r="CR121" s="353" t="n">
        <f aca="false">IF($AW:$AW&lt;3.25%,$AW:$AW,3.25%)</f>
        <v>0</v>
      </c>
      <c r="CS121" s="354" t="n">
        <f aca="false">ROUND($AR:$AR*$CR:$CR,0)</f>
        <v>0</v>
      </c>
      <c r="CT121" s="353" t="n">
        <f aca="false">IF($AW:$AW&gt;=3.25%,$AW:$AW-$CR:$CR,0)</f>
        <v>0</v>
      </c>
      <c r="CU121" s="354" t="n">
        <f aca="false">ROUND($AR:$AR*$CT:$CT,0)</f>
        <v>0</v>
      </c>
      <c r="CV121" s="353" t="n">
        <f aca="false">IF($CR:$CR=3.25%,0,IF($BC:$BC&lt;3.25%,$BC:$BC,IF($BC:$BC&gt;3.25%,3.25%-$CR:$CR,0)))</f>
        <v>0.00300751879699248</v>
      </c>
      <c r="CW121" s="354" t="n">
        <f aca="false">IFERROR(ROUND($AY:$AY*$CV:$CV,0),0)</f>
        <v>400</v>
      </c>
      <c r="CX121" s="353" t="n">
        <f aca="false">IF($CV:$CV=0,$BC:$BC,BC:BC-$CV:$CV)</f>
        <v>0</v>
      </c>
      <c r="CY121" s="354" t="n">
        <f aca="false">IFERROR(ROUND($AY:$AY*$CX:$CX,0),0)</f>
        <v>0</v>
      </c>
      <c r="CZ121" s="353" t="n">
        <f aca="false">$CR:$CR+$CT:CT+$CV:$CV+$CX:$CX</f>
        <v>0.00300751879699248</v>
      </c>
      <c r="DA121" s="353" t="n">
        <f aca="false">(SUM($AW:$AW+$BC:$BC)-$CZ:$CZ)</f>
        <v>0</v>
      </c>
      <c r="DB121" s="353"/>
      <c r="DC121" s="353" t="n">
        <f aca="false">$BE:$BE</f>
        <v>0.0294924812030075</v>
      </c>
      <c r="DD121" s="354" t="n">
        <f aca="false">$BF:$BF</f>
        <v>3923</v>
      </c>
      <c r="DE121" s="355" t="n">
        <f aca="false">$BI:$BI</f>
        <v>0</v>
      </c>
      <c r="DF121" s="354" t="n">
        <f aca="false">$BJ:$BJ</f>
        <v>0</v>
      </c>
      <c r="DG121" s="355" t="n">
        <f aca="false">$BG:$BG</f>
        <v>0</v>
      </c>
      <c r="DH121" s="354" t="n">
        <f aca="false">IFERROR(ROUND($AP:$AP*$DG:$DG,0),0)</f>
        <v>0</v>
      </c>
      <c r="DI121" s="353" t="n">
        <f aca="false">$CR:$CR+$CV:$CV+$DC:$DC+$DE:$DE+$DG:$DG</f>
        <v>0.0325</v>
      </c>
      <c r="DJ121" s="354" t="n">
        <f aca="false">$CS:$CS+$CW:$CW+$DD:$DD+$DF:$DF+$DH:$DH</f>
        <v>4323</v>
      </c>
      <c r="DK121" s="353" t="n">
        <f aca="false">$CT:$CT+$CX:$CX</f>
        <v>0</v>
      </c>
      <c r="DL121" s="354" t="n">
        <f aca="false">$CU:$CU+$CY:$CY</f>
        <v>0</v>
      </c>
      <c r="DM121" s="356"/>
      <c r="DN121" s="357"/>
      <c r="DO121" s="357"/>
      <c r="DP121" s="357"/>
      <c r="DQ121" s="357"/>
      <c r="DR121" s="357"/>
      <c r="DS121" s="357"/>
      <c r="DT121" s="357"/>
      <c r="DU121" s="357"/>
      <c r="DV121" s="357"/>
      <c r="DW121" s="357" t="s">
        <v>916</v>
      </c>
    </row>
  </sheetData>
  <mergeCells count="10">
    <mergeCell ref="BI10:BJ12"/>
    <mergeCell ref="BB12:BD12"/>
    <mergeCell ref="AW15:AX15"/>
    <mergeCell ref="AY15:AZ15"/>
    <mergeCell ref="BM15:BS15"/>
    <mergeCell ref="BT15:BU15"/>
    <mergeCell ref="BV15:BW15"/>
    <mergeCell ref="BX15:BY15"/>
    <mergeCell ref="CB15:CM15"/>
    <mergeCell ref="CP15:DL15"/>
  </mergeCells>
  <conditionalFormatting sqref="DC17:DC121 DE17:DE121 DG17:DG121">
    <cfRule type="cellIs" priority="2" operator="greaterThan" aboveAverage="0" equalAverage="0" bottom="0" percent="0" rank="0" text="" dxfId="26">
      <formula>0.0325</formula>
    </cfRule>
  </conditionalFormatting>
  <conditionalFormatting sqref="CT17:CU121 CX17:CY121">
    <cfRule type="cellIs" priority="3" operator="greaterThan" aboveAverage="0" equalAverage="0" bottom="0" percent="0" rank="0" text="" dxfId="27">
      <formula>0</formula>
    </cfRule>
  </conditionalFormatting>
  <conditionalFormatting sqref="BI13">
    <cfRule type="cellIs" priority="4" operator="greaterThan" aboveAverage="0" equalAverage="0" bottom="0" percent="0" rank="0" text="" dxfId="28">
      <formula>0.03255</formula>
    </cfRule>
  </conditionalFormatting>
  <conditionalFormatting sqref="BE8:BE13">
    <cfRule type="cellIs" priority="5" operator="greaterThan" aboveAverage="0" equalAverage="0" bottom="0" percent="0" rank="0" text="" dxfId="29">
      <formula>0.03251</formula>
    </cfRule>
  </conditionalFormatting>
  <hyperlinks>
    <hyperlink ref="AB18" r:id="rId1" display="Donna.Shkalla@uccommunity.org.au"/>
    <hyperlink ref="AB19" r:id="rId2" display="Donna.Shkalla@uccommunity.org.au"/>
    <hyperlink ref="AB20" r:id="rId3" display="Donna.Shkalla@uccommunity.org.au"/>
    <hyperlink ref="AB21" r:id="rId4" display="Donna.Shkalla@uccommunity.org.au"/>
    <hyperlink ref="AB22" r:id="rId5" display="Donna.Shkalla@uccommunity.org.au"/>
    <hyperlink ref="AB23" r:id="rId6" display="Donna.Shkalla@uccommunity.org.au"/>
    <hyperlink ref="AB24" r:id="rId7" display="jamie.mackay@uccommunity.org.au"/>
    <hyperlink ref="AB25" r:id="rId8" display="jamie.mackay@uccommunity.org.au"/>
    <hyperlink ref="AB27" r:id="rId9" display="jamie.mackay@uccommunity.org.au"/>
    <hyperlink ref="AB28" r:id="rId10" display="jamie.mackay@uccommunity.org.au"/>
    <hyperlink ref="AB31" r:id="rId11" display="jamie.mackay@uccommunity.org.au"/>
    <hyperlink ref="AB32" r:id="rId12" display="jamie.mackay@uccommunity.org.au"/>
    <hyperlink ref="AB33" r:id="rId13" display="jamie.mackay@uccommunity.org.au"/>
    <hyperlink ref="AB36" r:id="rId14" display="jamie.mackay@uccommunity.org.au"/>
    <hyperlink ref="AB37" r:id="rId15" display="jamie.mackay@uccommunity.org.au"/>
    <hyperlink ref="AB38" r:id="rId16" display="jamie.mackay@uccommunity.org.au"/>
    <hyperlink ref="AB39" r:id="rId17" display="jamie.mackay@uccommunity.org.au"/>
    <hyperlink ref="AB41" r:id="rId18" display="jamie.mackay@uccommunity.org.au"/>
    <hyperlink ref="AB42" r:id="rId19" display="jamie.mackay@uccommunity.org.au"/>
    <hyperlink ref="AB43" r:id="rId20" display="jamie.mackay@uccommunity.org.au"/>
    <hyperlink ref="AB44" r:id="rId21" display="jamie.mackay@uccommunity.org.au"/>
    <hyperlink ref="AB45" r:id="rId22" display="jamie.mackay@uccommunity.org.au"/>
    <hyperlink ref="AB46" r:id="rId23" display="jamie.mackay@uccommunity.org.au"/>
    <hyperlink ref="AB50" r:id="rId24" display="jamie.mackay@uccommunity.org.au"/>
    <hyperlink ref="AB51" r:id="rId25" display="jamie.mackay@uccommunity.org.au"/>
    <hyperlink ref="AB52" r:id="rId26" display="jamie.mackay@uccommunity.org.au"/>
    <hyperlink ref="AB53" r:id="rId27" display="jamie.mackay@uccommunity.org.au"/>
    <hyperlink ref="AB54" r:id="rId28" display="jamie.mackay@uccommunity.org.au"/>
    <hyperlink ref="AB55" r:id="rId29" display="jamie.mackay@uccommunity.org.au"/>
    <hyperlink ref="AB56" r:id="rId30" display="Joanne.Trentin@uccommunity.org.au"/>
    <hyperlink ref="AB57" r:id="rId31" display="Joanne.Trentin@uccommunity.org.au"/>
    <hyperlink ref="AB58" r:id="rId32" display="Joanne.Trentin@uccommunity.org.au"/>
    <hyperlink ref="AB59" r:id="rId33" display="Joanne.Trentin@uccommunity.org.au"/>
    <hyperlink ref="AB60" r:id="rId34" display="Joanne.Trentin@uccommunity.org.au"/>
    <hyperlink ref="AB62" r:id="rId35" display="Joanne.Trentin@uccommunity.org.au"/>
    <hyperlink ref="AB63" r:id="rId36" display="Joanne.Trentin@uccommunity.org.au"/>
    <hyperlink ref="AB64" r:id="rId37" display="Joanne.Trentin@uccommunity.org.au"/>
    <hyperlink ref="AB65" r:id="rId38" display="Joanne.Trentin@uccommunity.org.au"/>
    <hyperlink ref="AB67" r:id="rId39" display="Joanne.Trentin@uccommunity.org.au"/>
    <hyperlink ref="AB68" r:id="rId40" display="Joanne.Trentin@uccommunity.org.au"/>
    <hyperlink ref="AB69" r:id="rId41" display="Joanne.Trentin@uccommunity.org.au"/>
    <hyperlink ref="AB70" r:id="rId42" display="Joanne.Trentin@uccommunity.org.au"/>
    <hyperlink ref="AB71" r:id="rId43" display="Joanne.Trentin@uccommunity.org.au"/>
    <hyperlink ref="AB72" r:id="rId44" display="Joanne.Trentin@uccommunity.org.au"/>
    <hyperlink ref="AB73" r:id="rId45" display="Joanne.Trentin@uccommunity.org.au"/>
    <hyperlink ref="AB74" r:id="rId46" display="Joanne.Trentin@uccommunity.org.au"/>
    <hyperlink ref="AB75" r:id="rId47" display="Joanne.Trentin@uccommunity.org.au"/>
    <hyperlink ref="AB76" r:id="rId48" display="Joanne.Trentin@uccommunity.org.au"/>
    <hyperlink ref="AB77" r:id="rId49" display="Joanne.Trentin@uccommunity.org.au"/>
    <hyperlink ref="AB78" r:id="rId50" display="luke.lindsay@uccommunity.org.au"/>
    <hyperlink ref="AB79" r:id="rId51" display="luke.lindsay@uccommunity.org.au"/>
    <hyperlink ref="AB83" r:id="rId52" display="luke.lindsay@uccommunity.org.au"/>
    <hyperlink ref="AB84" r:id="rId53" display="luke.lindsay@uccommunity.org.au"/>
    <hyperlink ref="AB86" r:id="rId54" display="luke.lindsay@uccommunity.org.au"/>
    <hyperlink ref="AB87" r:id="rId55" display="luke.lindsay@uccommunity.org.au"/>
    <hyperlink ref="AB88" r:id="rId56" display="luke.lindsay@uccommunity.org.au"/>
    <hyperlink ref="AB90" r:id="rId57" display="luke.lindsay@uccommunity.org.au"/>
    <hyperlink ref="AB91" r:id="rId58" display="luke.lindsay@uccommunity.org.au"/>
    <hyperlink ref="AB92" r:id="rId59" display="Martin.Woollaston@uccommunity.org.au"/>
    <hyperlink ref="AB93" r:id="rId60" display="Martin.Woollaston@uccommunity.org.au"/>
    <hyperlink ref="AB94" r:id="rId61" display="Martin.Woollaston@uccommunity.org.au"/>
    <hyperlink ref="AB95" r:id="rId62" display="Martin.Woollaston@uccommunity.org.au"/>
    <hyperlink ref="AB97" r:id="rId63" display="Martin.Woollaston@uccommunity.org.au"/>
    <hyperlink ref="AB98" r:id="rId64" display="Martin.Woollaston@uccommunity.org.au"/>
    <hyperlink ref="AB99" r:id="rId65" display="Martin.Woollaston@uccommunity.org.au"/>
    <hyperlink ref="AB100" r:id="rId66" display="Martin.Woollaston@uccommunity.org.au"/>
    <hyperlink ref="AB101" r:id="rId67" display="Martin.Woollaston@uccommunity.org.au"/>
    <hyperlink ref="AB103" r:id="rId68" display="Martin.Woollaston@uccommunity.org.au"/>
    <hyperlink ref="AB104" r:id="rId69" display="Martin.Woollaston@uccommunity.org.au"/>
    <hyperlink ref="AB105" r:id="rId70" display="Martin.Woollaston@uccommunity.org.au"/>
    <hyperlink ref="AB107" r:id="rId71" display="Martin.Woollaston@uccommunity.org.au"/>
    <hyperlink ref="AB108" r:id="rId72" display="Susan.Zhang@uccommunity.org.au"/>
    <hyperlink ref="AB109" r:id="rId73" display="Susan.Zhang@uccommunity.org.au"/>
    <hyperlink ref="AB110" r:id="rId74" display="Susan.Zhang@uccommunity.org.au"/>
    <hyperlink ref="AB111" r:id="rId75" display="Susan.Zhang@uccommunity.org.au"/>
    <hyperlink ref="AB112" r:id="rId76" display="Susan.Zhang@uccommunity.org.au"/>
    <hyperlink ref="AB114" r:id="rId77" display="Susan.Zhang@uccommunity.org.au"/>
    <hyperlink ref="AB115" r:id="rId78" display="Susan.Zhang@uccommunity.org.au"/>
    <hyperlink ref="AB116" r:id="rId79" display="vivien.bull@uccommunity.org.au"/>
    <hyperlink ref="AB117" r:id="rId80" display="vivien.bull@uccommunity.org.au"/>
    <hyperlink ref="AB118" r:id="rId81" display="vivien.bull@uccommunity.org.au"/>
    <hyperlink ref="AB119" r:id="rId82" display="vivien.bull@uccommunity.org.au"/>
    <hyperlink ref="AB120" r:id="rId83" display="vivien.bull@uccommunity.org.au"/>
    <hyperlink ref="AB121" r:id="rId84" display="vivien.bull@uccommunity.org.au"/>
  </hyperlinks>
  <printOptions headings="false" gridLines="false" gridLinesSet="true" horizontalCentered="false" verticalCentered="false"/>
  <pageMargins left="0.708333333333333" right="0.708333333333333" top="0.748611111111111" bottom="0.989583333333333" header="0.315277777777778" footer="0.315277777777778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&amp;C2021 UnitingCare Annual Remuneration Review</oddHeader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F12" activeCellId="1" sqref="M14 F12"/>
    </sheetView>
  </sheetViews>
  <sheetFormatPr defaultColWidth="8.51562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4"/>
  <sheetViews>
    <sheetView showFormulas="false" showGridLines="true" showRowColHeaders="true" showZeros="true" rightToLeft="false" tabSelected="false" showOutlineSymbols="true" defaultGridColor="true" view="normal" topLeftCell="A4" colorId="64" zoomScale="75" zoomScaleNormal="75" zoomScalePageLayoutView="100" workbookViewId="0">
      <selection pane="topLeft" activeCell="G11" activeCellId="1" sqref="M14 G11"/>
    </sheetView>
  </sheetViews>
  <sheetFormatPr defaultColWidth="8.5703125" defaultRowHeight="15" zeroHeight="false" outlineLevelRow="0" outlineLevelCol="0"/>
  <cols>
    <col collapsed="false" customWidth="true" hidden="false" outlineLevel="0" max="1" min="1" style="119" width="14"/>
    <col collapsed="false" customWidth="true" hidden="false" outlineLevel="0" max="6" min="2" style="120" width="11.57"/>
    <col collapsed="false" customWidth="false" hidden="false" outlineLevel="0" max="16384" min="7" style="120" width="8.57"/>
  </cols>
  <sheetData>
    <row r="1" customFormat="false" ht="15" hidden="false" customHeight="false" outlineLevel="0" collapsed="false">
      <c r="B1" s="362"/>
      <c r="C1" s="362"/>
      <c r="D1" s="362"/>
      <c r="E1" s="362"/>
      <c r="F1" s="362"/>
    </row>
    <row r="2" customFormat="false" ht="15" hidden="false" customHeight="false" outlineLevel="0" collapsed="false">
      <c r="A2" s="363" t="s">
        <v>917</v>
      </c>
      <c r="B2" s="364" t="s">
        <v>918</v>
      </c>
      <c r="C2" s="364"/>
      <c r="D2" s="365" t="s">
        <v>919</v>
      </c>
      <c r="E2" s="365" t="s">
        <v>920</v>
      </c>
      <c r="F2" s="365" t="s">
        <v>921</v>
      </c>
    </row>
    <row r="3" customFormat="false" ht="15.75" hidden="false" customHeight="false" outlineLevel="0" collapsed="false">
      <c r="A3" s="366" t="s">
        <v>922</v>
      </c>
      <c r="B3" s="366"/>
      <c r="C3" s="366"/>
      <c r="D3" s="366"/>
      <c r="E3" s="366"/>
      <c r="F3" s="366"/>
    </row>
    <row r="4" customFormat="false" ht="15" hidden="false" customHeight="false" outlineLevel="0" collapsed="false">
      <c r="A4" s="119" t="s">
        <v>312</v>
      </c>
      <c r="B4" s="119" t="n">
        <v>10</v>
      </c>
      <c r="C4" s="119" t="str">
        <f aca="false">CONCATENATE(A4,B4)</f>
        <v>GI10</v>
      </c>
      <c r="D4" s="367" t="n">
        <v>314300</v>
      </c>
      <c r="E4" s="367" t="n">
        <v>369800</v>
      </c>
      <c r="F4" s="367" t="n">
        <v>425300</v>
      </c>
    </row>
    <row r="5" customFormat="false" ht="15" hidden="false" customHeight="false" outlineLevel="0" collapsed="false">
      <c r="A5" s="119" t="s">
        <v>312</v>
      </c>
      <c r="B5" s="119" t="n">
        <v>9</v>
      </c>
      <c r="C5" s="119" t="str">
        <f aca="false">CONCATENATE(A5,B5)</f>
        <v>GI9</v>
      </c>
      <c r="D5" s="367" t="n">
        <v>244000</v>
      </c>
      <c r="E5" s="367" t="n">
        <v>287100</v>
      </c>
      <c r="F5" s="367" t="n">
        <v>330200</v>
      </c>
    </row>
    <row r="6" customFormat="false" ht="15" hidden="false" customHeight="false" outlineLevel="0" collapsed="false">
      <c r="A6" s="119" t="s">
        <v>312</v>
      </c>
      <c r="B6" s="119" t="n">
        <v>8</v>
      </c>
      <c r="C6" s="119" t="str">
        <f aca="false">CONCATENATE(A6,B6)</f>
        <v>GI8</v>
      </c>
      <c r="D6" s="367" t="n">
        <v>189500</v>
      </c>
      <c r="E6" s="367" t="n">
        <v>222900</v>
      </c>
      <c r="F6" s="367" t="n">
        <v>256300</v>
      </c>
    </row>
    <row r="7" customFormat="false" ht="15" hidden="false" customHeight="false" outlineLevel="0" collapsed="false">
      <c r="A7" s="119" t="s">
        <v>312</v>
      </c>
      <c r="B7" s="119" t="n">
        <v>7</v>
      </c>
      <c r="C7" s="119" t="str">
        <f aca="false">CONCATENATE(A7,B7)</f>
        <v>GI7</v>
      </c>
      <c r="D7" s="367" t="n">
        <v>147100</v>
      </c>
      <c r="E7" s="367" t="n">
        <v>173100</v>
      </c>
      <c r="F7" s="367" t="n">
        <v>199100</v>
      </c>
    </row>
    <row r="8" customFormat="false" ht="15" hidden="false" customHeight="false" outlineLevel="0" collapsed="false">
      <c r="A8" s="119" t="s">
        <v>312</v>
      </c>
      <c r="B8" s="119" t="n">
        <v>6</v>
      </c>
      <c r="C8" s="119" t="str">
        <f aca="false">CONCATENATE(A8,B8)</f>
        <v>GI6</v>
      </c>
      <c r="D8" s="367" t="n">
        <v>114200</v>
      </c>
      <c r="E8" s="367" t="n">
        <v>134400</v>
      </c>
      <c r="F8" s="367" t="n">
        <v>154600</v>
      </c>
    </row>
    <row r="9" customFormat="false" ht="15" hidden="false" customHeight="false" outlineLevel="0" collapsed="false">
      <c r="A9" s="119" t="s">
        <v>312</v>
      </c>
      <c r="B9" s="119" t="n">
        <v>5</v>
      </c>
      <c r="C9" s="119" t="str">
        <f aca="false">CONCATENATE(A9,B9)</f>
        <v>GI5</v>
      </c>
      <c r="D9" s="367" t="n">
        <v>88700</v>
      </c>
      <c r="E9" s="367" t="n">
        <v>104300</v>
      </c>
      <c r="F9" s="367" t="n">
        <v>119900</v>
      </c>
    </row>
    <row r="10" customFormat="false" ht="15" hidden="false" customHeight="false" outlineLevel="0" collapsed="false">
      <c r="A10" s="119" t="s">
        <v>312</v>
      </c>
      <c r="B10" s="119" t="n">
        <v>4</v>
      </c>
      <c r="C10" s="119" t="str">
        <f aca="false">CONCATENATE(A10,B10)</f>
        <v>GI4</v>
      </c>
      <c r="D10" s="367" t="n">
        <v>73500</v>
      </c>
      <c r="E10" s="367" t="n">
        <v>86500</v>
      </c>
      <c r="F10" s="367" t="n">
        <v>99500</v>
      </c>
    </row>
    <row r="11" customFormat="false" ht="15" hidden="false" customHeight="false" outlineLevel="0" collapsed="false">
      <c r="A11" s="119" t="s">
        <v>312</v>
      </c>
      <c r="B11" s="119" t="n">
        <v>3</v>
      </c>
      <c r="C11" s="119" t="str">
        <f aca="false">CONCATENATE(A11,B11)</f>
        <v>GI3</v>
      </c>
      <c r="D11" s="367" t="n">
        <v>64900</v>
      </c>
      <c r="E11" s="367" t="n">
        <v>76300</v>
      </c>
      <c r="F11" s="367" t="n">
        <v>87700</v>
      </c>
    </row>
    <row r="12" customFormat="false" ht="15" hidden="false" customHeight="false" outlineLevel="0" collapsed="false">
      <c r="A12" s="119" t="s">
        <v>312</v>
      </c>
      <c r="B12" s="119" t="n">
        <v>2</v>
      </c>
      <c r="C12" s="119" t="str">
        <f aca="false">CONCATENATE(A12,B12)</f>
        <v>GI2</v>
      </c>
      <c r="D12" s="367" t="n">
        <v>57100</v>
      </c>
      <c r="E12" s="367" t="n">
        <v>67200</v>
      </c>
      <c r="F12" s="367" t="n">
        <v>77300</v>
      </c>
    </row>
    <row r="13" customFormat="false" ht="15" hidden="false" customHeight="false" outlineLevel="0" collapsed="false">
      <c r="A13" s="119" t="s">
        <v>312</v>
      </c>
      <c r="B13" s="119" t="n">
        <v>1</v>
      </c>
      <c r="C13" s="119" t="str">
        <f aca="false">CONCATENATE(A13,B13)</f>
        <v>GI1</v>
      </c>
      <c r="D13" s="367" t="n">
        <v>50400</v>
      </c>
      <c r="E13" s="367" t="n">
        <v>59300</v>
      </c>
      <c r="F13" s="367" t="n">
        <v>68200</v>
      </c>
    </row>
    <row r="14" customFormat="false" ht="15.75" hidden="false" customHeight="false" outlineLevel="0" collapsed="false">
      <c r="A14" s="366" t="s">
        <v>923</v>
      </c>
      <c r="B14" s="366"/>
      <c r="C14" s="366"/>
      <c r="D14" s="366"/>
      <c r="E14" s="366"/>
      <c r="F14" s="366"/>
    </row>
    <row r="15" customFormat="false" ht="15" hidden="false" customHeight="false" outlineLevel="0" collapsed="false">
      <c r="A15" s="119" t="s">
        <v>292</v>
      </c>
      <c r="B15" s="119" t="n">
        <v>10</v>
      </c>
      <c r="C15" s="119" t="str">
        <f aca="false">CONCATENATE(A15,B15)</f>
        <v>CASS10</v>
      </c>
      <c r="D15" s="367" t="n">
        <v>268800</v>
      </c>
      <c r="E15" s="367" t="n">
        <v>316200</v>
      </c>
      <c r="F15" s="367" t="n">
        <v>363600</v>
      </c>
    </row>
    <row r="16" customFormat="false" ht="15" hidden="false" customHeight="false" outlineLevel="0" collapsed="false">
      <c r="A16" s="119" t="s">
        <v>292</v>
      </c>
      <c r="B16" s="119" t="n">
        <v>9</v>
      </c>
      <c r="C16" s="119" t="str">
        <f aca="false">CONCATENATE(A16,B16)</f>
        <v>CASS9</v>
      </c>
      <c r="D16" s="367" t="n">
        <v>213500</v>
      </c>
      <c r="E16" s="367" t="n">
        <v>251200</v>
      </c>
      <c r="F16" s="367" t="n">
        <v>288900</v>
      </c>
    </row>
    <row r="17" customFormat="false" ht="15" hidden="false" customHeight="false" outlineLevel="0" collapsed="false">
      <c r="A17" s="119" t="s">
        <v>292</v>
      </c>
      <c r="B17" s="119" t="n">
        <v>8</v>
      </c>
      <c r="C17" s="119" t="str">
        <f aca="false">CONCATENATE(A17,B17)</f>
        <v>CASS8</v>
      </c>
      <c r="D17" s="367" t="n">
        <v>168700</v>
      </c>
      <c r="E17" s="367" t="n">
        <v>198500</v>
      </c>
      <c r="F17" s="367" t="n">
        <v>228300</v>
      </c>
    </row>
    <row r="18" customFormat="false" ht="15" hidden="false" customHeight="false" outlineLevel="0" collapsed="false">
      <c r="A18" s="119" t="s">
        <v>292</v>
      </c>
      <c r="B18" s="119" t="n">
        <v>7</v>
      </c>
      <c r="C18" s="119" t="str">
        <f aca="false">CONCATENATE(A18,B18)</f>
        <v>CASS7</v>
      </c>
      <c r="D18" s="367" t="n">
        <v>133400</v>
      </c>
      <c r="E18" s="367" t="n">
        <v>156900</v>
      </c>
      <c r="F18" s="367" t="n">
        <v>180400</v>
      </c>
    </row>
    <row r="19" customFormat="false" ht="15" hidden="false" customHeight="false" outlineLevel="0" collapsed="false">
      <c r="A19" s="119" t="s">
        <v>292</v>
      </c>
      <c r="B19" s="119" t="n">
        <v>6</v>
      </c>
      <c r="C19" s="119" t="str">
        <f aca="false">CONCATENATE(A19,B19)</f>
        <v>CASS6</v>
      </c>
      <c r="D19" s="367" t="n">
        <v>105500</v>
      </c>
      <c r="E19" s="367" t="n">
        <v>124100</v>
      </c>
      <c r="F19" s="367" t="n">
        <v>142700</v>
      </c>
    </row>
    <row r="20" customFormat="false" ht="15" hidden="false" customHeight="false" outlineLevel="0" collapsed="false">
      <c r="A20" s="119" t="s">
        <v>292</v>
      </c>
      <c r="B20" s="119" t="n">
        <v>5</v>
      </c>
      <c r="C20" s="119" t="str">
        <f aca="false">CONCATENATE(A20,B20)</f>
        <v>CASS5</v>
      </c>
      <c r="D20" s="367" t="n">
        <v>83400</v>
      </c>
      <c r="E20" s="367" t="n">
        <v>98100</v>
      </c>
      <c r="F20" s="367" t="n">
        <v>112800</v>
      </c>
    </row>
    <row r="21" customFormat="false" ht="15" hidden="false" customHeight="false" outlineLevel="0" collapsed="false">
      <c r="A21" s="119" t="s">
        <v>292</v>
      </c>
      <c r="B21" s="119" t="n">
        <v>4</v>
      </c>
      <c r="C21" s="119" t="str">
        <f aca="false">CONCATENATE(A21,B21)</f>
        <v>CASS4</v>
      </c>
      <c r="D21" s="367" t="n">
        <v>70000</v>
      </c>
      <c r="E21" s="367" t="n">
        <v>82300</v>
      </c>
      <c r="F21" s="367" t="n">
        <v>94600</v>
      </c>
    </row>
    <row r="22" customFormat="false" ht="15" hidden="false" customHeight="false" outlineLevel="0" collapsed="false">
      <c r="A22" s="119" t="s">
        <v>292</v>
      </c>
      <c r="B22" s="119" t="n">
        <v>3</v>
      </c>
      <c r="C22" s="119" t="str">
        <f aca="false">CONCATENATE(A22,B22)</f>
        <v>CASS3</v>
      </c>
      <c r="D22" s="367" t="n">
        <v>62400</v>
      </c>
      <c r="E22" s="367" t="n">
        <v>73400</v>
      </c>
      <c r="F22" s="367" t="n">
        <v>84400</v>
      </c>
    </row>
    <row r="23" customFormat="false" ht="15" hidden="false" customHeight="false" outlineLevel="0" collapsed="false">
      <c r="A23" s="119" t="s">
        <v>292</v>
      </c>
      <c r="B23" s="119" t="n">
        <v>2</v>
      </c>
      <c r="C23" s="119" t="str">
        <f aca="false">CONCATENATE(A23,B23)</f>
        <v>CASS2</v>
      </c>
      <c r="D23" s="367" t="n">
        <v>55700</v>
      </c>
      <c r="E23" s="367" t="n">
        <v>65500</v>
      </c>
      <c r="F23" s="367" t="n">
        <v>75300</v>
      </c>
    </row>
    <row r="24" customFormat="false" ht="15" hidden="false" customHeight="false" outlineLevel="0" collapsed="false">
      <c r="A24" s="119" t="s">
        <v>292</v>
      </c>
      <c r="B24" s="119" t="n">
        <v>1</v>
      </c>
      <c r="C24" s="119" t="str">
        <f aca="false">CONCATENATE(A24,B24)</f>
        <v>CASS1</v>
      </c>
      <c r="D24" s="367" t="n">
        <v>49700</v>
      </c>
      <c r="E24" s="367" t="n">
        <v>58500</v>
      </c>
      <c r="F24" s="367" t="n">
        <v>67300</v>
      </c>
    </row>
    <row r="25" customFormat="false" ht="15.75" hidden="false" customHeight="false" outlineLevel="0" collapsed="false">
      <c r="A25" s="366" t="s">
        <v>924</v>
      </c>
      <c r="B25" s="366"/>
      <c r="C25" s="366"/>
      <c r="D25" s="366"/>
      <c r="E25" s="366"/>
      <c r="F25" s="366"/>
    </row>
    <row r="26" customFormat="false" ht="15" hidden="false" customHeight="false" outlineLevel="0" collapsed="false">
      <c r="A26" s="119" t="s">
        <v>925</v>
      </c>
      <c r="B26" s="119" t="n">
        <v>8</v>
      </c>
      <c r="C26" s="119" t="str">
        <f aca="false">CONCATENATE(A26,B26)</f>
        <v>HOS-CLIN8</v>
      </c>
      <c r="D26" s="367" t="n">
        <v>188000</v>
      </c>
      <c r="E26" s="367" t="n">
        <v>193000</v>
      </c>
      <c r="F26" s="367" t="n">
        <v>198000</v>
      </c>
    </row>
    <row r="27" customFormat="false" ht="15" hidden="false" customHeight="false" outlineLevel="0" collapsed="false">
      <c r="A27" s="119" t="s">
        <v>925</v>
      </c>
      <c r="B27" s="119" t="n">
        <v>7</v>
      </c>
      <c r="C27" s="119" t="str">
        <f aca="false">CONCATENATE(A27,B27)</f>
        <v>HOS-CLIN7</v>
      </c>
      <c r="D27" s="367" t="n">
        <v>163000</v>
      </c>
      <c r="E27" s="367" t="n">
        <v>167500</v>
      </c>
      <c r="F27" s="367" t="n">
        <v>172000</v>
      </c>
    </row>
    <row r="28" customFormat="false" ht="15" hidden="false" customHeight="false" outlineLevel="0" collapsed="false">
      <c r="A28" s="119" t="s">
        <v>925</v>
      </c>
      <c r="B28" s="119" t="n">
        <v>6</v>
      </c>
      <c r="C28" s="119" t="str">
        <f aca="false">CONCATENATE(A28,B28)</f>
        <v>HOS-CLIN6</v>
      </c>
      <c r="D28" s="367" t="n">
        <v>148000</v>
      </c>
      <c r="E28" s="367" t="n">
        <v>152000</v>
      </c>
      <c r="F28" s="367" t="n">
        <v>156000</v>
      </c>
    </row>
    <row r="29" customFormat="false" ht="15" hidden="false" customHeight="false" outlineLevel="0" collapsed="false">
      <c r="A29" s="119" t="s">
        <v>925</v>
      </c>
      <c r="B29" s="119" t="n">
        <v>5</v>
      </c>
      <c r="C29" s="119" t="str">
        <f aca="false">CONCATENATE(A29,B29)</f>
        <v>HOS-CLIN5</v>
      </c>
      <c r="D29" s="367" t="n">
        <v>120000</v>
      </c>
      <c r="E29" s="367" t="n">
        <v>132500</v>
      </c>
      <c r="F29" s="367" t="n">
        <v>145000</v>
      </c>
    </row>
    <row r="30" customFormat="false" ht="15.75" hidden="false" customHeight="false" outlineLevel="0" collapsed="false">
      <c r="A30" s="366" t="s">
        <v>926</v>
      </c>
      <c r="B30" s="366"/>
      <c r="C30" s="366"/>
      <c r="D30" s="366"/>
      <c r="E30" s="366"/>
      <c r="F30" s="366"/>
    </row>
    <row r="31" customFormat="false" ht="15" hidden="false" customHeight="false" outlineLevel="0" collapsed="false">
      <c r="A31" s="119" t="s">
        <v>927</v>
      </c>
      <c r="B31" s="119" t="n">
        <v>9</v>
      </c>
      <c r="C31" s="119" t="str">
        <f aca="false">CONCATENATE(A31,B31)</f>
        <v>HOS-MED9</v>
      </c>
      <c r="D31" s="367" t="n">
        <v>320000</v>
      </c>
      <c r="E31" s="367" t="n">
        <v>450000</v>
      </c>
      <c r="F31" s="367" t="n">
        <v>600000</v>
      </c>
    </row>
    <row r="32" customFormat="false" ht="15" hidden="false" customHeight="false" outlineLevel="0" collapsed="false">
      <c r="A32" s="119" t="s">
        <v>927</v>
      </c>
      <c r="B32" s="119" t="n">
        <v>8</v>
      </c>
      <c r="C32" s="119" t="str">
        <f aca="false">CONCATENATE(A32,B32)</f>
        <v>HOS-MED8</v>
      </c>
      <c r="D32" s="367" t="n">
        <v>340000</v>
      </c>
      <c r="E32" s="367" t="n">
        <v>420000</v>
      </c>
      <c r="F32" s="367" t="n">
        <v>500000</v>
      </c>
    </row>
    <row r="33" customFormat="false" ht="15" hidden="false" customHeight="false" outlineLevel="0" collapsed="false">
      <c r="A33" s="119" t="s">
        <v>927</v>
      </c>
      <c r="B33" s="119" t="n">
        <v>7</v>
      </c>
      <c r="C33" s="119" t="str">
        <f aca="false">CONCATENATE(A33,B33)</f>
        <v>HOS-MED7</v>
      </c>
      <c r="D33" s="367" t="n">
        <v>180000</v>
      </c>
      <c r="E33" s="367" t="n">
        <v>260000</v>
      </c>
      <c r="F33" s="367" t="n">
        <v>340000</v>
      </c>
    </row>
    <row r="34" customFormat="false" ht="15" hidden="false" customHeight="false" outlineLevel="0" collapsed="false">
      <c r="A34" s="119" t="s">
        <v>927</v>
      </c>
      <c r="B34" s="119" t="n">
        <v>6</v>
      </c>
      <c r="C34" s="119" t="str">
        <f aca="false">CONCATENATE(A34,B34)</f>
        <v>HOS-MED6</v>
      </c>
      <c r="D34" s="367" t="n">
        <v>160000</v>
      </c>
      <c r="E34" s="367" t="n">
        <v>180000</v>
      </c>
      <c r="F34" s="367" t="n">
        <v>200000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C75"/>
  <sheetViews>
    <sheetView showFormulas="false" showGridLines="true" showRowColHeaders="true" showZeros="true" rightToLeft="false" tabSelected="false" showOutlineSymbols="true" defaultGridColor="true" view="normal" topLeftCell="F1" colorId="64" zoomScale="75" zoomScaleNormal="75" zoomScalePageLayoutView="100" workbookViewId="0">
      <selection pane="topLeft" activeCell="N8" activeCellId="1" sqref="M14 N8"/>
    </sheetView>
  </sheetViews>
  <sheetFormatPr defaultColWidth="8.5703125" defaultRowHeight="15" zeroHeight="false" outlineLevelRow="0" outlineLevelCol="1"/>
  <cols>
    <col collapsed="false" customWidth="true" hidden="true" outlineLevel="1" max="1" min="1" style="120" width="43.14"/>
    <col collapsed="false" customWidth="true" hidden="true" outlineLevel="1" max="5" min="2" style="120" width="11.53"/>
    <col collapsed="false" customWidth="false" hidden="false" outlineLevel="0" max="16384" min="6" style="120" width="8.57"/>
  </cols>
  <sheetData>
    <row r="2" customFormat="false" ht="15" hidden="false" customHeight="false" outlineLevel="0" collapsed="false">
      <c r="A2" s="368" t="s">
        <v>204</v>
      </c>
      <c r="B2" s="369" t="s">
        <v>205</v>
      </c>
      <c r="C2" s="370" t="s">
        <v>928</v>
      </c>
    </row>
    <row r="3" customFormat="false" ht="15" hidden="false" customHeight="false" outlineLevel="0" collapsed="false">
      <c r="A3" s="371" t="s">
        <v>58</v>
      </c>
      <c r="B3" s="372"/>
      <c r="C3" s="373"/>
    </row>
    <row r="4" customFormat="false" ht="15" hidden="false" customHeight="false" outlineLevel="0" collapsed="false">
      <c r="A4" s="374"/>
      <c r="B4" s="375" t="s">
        <v>64</v>
      </c>
      <c r="C4" s="376"/>
    </row>
    <row r="5" customFormat="false" ht="15" hidden="false" customHeight="false" outlineLevel="0" collapsed="false">
      <c r="A5" s="377"/>
      <c r="B5" s="378" t="s">
        <v>59</v>
      </c>
      <c r="C5" s="379"/>
    </row>
    <row r="6" customFormat="false" ht="15" hidden="false" customHeight="false" outlineLevel="0" collapsed="false">
      <c r="A6" s="380" t="s">
        <v>929</v>
      </c>
      <c r="B6" s="381"/>
      <c r="C6" s="382"/>
    </row>
    <row r="7" customFormat="false" ht="15" hidden="false" customHeight="false" outlineLevel="0" collapsed="false">
      <c r="A7" s="0"/>
    </row>
    <row r="8" customFormat="false" ht="15" hidden="false" customHeight="false" outlineLevel="0" collapsed="false">
      <c r="A8" s="0"/>
    </row>
    <row r="9" customFormat="false" ht="15" hidden="false" customHeight="false" outlineLevel="0" collapsed="false">
      <c r="A9" s="0"/>
    </row>
    <row r="10" customFormat="false" ht="15" hidden="false" customHeight="false" outlineLevel="0" collapsed="false">
      <c r="A10" s="0"/>
    </row>
    <row r="11" customFormat="false" ht="15" hidden="false" customHeight="false" outlineLevel="0" collapsed="false">
      <c r="A11" s="0"/>
    </row>
    <row r="12" customFormat="false" ht="15" hidden="false" customHeight="false" outlineLevel="0" collapsed="false">
      <c r="A12" s="0"/>
    </row>
    <row r="13" customFormat="false" ht="15" hidden="false" customHeight="false" outlineLevel="0" collapsed="false">
      <c r="A13" s="0"/>
    </row>
    <row r="14" customFormat="false" ht="15" hidden="false" customHeight="false" outlineLevel="0" collapsed="false">
      <c r="A14" s="0"/>
    </row>
    <row r="15" customFormat="false" ht="15" hidden="false" customHeight="false" outlineLevel="0" collapsed="false">
      <c r="A15" s="0"/>
    </row>
    <row r="16" customFormat="false" ht="15" hidden="false" customHeight="false" outlineLevel="0" collapsed="false">
      <c r="A16" s="0"/>
    </row>
    <row r="17" customFormat="false" ht="15" hidden="false" customHeight="false" outlineLevel="0" collapsed="false">
      <c r="A17" s="0"/>
    </row>
    <row r="18" customFormat="false" ht="15" hidden="false" customHeight="false" outlineLevel="0" collapsed="false">
      <c r="A18" s="0"/>
    </row>
    <row r="19" customFormat="false" ht="15" hidden="false" customHeight="false" outlineLevel="0" collapsed="false">
      <c r="A19" s="0"/>
    </row>
    <row r="20" customFormat="false" ht="15" hidden="false" customHeight="false" outlineLevel="0" collapsed="false">
      <c r="A20" s="0"/>
    </row>
    <row r="21" customFormat="false" ht="15" hidden="false" customHeight="false" outlineLevel="0" collapsed="false">
      <c r="A21" s="0"/>
    </row>
    <row r="22" customFormat="false" ht="15" hidden="false" customHeight="false" outlineLevel="0" collapsed="false">
      <c r="A22" s="0"/>
    </row>
    <row r="23" customFormat="false" ht="15" hidden="false" customHeight="false" outlineLevel="0" collapsed="false">
      <c r="A23" s="0"/>
    </row>
    <row r="24" customFormat="false" ht="15" hidden="false" customHeight="false" outlineLevel="0" collapsed="false">
      <c r="A24" s="0"/>
    </row>
    <row r="25" customFormat="false" ht="15" hidden="false" customHeight="false" outlineLevel="0" collapsed="false">
      <c r="A25" s="0"/>
    </row>
    <row r="26" customFormat="false" ht="15" hidden="false" customHeight="false" outlineLevel="0" collapsed="false">
      <c r="A26" s="0"/>
    </row>
    <row r="27" customFormat="false" ht="15" hidden="false" customHeight="false" outlineLevel="0" collapsed="false">
      <c r="A27" s="0"/>
    </row>
    <row r="28" customFormat="false" ht="15" hidden="false" customHeight="false" outlineLevel="0" collapsed="false">
      <c r="A28" s="0"/>
    </row>
    <row r="29" customFormat="false" ht="15" hidden="false" customHeight="false" outlineLevel="0" collapsed="false">
      <c r="A29" s="0"/>
    </row>
    <row r="30" customFormat="false" ht="15" hidden="false" customHeight="false" outlineLevel="0" collapsed="false">
      <c r="A30" s="0"/>
    </row>
    <row r="31" customFormat="false" ht="15" hidden="false" customHeight="false" outlineLevel="0" collapsed="false">
      <c r="A31" s="0"/>
    </row>
    <row r="32" customFormat="false" ht="15" hidden="false" customHeight="false" outlineLevel="0" collapsed="false">
      <c r="A32" s="0"/>
    </row>
    <row r="33" customFormat="false" ht="15" hidden="false" customHeight="false" outlineLevel="0" collapsed="false">
      <c r="A33" s="0"/>
    </row>
    <row r="34" customFormat="false" ht="15" hidden="false" customHeight="false" outlineLevel="0" collapsed="false">
      <c r="A34" s="0"/>
    </row>
    <row r="35" customFormat="false" ht="15" hidden="false" customHeight="false" outlineLevel="0" collapsed="false">
      <c r="A35" s="0"/>
    </row>
    <row r="36" customFormat="false" ht="15" hidden="false" customHeight="false" outlineLevel="0" collapsed="false">
      <c r="A36" s="0"/>
    </row>
    <row r="37" customFormat="false" ht="15" hidden="false" customHeight="false" outlineLevel="0" collapsed="false">
      <c r="A37" s="0"/>
    </row>
    <row r="38" customFormat="false" ht="15" hidden="false" customHeight="false" outlineLevel="0" collapsed="false">
      <c r="A38" s="0"/>
    </row>
    <row r="39" customFormat="false" ht="15" hidden="false" customHeight="false" outlineLevel="0" collapsed="false">
      <c r="A39" s="0"/>
    </row>
    <row r="40" customFormat="false" ht="15" hidden="false" customHeight="false" outlineLevel="0" collapsed="false">
      <c r="A40" s="0"/>
    </row>
    <row r="41" customFormat="false" ht="15" hidden="false" customHeight="false" outlineLevel="0" collapsed="false">
      <c r="A41" s="0"/>
    </row>
    <row r="42" customFormat="false" ht="15" hidden="false" customHeight="false" outlineLevel="0" collapsed="false">
      <c r="A42" s="0"/>
    </row>
    <row r="43" customFormat="false" ht="15" hidden="false" customHeight="false" outlineLevel="0" collapsed="false">
      <c r="A43" s="0"/>
    </row>
    <row r="44" customFormat="false" ht="15" hidden="false" customHeight="false" outlineLevel="0" collapsed="false">
      <c r="A44" s="0"/>
    </row>
    <row r="45" customFormat="false" ht="15" hidden="false" customHeight="false" outlineLevel="0" collapsed="false">
      <c r="A45" s="0"/>
    </row>
    <row r="46" customFormat="false" ht="15" hidden="false" customHeight="false" outlineLevel="0" collapsed="false">
      <c r="A46" s="0"/>
    </row>
    <row r="47" customFormat="false" ht="15" hidden="false" customHeight="false" outlineLevel="0" collapsed="false">
      <c r="A47" s="0"/>
    </row>
    <row r="48" customFormat="false" ht="15" hidden="false" customHeight="false" outlineLevel="0" collapsed="false">
      <c r="A48" s="0"/>
    </row>
    <row r="49" customFormat="false" ht="15" hidden="false" customHeight="false" outlineLevel="0" collapsed="false">
      <c r="A49" s="0"/>
    </row>
    <row r="50" customFormat="false" ht="15" hidden="false" customHeight="false" outlineLevel="0" collapsed="false">
      <c r="A50" s="0"/>
    </row>
    <row r="51" customFormat="false" ht="15" hidden="false" customHeight="false" outlineLevel="0" collapsed="false">
      <c r="A51" s="0"/>
    </row>
    <row r="52" customFormat="false" ht="15" hidden="false" customHeight="false" outlineLevel="0" collapsed="false">
      <c r="A52" s="0"/>
    </row>
    <row r="53" customFormat="false" ht="15" hidden="false" customHeight="false" outlineLevel="0" collapsed="false">
      <c r="A53" s="0"/>
    </row>
    <row r="54" customFormat="false" ht="15" hidden="false" customHeight="false" outlineLevel="0" collapsed="false">
      <c r="A54" s="0"/>
    </row>
    <row r="55" customFormat="false" ht="15" hidden="false" customHeight="false" outlineLevel="0" collapsed="false">
      <c r="A55" s="0"/>
    </row>
    <row r="56" customFormat="false" ht="15" hidden="false" customHeight="false" outlineLevel="0" collapsed="false">
      <c r="A56" s="0"/>
    </row>
    <row r="57" customFormat="false" ht="15" hidden="false" customHeight="false" outlineLevel="0" collapsed="false">
      <c r="A57" s="0"/>
    </row>
    <row r="58" customFormat="false" ht="15" hidden="false" customHeight="false" outlineLevel="0" collapsed="false">
      <c r="A58" s="0"/>
    </row>
    <row r="59" customFormat="false" ht="15" hidden="false" customHeight="false" outlineLevel="0" collapsed="false">
      <c r="A59" s="0"/>
    </row>
    <row r="60" customFormat="false" ht="15" hidden="false" customHeight="false" outlineLevel="0" collapsed="false">
      <c r="A60" s="0"/>
    </row>
    <row r="61" customFormat="false" ht="15" hidden="false" customHeight="false" outlineLevel="0" collapsed="false">
      <c r="A61" s="0"/>
    </row>
    <row r="62" customFormat="false" ht="15" hidden="false" customHeight="false" outlineLevel="0" collapsed="false">
      <c r="A62" s="0"/>
    </row>
    <row r="63" customFormat="false" ht="15" hidden="false" customHeight="false" outlineLevel="0" collapsed="false">
      <c r="A63" s="0"/>
    </row>
    <row r="64" customFormat="false" ht="15" hidden="false" customHeight="false" outlineLevel="0" collapsed="false">
      <c r="A64" s="0"/>
    </row>
    <row r="65" customFormat="false" ht="15" hidden="false" customHeight="false" outlineLevel="0" collapsed="false">
      <c r="A65" s="0"/>
    </row>
    <row r="66" customFormat="false" ht="15" hidden="false" customHeight="false" outlineLevel="0" collapsed="false">
      <c r="A66" s="0"/>
    </row>
    <row r="67" customFormat="false" ht="15" hidden="false" customHeight="false" outlineLevel="0" collapsed="false">
      <c r="A67" s="0"/>
    </row>
    <row r="68" customFormat="false" ht="15" hidden="false" customHeight="false" outlineLevel="0" collapsed="false">
      <c r="A68" s="0"/>
    </row>
    <row r="69" customFormat="false" ht="15" hidden="false" customHeight="false" outlineLevel="0" collapsed="false">
      <c r="A69" s="0"/>
    </row>
    <row r="70" customFormat="false" ht="15" hidden="false" customHeight="false" outlineLevel="0" collapsed="false">
      <c r="A70" s="0"/>
    </row>
    <row r="71" customFormat="false" ht="15" hidden="false" customHeight="false" outlineLevel="0" collapsed="false">
      <c r="A71" s="0"/>
    </row>
    <row r="72" customFormat="false" ht="15" hidden="false" customHeight="false" outlineLevel="0" collapsed="false">
      <c r="A72" s="0"/>
    </row>
    <row r="73" customFormat="false" ht="15" hidden="false" customHeight="false" outlineLevel="0" collapsed="false">
      <c r="A73" s="0"/>
    </row>
    <row r="74" customFormat="false" ht="15" hidden="false" customHeight="false" outlineLevel="0" collapsed="false">
      <c r="A74" s="0"/>
    </row>
    <row r="75" customFormat="false" ht="15" hidden="false" customHeight="false" outlineLevel="0" collapsed="false">
      <c r="A75" s="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88"/>
  <sheetViews>
    <sheetView showFormulas="false" showGridLines="fals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1" topLeftCell="A2" activePane="bottomLeft" state="frozen"/>
      <selection pane="topLeft" activeCell="A1" activeCellId="0" sqref="A1"/>
      <selection pane="bottomLeft" activeCell="B27" activeCellId="1" sqref="M14 B27"/>
    </sheetView>
  </sheetViews>
  <sheetFormatPr defaultColWidth="11.5703125" defaultRowHeight="15" zeroHeight="false" outlineLevelRow="0" outlineLevelCol="0"/>
  <cols>
    <col collapsed="false" customWidth="true" hidden="false" outlineLevel="0" max="1" min="1" style="120" width="40.57"/>
    <col collapsed="false" customWidth="true" hidden="false" outlineLevel="0" max="2" min="2" style="120" width="60.57"/>
    <col collapsed="false" customWidth="true" hidden="false" outlineLevel="0" max="4" min="3" style="120" width="12.57"/>
    <col collapsed="false" customWidth="true" hidden="false" outlineLevel="0" max="8" min="5" style="383" width="12.57"/>
    <col collapsed="false" customWidth="true" hidden="false" outlineLevel="0" max="19" min="9" style="120" width="12.57"/>
    <col collapsed="false" customWidth="false" hidden="false" outlineLevel="0" max="16384" min="20" style="120" width="11.57"/>
  </cols>
  <sheetData>
    <row r="1" customFormat="false" ht="110.25" hidden="false" customHeight="true" outlineLevel="0" collapsed="false">
      <c r="A1" s="384" t="s">
        <v>930</v>
      </c>
      <c r="B1" s="384" t="s">
        <v>931</v>
      </c>
      <c r="C1" s="384" t="s">
        <v>932</v>
      </c>
      <c r="D1" s="385" t="s">
        <v>933</v>
      </c>
      <c r="E1" s="385" t="s">
        <v>934</v>
      </c>
      <c r="F1" s="385" t="s">
        <v>935</v>
      </c>
      <c r="G1" s="385" t="s">
        <v>936</v>
      </c>
      <c r="H1" s="385" t="s">
        <v>937</v>
      </c>
      <c r="I1" s="385" t="s">
        <v>938</v>
      </c>
      <c r="J1" s="385"/>
      <c r="K1" s="385" t="s">
        <v>939</v>
      </c>
      <c r="L1" s="385" t="s">
        <v>940</v>
      </c>
      <c r="M1" s="385" t="s">
        <v>941</v>
      </c>
      <c r="N1" s="386" t="s">
        <v>942</v>
      </c>
      <c r="O1" s="386"/>
      <c r="P1" s="387" t="s">
        <v>943</v>
      </c>
      <c r="Q1" s="388" t="s">
        <v>944</v>
      </c>
      <c r="R1" s="388"/>
      <c r="S1" s="388"/>
    </row>
    <row r="2" customFormat="false" ht="15" hidden="false" customHeight="false" outlineLevel="0" collapsed="false">
      <c r="A2" s="120" t="s">
        <v>945</v>
      </c>
      <c r="B2" s="383"/>
      <c r="C2" s="389"/>
      <c r="D2" s="390"/>
      <c r="E2" s="390"/>
      <c r="F2" s="389"/>
      <c r="G2" s="390"/>
      <c r="H2" s="391"/>
      <c r="I2" s="390"/>
      <c r="J2" s="390"/>
      <c r="K2" s="390"/>
      <c r="L2" s="392"/>
      <c r="M2" s="390"/>
      <c r="O2" s="119"/>
      <c r="P2" s="393"/>
    </row>
    <row r="3" customFormat="false" ht="53.25" hidden="false" customHeight="false" outlineLevel="0" collapsed="false">
      <c r="A3" s="394"/>
      <c r="B3" s="394" t="s">
        <v>946</v>
      </c>
      <c r="C3" s="394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119" t="n">
        <v>1</v>
      </c>
      <c r="O3" s="119" t="s">
        <v>947</v>
      </c>
      <c r="P3" s="393"/>
      <c r="Q3" s="395" t="s">
        <v>948</v>
      </c>
      <c r="R3" s="396"/>
      <c r="S3" s="397" t="s">
        <v>949</v>
      </c>
    </row>
    <row r="4" customFormat="false" ht="15" hidden="false" customHeight="false" outlineLevel="0" collapsed="false">
      <c r="A4" s="383" t="s">
        <v>950</v>
      </c>
      <c r="B4" s="396" t="s">
        <v>951</v>
      </c>
      <c r="C4" s="398" t="s">
        <v>952</v>
      </c>
      <c r="D4" s="399" t="n">
        <v>23.16</v>
      </c>
      <c r="E4" s="400" t="n">
        <v>45764.16</v>
      </c>
      <c r="F4" s="398"/>
      <c r="G4" s="400" t="n">
        <v>0</v>
      </c>
      <c r="H4" s="401" t="n">
        <v>0.175</v>
      </c>
      <c r="I4" s="400" t="n">
        <v>616.056</v>
      </c>
      <c r="J4" s="400"/>
      <c r="K4" s="400" t="n">
        <v>46380.216</v>
      </c>
      <c r="L4" s="402" t="n">
        <v>23.4717692307692</v>
      </c>
      <c r="M4" s="403" t="n">
        <v>46400</v>
      </c>
      <c r="N4" s="404" t="n">
        <v>48206</v>
      </c>
      <c r="O4" s="405" t="n">
        <v>0.0389224137931035</v>
      </c>
      <c r="P4" s="393" t="n">
        <v>1806</v>
      </c>
      <c r="Q4" s="406"/>
      <c r="R4" s="404" t="n">
        <v>48206</v>
      </c>
      <c r="S4" s="407" t="n">
        <v>0.0389224137931035</v>
      </c>
    </row>
    <row r="5" customFormat="false" ht="15" hidden="false" customHeight="false" outlineLevel="0" collapsed="false">
      <c r="A5" s="383" t="s">
        <v>953</v>
      </c>
      <c r="B5" s="396" t="s">
        <v>954</v>
      </c>
      <c r="C5" s="398" t="s">
        <v>955</v>
      </c>
      <c r="D5" s="399" t="n">
        <v>23.91</v>
      </c>
      <c r="E5" s="400" t="n">
        <v>47246.16</v>
      </c>
      <c r="F5" s="398"/>
      <c r="G5" s="400" t="n">
        <v>0</v>
      </c>
      <c r="H5" s="401" t="n">
        <v>0.175</v>
      </c>
      <c r="I5" s="400" t="n">
        <v>636.006</v>
      </c>
      <c r="J5" s="400"/>
      <c r="K5" s="400" t="n">
        <v>47882.166</v>
      </c>
      <c r="L5" s="402" t="n">
        <v>24.2318653846154</v>
      </c>
      <c r="M5" s="403" t="n">
        <v>47900</v>
      </c>
      <c r="N5" s="404" t="n">
        <v>49765</v>
      </c>
      <c r="O5" s="405" t="n">
        <v>0.0389352818371607</v>
      </c>
      <c r="P5" s="393" t="n">
        <v>1865</v>
      </c>
      <c r="Q5" s="406"/>
      <c r="R5" s="404" t="n">
        <v>49765</v>
      </c>
      <c r="S5" s="407" t="n">
        <v>0.0389352818371607</v>
      </c>
    </row>
    <row r="6" customFormat="false" ht="15" hidden="false" customHeight="false" outlineLevel="0" collapsed="false">
      <c r="A6" s="383" t="s">
        <v>956</v>
      </c>
      <c r="B6" s="396" t="s">
        <v>957</v>
      </c>
      <c r="C6" s="398" t="s">
        <v>958</v>
      </c>
      <c r="D6" s="399" t="n">
        <v>24.76</v>
      </c>
      <c r="E6" s="400" t="n">
        <v>48925.76</v>
      </c>
      <c r="F6" s="398"/>
      <c r="G6" s="400" t="n">
        <v>0</v>
      </c>
      <c r="H6" s="401" t="n">
        <v>0.175</v>
      </c>
      <c r="I6" s="400" t="n">
        <v>658.616</v>
      </c>
      <c r="J6" s="400"/>
      <c r="K6" s="400" t="n">
        <v>49584.376</v>
      </c>
      <c r="L6" s="402" t="n">
        <v>25.0933076923077</v>
      </c>
      <c r="M6" s="403" t="n">
        <v>49600</v>
      </c>
      <c r="N6" s="404" t="n">
        <v>51531</v>
      </c>
      <c r="O6" s="405" t="n">
        <v>0.0389314516129031</v>
      </c>
      <c r="P6" s="393" t="n">
        <v>1931</v>
      </c>
      <c r="Q6" s="406"/>
      <c r="R6" s="404" t="n">
        <v>51531</v>
      </c>
      <c r="S6" s="407" t="n">
        <v>0.0389314516129031</v>
      </c>
    </row>
    <row r="7" customFormat="false" ht="15" hidden="false" customHeight="false" outlineLevel="0" collapsed="false">
      <c r="A7" s="383" t="s">
        <v>959</v>
      </c>
      <c r="B7" s="396" t="s">
        <v>960</v>
      </c>
      <c r="C7" s="398" t="s">
        <v>961</v>
      </c>
      <c r="D7" s="399" t="n">
        <v>30.46</v>
      </c>
      <c r="E7" s="400" t="n">
        <v>60188.96</v>
      </c>
      <c r="F7" s="398"/>
      <c r="G7" s="400" t="n">
        <v>0</v>
      </c>
      <c r="H7" s="401" t="n">
        <v>0.175</v>
      </c>
      <c r="I7" s="400" t="n">
        <v>810.236</v>
      </c>
      <c r="J7" s="400"/>
      <c r="K7" s="400" t="n">
        <v>60999.196</v>
      </c>
      <c r="L7" s="402" t="n">
        <v>30.8700384615385</v>
      </c>
      <c r="M7" s="403" t="n">
        <v>61000</v>
      </c>
      <c r="N7" s="404" t="n">
        <v>63376</v>
      </c>
      <c r="O7" s="405" t="n">
        <v>0.0389508196721311</v>
      </c>
      <c r="P7" s="393" t="n">
        <v>2376</v>
      </c>
      <c r="Q7" s="406"/>
      <c r="R7" s="404" t="n">
        <v>63376</v>
      </c>
      <c r="S7" s="407" t="n">
        <v>0.0389508196721311</v>
      </c>
    </row>
    <row r="8" customFormat="false" ht="15" hidden="false" customHeight="false" outlineLevel="0" collapsed="false">
      <c r="A8" s="383" t="s">
        <v>962</v>
      </c>
      <c r="B8" s="396" t="s">
        <v>963</v>
      </c>
      <c r="C8" s="398" t="s">
        <v>964</v>
      </c>
      <c r="D8" s="399" t="n">
        <v>31.41</v>
      </c>
      <c r="E8" s="400" t="n">
        <v>62066.16</v>
      </c>
      <c r="F8" s="398"/>
      <c r="G8" s="400" t="n">
        <v>0</v>
      </c>
      <c r="H8" s="401" t="n">
        <v>0.175</v>
      </c>
      <c r="I8" s="400" t="n">
        <v>835.506</v>
      </c>
      <c r="J8" s="400"/>
      <c r="K8" s="400" t="n">
        <v>62901.666</v>
      </c>
      <c r="L8" s="402" t="n">
        <v>31.8328269230769</v>
      </c>
      <c r="M8" s="403" t="n">
        <v>63000</v>
      </c>
      <c r="N8" s="404" t="n">
        <v>65450</v>
      </c>
      <c r="O8" s="405" t="n">
        <v>0.038888888888889</v>
      </c>
      <c r="P8" s="393" t="n">
        <v>2450</v>
      </c>
      <c r="Q8" s="406"/>
      <c r="R8" s="404" t="n">
        <v>65450</v>
      </c>
      <c r="S8" s="407" t="n">
        <v>0.038888888888889</v>
      </c>
    </row>
    <row r="9" customFormat="false" ht="15" hidden="false" customHeight="false" outlineLevel="0" collapsed="false">
      <c r="A9" s="383" t="s">
        <v>965</v>
      </c>
      <c r="B9" s="396" t="s">
        <v>966</v>
      </c>
      <c r="C9" s="398" t="s">
        <v>967</v>
      </c>
      <c r="D9" s="399" t="n">
        <v>32.37</v>
      </c>
      <c r="E9" s="400" t="n">
        <v>63963.12</v>
      </c>
      <c r="F9" s="398"/>
      <c r="G9" s="400" t="n">
        <v>0</v>
      </c>
      <c r="H9" s="401" t="n">
        <v>0.175</v>
      </c>
      <c r="I9" s="400" t="n">
        <v>861.042</v>
      </c>
      <c r="J9" s="400"/>
      <c r="K9" s="400" t="n">
        <v>64824.162</v>
      </c>
      <c r="L9" s="402" t="n">
        <v>32.80575</v>
      </c>
      <c r="M9" s="403" t="n">
        <v>64900</v>
      </c>
      <c r="N9" s="404" t="n">
        <v>67425</v>
      </c>
      <c r="O9" s="405" t="n">
        <v>0.0389060092449922</v>
      </c>
      <c r="P9" s="393" t="n">
        <v>2525</v>
      </c>
      <c r="Q9" s="406"/>
      <c r="R9" s="404" t="n">
        <v>67425</v>
      </c>
      <c r="S9" s="407" t="n">
        <v>0.0389060092449922</v>
      </c>
    </row>
    <row r="10" customFormat="false" ht="15" hidden="false" customHeight="false" outlineLevel="0" collapsed="false">
      <c r="A10" s="383" t="s">
        <v>968</v>
      </c>
      <c r="B10" s="396" t="s">
        <v>969</v>
      </c>
      <c r="C10" s="398" t="s">
        <v>970</v>
      </c>
      <c r="D10" s="399" t="n">
        <v>33.23</v>
      </c>
      <c r="E10" s="400" t="n">
        <v>65662.48</v>
      </c>
      <c r="F10" s="398"/>
      <c r="G10" s="400" t="n">
        <v>0</v>
      </c>
      <c r="H10" s="401" t="n">
        <v>0.175</v>
      </c>
      <c r="I10" s="400" t="n">
        <v>883.918</v>
      </c>
      <c r="J10" s="400"/>
      <c r="K10" s="400" t="n">
        <v>66546.398</v>
      </c>
      <c r="L10" s="402" t="n">
        <v>33.6773269230769</v>
      </c>
      <c r="M10" s="403" t="n">
        <v>66600</v>
      </c>
      <c r="N10" s="404" t="n">
        <v>69192</v>
      </c>
      <c r="O10" s="405" t="n">
        <v>0.038918918918919</v>
      </c>
      <c r="P10" s="393" t="n">
        <v>2592</v>
      </c>
      <c r="Q10" s="406"/>
      <c r="R10" s="404" t="n">
        <v>69192</v>
      </c>
      <c r="S10" s="407" t="n">
        <v>0.038918918918919</v>
      </c>
    </row>
    <row r="11" customFormat="false" ht="15" hidden="false" customHeight="false" outlineLevel="0" collapsed="false">
      <c r="A11" s="383" t="s">
        <v>971</v>
      </c>
      <c r="B11" s="396" t="s">
        <v>972</v>
      </c>
      <c r="C11" s="398" t="s">
        <v>973</v>
      </c>
      <c r="D11" s="399" t="n">
        <v>34.04</v>
      </c>
      <c r="E11" s="400" t="n">
        <v>67263.04</v>
      </c>
      <c r="F11" s="398"/>
      <c r="G11" s="400" t="n">
        <v>0</v>
      </c>
      <c r="H11" s="401" t="n">
        <v>0.175</v>
      </c>
      <c r="I11" s="400" t="n">
        <v>905.464</v>
      </c>
      <c r="J11" s="400"/>
      <c r="K11" s="400" t="n">
        <v>68168.504</v>
      </c>
      <c r="L11" s="402" t="n">
        <v>34.4982307692308</v>
      </c>
      <c r="M11" s="403" t="n">
        <v>68200</v>
      </c>
      <c r="N11" s="404" t="n">
        <v>70855</v>
      </c>
      <c r="O11" s="405" t="n">
        <v>0.0389296187683283</v>
      </c>
      <c r="P11" s="393" t="n">
        <v>2655</v>
      </c>
      <c r="Q11" s="406"/>
      <c r="R11" s="404" t="n">
        <v>70855</v>
      </c>
      <c r="S11" s="407" t="n">
        <v>0.0389296187683283</v>
      </c>
    </row>
    <row r="12" customFormat="false" ht="15" hidden="false" customHeight="false" outlineLevel="0" collapsed="false">
      <c r="A12" s="383" t="s">
        <v>974</v>
      </c>
      <c r="B12" s="396" t="s">
        <v>975</v>
      </c>
      <c r="C12" s="398" t="s">
        <v>976</v>
      </c>
      <c r="D12" s="399" t="n">
        <v>35.02</v>
      </c>
      <c r="E12" s="400" t="n">
        <v>69199.52</v>
      </c>
      <c r="F12" s="398"/>
      <c r="G12" s="400" t="n">
        <v>0</v>
      </c>
      <c r="H12" s="401" t="n">
        <v>0.175</v>
      </c>
      <c r="I12" s="400" t="n">
        <v>931.532</v>
      </c>
      <c r="J12" s="400"/>
      <c r="K12" s="400" t="n">
        <v>70131.052</v>
      </c>
      <c r="L12" s="402" t="n">
        <v>35.4914230769231</v>
      </c>
      <c r="M12" s="403" t="n">
        <v>70200</v>
      </c>
      <c r="N12" s="404" t="n">
        <v>72932</v>
      </c>
      <c r="O12" s="405" t="n">
        <v>0.0389173789173789</v>
      </c>
      <c r="P12" s="393" t="n">
        <v>2732</v>
      </c>
      <c r="Q12" s="406"/>
      <c r="R12" s="404" t="n">
        <v>72932</v>
      </c>
      <c r="S12" s="407" t="n">
        <v>0.0389173789173789</v>
      </c>
    </row>
    <row r="13" customFormat="false" ht="15" hidden="false" customHeight="false" outlineLevel="0" collapsed="false">
      <c r="A13" s="383" t="s">
        <v>977</v>
      </c>
      <c r="B13" s="396" t="s">
        <v>978</v>
      </c>
      <c r="C13" s="398" t="s">
        <v>979</v>
      </c>
      <c r="D13" s="399" t="n">
        <v>35.77</v>
      </c>
      <c r="E13" s="400" t="n">
        <v>70681.52</v>
      </c>
      <c r="F13" s="398"/>
      <c r="G13" s="400" t="n">
        <v>0</v>
      </c>
      <c r="H13" s="401" t="n">
        <v>0.175</v>
      </c>
      <c r="I13" s="400" t="n">
        <v>951.482</v>
      </c>
      <c r="J13" s="400"/>
      <c r="K13" s="400" t="n">
        <v>71633.002</v>
      </c>
      <c r="L13" s="402" t="n">
        <v>36.2515192307692</v>
      </c>
      <c r="M13" s="403" t="n">
        <v>71700</v>
      </c>
      <c r="N13" s="404" t="n">
        <v>74490</v>
      </c>
      <c r="O13" s="405" t="n">
        <v>0.0389121338912133</v>
      </c>
      <c r="P13" s="393" t="n">
        <v>2790</v>
      </c>
      <c r="Q13" s="406"/>
      <c r="R13" s="404" t="n">
        <v>74490</v>
      </c>
      <c r="S13" s="407" t="n">
        <v>0.0389121338912133</v>
      </c>
    </row>
    <row r="14" customFormat="false" ht="15" hidden="false" customHeight="false" outlineLevel="0" collapsed="false">
      <c r="A14" s="383" t="s">
        <v>980</v>
      </c>
      <c r="B14" s="396" t="s">
        <v>981</v>
      </c>
      <c r="C14" s="398" t="s">
        <v>982</v>
      </c>
      <c r="D14" s="399" t="n">
        <v>36.5</v>
      </c>
      <c r="E14" s="400" t="n">
        <v>72124</v>
      </c>
      <c r="F14" s="398"/>
      <c r="G14" s="400" t="n">
        <v>0</v>
      </c>
      <c r="H14" s="401" t="n">
        <v>0.175</v>
      </c>
      <c r="I14" s="400" t="n">
        <v>970.9</v>
      </c>
      <c r="J14" s="400"/>
      <c r="K14" s="400" t="n">
        <v>73094.9</v>
      </c>
      <c r="L14" s="402" t="n">
        <v>36.9913461538462</v>
      </c>
      <c r="M14" s="403" t="n">
        <v>73100</v>
      </c>
      <c r="N14" s="404" t="n">
        <v>75947</v>
      </c>
      <c r="O14" s="405" t="n">
        <v>0.0389466484268126</v>
      </c>
      <c r="P14" s="393" t="n">
        <v>2847</v>
      </c>
      <c r="Q14" s="406"/>
      <c r="R14" s="404" t="n">
        <v>75947</v>
      </c>
      <c r="S14" s="407" t="n">
        <v>0.0389466484268126</v>
      </c>
    </row>
    <row r="15" customFormat="false" ht="15" hidden="false" customHeight="false" outlineLevel="0" collapsed="false">
      <c r="A15" s="383" t="s">
        <v>983</v>
      </c>
      <c r="B15" s="396" t="s">
        <v>984</v>
      </c>
      <c r="C15" s="398" t="s">
        <v>985</v>
      </c>
      <c r="D15" s="399" t="n">
        <v>39.26</v>
      </c>
      <c r="E15" s="400" t="n">
        <v>77577.76</v>
      </c>
      <c r="F15" s="398"/>
      <c r="G15" s="400" t="n">
        <v>0</v>
      </c>
      <c r="H15" s="401" t="n">
        <v>0.175</v>
      </c>
      <c r="I15" s="400" t="n">
        <v>1044.316</v>
      </c>
      <c r="J15" s="400"/>
      <c r="K15" s="400" t="n">
        <v>78622.076</v>
      </c>
      <c r="L15" s="402" t="n">
        <v>39.7885</v>
      </c>
      <c r="M15" s="403" t="n">
        <v>78700</v>
      </c>
      <c r="N15" s="404" t="n">
        <v>81762</v>
      </c>
      <c r="O15" s="405" t="n">
        <v>0.0389072426937738</v>
      </c>
      <c r="P15" s="393" t="n">
        <v>3062</v>
      </c>
      <c r="Q15" s="406"/>
      <c r="R15" s="404" t="n">
        <v>81762</v>
      </c>
      <c r="S15" s="407" t="n">
        <v>0.0389072426937738</v>
      </c>
    </row>
    <row r="16" customFormat="false" ht="15" hidden="false" customHeight="false" outlineLevel="0" collapsed="false">
      <c r="A16" s="383" t="s">
        <v>986</v>
      </c>
      <c r="B16" s="396" t="s">
        <v>987</v>
      </c>
      <c r="C16" s="398" t="s">
        <v>988</v>
      </c>
      <c r="D16" s="399" t="n">
        <v>40.29</v>
      </c>
      <c r="E16" s="400" t="n">
        <v>79613.04</v>
      </c>
      <c r="F16" s="398"/>
      <c r="G16" s="400" t="n">
        <v>0</v>
      </c>
      <c r="H16" s="401" t="n">
        <v>0.175</v>
      </c>
      <c r="I16" s="400" t="n">
        <v>1071.714</v>
      </c>
      <c r="J16" s="400"/>
      <c r="K16" s="400" t="n">
        <v>80684.754</v>
      </c>
      <c r="L16" s="402" t="n">
        <v>40.8323653846154</v>
      </c>
      <c r="M16" s="403" t="n">
        <v>80700</v>
      </c>
      <c r="N16" s="404" t="n">
        <v>83843</v>
      </c>
      <c r="O16" s="405" t="n">
        <v>0.0389467162329615</v>
      </c>
      <c r="P16" s="393" t="n">
        <v>3143</v>
      </c>
      <c r="Q16" s="406"/>
      <c r="R16" s="404" t="n">
        <v>83843</v>
      </c>
      <c r="S16" s="407" t="n">
        <v>0.0389467162329615</v>
      </c>
    </row>
    <row r="17" customFormat="false" ht="15" hidden="false" customHeight="false" outlineLevel="0" collapsed="false">
      <c r="A17" s="383" t="s">
        <v>989</v>
      </c>
      <c r="B17" s="396" t="s">
        <v>990</v>
      </c>
      <c r="C17" s="398" t="s">
        <v>991</v>
      </c>
      <c r="D17" s="399" t="n">
        <v>41.32</v>
      </c>
      <c r="E17" s="400" t="n">
        <v>81648.32</v>
      </c>
      <c r="F17" s="398"/>
      <c r="G17" s="400" t="n">
        <v>0</v>
      </c>
      <c r="H17" s="401" t="n">
        <v>0.175</v>
      </c>
      <c r="I17" s="400" t="n">
        <v>1099.112</v>
      </c>
      <c r="J17" s="400"/>
      <c r="K17" s="400" t="n">
        <v>82747.432</v>
      </c>
      <c r="L17" s="402" t="n">
        <v>41.8762307692308</v>
      </c>
      <c r="M17" s="403" t="n">
        <v>82800</v>
      </c>
      <c r="N17" s="404" t="n">
        <v>86023</v>
      </c>
      <c r="O17" s="405" t="n">
        <v>0.0389251207729469</v>
      </c>
      <c r="P17" s="393" t="n">
        <v>3223</v>
      </c>
      <c r="Q17" s="406"/>
      <c r="R17" s="404" t="n">
        <v>86023</v>
      </c>
      <c r="S17" s="407" t="n">
        <v>0.0389251207729469</v>
      </c>
    </row>
    <row r="18" customFormat="false" ht="15" hidden="false" customHeight="false" outlineLevel="0" collapsed="false">
      <c r="A18" s="383" t="s">
        <v>992</v>
      </c>
      <c r="B18" s="396" t="s">
        <v>993</v>
      </c>
      <c r="C18" s="398" t="s">
        <v>994</v>
      </c>
      <c r="D18" s="399" t="n">
        <v>42.25</v>
      </c>
      <c r="E18" s="400" t="n">
        <v>83486</v>
      </c>
      <c r="F18" s="398"/>
      <c r="G18" s="400" t="n">
        <v>0</v>
      </c>
      <c r="H18" s="401" t="n">
        <v>0.175</v>
      </c>
      <c r="I18" s="400" t="n">
        <v>1123.85</v>
      </c>
      <c r="J18" s="400"/>
      <c r="K18" s="400" t="n">
        <v>84609.85</v>
      </c>
      <c r="L18" s="402" t="n">
        <v>42.81875</v>
      </c>
      <c r="M18" s="403" t="n">
        <v>84700</v>
      </c>
      <c r="N18" s="404" t="n">
        <v>87996</v>
      </c>
      <c r="O18" s="405" t="n">
        <v>0.0389138134592679</v>
      </c>
      <c r="P18" s="393" t="n">
        <v>3296</v>
      </c>
      <c r="Q18" s="406"/>
      <c r="R18" s="404" t="n">
        <v>87996</v>
      </c>
      <c r="S18" s="407" t="n">
        <v>0.0389138134592679</v>
      </c>
    </row>
    <row r="19" customFormat="false" ht="15" hidden="false" customHeight="false" outlineLevel="0" collapsed="false">
      <c r="A19" s="383" t="s">
        <v>989</v>
      </c>
      <c r="B19" s="396" t="s">
        <v>995</v>
      </c>
      <c r="C19" s="398" t="s">
        <v>996</v>
      </c>
      <c r="D19" s="399" t="n">
        <v>44.92</v>
      </c>
      <c r="E19" s="400" t="n">
        <v>88761.92</v>
      </c>
      <c r="F19" s="398"/>
      <c r="G19" s="400" t="n">
        <v>0</v>
      </c>
      <c r="H19" s="401" t="n">
        <v>0.175</v>
      </c>
      <c r="I19" s="400" t="n">
        <v>1194.872</v>
      </c>
      <c r="J19" s="400"/>
      <c r="K19" s="400" t="n">
        <v>89956.792</v>
      </c>
      <c r="L19" s="402" t="n">
        <v>45.5246923076923</v>
      </c>
      <c r="M19" s="403" t="n">
        <v>90000</v>
      </c>
      <c r="N19" s="404" t="n">
        <v>93504</v>
      </c>
      <c r="O19" s="405" t="n">
        <v>0.0389333333333333</v>
      </c>
      <c r="P19" s="393" t="n">
        <v>3504</v>
      </c>
      <c r="Q19" s="406"/>
      <c r="R19" s="404" t="n">
        <v>93504</v>
      </c>
      <c r="S19" s="407" t="n">
        <v>0.0389333333333333</v>
      </c>
    </row>
    <row r="20" customFormat="false" ht="15" hidden="false" customHeight="false" outlineLevel="0" collapsed="false">
      <c r="A20" s="383" t="s">
        <v>986</v>
      </c>
      <c r="B20" s="396" t="s">
        <v>997</v>
      </c>
      <c r="C20" s="398" t="s">
        <v>998</v>
      </c>
      <c r="D20" s="399" t="n">
        <v>45.88</v>
      </c>
      <c r="E20" s="400" t="n">
        <v>90658.88</v>
      </c>
      <c r="F20" s="408"/>
      <c r="G20" s="400" t="n">
        <v>0</v>
      </c>
      <c r="H20" s="401" t="n">
        <v>0.175</v>
      </c>
      <c r="I20" s="400" t="n">
        <v>1220.408</v>
      </c>
      <c r="J20" s="400"/>
      <c r="K20" s="400" t="n">
        <v>91879.288</v>
      </c>
      <c r="L20" s="402" t="n">
        <v>46.4976153846154</v>
      </c>
      <c r="M20" s="403" t="n">
        <v>91900</v>
      </c>
      <c r="N20" s="404" t="n">
        <v>95479</v>
      </c>
      <c r="O20" s="405" t="n">
        <v>0.0389445048966268</v>
      </c>
      <c r="P20" s="393" t="n">
        <v>3579</v>
      </c>
      <c r="Q20" s="406"/>
      <c r="R20" s="404" t="n">
        <v>95479</v>
      </c>
      <c r="S20" s="407" t="n">
        <v>0.0389445048966268</v>
      </c>
    </row>
    <row r="21" customFormat="false" ht="15" hidden="false" customHeight="false" outlineLevel="0" collapsed="false">
      <c r="A21" s="383" t="s">
        <v>983</v>
      </c>
      <c r="B21" s="396" t="s">
        <v>999</v>
      </c>
      <c r="C21" s="398" t="s">
        <v>1000</v>
      </c>
      <c r="D21" s="399" t="n">
        <v>46.95</v>
      </c>
      <c r="E21" s="400" t="n">
        <v>92773.2</v>
      </c>
      <c r="F21" s="408"/>
      <c r="G21" s="400" t="n">
        <v>0</v>
      </c>
      <c r="H21" s="401" t="n">
        <v>0.175</v>
      </c>
      <c r="I21" s="400" t="n">
        <v>1248.87</v>
      </c>
      <c r="J21" s="400"/>
      <c r="K21" s="400" t="n">
        <v>94022.07</v>
      </c>
      <c r="L21" s="402" t="n">
        <v>47.5820192307692</v>
      </c>
      <c r="M21" s="403" t="n">
        <v>95000</v>
      </c>
      <c r="N21" s="404" t="n">
        <v>98662</v>
      </c>
      <c r="O21" s="405" t="n">
        <v>0.0385473684210527</v>
      </c>
      <c r="P21" s="393" t="n">
        <v>3662</v>
      </c>
      <c r="Q21" s="406"/>
      <c r="R21" s="404" t="n">
        <v>98662</v>
      </c>
      <c r="S21" s="407" t="n">
        <v>0.0385473684210527</v>
      </c>
    </row>
    <row r="22" customFormat="false" ht="15" hidden="false" customHeight="false" outlineLevel="0" collapsed="false">
      <c r="A22" s="383" t="s">
        <v>1001</v>
      </c>
      <c r="B22" s="396" t="s">
        <v>1002</v>
      </c>
      <c r="C22" s="398" t="s">
        <v>1003</v>
      </c>
      <c r="D22" s="399" t="n">
        <v>49.07</v>
      </c>
      <c r="E22" s="400" t="n">
        <v>96962.32</v>
      </c>
      <c r="F22" s="408"/>
      <c r="G22" s="400" t="n">
        <v>0</v>
      </c>
      <c r="H22" s="401" t="n">
        <v>0.175</v>
      </c>
      <c r="I22" s="400" t="n">
        <v>1305.262</v>
      </c>
      <c r="J22" s="400"/>
      <c r="K22" s="400" t="n">
        <v>98267.582</v>
      </c>
      <c r="L22" s="402" t="n">
        <v>49.7305576923077</v>
      </c>
      <c r="M22" s="403" t="n">
        <v>99000</v>
      </c>
      <c r="N22" s="404" t="n">
        <v>102827</v>
      </c>
      <c r="O22" s="405" t="n">
        <v>0.0386565656565656</v>
      </c>
      <c r="P22" s="393" t="n">
        <v>3827</v>
      </c>
      <c r="Q22" s="406"/>
      <c r="R22" s="404" t="n">
        <v>102827</v>
      </c>
      <c r="S22" s="407" t="n">
        <v>0.0386565656565656</v>
      </c>
    </row>
    <row r="23" customFormat="false" ht="15" hidden="false" customHeight="false" outlineLevel="0" collapsed="false">
      <c r="A23" s="383" t="s">
        <v>1004</v>
      </c>
      <c r="B23" s="396" t="s">
        <v>1005</v>
      </c>
      <c r="C23" s="398" t="s">
        <v>1006</v>
      </c>
      <c r="D23" s="399" t="n">
        <v>50.15</v>
      </c>
      <c r="E23" s="400" t="n">
        <v>99096.4</v>
      </c>
      <c r="F23" s="408"/>
      <c r="G23" s="400" t="n">
        <v>0</v>
      </c>
      <c r="H23" s="401" t="n">
        <v>0.175</v>
      </c>
      <c r="I23" s="400" t="n">
        <v>1333.99</v>
      </c>
      <c r="J23" s="400"/>
      <c r="K23" s="400" t="n">
        <v>100430.39</v>
      </c>
      <c r="L23" s="402" t="n">
        <v>50.8250961538462</v>
      </c>
      <c r="M23" s="403" t="n">
        <v>101000</v>
      </c>
      <c r="N23" s="404" t="n">
        <v>104912</v>
      </c>
      <c r="O23" s="405" t="n">
        <v>0.0387326732673268</v>
      </c>
      <c r="P23" s="393" t="n">
        <v>3912</v>
      </c>
      <c r="Q23" s="406"/>
      <c r="R23" s="404" t="n">
        <v>104912</v>
      </c>
      <c r="S23" s="407" t="n">
        <v>0.0387326732673268</v>
      </c>
    </row>
    <row r="24" customFormat="false" ht="15" hidden="false" customHeight="false" outlineLevel="0" collapsed="false">
      <c r="A24" s="383" t="s">
        <v>1007</v>
      </c>
      <c r="B24" s="396" t="s">
        <v>1008</v>
      </c>
      <c r="C24" s="398" t="s">
        <v>1009</v>
      </c>
      <c r="D24" s="399" t="n">
        <v>51.24</v>
      </c>
      <c r="E24" s="400" t="n">
        <v>101250.24</v>
      </c>
      <c r="F24" s="408"/>
      <c r="G24" s="400" t="n">
        <v>0</v>
      </c>
      <c r="H24" s="401" t="n">
        <v>0.175</v>
      </c>
      <c r="I24" s="400" t="n">
        <v>1362.984</v>
      </c>
      <c r="J24" s="400"/>
      <c r="K24" s="400" t="n">
        <v>102613.224</v>
      </c>
      <c r="L24" s="402" t="n">
        <v>51.9297692307692</v>
      </c>
      <c r="M24" s="403" t="n">
        <v>103000</v>
      </c>
      <c r="N24" s="404" t="n">
        <v>106997</v>
      </c>
      <c r="O24" s="405" t="n">
        <v>0.0388058252427184</v>
      </c>
      <c r="P24" s="393" t="n">
        <v>3997</v>
      </c>
      <c r="Q24" s="406"/>
      <c r="R24" s="404" t="n">
        <v>106997</v>
      </c>
      <c r="S24" s="407" t="n">
        <v>0.0388058252427184</v>
      </c>
    </row>
    <row r="25" customFormat="false" ht="15" hidden="false" customHeight="false" outlineLevel="0" collapsed="false">
      <c r="A25" s="383" t="s">
        <v>1010</v>
      </c>
      <c r="B25" s="396" t="s">
        <v>1011</v>
      </c>
      <c r="C25" s="398" t="s">
        <v>1012</v>
      </c>
      <c r="D25" s="409" t="n">
        <v>53.07</v>
      </c>
      <c r="E25" s="400" t="n">
        <v>104866.32</v>
      </c>
      <c r="F25" s="408" t="n">
        <v>0</v>
      </c>
      <c r="G25" s="400" t="n">
        <v>0</v>
      </c>
      <c r="H25" s="401" t="n">
        <v>0.175</v>
      </c>
      <c r="I25" s="400" t="n">
        <v>1411.662</v>
      </c>
      <c r="J25" s="400"/>
      <c r="K25" s="400" t="n">
        <v>106277.982</v>
      </c>
      <c r="L25" s="402" t="n">
        <v>53.7844038461539</v>
      </c>
      <c r="M25" s="403" t="n">
        <v>107000</v>
      </c>
      <c r="N25" s="404" t="n">
        <v>111139</v>
      </c>
      <c r="O25" s="405" t="n">
        <v>0.0386822429906542</v>
      </c>
      <c r="P25" s="393" t="n">
        <v>4139</v>
      </c>
      <c r="Q25" s="406"/>
      <c r="R25" s="404" t="n">
        <v>111139</v>
      </c>
      <c r="S25" s="407" t="n">
        <v>0.0386822429906542</v>
      </c>
    </row>
    <row r="26" customFormat="false" ht="15" hidden="false" customHeight="false" outlineLevel="0" collapsed="false">
      <c r="A26" s="383" t="s">
        <v>1013</v>
      </c>
      <c r="B26" s="396" t="s">
        <v>1014</v>
      </c>
      <c r="C26" s="398" t="s">
        <v>1015</v>
      </c>
      <c r="D26" s="409" t="n">
        <v>54.19</v>
      </c>
      <c r="E26" s="400" t="n">
        <v>107079.44</v>
      </c>
      <c r="F26" s="408" t="n">
        <v>0</v>
      </c>
      <c r="G26" s="400" t="n">
        <v>0</v>
      </c>
      <c r="H26" s="401" t="n">
        <v>0.175</v>
      </c>
      <c r="I26" s="400" t="n">
        <v>1441.454</v>
      </c>
      <c r="J26" s="400"/>
      <c r="K26" s="400" t="n">
        <v>108520.894</v>
      </c>
      <c r="L26" s="402" t="n">
        <v>54.9194807692308</v>
      </c>
      <c r="M26" s="403" t="n">
        <v>109000</v>
      </c>
      <c r="N26" s="404" t="n">
        <v>113227</v>
      </c>
      <c r="O26" s="405" t="n">
        <v>0.0387798165137614</v>
      </c>
      <c r="P26" s="393" t="n">
        <v>4227</v>
      </c>
      <c r="Q26" s="406"/>
      <c r="R26" s="404" t="n">
        <v>113227</v>
      </c>
      <c r="S26" s="407" t="n">
        <v>0.0387798165137614</v>
      </c>
    </row>
    <row r="27" customFormat="false" ht="15" hidden="false" customHeight="false" outlineLevel="0" collapsed="false">
      <c r="A27" s="383" t="s">
        <v>1016</v>
      </c>
      <c r="B27" s="396" t="s">
        <v>1017</v>
      </c>
      <c r="C27" s="398" t="s">
        <v>1018</v>
      </c>
      <c r="D27" s="409" t="n">
        <v>55.29</v>
      </c>
      <c r="E27" s="400" t="n">
        <v>109253.04</v>
      </c>
      <c r="F27" s="408" t="n">
        <v>0</v>
      </c>
      <c r="G27" s="400" t="n">
        <v>0</v>
      </c>
      <c r="H27" s="401" t="n">
        <v>0.175</v>
      </c>
      <c r="I27" s="400" t="n">
        <v>1470.714</v>
      </c>
      <c r="J27" s="400"/>
      <c r="K27" s="400" t="n">
        <v>110723.754</v>
      </c>
      <c r="L27" s="402" t="n">
        <v>56.0342884615385</v>
      </c>
      <c r="M27" s="403" t="n">
        <v>111000</v>
      </c>
      <c r="N27" s="404" t="n">
        <v>115313</v>
      </c>
      <c r="O27" s="405" t="n">
        <v>0.0388558558558558</v>
      </c>
      <c r="P27" s="393" t="n">
        <v>4313</v>
      </c>
      <c r="Q27" s="406"/>
      <c r="R27" s="404" t="n">
        <v>115313</v>
      </c>
      <c r="S27" s="407" t="n">
        <v>0.0388558558558558</v>
      </c>
    </row>
    <row r="28" customFormat="false" ht="15" hidden="false" customHeight="false" outlineLevel="0" collapsed="false">
      <c r="A28" s="383" t="s">
        <v>1019</v>
      </c>
      <c r="B28" s="396" t="s">
        <v>1020</v>
      </c>
      <c r="C28" s="398" t="s">
        <v>1021</v>
      </c>
      <c r="D28" s="409" t="n">
        <v>57.58</v>
      </c>
      <c r="E28" s="400" t="n">
        <v>113778.08</v>
      </c>
      <c r="F28" s="408" t="n">
        <v>0</v>
      </c>
      <c r="G28" s="400" t="n">
        <v>0</v>
      </c>
      <c r="H28" s="401" t="n">
        <v>0.175</v>
      </c>
      <c r="I28" s="400" t="n">
        <v>1531.628</v>
      </c>
      <c r="J28" s="400"/>
      <c r="K28" s="400" t="n">
        <v>115309.708</v>
      </c>
      <c r="L28" s="402" t="n">
        <v>58.3551153846154</v>
      </c>
      <c r="M28" s="403" t="n">
        <v>116000</v>
      </c>
      <c r="N28" s="404" t="n">
        <v>120491</v>
      </c>
      <c r="O28" s="405" t="n">
        <v>0.0387155172413793</v>
      </c>
      <c r="P28" s="393" t="n">
        <v>4491</v>
      </c>
      <c r="Q28" s="406"/>
      <c r="R28" s="404" t="n">
        <v>120491</v>
      </c>
      <c r="S28" s="407" t="n">
        <v>0.0387155172413793</v>
      </c>
    </row>
    <row r="29" customFormat="false" ht="15" hidden="false" customHeight="false" outlineLevel="0" collapsed="false">
      <c r="A29" s="383" t="s">
        <v>1022</v>
      </c>
      <c r="B29" s="396" t="s">
        <v>1023</v>
      </c>
      <c r="C29" s="398" t="s">
        <v>1024</v>
      </c>
      <c r="D29" s="409" t="n">
        <v>58.71</v>
      </c>
      <c r="E29" s="400" t="n">
        <v>116010.96</v>
      </c>
      <c r="F29" s="408"/>
      <c r="G29" s="400" t="n">
        <v>0</v>
      </c>
      <c r="H29" s="401" t="n">
        <v>0.175</v>
      </c>
      <c r="I29" s="400" t="n">
        <v>1561.686</v>
      </c>
      <c r="J29" s="400"/>
      <c r="K29" s="400" t="n">
        <v>117572.646</v>
      </c>
      <c r="L29" s="402" t="n">
        <v>59.5003269230769</v>
      </c>
      <c r="M29" s="403" t="n">
        <v>118000</v>
      </c>
      <c r="N29" s="404" t="n">
        <v>122579</v>
      </c>
      <c r="O29" s="405" t="n">
        <v>0.0388050847457626</v>
      </c>
      <c r="P29" s="393" t="n">
        <v>4579</v>
      </c>
      <c r="Q29" s="406"/>
      <c r="R29" s="404" t="n">
        <v>122579</v>
      </c>
      <c r="S29" s="407" t="n">
        <v>0.0388050847457626</v>
      </c>
    </row>
    <row r="30" customFormat="false" ht="15" hidden="false" customHeight="false" outlineLevel="0" collapsed="false">
      <c r="A30" s="383" t="s">
        <v>1025</v>
      </c>
      <c r="B30" s="396" t="s">
        <v>1026</v>
      </c>
      <c r="C30" s="398" t="s">
        <v>1027</v>
      </c>
      <c r="D30" s="409" t="n">
        <v>59.85</v>
      </c>
      <c r="E30" s="400" t="n">
        <v>118263.6</v>
      </c>
      <c r="F30" s="408"/>
      <c r="G30" s="400" t="n">
        <v>0</v>
      </c>
      <c r="H30" s="401" t="n">
        <v>0.175</v>
      </c>
      <c r="I30" s="400" t="n">
        <v>1592.01</v>
      </c>
      <c r="J30" s="400"/>
      <c r="K30" s="400" t="n">
        <v>119855.61</v>
      </c>
      <c r="L30" s="402" t="n">
        <v>60.6556730769231</v>
      </c>
      <c r="M30" s="403" t="n">
        <v>120000</v>
      </c>
      <c r="N30" s="404" t="n">
        <v>124668</v>
      </c>
      <c r="O30" s="405" t="n">
        <v>0.0388999999999999</v>
      </c>
      <c r="P30" s="393" t="n">
        <v>4668</v>
      </c>
      <c r="Q30" s="406"/>
      <c r="R30" s="404" t="n">
        <v>124668</v>
      </c>
      <c r="S30" s="407" t="n">
        <v>0.0388999999999999</v>
      </c>
    </row>
    <row r="31" customFormat="false" ht="15" hidden="false" customHeight="false" outlineLevel="0" collapsed="false">
      <c r="B31" s="383"/>
      <c r="C31" s="383"/>
      <c r="D31" s="383"/>
      <c r="I31" s="383"/>
      <c r="J31" s="383"/>
      <c r="K31" s="383"/>
      <c r="L31" s="383"/>
      <c r="M31" s="383"/>
      <c r="O31" s="119"/>
      <c r="P31" s="393"/>
    </row>
    <row r="32" customFormat="false" ht="53.25" hidden="false" customHeight="false" outlineLevel="0" collapsed="false">
      <c r="A32" s="410"/>
      <c r="B32" s="410" t="s">
        <v>1028</v>
      </c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119" t="n">
        <v>1</v>
      </c>
      <c r="O32" s="119" t="s">
        <v>947</v>
      </c>
      <c r="P32" s="393"/>
      <c r="Q32" s="395" t="s">
        <v>948</v>
      </c>
      <c r="R32" s="396"/>
      <c r="S32" s="397" t="s">
        <v>949</v>
      </c>
    </row>
    <row r="33" customFormat="false" ht="15" hidden="false" customHeight="false" outlineLevel="0" collapsed="false">
      <c r="A33" s="383" t="s">
        <v>1029</v>
      </c>
      <c r="B33" s="383" t="s">
        <v>1030</v>
      </c>
      <c r="C33" s="398" t="s">
        <v>1031</v>
      </c>
      <c r="D33" s="399" t="n">
        <v>23.38</v>
      </c>
      <c r="E33" s="400" t="n">
        <v>46198.88</v>
      </c>
      <c r="F33" s="408"/>
      <c r="G33" s="400" t="n">
        <v>0</v>
      </c>
      <c r="H33" s="401" t="n">
        <v>0.175</v>
      </c>
      <c r="I33" s="400" t="n">
        <v>621.908</v>
      </c>
      <c r="J33" s="400"/>
      <c r="K33" s="400" t="n">
        <v>46820.788</v>
      </c>
      <c r="L33" s="402" t="n">
        <v>23.6947307692308</v>
      </c>
      <c r="M33" s="403" t="n">
        <v>47000</v>
      </c>
      <c r="N33" s="404" t="n">
        <v>48824</v>
      </c>
      <c r="O33" s="405" t="n">
        <v>0.0388085106382978</v>
      </c>
      <c r="P33" s="393" t="n">
        <v>1824</v>
      </c>
      <c r="Q33" s="406"/>
      <c r="R33" s="404" t="n">
        <v>48824</v>
      </c>
      <c r="S33" s="407" t="n">
        <v>0.0388085106382978</v>
      </c>
    </row>
    <row r="34" customFormat="false" ht="15" hidden="false" customHeight="false" outlineLevel="0" collapsed="false">
      <c r="A34" s="383" t="s">
        <v>1032</v>
      </c>
      <c r="B34" s="383" t="s">
        <v>1033</v>
      </c>
      <c r="C34" s="398" t="s">
        <v>1034</v>
      </c>
      <c r="D34" s="399" t="n">
        <v>23.92</v>
      </c>
      <c r="E34" s="400" t="n">
        <v>47265.92</v>
      </c>
      <c r="F34" s="408"/>
      <c r="G34" s="400" t="n">
        <v>0</v>
      </c>
      <c r="H34" s="401" t="n">
        <v>0.175</v>
      </c>
      <c r="I34" s="400" t="n">
        <v>636.272</v>
      </c>
      <c r="J34" s="400"/>
      <c r="K34" s="400" t="n">
        <v>47902.192</v>
      </c>
      <c r="L34" s="402" t="n">
        <v>24.242</v>
      </c>
      <c r="M34" s="403" t="n">
        <v>48000</v>
      </c>
      <c r="N34" s="404" t="n">
        <v>49866</v>
      </c>
      <c r="O34" s="405" t="n">
        <v>0.038875</v>
      </c>
      <c r="P34" s="393" t="n">
        <v>1866</v>
      </c>
      <c r="Q34" s="406"/>
      <c r="R34" s="404" t="n">
        <v>49866</v>
      </c>
      <c r="S34" s="407" t="n">
        <v>0.038875</v>
      </c>
    </row>
    <row r="35" customFormat="false" ht="15" hidden="false" customHeight="false" outlineLevel="0" collapsed="false">
      <c r="A35" s="383" t="s">
        <v>1035</v>
      </c>
      <c r="B35" s="383" t="s">
        <v>1036</v>
      </c>
      <c r="C35" s="398" t="s">
        <v>1037</v>
      </c>
      <c r="D35" s="399" t="n">
        <v>24.29</v>
      </c>
      <c r="E35" s="400" t="n">
        <v>47997.04</v>
      </c>
      <c r="F35" s="408"/>
      <c r="G35" s="400" t="n">
        <v>0</v>
      </c>
      <c r="H35" s="401" t="n">
        <v>0.175</v>
      </c>
      <c r="I35" s="400" t="n">
        <v>646.114</v>
      </c>
      <c r="J35" s="400"/>
      <c r="K35" s="400" t="n">
        <v>48643.154</v>
      </c>
      <c r="L35" s="402" t="n">
        <v>24.6169807692308</v>
      </c>
      <c r="M35" s="403" t="n">
        <v>49000</v>
      </c>
      <c r="N35" s="404" t="n">
        <v>50895</v>
      </c>
      <c r="O35" s="405" t="n">
        <v>0.0386734693877551</v>
      </c>
      <c r="P35" s="393" t="n">
        <v>1895</v>
      </c>
      <c r="Q35" s="406"/>
      <c r="R35" s="404" t="n">
        <v>50895</v>
      </c>
      <c r="S35" s="407" t="n">
        <v>0.0386734693877551</v>
      </c>
    </row>
    <row r="36" customFormat="false" ht="15" hidden="false" customHeight="false" outlineLevel="0" collapsed="false">
      <c r="A36" s="383" t="s">
        <v>1038</v>
      </c>
      <c r="B36" s="383" t="s">
        <v>1039</v>
      </c>
      <c r="C36" s="398" t="s">
        <v>1040</v>
      </c>
      <c r="D36" s="399" t="n">
        <v>24.76</v>
      </c>
      <c r="E36" s="400" t="n">
        <v>48925.76</v>
      </c>
      <c r="F36" s="408"/>
      <c r="G36" s="400" t="n">
        <v>0</v>
      </c>
      <c r="H36" s="401" t="n">
        <v>0.175</v>
      </c>
      <c r="I36" s="400" t="n">
        <v>658.616</v>
      </c>
      <c r="J36" s="400"/>
      <c r="K36" s="400" t="n">
        <v>49584.376</v>
      </c>
      <c r="L36" s="402" t="n">
        <v>25.0933076923077</v>
      </c>
      <c r="M36" s="403" t="n">
        <v>50000</v>
      </c>
      <c r="N36" s="404" t="n">
        <v>51931</v>
      </c>
      <c r="O36" s="405" t="n">
        <v>0.0386200000000001</v>
      </c>
      <c r="P36" s="393" t="n">
        <v>1931</v>
      </c>
      <c r="Q36" s="406"/>
      <c r="R36" s="404" t="n">
        <v>51931</v>
      </c>
      <c r="S36" s="407" t="n">
        <v>0.0386200000000001</v>
      </c>
    </row>
    <row r="37" customFormat="false" ht="15" hidden="false" customHeight="false" outlineLevel="0" collapsed="false">
      <c r="A37" s="383" t="s">
        <v>1041</v>
      </c>
      <c r="B37" s="383" t="s">
        <v>1042</v>
      </c>
      <c r="C37" s="398" t="s">
        <v>1043</v>
      </c>
      <c r="D37" s="399" t="n">
        <v>28.58</v>
      </c>
      <c r="E37" s="400" t="n">
        <v>56474.08</v>
      </c>
      <c r="F37" s="408"/>
      <c r="G37" s="400" t="n">
        <v>0</v>
      </c>
      <c r="H37" s="401" t="n">
        <v>0.175</v>
      </c>
      <c r="I37" s="400" t="n">
        <v>760.228</v>
      </c>
      <c r="J37" s="400"/>
      <c r="K37" s="400" t="n">
        <v>57234.308</v>
      </c>
      <c r="L37" s="402" t="n">
        <v>28.9647307692308</v>
      </c>
      <c r="M37" s="403" t="n">
        <v>58000</v>
      </c>
      <c r="N37" s="404" t="n">
        <v>60229</v>
      </c>
      <c r="O37" s="405" t="n">
        <v>0.0384310344827585</v>
      </c>
      <c r="P37" s="393" t="n">
        <v>2229</v>
      </c>
      <c r="Q37" s="406"/>
      <c r="R37" s="404" t="n">
        <v>60229</v>
      </c>
      <c r="S37" s="407" t="n">
        <v>0.0384310344827585</v>
      </c>
    </row>
    <row r="38" customFormat="false" ht="15" hidden="false" customHeight="false" outlineLevel="0" collapsed="false">
      <c r="A38" s="383" t="s">
        <v>1044</v>
      </c>
      <c r="B38" s="383" t="s">
        <v>1045</v>
      </c>
      <c r="C38" s="398" t="s">
        <v>1046</v>
      </c>
      <c r="D38" s="399" t="n">
        <v>24.76</v>
      </c>
      <c r="E38" s="400" t="n">
        <v>48925.76</v>
      </c>
      <c r="F38" s="408"/>
      <c r="G38" s="400" t="n">
        <v>0</v>
      </c>
      <c r="H38" s="401" t="n">
        <v>0.175</v>
      </c>
      <c r="I38" s="400" t="n">
        <v>658.616</v>
      </c>
      <c r="J38" s="400"/>
      <c r="K38" s="400" t="n">
        <v>49584.376</v>
      </c>
      <c r="L38" s="402" t="n">
        <v>25.0933076923077</v>
      </c>
      <c r="M38" s="403" t="n">
        <v>50000</v>
      </c>
      <c r="N38" s="404" t="n">
        <v>51931</v>
      </c>
      <c r="O38" s="405" t="n">
        <v>0.0386200000000001</v>
      </c>
      <c r="P38" s="393" t="n">
        <v>1931</v>
      </c>
      <c r="Q38" s="406"/>
      <c r="R38" s="404" t="n">
        <v>51931</v>
      </c>
      <c r="S38" s="407" t="n">
        <v>0.0386200000000001</v>
      </c>
    </row>
    <row r="39" customFormat="false" ht="15" hidden="false" customHeight="false" outlineLevel="0" collapsed="false">
      <c r="A39" s="383" t="s">
        <v>1047</v>
      </c>
      <c r="B39" s="383" t="s">
        <v>1048</v>
      </c>
      <c r="C39" s="398" t="s">
        <v>1049</v>
      </c>
      <c r="D39" s="399" t="n">
        <v>26.15</v>
      </c>
      <c r="E39" s="400" t="n">
        <v>51672.4</v>
      </c>
      <c r="F39" s="408"/>
      <c r="G39" s="400" t="n">
        <v>0</v>
      </c>
      <c r="H39" s="401" t="n">
        <v>0.175</v>
      </c>
      <c r="I39" s="400" t="n">
        <v>695.59</v>
      </c>
      <c r="J39" s="400"/>
      <c r="K39" s="400" t="n">
        <v>52367.99</v>
      </c>
      <c r="L39" s="402" t="n">
        <v>26.5020192307692</v>
      </c>
      <c r="M39" s="403" t="n">
        <v>53000</v>
      </c>
      <c r="N39" s="404" t="n">
        <v>55040</v>
      </c>
      <c r="O39" s="405" t="n">
        <v>0.0384905660377359</v>
      </c>
      <c r="P39" s="393" t="n">
        <v>2040</v>
      </c>
      <c r="Q39" s="406"/>
      <c r="R39" s="404" t="n">
        <v>55040</v>
      </c>
      <c r="S39" s="407" t="n">
        <v>0.0384905660377359</v>
      </c>
    </row>
    <row r="40" customFormat="false" ht="15" hidden="false" customHeight="false" outlineLevel="0" collapsed="false">
      <c r="A40" s="383" t="s">
        <v>1050</v>
      </c>
      <c r="B40" s="383" t="s">
        <v>1051</v>
      </c>
      <c r="C40" s="398" t="s">
        <v>1052</v>
      </c>
      <c r="D40" s="399" t="n">
        <v>27.46</v>
      </c>
      <c r="E40" s="400" t="n">
        <v>54260.96</v>
      </c>
      <c r="F40" s="408"/>
      <c r="G40" s="400" t="n">
        <v>0</v>
      </c>
      <c r="H40" s="401" t="n">
        <v>0.175</v>
      </c>
      <c r="I40" s="400" t="n">
        <v>730.436</v>
      </c>
      <c r="J40" s="400"/>
      <c r="K40" s="400" t="n">
        <v>54991.396</v>
      </c>
      <c r="L40" s="402" t="n">
        <v>27.8296538461538</v>
      </c>
      <c r="M40" s="403" t="n">
        <v>55000</v>
      </c>
      <c r="N40" s="404" t="n">
        <v>57142</v>
      </c>
      <c r="O40" s="405" t="n">
        <v>0.0389454545454546</v>
      </c>
      <c r="P40" s="393" t="n">
        <v>2142</v>
      </c>
      <c r="Q40" s="406"/>
      <c r="R40" s="404" t="n">
        <v>57142</v>
      </c>
      <c r="S40" s="407" t="n">
        <v>0.0389454545454546</v>
      </c>
    </row>
    <row r="41" customFormat="false" ht="15" hidden="false" customHeight="false" outlineLevel="0" collapsed="false">
      <c r="A41" s="383" t="s">
        <v>1053</v>
      </c>
      <c r="B41" s="383" t="s">
        <v>1054</v>
      </c>
      <c r="C41" s="398" t="s">
        <v>1055</v>
      </c>
      <c r="D41" s="399" t="n">
        <v>28.58</v>
      </c>
      <c r="E41" s="400" t="n">
        <v>56474.08</v>
      </c>
      <c r="F41" s="408"/>
      <c r="G41" s="400" t="n">
        <v>0</v>
      </c>
      <c r="H41" s="401" t="n">
        <v>0.175</v>
      </c>
      <c r="I41" s="400" t="n">
        <v>760.228</v>
      </c>
      <c r="J41" s="400"/>
      <c r="K41" s="400" t="n">
        <v>57234.308</v>
      </c>
      <c r="L41" s="402" t="n">
        <v>28.9647307692308</v>
      </c>
      <c r="M41" s="403" t="n">
        <v>58000</v>
      </c>
      <c r="N41" s="404" t="n">
        <v>60229</v>
      </c>
      <c r="O41" s="405" t="n">
        <v>0.0384310344827585</v>
      </c>
      <c r="P41" s="393" t="n">
        <v>2229</v>
      </c>
      <c r="Q41" s="406"/>
      <c r="R41" s="404" t="n">
        <v>60229</v>
      </c>
      <c r="S41" s="407" t="n">
        <v>0.0384310344827585</v>
      </c>
    </row>
    <row r="42" customFormat="false" ht="15" hidden="false" customHeight="false" outlineLevel="0" collapsed="false">
      <c r="A42" s="383"/>
      <c r="B42" s="383"/>
      <c r="C42" s="398"/>
      <c r="D42" s="399"/>
      <c r="E42" s="400"/>
      <c r="F42" s="408"/>
      <c r="G42" s="408"/>
      <c r="H42" s="401"/>
      <c r="I42" s="400"/>
      <c r="J42" s="400"/>
      <c r="K42" s="400"/>
      <c r="L42" s="402"/>
      <c r="M42" s="403"/>
      <c r="N42" s="402"/>
      <c r="O42" s="411"/>
      <c r="P42" s="393"/>
    </row>
    <row r="43" customFormat="false" ht="53.25" hidden="false" customHeight="false" outlineLevel="0" collapsed="false">
      <c r="A43" s="410"/>
      <c r="B43" s="410" t="s">
        <v>1056</v>
      </c>
      <c r="C43" s="410"/>
      <c r="D43" s="410"/>
      <c r="E43" s="410"/>
      <c r="F43" s="410"/>
      <c r="G43" s="410"/>
      <c r="H43" s="410"/>
      <c r="I43" s="410"/>
      <c r="J43" s="410"/>
      <c r="K43" s="410"/>
      <c r="L43" s="410"/>
      <c r="M43" s="410"/>
      <c r="N43" s="119" t="n">
        <v>1</v>
      </c>
      <c r="O43" s="119" t="s">
        <v>947</v>
      </c>
      <c r="P43" s="393"/>
      <c r="Q43" s="395" t="s">
        <v>948</v>
      </c>
      <c r="R43" s="396"/>
      <c r="S43" s="397" t="s">
        <v>949</v>
      </c>
    </row>
    <row r="44" customFormat="false" ht="15" hidden="false" customHeight="false" outlineLevel="0" collapsed="false">
      <c r="A44" s="383" t="s">
        <v>1057</v>
      </c>
      <c r="B44" s="383"/>
      <c r="C44" s="398" t="s">
        <v>1058</v>
      </c>
      <c r="D44" s="399" t="n">
        <v>36.5</v>
      </c>
      <c r="E44" s="400" t="n">
        <v>72124</v>
      </c>
      <c r="F44" s="408"/>
      <c r="G44" s="400" t="n">
        <v>0</v>
      </c>
      <c r="H44" s="401" t="n">
        <v>0.175</v>
      </c>
      <c r="I44" s="400" t="n">
        <v>970.9</v>
      </c>
      <c r="J44" s="400"/>
      <c r="K44" s="400" t="n">
        <v>73094.9</v>
      </c>
      <c r="L44" s="402" t="n">
        <v>36.9913461538462</v>
      </c>
      <c r="M44" s="403" t="n">
        <v>74000</v>
      </c>
      <c r="N44" s="404" t="n">
        <v>76847</v>
      </c>
      <c r="O44" s="405" t="n">
        <v>0.0384729729729729</v>
      </c>
      <c r="P44" s="393" t="n">
        <v>2847</v>
      </c>
      <c r="Q44" s="406"/>
      <c r="R44" s="404" t="n">
        <v>76847</v>
      </c>
      <c r="S44" s="407" t="n">
        <v>0.0384729729729729</v>
      </c>
    </row>
    <row r="45" customFormat="false" ht="15" hidden="false" customHeight="false" outlineLevel="0" collapsed="false">
      <c r="B45" s="383"/>
      <c r="C45" s="383"/>
      <c r="D45" s="383"/>
      <c r="I45" s="383"/>
      <c r="J45" s="383"/>
      <c r="K45" s="383"/>
      <c r="L45" s="383"/>
      <c r="M45" s="383"/>
      <c r="O45" s="119"/>
      <c r="P45" s="393"/>
    </row>
    <row r="46" customFormat="false" ht="53.25" hidden="false" customHeight="false" outlineLevel="0" collapsed="false">
      <c r="A46" s="410"/>
      <c r="B46" s="410" t="s">
        <v>1059</v>
      </c>
      <c r="C46" s="410"/>
      <c r="D46" s="410"/>
      <c r="E46" s="410"/>
      <c r="F46" s="410"/>
      <c r="G46" s="410"/>
      <c r="H46" s="410"/>
      <c r="I46" s="410"/>
      <c r="J46" s="410"/>
      <c r="K46" s="410"/>
      <c r="L46" s="410"/>
      <c r="M46" s="410"/>
      <c r="N46" s="119" t="n">
        <v>1</v>
      </c>
      <c r="O46" s="119" t="s">
        <v>947</v>
      </c>
      <c r="P46" s="393"/>
      <c r="Q46" s="395" t="s">
        <v>948</v>
      </c>
      <c r="R46" s="396"/>
      <c r="S46" s="397" t="s">
        <v>949</v>
      </c>
    </row>
    <row r="47" customFormat="false" ht="15" hidden="false" customHeight="false" outlineLevel="0" collapsed="false">
      <c r="A47" s="383" t="s">
        <v>1060</v>
      </c>
      <c r="B47" s="383" t="s">
        <v>1061</v>
      </c>
      <c r="C47" s="398" t="s">
        <v>1062</v>
      </c>
      <c r="D47" s="412" t="n">
        <v>22.59</v>
      </c>
      <c r="E47" s="413" t="n">
        <v>44637.84</v>
      </c>
      <c r="F47" s="414"/>
      <c r="G47" s="400" t="n">
        <v>0</v>
      </c>
      <c r="H47" s="401" t="n">
        <v>0.175</v>
      </c>
      <c r="I47" s="400" t="n">
        <v>600.894</v>
      </c>
      <c r="J47" s="400"/>
      <c r="K47" s="400" t="n">
        <v>45238.734</v>
      </c>
      <c r="L47" s="402" t="n">
        <v>22.8940961538462</v>
      </c>
      <c r="M47" s="403" t="n">
        <v>46000</v>
      </c>
      <c r="N47" s="404" t="n">
        <v>47762</v>
      </c>
      <c r="O47" s="405" t="n">
        <v>0.0383043478260869</v>
      </c>
      <c r="P47" s="393" t="n">
        <v>1762</v>
      </c>
      <c r="Q47" s="406"/>
      <c r="R47" s="404" t="n">
        <v>47762</v>
      </c>
      <c r="S47" s="407" t="n">
        <v>0.0383043478260869</v>
      </c>
    </row>
    <row r="48" customFormat="false" ht="15" hidden="false" customHeight="false" outlineLevel="0" collapsed="false">
      <c r="A48" s="383" t="s">
        <v>1063</v>
      </c>
      <c r="B48" s="383" t="s">
        <v>1064</v>
      </c>
      <c r="C48" s="398" t="s">
        <v>1065</v>
      </c>
      <c r="D48" s="412" t="n">
        <v>23.13</v>
      </c>
      <c r="E48" s="413" t="n">
        <v>45704.88</v>
      </c>
      <c r="F48" s="415"/>
      <c r="G48" s="400" t="n">
        <v>0</v>
      </c>
      <c r="H48" s="401" t="n">
        <v>0.175</v>
      </c>
      <c r="I48" s="400" t="n">
        <v>615.258</v>
      </c>
      <c r="J48" s="400"/>
      <c r="K48" s="400" t="n">
        <v>46320.138</v>
      </c>
      <c r="L48" s="402" t="n">
        <v>23.4413653846154</v>
      </c>
      <c r="M48" s="403" t="n">
        <v>47000</v>
      </c>
      <c r="N48" s="404" t="n">
        <v>48804</v>
      </c>
      <c r="O48" s="405" t="n">
        <v>0.0383829787234042</v>
      </c>
      <c r="P48" s="393" t="n">
        <v>1804</v>
      </c>
      <c r="Q48" s="406"/>
      <c r="R48" s="404" t="n">
        <v>48804</v>
      </c>
      <c r="S48" s="407" t="n">
        <v>0.0383829787234042</v>
      </c>
    </row>
    <row r="49" customFormat="false" ht="15" hidden="false" customHeight="false" outlineLevel="0" collapsed="false">
      <c r="A49" s="383" t="s">
        <v>1066</v>
      </c>
      <c r="B49" s="383" t="s">
        <v>1067</v>
      </c>
      <c r="C49" s="398" t="s">
        <v>1068</v>
      </c>
      <c r="D49" s="412" t="n">
        <v>23.4</v>
      </c>
      <c r="E49" s="413" t="n">
        <v>46238.4</v>
      </c>
      <c r="F49" s="415"/>
      <c r="G49" s="400" t="n">
        <v>0</v>
      </c>
      <c r="H49" s="401" t="n">
        <v>0.175</v>
      </c>
      <c r="I49" s="400" t="n">
        <v>622.44</v>
      </c>
      <c r="J49" s="400"/>
      <c r="K49" s="400" t="n">
        <v>46860.84</v>
      </c>
      <c r="L49" s="402" t="n">
        <v>23.715</v>
      </c>
      <c r="M49" s="403" t="n">
        <v>47000</v>
      </c>
      <c r="N49" s="404" t="n">
        <v>48825</v>
      </c>
      <c r="O49" s="405" t="n">
        <v>0.0388297872340426</v>
      </c>
      <c r="P49" s="393" t="n">
        <v>1825</v>
      </c>
      <c r="Q49" s="406"/>
      <c r="R49" s="404" t="n">
        <v>48825</v>
      </c>
      <c r="S49" s="407" t="n">
        <v>0.0388297872340426</v>
      </c>
    </row>
    <row r="50" customFormat="false" ht="15" hidden="false" customHeight="false" outlineLevel="0" collapsed="false">
      <c r="A50" s="383" t="s">
        <v>1066</v>
      </c>
      <c r="B50" s="383" t="s">
        <v>1069</v>
      </c>
      <c r="C50" s="398" t="s">
        <v>1070</v>
      </c>
      <c r="D50" s="412" t="n">
        <v>23.4</v>
      </c>
      <c r="E50" s="413" t="n">
        <v>46238.4</v>
      </c>
      <c r="F50" s="396"/>
      <c r="G50" s="400" t="n">
        <v>0</v>
      </c>
      <c r="H50" s="401" t="n">
        <v>0.175</v>
      </c>
      <c r="I50" s="400" t="n">
        <v>622.44</v>
      </c>
      <c r="J50" s="400"/>
      <c r="K50" s="400" t="n">
        <v>46860.84</v>
      </c>
      <c r="L50" s="402" t="n">
        <v>23.715</v>
      </c>
      <c r="M50" s="403" t="n">
        <v>47000</v>
      </c>
      <c r="N50" s="404" t="n">
        <v>48825</v>
      </c>
      <c r="O50" s="405" t="n">
        <v>0.0388297872340426</v>
      </c>
      <c r="P50" s="393" t="n">
        <v>1825</v>
      </c>
      <c r="Q50" s="406"/>
      <c r="R50" s="404" t="n">
        <v>48825</v>
      </c>
      <c r="S50" s="407" t="n">
        <v>0.0388297872340426</v>
      </c>
    </row>
    <row r="51" customFormat="false" ht="15" hidden="false" customHeight="false" outlineLevel="0" collapsed="false">
      <c r="A51" s="383" t="s">
        <v>1066</v>
      </c>
      <c r="B51" s="383" t="s">
        <v>1071</v>
      </c>
      <c r="C51" s="398" t="s">
        <v>1072</v>
      </c>
      <c r="D51" s="412" t="n">
        <v>23.4</v>
      </c>
      <c r="E51" s="413" t="n">
        <v>46238.4</v>
      </c>
      <c r="F51" s="396"/>
      <c r="G51" s="400" t="n">
        <v>0</v>
      </c>
      <c r="H51" s="401" t="n">
        <v>0.175</v>
      </c>
      <c r="I51" s="400" t="n">
        <v>622.44</v>
      </c>
      <c r="J51" s="400"/>
      <c r="K51" s="400" t="n">
        <v>46860.84</v>
      </c>
      <c r="L51" s="402" t="n">
        <v>23.715</v>
      </c>
      <c r="M51" s="403" t="n">
        <v>47000</v>
      </c>
      <c r="N51" s="404" t="n">
        <v>48825</v>
      </c>
      <c r="O51" s="405" t="n">
        <v>0.0388297872340426</v>
      </c>
      <c r="P51" s="393" t="n">
        <v>1825</v>
      </c>
      <c r="Q51" s="406"/>
      <c r="R51" s="404" t="n">
        <v>48825</v>
      </c>
      <c r="S51" s="407" t="n">
        <v>0.0388297872340426</v>
      </c>
    </row>
    <row r="52" customFormat="false" ht="15" hidden="false" customHeight="false" outlineLevel="0" collapsed="false">
      <c r="A52" s="383" t="s">
        <v>1066</v>
      </c>
      <c r="B52" s="383" t="s">
        <v>1073</v>
      </c>
      <c r="C52" s="398" t="s">
        <v>1074</v>
      </c>
      <c r="D52" s="412" t="n">
        <v>23.4</v>
      </c>
      <c r="E52" s="413" t="n">
        <v>46238.4</v>
      </c>
      <c r="F52" s="396"/>
      <c r="G52" s="400" t="n">
        <v>0</v>
      </c>
      <c r="H52" s="401" t="n">
        <v>0.175</v>
      </c>
      <c r="I52" s="400" t="n">
        <v>622.44</v>
      </c>
      <c r="J52" s="400"/>
      <c r="K52" s="400" t="n">
        <v>46860.84</v>
      </c>
      <c r="L52" s="402" t="n">
        <v>23.715</v>
      </c>
      <c r="M52" s="403" t="n">
        <v>47000</v>
      </c>
      <c r="N52" s="404" t="n">
        <v>48825</v>
      </c>
      <c r="O52" s="405" t="n">
        <v>0.0388297872340426</v>
      </c>
      <c r="P52" s="393" t="n">
        <v>1825</v>
      </c>
      <c r="Q52" s="406"/>
      <c r="R52" s="404" t="n">
        <v>48825</v>
      </c>
      <c r="S52" s="407" t="n">
        <v>0.0388297872340426</v>
      </c>
    </row>
    <row r="53" customFormat="false" ht="15" hidden="false" customHeight="false" outlineLevel="0" collapsed="false">
      <c r="A53" s="383" t="s">
        <v>1075</v>
      </c>
      <c r="B53" s="383" t="s">
        <v>1076</v>
      </c>
      <c r="C53" s="398" t="s">
        <v>1077</v>
      </c>
      <c r="D53" s="412" t="n">
        <v>23.81</v>
      </c>
      <c r="E53" s="413" t="n">
        <v>47048.56</v>
      </c>
      <c r="F53" s="396"/>
      <c r="G53" s="400" t="n">
        <v>0</v>
      </c>
      <c r="H53" s="401" t="n">
        <v>0.175</v>
      </c>
      <c r="I53" s="400" t="n">
        <v>633.346</v>
      </c>
      <c r="J53" s="400"/>
      <c r="K53" s="400" t="n">
        <v>47681.906</v>
      </c>
      <c r="L53" s="402" t="n">
        <v>24.1305192307692</v>
      </c>
      <c r="M53" s="403" t="n">
        <v>48000</v>
      </c>
      <c r="N53" s="404" t="n">
        <v>49857</v>
      </c>
      <c r="O53" s="405" t="n">
        <v>0.0386875</v>
      </c>
      <c r="P53" s="393" t="n">
        <v>1857</v>
      </c>
      <c r="Q53" s="406"/>
      <c r="R53" s="404" t="n">
        <v>49857</v>
      </c>
      <c r="S53" s="407" t="n">
        <v>0.0386875</v>
      </c>
    </row>
    <row r="54" customFormat="false" ht="15" hidden="false" customHeight="false" outlineLevel="0" collapsed="false">
      <c r="A54" s="383" t="s">
        <v>1075</v>
      </c>
      <c r="B54" s="383" t="s">
        <v>1078</v>
      </c>
      <c r="C54" s="398" t="s">
        <v>1079</v>
      </c>
      <c r="D54" s="412" t="n">
        <v>23.81</v>
      </c>
      <c r="E54" s="413" t="n">
        <v>47048.56</v>
      </c>
      <c r="F54" s="396"/>
      <c r="G54" s="400" t="n">
        <v>0</v>
      </c>
      <c r="H54" s="401" t="n">
        <v>0.175</v>
      </c>
      <c r="I54" s="400" t="n">
        <v>633.346</v>
      </c>
      <c r="J54" s="400"/>
      <c r="K54" s="400" t="n">
        <v>47681.906</v>
      </c>
      <c r="L54" s="402" t="n">
        <v>24.1305192307692</v>
      </c>
      <c r="M54" s="403" t="n">
        <v>48000</v>
      </c>
      <c r="N54" s="404" t="n">
        <v>49857</v>
      </c>
      <c r="O54" s="405" t="n">
        <v>0.0386875</v>
      </c>
      <c r="P54" s="393" t="n">
        <v>1857</v>
      </c>
      <c r="Q54" s="406"/>
      <c r="R54" s="404" t="n">
        <v>49857</v>
      </c>
      <c r="S54" s="407" t="n">
        <v>0.0386875</v>
      </c>
    </row>
    <row r="55" customFormat="false" ht="15" hidden="false" customHeight="false" outlineLevel="0" collapsed="false">
      <c r="A55" s="383" t="s">
        <v>1075</v>
      </c>
      <c r="B55" s="383" t="s">
        <v>1080</v>
      </c>
      <c r="C55" s="398" t="s">
        <v>1081</v>
      </c>
      <c r="D55" s="412" t="n">
        <v>23.81</v>
      </c>
      <c r="E55" s="413" t="n">
        <v>47048.56</v>
      </c>
      <c r="F55" s="396"/>
      <c r="G55" s="400" t="n">
        <v>0</v>
      </c>
      <c r="H55" s="401" t="n">
        <v>0.175</v>
      </c>
      <c r="I55" s="400" t="n">
        <v>633.346</v>
      </c>
      <c r="J55" s="400"/>
      <c r="K55" s="400" t="n">
        <v>47681.906</v>
      </c>
      <c r="L55" s="402" t="n">
        <v>24.1305192307692</v>
      </c>
      <c r="M55" s="403" t="n">
        <v>48000</v>
      </c>
      <c r="N55" s="404" t="n">
        <v>49857</v>
      </c>
      <c r="O55" s="405" t="n">
        <v>0.0386875</v>
      </c>
      <c r="P55" s="393" t="n">
        <v>1857</v>
      </c>
      <c r="Q55" s="406"/>
      <c r="R55" s="404" t="n">
        <v>49857</v>
      </c>
      <c r="S55" s="407" t="n">
        <v>0.0386875</v>
      </c>
    </row>
    <row r="56" customFormat="false" ht="15" hidden="false" customHeight="false" outlineLevel="0" collapsed="false">
      <c r="A56" s="383" t="s">
        <v>1075</v>
      </c>
      <c r="B56" s="383" t="s">
        <v>1082</v>
      </c>
      <c r="C56" s="398" t="s">
        <v>1083</v>
      </c>
      <c r="D56" s="412" t="n">
        <v>23.81</v>
      </c>
      <c r="E56" s="413" t="n">
        <v>47048.56</v>
      </c>
      <c r="F56" s="396"/>
      <c r="G56" s="400" t="n">
        <v>0</v>
      </c>
      <c r="H56" s="401" t="n">
        <v>0.175</v>
      </c>
      <c r="I56" s="400" t="n">
        <v>633.346</v>
      </c>
      <c r="J56" s="400"/>
      <c r="K56" s="400" t="n">
        <v>47681.906</v>
      </c>
      <c r="L56" s="402" t="n">
        <v>24.1305192307692</v>
      </c>
      <c r="M56" s="403" t="n">
        <v>48000</v>
      </c>
      <c r="N56" s="404" t="n">
        <v>49857</v>
      </c>
      <c r="O56" s="405" t="n">
        <v>0.0386875</v>
      </c>
      <c r="P56" s="393" t="n">
        <v>1857</v>
      </c>
      <c r="Q56" s="406"/>
      <c r="R56" s="404" t="n">
        <v>49857</v>
      </c>
      <c r="S56" s="407" t="n">
        <v>0.0386875</v>
      </c>
    </row>
    <row r="57" customFormat="false" ht="15" hidden="false" customHeight="false" outlineLevel="0" collapsed="false">
      <c r="A57" s="383" t="s">
        <v>1075</v>
      </c>
      <c r="B57" s="383" t="s">
        <v>1084</v>
      </c>
      <c r="C57" s="398" t="s">
        <v>1085</v>
      </c>
      <c r="D57" s="412" t="n">
        <v>23.81</v>
      </c>
      <c r="E57" s="413" t="n">
        <v>47048.56</v>
      </c>
      <c r="F57" s="397"/>
      <c r="G57" s="400" t="n">
        <v>0</v>
      </c>
      <c r="H57" s="401" t="n">
        <v>0.175</v>
      </c>
      <c r="I57" s="400" t="n">
        <v>633.346</v>
      </c>
      <c r="J57" s="400"/>
      <c r="K57" s="400" t="n">
        <v>47681.906</v>
      </c>
      <c r="L57" s="402" t="n">
        <v>24.1305192307692</v>
      </c>
      <c r="M57" s="403" t="n">
        <v>48000</v>
      </c>
      <c r="N57" s="404" t="n">
        <v>49857</v>
      </c>
      <c r="O57" s="405" t="n">
        <v>0.0386875</v>
      </c>
      <c r="P57" s="393" t="n">
        <v>1857</v>
      </c>
      <c r="Q57" s="406"/>
      <c r="R57" s="404" t="n">
        <v>49857</v>
      </c>
      <c r="S57" s="407" t="n">
        <v>0.0386875</v>
      </c>
    </row>
    <row r="58" customFormat="false" ht="15" hidden="false" customHeight="false" outlineLevel="0" collapsed="false">
      <c r="B58" s="383"/>
      <c r="C58" s="383"/>
      <c r="D58" s="383"/>
      <c r="I58" s="383"/>
      <c r="J58" s="383"/>
      <c r="K58" s="383"/>
      <c r="L58" s="383"/>
      <c r="M58" s="383"/>
      <c r="O58" s="119"/>
      <c r="P58" s="393"/>
    </row>
    <row r="59" customFormat="false" ht="53.25" hidden="false" customHeight="false" outlineLevel="0" collapsed="false">
      <c r="A59" s="410"/>
      <c r="B59" s="410" t="s">
        <v>1086</v>
      </c>
      <c r="C59" s="410"/>
      <c r="D59" s="410"/>
      <c r="E59" s="410"/>
      <c r="F59" s="410"/>
      <c r="G59" s="410"/>
      <c r="H59" s="410"/>
      <c r="I59" s="410"/>
      <c r="J59" s="410"/>
      <c r="K59" s="410"/>
      <c r="L59" s="410"/>
      <c r="M59" s="410"/>
      <c r="N59" s="119" t="n">
        <v>1</v>
      </c>
      <c r="O59" s="119" t="s">
        <v>947</v>
      </c>
      <c r="P59" s="393"/>
      <c r="Q59" s="395" t="s">
        <v>948</v>
      </c>
      <c r="R59" s="396"/>
      <c r="S59" s="397" t="s">
        <v>949</v>
      </c>
    </row>
    <row r="60" customFormat="false" ht="15" hidden="false" customHeight="false" outlineLevel="0" collapsed="false">
      <c r="A60" s="383" t="s">
        <v>1087</v>
      </c>
      <c r="B60" s="383" t="s">
        <v>1088</v>
      </c>
      <c r="C60" s="398" t="s">
        <v>1089</v>
      </c>
      <c r="D60" s="399" t="n">
        <v>23.57</v>
      </c>
      <c r="E60" s="400" t="n">
        <v>46574.32</v>
      </c>
      <c r="F60" s="408" t="n">
        <v>5</v>
      </c>
      <c r="G60" s="400" t="n">
        <v>895.66</v>
      </c>
      <c r="H60" s="401" t="n">
        <v>0.175</v>
      </c>
      <c r="I60" s="400" t="n">
        <v>783.7025</v>
      </c>
      <c r="J60" s="400"/>
      <c r="K60" s="400" t="n">
        <v>48253.6825</v>
      </c>
      <c r="L60" s="402" t="n">
        <v>24.4198798076923</v>
      </c>
      <c r="M60" s="403" t="n">
        <v>49000</v>
      </c>
      <c r="N60" s="404" t="n">
        <v>50838</v>
      </c>
      <c r="O60" s="405" t="n">
        <v>0.0375102040816326</v>
      </c>
      <c r="P60" s="393" t="n">
        <v>1838</v>
      </c>
      <c r="Q60" s="406"/>
      <c r="R60" s="404" t="n">
        <v>50838</v>
      </c>
      <c r="S60" s="407" t="n">
        <v>0.0375102040816326</v>
      </c>
    </row>
    <row r="61" customFormat="false" ht="15" hidden="false" customHeight="false" outlineLevel="0" collapsed="false">
      <c r="A61" s="383" t="s">
        <v>1087</v>
      </c>
      <c r="B61" s="383" t="s">
        <v>1090</v>
      </c>
      <c r="C61" s="398" t="s">
        <v>1091</v>
      </c>
      <c r="D61" s="399" t="n">
        <v>23.57</v>
      </c>
      <c r="E61" s="400" t="n">
        <v>46574.32</v>
      </c>
      <c r="F61" s="408" t="n">
        <v>5</v>
      </c>
      <c r="G61" s="400" t="n">
        <v>895.66</v>
      </c>
      <c r="H61" s="401" t="n">
        <v>0.175</v>
      </c>
      <c r="I61" s="400" t="n">
        <v>783.7025</v>
      </c>
      <c r="J61" s="400"/>
      <c r="K61" s="400" t="n">
        <v>48253.6825</v>
      </c>
      <c r="L61" s="402" t="n">
        <v>24.4198798076923</v>
      </c>
      <c r="M61" s="403" t="n">
        <v>49000</v>
      </c>
      <c r="N61" s="404" t="n">
        <v>50838</v>
      </c>
      <c r="O61" s="405" t="n">
        <v>0.0375102040816326</v>
      </c>
      <c r="P61" s="393" t="n">
        <v>1838</v>
      </c>
      <c r="Q61" s="406"/>
      <c r="R61" s="404" t="n">
        <v>50838</v>
      </c>
      <c r="S61" s="407" t="n">
        <v>0.0375102040816326</v>
      </c>
    </row>
    <row r="62" customFormat="false" ht="15" hidden="false" customHeight="false" outlineLevel="0" collapsed="false">
      <c r="A62" s="383" t="s">
        <v>1092</v>
      </c>
      <c r="B62" s="383" t="s">
        <v>1093</v>
      </c>
      <c r="C62" s="398" t="s">
        <v>1094</v>
      </c>
      <c r="D62" s="399" t="n">
        <v>23.57</v>
      </c>
      <c r="E62" s="400" t="n">
        <v>46574.32</v>
      </c>
      <c r="F62" s="408" t="n">
        <v>5</v>
      </c>
      <c r="G62" s="400" t="n">
        <v>895.66</v>
      </c>
      <c r="H62" s="401" t="n">
        <v>0.175</v>
      </c>
      <c r="I62" s="400" t="n">
        <v>783.7025</v>
      </c>
      <c r="J62" s="400"/>
      <c r="K62" s="400" t="n">
        <v>48253.6825</v>
      </c>
      <c r="L62" s="402" t="n">
        <v>24.4198798076923</v>
      </c>
      <c r="M62" s="403" t="n">
        <v>49000</v>
      </c>
      <c r="N62" s="404" t="n">
        <v>50838</v>
      </c>
      <c r="O62" s="405" t="n">
        <v>0.0375102040816326</v>
      </c>
      <c r="P62" s="393" t="n">
        <v>1838</v>
      </c>
      <c r="Q62" s="406"/>
      <c r="R62" s="404" t="n">
        <v>50838</v>
      </c>
      <c r="S62" s="407" t="n">
        <v>0.0375102040816326</v>
      </c>
    </row>
    <row r="63" customFormat="false" ht="15" hidden="false" customHeight="false" outlineLevel="0" collapsed="false">
      <c r="A63" s="383" t="s">
        <v>1095</v>
      </c>
      <c r="B63" s="383" t="s">
        <v>1096</v>
      </c>
      <c r="C63" s="398" t="s">
        <v>1097</v>
      </c>
      <c r="D63" s="399" t="n">
        <v>24.47</v>
      </c>
      <c r="E63" s="400" t="n">
        <v>48352.72</v>
      </c>
      <c r="F63" s="408" t="n">
        <v>5</v>
      </c>
      <c r="G63" s="400" t="n">
        <v>929.86</v>
      </c>
      <c r="H63" s="401" t="n">
        <v>0.175</v>
      </c>
      <c r="I63" s="400" t="n">
        <v>813.6275</v>
      </c>
      <c r="J63" s="400"/>
      <c r="K63" s="400" t="n">
        <v>50096.2075</v>
      </c>
      <c r="L63" s="402" t="n">
        <v>25.3523317307692</v>
      </c>
      <c r="M63" s="403" t="n">
        <v>51000</v>
      </c>
      <c r="N63" s="404" t="n">
        <v>52909</v>
      </c>
      <c r="O63" s="405" t="n">
        <v>0.0374313725490196</v>
      </c>
      <c r="P63" s="393" t="n">
        <v>1909</v>
      </c>
      <c r="Q63" s="406"/>
      <c r="R63" s="404" t="n">
        <v>52909</v>
      </c>
      <c r="S63" s="407" t="n">
        <v>0.0374313725490196</v>
      </c>
    </row>
    <row r="64" customFormat="false" ht="15" hidden="false" customHeight="false" outlineLevel="0" collapsed="false">
      <c r="A64" s="383" t="s">
        <v>1095</v>
      </c>
      <c r="B64" s="383" t="s">
        <v>1098</v>
      </c>
      <c r="C64" s="398" t="s">
        <v>1099</v>
      </c>
      <c r="D64" s="399" t="n">
        <v>24.47</v>
      </c>
      <c r="E64" s="400" t="n">
        <v>48352.72</v>
      </c>
      <c r="F64" s="408" t="n">
        <v>5</v>
      </c>
      <c r="G64" s="400" t="n">
        <v>929.86</v>
      </c>
      <c r="H64" s="401" t="n">
        <v>0.175</v>
      </c>
      <c r="I64" s="400" t="n">
        <v>813.6275</v>
      </c>
      <c r="J64" s="400"/>
      <c r="K64" s="400" t="n">
        <v>50096.2075</v>
      </c>
      <c r="L64" s="402" t="n">
        <v>25.3523317307692</v>
      </c>
      <c r="M64" s="403" t="n">
        <v>51000</v>
      </c>
      <c r="N64" s="404" t="n">
        <v>52909</v>
      </c>
      <c r="O64" s="405" t="n">
        <v>0.0374313725490196</v>
      </c>
      <c r="P64" s="393" t="n">
        <v>1909</v>
      </c>
      <c r="Q64" s="406"/>
      <c r="R64" s="404" t="n">
        <v>52909</v>
      </c>
      <c r="S64" s="407" t="n">
        <v>0.0374313725490196</v>
      </c>
    </row>
    <row r="65" customFormat="false" ht="15" hidden="false" customHeight="false" outlineLevel="0" collapsed="false">
      <c r="A65" s="383" t="s">
        <v>1095</v>
      </c>
      <c r="B65" s="383" t="s">
        <v>1100</v>
      </c>
      <c r="C65" s="398" t="s">
        <v>1101</v>
      </c>
      <c r="D65" s="399" t="n">
        <v>24.47</v>
      </c>
      <c r="E65" s="400" t="n">
        <v>48352.72</v>
      </c>
      <c r="F65" s="408" t="n">
        <v>5</v>
      </c>
      <c r="G65" s="400" t="n">
        <v>929.86</v>
      </c>
      <c r="H65" s="401" t="n">
        <v>0.175</v>
      </c>
      <c r="I65" s="400" t="n">
        <v>813.6275</v>
      </c>
      <c r="J65" s="400"/>
      <c r="K65" s="400" t="n">
        <v>50096.2075</v>
      </c>
      <c r="L65" s="402" t="n">
        <v>25.3523317307692</v>
      </c>
      <c r="M65" s="403" t="n">
        <v>51000</v>
      </c>
      <c r="N65" s="404" t="n">
        <v>52909</v>
      </c>
      <c r="O65" s="405" t="n">
        <v>0.0374313725490196</v>
      </c>
      <c r="P65" s="393" t="n">
        <v>1909</v>
      </c>
      <c r="Q65" s="406"/>
      <c r="R65" s="404" t="n">
        <v>52909</v>
      </c>
      <c r="S65" s="407" t="n">
        <v>0.0374313725490196</v>
      </c>
    </row>
    <row r="66" customFormat="false" ht="15" hidden="false" customHeight="false" outlineLevel="0" collapsed="false">
      <c r="A66" s="383" t="s">
        <v>1095</v>
      </c>
      <c r="B66" s="383" t="s">
        <v>1102</v>
      </c>
      <c r="C66" s="398" t="s">
        <v>1103</v>
      </c>
      <c r="D66" s="399" t="n">
        <v>24.47</v>
      </c>
      <c r="E66" s="400" t="n">
        <v>48352.72</v>
      </c>
      <c r="F66" s="408" t="n">
        <v>5</v>
      </c>
      <c r="G66" s="400" t="n">
        <v>929.86</v>
      </c>
      <c r="H66" s="401" t="n">
        <v>0.175</v>
      </c>
      <c r="I66" s="400" t="n">
        <v>813.6275</v>
      </c>
      <c r="J66" s="400"/>
      <c r="K66" s="400" t="n">
        <v>50096.2075</v>
      </c>
      <c r="L66" s="402" t="n">
        <v>25.3523317307692</v>
      </c>
      <c r="M66" s="403" t="n">
        <v>51000</v>
      </c>
      <c r="N66" s="404" t="n">
        <v>52909</v>
      </c>
      <c r="O66" s="405" t="n">
        <v>0.0374313725490196</v>
      </c>
      <c r="P66" s="393" t="n">
        <v>1909</v>
      </c>
      <c r="Q66" s="406"/>
      <c r="R66" s="404" t="n">
        <v>52909</v>
      </c>
      <c r="S66" s="407" t="n">
        <v>0.0374313725490196</v>
      </c>
    </row>
    <row r="67" customFormat="false" ht="15" hidden="false" customHeight="false" outlineLevel="0" collapsed="false">
      <c r="A67" s="383" t="s">
        <v>1095</v>
      </c>
      <c r="B67" s="383" t="s">
        <v>1104</v>
      </c>
      <c r="C67" s="398" t="s">
        <v>1105</v>
      </c>
      <c r="D67" s="399" t="n">
        <v>24.86816</v>
      </c>
      <c r="E67" s="400" t="n">
        <v>49139.48416</v>
      </c>
      <c r="F67" s="408" t="n">
        <v>5</v>
      </c>
      <c r="G67" s="400" t="n">
        <v>944.99008</v>
      </c>
      <c r="H67" s="401" t="n">
        <v>0.175</v>
      </c>
      <c r="I67" s="400" t="n">
        <v>826.86632</v>
      </c>
      <c r="J67" s="400"/>
      <c r="K67" s="400" t="n">
        <v>50911.34056</v>
      </c>
      <c r="L67" s="402" t="n">
        <v>25.7648484615385</v>
      </c>
      <c r="M67" s="403" t="n">
        <v>51000</v>
      </c>
      <c r="N67" s="404" t="n">
        <v>52940</v>
      </c>
      <c r="O67" s="405" t="n">
        <v>0.0380392156862746</v>
      </c>
      <c r="P67" s="393" t="n">
        <v>1940</v>
      </c>
      <c r="Q67" s="406"/>
      <c r="R67" s="404" t="n">
        <v>52940</v>
      </c>
      <c r="S67" s="407" t="n">
        <v>0.0380392156862746</v>
      </c>
    </row>
    <row r="68" customFormat="false" ht="15" hidden="false" customHeight="false" outlineLevel="0" collapsed="false">
      <c r="A68" s="383" t="s">
        <v>1106</v>
      </c>
      <c r="B68" s="383" t="s">
        <v>1107</v>
      </c>
      <c r="C68" s="398" t="s">
        <v>1108</v>
      </c>
      <c r="D68" s="399" t="n">
        <v>24.93171</v>
      </c>
      <c r="E68" s="400" t="n">
        <v>49265.05896</v>
      </c>
      <c r="F68" s="408" t="n">
        <v>5</v>
      </c>
      <c r="G68" s="400" t="n">
        <v>947.40498</v>
      </c>
      <c r="H68" s="401" t="n">
        <v>0.175</v>
      </c>
      <c r="I68" s="400" t="n">
        <v>828.9793575</v>
      </c>
      <c r="J68" s="400"/>
      <c r="K68" s="400" t="n">
        <v>51041.4432975</v>
      </c>
      <c r="L68" s="402" t="n">
        <v>25.8306899278846</v>
      </c>
      <c r="M68" s="403" t="n">
        <v>52000</v>
      </c>
      <c r="N68" s="404" t="n">
        <v>53945</v>
      </c>
      <c r="O68" s="405" t="n">
        <v>0.0374038461538462</v>
      </c>
      <c r="P68" s="393" t="n">
        <v>1945</v>
      </c>
      <c r="Q68" s="406"/>
      <c r="R68" s="404" t="n">
        <v>53945</v>
      </c>
      <c r="S68" s="407" t="n">
        <v>0.0374038461538462</v>
      </c>
    </row>
    <row r="69" customFormat="false" ht="15" hidden="false" customHeight="false" outlineLevel="0" collapsed="false">
      <c r="A69" s="383" t="s">
        <v>1106</v>
      </c>
      <c r="B69" s="383" t="s">
        <v>1109</v>
      </c>
      <c r="C69" s="398" t="s">
        <v>1110</v>
      </c>
      <c r="D69" s="399" t="n">
        <v>25.45067</v>
      </c>
      <c r="E69" s="400" t="n">
        <v>50290.52392</v>
      </c>
      <c r="F69" s="408" t="n">
        <v>5</v>
      </c>
      <c r="G69" s="400" t="n">
        <v>967.12546</v>
      </c>
      <c r="H69" s="401" t="n">
        <v>0.175</v>
      </c>
      <c r="I69" s="400" t="n">
        <v>846.2347775</v>
      </c>
      <c r="J69" s="400"/>
      <c r="K69" s="400" t="n">
        <v>52103.8841575</v>
      </c>
      <c r="L69" s="402" t="n">
        <v>26.3683624278846</v>
      </c>
      <c r="M69" s="403" t="n">
        <v>53000</v>
      </c>
      <c r="N69" s="404" t="n">
        <v>54985</v>
      </c>
      <c r="O69" s="405" t="n">
        <v>0.0374528301886792</v>
      </c>
      <c r="P69" s="393" t="n">
        <v>1985</v>
      </c>
      <c r="Q69" s="406"/>
      <c r="R69" s="404" t="n">
        <v>54985</v>
      </c>
      <c r="S69" s="407" t="n">
        <v>0.0374528301886792</v>
      </c>
    </row>
    <row r="70" customFormat="false" ht="15" hidden="false" customHeight="false" outlineLevel="0" collapsed="false">
      <c r="A70" s="383" t="s">
        <v>1106</v>
      </c>
      <c r="B70" s="383" t="s">
        <v>1111</v>
      </c>
      <c r="C70" s="398" t="s">
        <v>1112</v>
      </c>
      <c r="D70" s="399" t="n">
        <v>25.98024</v>
      </c>
      <c r="E70" s="400" t="n">
        <v>51336.95424</v>
      </c>
      <c r="F70" s="408" t="n">
        <v>5</v>
      </c>
      <c r="G70" s="400" t="n">
        <v>987.24912</v>
      </c>
      <c r="H70" s="401" t="n">
        <v>0.175</v>
      </c>
      <c r="I70" s="400" t="n">
        <v>863.84298</v>
      </c>
      <c r="J70" s="400"/>
      <c r="K70" s="400" t="n">
        <v>53188.04634</v>
      </c>
      <c r="L70" s="402" t="n">
        <v>26.9170275</v>
      </c>
      <c r="M70" s="403" t="n">
        <v>54000</v>
      </c>
      <c r="N70" s="404" t="n">
        <v>56026</v>
      </c>
      <c r="O70" s="405" t="n">
        <v>0.0375185185185185</v>
      </c>
      <c r="P70" s="393" t="n">
        <v>2026</v>
      </c>
      <c r="Q70" s="406"/>
      <c r="R70" s="404" t="n">
        <v>56026</v>
      </c>
      <c r="S70" s="407" t="n">
        <v>0.0375185185185185</v>
      </c>
    </row>
    <row r="71" customFormat="false" ht="15" hidden="false" customHeight="false" outlineLevel="0" collapsed="false">
      <c r="A71" s="383" t="s">
        <v>1113</v>
      </c>
      <c r="B71" s="383" t="s">
        <v>1114</v>
      </c>
      <c r="C71" s="398" t="s">
        <v>1115</v>
      </c>
      <c r="D71" s="399" t="n">
        <v>26.24502</v>
      </c>
      <c r="E71" s="400" t="n">
        <v>51860.15952</v>
      </c>
      <c r="F71" s="408" t="n">
        <v>5</v>
      </c>
      <c r="G71" s="400" t="n">
        <v>997.31076</v>
      </c>
      <c r="H71" s="401" t="n">
        <v>0.175</v>
      </c>
      <c r="I71" s="400" t="n">
        <v>872.646915</v>
      </c>
      <c r="J71" s="400"/>
      <c r="K71" s="400" t="n">
        <v>53730.117195</v>
      </c>
      <c r="L71" s="402" t="n">
        <v>27.1913548557692</v>
      </c>
      <c r="M71" s="403" t="n">
        <v>54000</v>
      </c>
      <c r="N71" s="404" t="n">
        <v>56047</v>
      </c>
      <c r="O71" s="405" t="n">
        <v>0.0379074074074075</v>
      </c>
      <c r="P71" s="393" t="n">
        <v>2047</v>
      </c>
      <c r="Q71" s="406"/>
      <c r="R71" s="404" t="n">
        <v>56047</v>
      </c>
      <c r="S71" s="407" t="n">
        <v>0.0379074074074075</v>
      </c>
    </row>
    <row r="72" customFormat="false" ht="15" hidden="false" customHeight="false" outlineLevel="0" collapsed="false">
      <c r="A72" s="383" t="s">
        <v>1113</v>
      </c>
      <c r="B72" s="383" t="s">
        <v>1116</v>
      </c>
      <c r="C72" s="398" t="s">
        <v>1117</v>
      </c>
      <c r="D72" s="399" t="n">
        <v>26.5098</v>
      </c>
      <c r="E72" s="400" t="n">
        <v>52383.3648</v>
      </c>
      <c r="F72" s="408" t="n">
        <v>5</v>
      </c>
      <c r="G72" s="400" t="n">
        <v>1007.3724</v>
      </c>
      <c r="H72" s="401" t="n">
        <v>0.175</v>
      </c>
      <c r="I72" s="400" t="n">
        <v>881.45085</v>
      </c>
      <c r="J72" s="400"/>
      <c r="K72" s="400" t="n">
        <v>54272.18805</v>
      </c>
      <c r="L72" s="402" t="n">
        <v>27.4656822115385</v>
      </c>
      <c r="M72" s="403" t="n">
        <v>55000</v>
      </c>
      <c r="N72" s="404" t="n">
        <v>57068</v>
      </c>
      <c r="O72" s="405" t="n">
        <v>0.0376000000000001</v>
      </c>
      <c r="P72" s="393" t="n">
        <v>2068</v>
      </c>
      <c r="Q72" s="406"/>
      <c r="R72" s="404" t="n">
        <v>57068</v>
      </c>
      <c r="S72" s="407" t="n">
        <v>0.0376000000000001</v>
      </c>
    </row>
    <row r="73" customFormat="false" ht="15" hidden="false" customHeight="false" outlineLevel="0" collapsed="false">
      <c r="A73" s="383" t="s">
        <v>1113</v>
      </c>
      <c r="B73" s="383" t="s">
        <v>1118</v>
      </c>
      <c r="C73" s="398" t="s">
        <v>1119</v>
      </c>
      <c r="D73" s="399" t="n">
        <v>27.02877</v>
      </c>
      <c r="E73" s="400" t="n">
        <v>53408.84952</v>
      </c>
      <c r="F73" s="408" t="n">
        <v>5</v>
      </c>
      <c r="G73" s="400" t="n">
        <v>1027.09326</v>
      </c>
      <c r="H73" s="401" t="n">
        <v>0.175</v>
      </c>
      <c r="I73" s="400" t="n">
        <v>898.7066025</v>
      </c>
      <c r="J73" s="400"/>
      <c r="K73" s="400" t="n">
        <v>55334.6493825</v>
      </c>
      <c r="L73" s="402" t="n">
        <v>28.0033650721154</v>
      </c>
      <c r="M73" s="403" t="n">
        <v>56000</v>
      </c>
      <c r="N73" s="404" t="n">
        <v>58108</v>
      </c>
      <c r="O73" s="405" t="n">
        <v>0.0376428571428571</v>
      </c>
      <c r="P73" s="393" t="n">
        <v>2108</v>
      </c>
      <c r="Q73" s="406"/>
      <c r="R73" s="404" t="n">
        <v>58108</v>
      </c>
      <c r="S73" s="407" t="n">
        <v>0.0376428571428571</v>
      </c>
    </row>
    <row r="74" customFormat="false" ht="15" hidden="false" customHeight="false" outlineLevel="0" collapsed="false">
      <c r="A74" s="383" t="s">
        <v>1120</v>
      </c>
      <c r="B74" s="383" t="s">
        <v>1121</v>
      </c>
      <c r="C74" s="398" t="s">
        <v>1122</v>
      </c>
      <c r="D74" s="399" t="n">
        <v>27.29355</v>
      </c>
      <c r="E74" s="400" t="n">
        <v>53932.0548</v>
      </c>
      <c r="F74" s="408" t="n">
        <v>5</v>
      </c>
      <c r="G74" s="400" t="n">
        <v>1037.1549</v>
      </c>
      <c r="H74" s="401" t="n">
        <v>0.175</v>
      </c>
      <c r="I74" s="400" t="n">
        <v>907.5105375</v>
      </c>
      <c r="J74" s="400"/>
      <c r="K74" s="400" t="n">
        <v>55876.7202375</v>
      </c>
      <c r="L74" s="402" t="n">
        <v>28.2776924278846</v>
      </c>
      <c r="M74" s="403" t="n">
        <v>56000</v>
      </c>
      <c r="N74" s="404" t="n">
        <v>58129</v>
      </c>
      <c r="O74" s="405" t="n">
        <v>0.0380178571428571</v>
      </c>
      <c r="P74" s="393" t="n">
        <v>2129</v>
      </c>
      <c r="Q74" s="406"/>
      <c r="R74" s="404" t="n">
        <v>58129</v>
      </c>
      <c r="S74" s="407" t="n">
        <v>0.0380178571428571</v>
      </c>
    </row>
    <row r="75" customFormat="false" ht="15" hidden="false" customHeight="false" outlineLevel="0" collapsed="false">
      <c r="A75" s="383" t="s">
        <v>1120</v>
      </c>
      <c r="B75" s="383" t="s">
        <v>1123</v>
      </c>
      <c r="C75" s="398" t="s">
        <v>1124</v>
      </c>
      <c r="D75" s="399" t="n">
        <v>27.84429</v>
      </c>
      <c r="E75" s="400" t="n">
        <v>55020.31704</v>
      </c>
      <c r="F75" s="408" t="n">
        <v>5</v>
      </c>
      <c r="G75" s="400" t="n">
        <v>1058.08302</v>
      </c>
      <c r="H75" s="401" t="n">
        <v>0.175</v>
      </c>
      <c r="I75" s="400" t="n">
        <v>925.8226425</v>
      </c>
      <c r="J75" s="400"/>
      <c r="K75" s="400" t="n">
        <v>57004.2227025</v>
      </c>
      <c r="L75" s="402" t="n">
        <v>28.8482908413462</v>
      </c>
      <c r="M75" s="403" t="n">
        <v>58000</v>
      </c>
      <c r="N75" s="404" t="n">
        <v>60172</v>
      </c>
      <c r="O75" s="405" t="n">
        <v>0.0374482758620689</v>
      </c>
      <c r="P75" s="393" t="n">
        <v>2172</v>
      </c>
      <c r="Q75" s="406"/>
      <c r="R75" s="404" t="n">
        <v>60172</v>
      </c>
      <c r="S75" s="407" t="n">
        <v>0.0374482758620689</v>
      </c>
    </row>
    <row r="76" customFormat="false" ht="15" hidden="false" customHeight="false" outlineLevel="0" collapsed="false">
      <c r="A76" s="383" t="s">
        <v>1120</v>
      </c>
      <c r="B76" s="383" t="s">
        <v>1125</v>
      </c>
      <c r="C76" s="398" t="s">
        <v>1126</v>
      </c>
      <c r="D76" s="399" t="n">
        <v>28.39504</v>
      </c>
      <c r="E76" s="400" t="n">
        <v>56108.59904</v>
      </c>
      <c r="F76" s="408" t="n">
        <v>5</v>
      </c>
      <c r="G76" s="400" t="n">
        <v>1079.01152</v>
      </c>
      <c r="H76" s="401" t="n">
        <v>0.175</v>
      </c>
      <c r="I76" s="400" t="n">
        <v>944.13508</v>
      </c>
      <c r="J76" s="400"/>
      <c r="K76" s="400" t="n">
        <v>58131.74564</v>
      </c>
      <c r="L76" s="402" t="n">
        <v>29.4188996153846</v>
      </c>
      <c r="M76" s="403" t="n">
        <v>59000</v>
      </c>
      <c r="N76" s="404" t="n">
        <v>61215</v>
      </c>
      <c r="O76" s="405" t="n">
        <v>0.037542372881356</v>
      </c>
      <c r="P76" s="393" t="n">
        <v>2215</v>
      </c>
      <c r="Q76" s="406"/>
      <c r="R76" s="404" t="n">
        <v>61215</v>
      </c>
      <c r="S76" s="407" t="n">
        <v>0.037542372881356</v>
      </c>
    </row>
    <row r="77" customFormat="false" ht="15" hidden="false" customHeight="false" outlineLevel="0" collapsed="false">
      <c r="A77" s="383"/>
      <c r="B77" s="383"/>
      <c r="C77" s="398"/>
      <c r="D77" s="399"/>
      <c r="E77" s="400"/>
      <c r="F77" s="408"/>
      <c r="G77" s="408"/>
      <c r="H77" s="401"/>
      <c r="I77" s="400"/>
      <c r="J77" s="400"/>
      <c r="K77" s="400"/>
      <c r="L77" s="402"/>
      <c r="O77" s="416"/>
      <c r="P77" s="393"/>
    </row>
    <row r="78" customFormat="false" ht="53.25" hidden="false" customHeight="false" outlineLevel="0" collapsed="false">
      <c r="A78" s="410"/>
      <c r="B78" s="410" t="s">
        <v>1127</v>
      </c>
      <c r="C78" s="410"/>
      <c r="D78" s="410"/>
      <c r="E78" s="410"/>
      <c r="F78" s="410"/>
      <c r="G78" s="410"/>
      <c r="H78" s="410"/>
      <c r="I78" s="410"/>
      <c r="J78" s="410"/>
      <c r="K78" s="410"/>
      <c r="L78" s="410"/>
      <c r="M78" s="410"/>
      <c r="N78" s="119" t="n">
        <v>1</v>
      </c>
      <c r="O78" s="119" t="s">
        <v>947</v>
      </c>
      <c r="P78" s="393"/>
      <c r="Q78" s="395" t="s">
        <v>948</v>
      </c>
      <c r="R78" s="396"/>
      <c r="S78" s="397" t="s">
        <v>949</v>
      </c>
    </row>
    <row r="79" customFormat="false" ht="15" hidden="false" customHeight="false" outlineLevel="0" collapsed="false">
      <c r="A79" s="383" t="s">
        <v>1128</v>
      </c>
      <c r="B79" s="383" t="s">
        <v>1129</v>
      </c>
      <c r="C79" s="398" t="s">
        <v>1130</v>
      </c>
      <c r="D79" s="399" t="n">
        <v>31.36</v>
      </c>
      <c r="E79" s="400" t="n">
        <v>61967.36</v>
      </c>
      <c r="F79" s="408" t="n">
        <v>5</v>
      </c>
      <c r="G79" s="400" t="n">
        <v>1191.68</v>
      </c>
      <c r="H79" s="401" t="n">
        <v>0.175</v>
      </c>
      <c r="I79" s="400" t="n">
        <v>1042.72</v>
      </c>
      <c r="J79" s="400"/>
      <c r="K79" s="400" t="n">
        <v>64201.76</v>
      </c>
      <c r="L79" s="402" t="n">
        <v>32.4907692307692</v>
      </c>
      <c r="M79" s="403" t="n">
        <v>65000</v>
      </c>
      <c r="N79" s="404" t="n">
        <v>67446</v>
      </c>
      <c r="O79" s="405" t="n">
        <v>0.0376307692307691</v>
      </c>
      <c r="P79" s="393" t="n">
        <v>2446</v>
      </c>
      <c r="Q79" s="406"/>
      <c r="R79" s="404" t="n">
        <v>67446</v>
      </c>
      <c r="S79" s="407" t="n">
        <v>0.0376307692307691</v>
      </c>
    </row>
    <row r="80" customFormat="false" ht="15" hidden="false" customHeight="false" outlineLevel="0" collapsed="false">
      <c r="A80" s="383" t="s">
        <v>1131</v>
      </c>
      <c r="B80" s="383" t="s">
        <v>1132</v>
      </c>
      <c r="C80" s="398" t="s">
        <v>1133</v>
      </c>
      <c r="D80" s="399" t="n">
        <v>34.15</v>
      </c>
      <c r="E80" s="400" t="n">
        <v>67480.4</v>
      </c>
      <c r="F80" s="408" t="n">
        <v>5</v>
      </c>
      <c r="G80" s="400" t="n">
        <v>1297.7</v>
      </c>
      <c r="H80" s="401" t="n">
        <v>0.175</v>
      </c>
      <c r="I80" s="400" t="n">
        <v>1135.4875</v>
      </c>
      <c r="J80" s="400"/>
      <c r="K80" s="400" t="n">
        <v>69913.5875</v>
      </c>
      <c r="L80" s="402" t="n">
        <v>35.3813701923077</v>
      </c>
      <c r="M80" s="403" t="n">
        <v>70000</v>
      </c>
      <c r="N80" s="404" t="n">
        <v>72664</v>
      </c>
      <c r="O80" s="405" t="n">
        <v>0.0380571428571428</v>
      </c>
      <c r="P80" s="393" t="n">
        <v>2664</v>
      </c>
      <c r="Q80" s="406"/>
      <c r="R80" s="404" t="n">
        <v>72664</v>
      </c>
      <c r="S80" s="407" t="n">
        <v>0.0380571428571428</v>
      </c>
    </row>
    <row r="81" customFormat="false" ht="15" hidden="false" customHeight="false" outlineLevel="0" collapsed="false">
      <c r="A81" s="383" t="s">
        <v>1134</v>
      </c>
      <c r="B81" s="383" t="s">
        <v>1135</v>
      </c>
      <c r="C81" s="398" t="s">
        <v>1136</v>
      </c>
      <c r="D81" s="399" t="n">
        <v>37</v>
      </c>
      <c r="E81" s="400" t="n">
        <v>73112</v>
      </c>
      <c r="F81" s="408" t="n">
        <v>5</v>
      </c>
      <c r="G81" s="400" t="n">
        <v>1406</v>
      </c>
      <c r="H81" s="401" t="n">
        <v>0.175</v>
      </c>
      <c r="I81" s="400" t="n">
        <v>1230.25</v>
      </c>
      <c r="J81" s="400"/>
      <c r="K81" s="400" t="n">
        <v>75748.25</v>
      </c>
      <c r="L81" s="402" t="n">
        <v>38.3341346153846</v>
      </c>
      <c r="M81" s="403" t="n">
        <v>76000</v>
      </c>
      <c r="N81" s="404" t="n">
        <v>78886</v>
      </c>
      <c r="O81" s="405" t="n">
        <v>0.0379736842105263</v>
      </c>
      <c r="P81" s="393" t="n">
        <v>2886</v>
      </c>
      <c r="Q81" s="406"/>
      <c r="R81" s="404" t="n">
        <v>78886</v>
      </c>
      <c r="S81" s="407" t="n">
        <v>0.0379736842105263</v>
      </c>
    </row>
    <row r="82" customFormat="false" ht="15" hidden="false" customHeight="false" outlineLevel="0" collapsed="false">
      <c r="A82" s="383" t="s">
        <v>1137</v>
      </c>
      <c r="B82" s="383" t="s">
        <v>1138</v>
      </c>
      <c r="C82" s="398" t="s">
        <v>1139</v>
      </c>
      <c r="D82" s="399" t="n">
        <v>39.82</v>
      </c>
      <c r="E82" s="400" t="n">
        <v>78684.32</v>
      </c>
      <c r="F82" s="408" t="n">
        <v>5</v>
      </c>
      <c r="G82" s="400" t="n">
        <v>1513.16</v>
      </c>
      <c r="H82" s="401" t="n">
        <v>0.175</v>
      </c>
      <c r="I82" s="400" t="n">
        <v>1324.015</v>
      </c>
      <c r="J82" s="400"/>
      <c r="K82" s="400" t="n">
        <v>81521.495</v>
      </c>
      <c r="L82" s="402" t="n">
        <v>41.2558173076923</v>
      </c>
      <c r="M82" s="403" t="n">
        <v>82000</v>
      </c>
      <c r="N82" s="404" t="n">
        <v>85106</v>
      </c>
      <c r="O82" s="405" t="n">
        <v>0.0378780487804877</v>
      </c>
      <c r="P82" s="393" t="n">
        <v>3106</v>
      </c>
      <c r="Q82" s="406"/>
      <c r="R82" s="404" t="n">
        <v>85106</v>
      </c>
      <c r="S82" s="407" t="n">
        <v>0.0378780487804877</v>
      </c>
    </row>
    <row r="83" customFormat="false" ht="15" hidden="false" customHeight="false" outlineLevel="0" collapsed="false">
      <c r="A83" s="383" t="s">
        <v>1140</v>
      </c>
      <c r="B83" s="383" t="s">
        <v>1141</v>
      </c>
      <c r="C83" s="398" t="s">
        <v>1142</v>
      </c>
      <c r="D83" s="399" t="n">
        <v>42.2</v>
      </c>
      <c r="E83" s="400" t="n">
        <v>83387.2</v>
      </c>
      <c r="F83" s="408" t="n">
        <v>5</v>
      </c>
      <c r="G83" s="400" t="n">
        <v>1603.6</v>
      </c>
      <c r="H83" s="401" t="n">
        <v>0.175</v>
      </c>
      <c r="I83" s="400" t="n">
        <v>1403.15</v>
      </c>
      <c r="J83" s="400"/>
      <c r="K83" s="400" t="n">
        <v>86393.95</v>
      </c>
      <c r="L83" s="402" t="n">
        <v>43.7216346153846</v>
      </c>
      <c r="M83" s="403" t="n">
        <v>87000</v>
      </c>
      <c r="N83" s="404" t="n">
        <v>90292</v>
      </c>
      <c r="O83" s="405" t="n">
        <v>0.0378390804597701</v>
      </c>
      <c r="P83" s="393" t="n">
        <v>3292</v>
      </c>
      <c r="Q83" s="406"/>
      <c r="R83" s="404" t="n">
        <v>90292</v>
      </c>
      <c r="S83" s="407" t="n">
        <v>0.0378390804597701</v>
      </c>
    </row>
    <row r="84" customFormat="false" ht="15" hidden="false" customHeight="false" outlineLevel="0" collapsed="false">
      <c r="A84" s="383" t="s">
        <v>1143</v>
      </c>
      <c r="B84" s="383" t="s">
        <v>1144</v>
      </c>
      <c r="C84" s="398" t="s">
        <v>1145</v>
      </c>
      <c r="D84" s="399" t="n">
        <v>44.1</v>
      </c>
      <c r="E84" s="400" t="n">
        <v>87141.6</v>
      </c>
      <c r="F84" s="408" t="n">
        <v>5</v>
      </c>
      <c r="G84" s="400" t="n">
        <v>1675.8</v>
      </c>
      <c r="H84" s="401" t="n">
        <v>0.175</v>
      </c>
      <c r="I84" s="400" t="n">
        <v>1466.325</v>
      </c>
      <c r="J84" s="400"/>
      <c r="K84" s="400" t="n">
        <v>90283.725</v>
      </c>
      <c r="L84" s="402" t="n">
        <v>45.6901442307692</v>
      </c>
      <c r="M84" s="403" t="n">
        <v>91000</v>
      </c>
      <c r="N84" s="404" t="n">
        <v>94440</v>
      </c>
      <c r="O84" s="405" t="n">
        <v>0.0378021978021978</v>
      </c>
      <c r="P84" s="393" t="n">
        <v>3440</v>
      </c>
      <c r="Q84" s="406"/>
      <c r="R84" s="404" t="n">
        <v>94440</v>
      </c>
      <c r="S84" s="407" t="n">
        <v>0.0378021978021978</v>
      </c>
    </row>
    <row r="85" customFormat="false" ht="15" hidden="false" customHeight="false" outlineLevel="0" collapsed="false">
      <c r="A85" s="383" t="s">
        <v>1146</v>
      </c>
      <c r="B85" s="383" t="s">
        <v>1147</v>
      </c>
      <c r="C85" s="398" t="s">
        <v>1148</v>
      </c>
      <c r="D85" s="399" t="n">
        <v>46.95</v>
      </c>
      <c r="E85" s="400" t="n">
        <v>92773.2</v>
      </c>
      <c r="F85" s="408" t="n">
        <v>5</v>
      </c>
      <c r="G85" s="400" t="n">
        <v>1784.1</v>
      </c>
      <c r="H85" s="401" t="n">
        <v>0.175</v>
      </c>
      <c r="I85" s="400" t="n">
        <v>1561.0875</v>
      </c>
      <c r="J85" s="400"/>
      <c r="K85" s="400" t="n">
        <v>96118.3875</v>
      </c>
      <c r="L85" s="402" t="n">
        <v>48.6429086538462</v>
      </c>
      <c r="M85" s="403" t="n">
        <v>97000</v>
      </c>
      <c r="N85" s="404" t="n">
        <v>100662</v>
      </c>
      <c r="O85" s="405" t="n">
        <v>0.0377525773195877</v>
      </c>
      <c r="P85" s="393" t="n">
        <v>3662</v>
      </c>
      <c r="Q85" s="406"/>
      <c r="R85" s="404" t="n">
        <v>100662</v>
      </c>
      <c r="S85" s="407" t="n">
        <v>0.0377525773195877</v>
      </c>
    </row>
    <row r="86" customFormat="false" ht="15" hidden="false" customHeight="false" outlineLevel="0" collapsed="false">
      <c r="A86" s="383" t="s">
        <v>1149</v>
      </c>
      <c r="B86" s="383" t="s">
        <v>1150</v>
      </c>
      <c r="C86" s="398" t="s">
        <v>1151</v>
      </c>
      <c r="D86" s="399" t="n">
        <v>49.07</v>
      </c>
      <c r="E86" s="400" t="n">
        <v>96962.32</v>
      </c>
      <c r="F86" s="408" t="n">
        <v>5</v>
      </c>
      <c r="G86" s="400" t="n">
        <v>1864.66</v>
      </c>
      <c r="H86" s="401" t="n">
        <v>0.175</v>
      </c>
      <c r="I86" s="400" t="n">
        <v>1631.5775</v>
      </c>
      <c r="J86" s="400"/>
      <c r="K86" s="400" t="n">
        <v>100458.5575</v>
      </c>
      <c r="L86" s="402" t="n">
        <v>50.8393509615385</v>
      </c>
      <c r="M86" s="403" t="n">
        <v>101000</v>
      </c>
      <c r="N86" s="404" t="n">
        <v>104827</v>
      </c>
      <c r="O86" s="405" t="n">
        <v>0.0378910891089108</v>
      </c>
      <c r="P86" s="393" t="n">
        <v>3827</v>
      </c>
      <c r="Q86" s="406"/>
      <c r="R86" s="404" t="n">
        <v>104827</v>
      </c>
      <c r="S86" s="407" t="n">
        <v>0.0378910891089108</v>
      </c>
    </row>
    <row r="87" customFormat="false" ht="15" hidden="false" customHeight="false" outlineLevel="0" collapsed="false">
      <c r="A87" s="383" t="s">
        <v>1152</v>
      </c>
      <c r="B87" s="383" t="s">
        <v>1153</v>
      </c>
      <c r="C87" s="398" t="s">
        <v>1154</v>
      </c>
      <c r="D87" s="399" t="n">
        <v>54.76</v>
      </c>
      <c r="E87" s="400" t="n">
        <v>108205.76</v>
      </c>
      <c r="F87" s="408" t="n">
        <v>5</v>
      </c>
      <c r="G87" s="400" t="n">
        <v>2080.88</v>
      </c>
      <c r="H87" s="401" t="n">
        <v>0.175</v>
      </c>
      <c r="I87" s="400" t="n">
        <v>1820.77</v>
      </c>
      <c r="J87" s="400"/>
      <c r="K87" s="400" t="n">
        <v>112107.41</v>
      </c>
      <c r="L87" s="402" t="n">
        <v>56.7345192307692</v>
      </c>
      <c r="M87" s="403" t="n">
        <v>113000</v>
      </c>
      <c r="N87" s="404" t="n">
        <v>117271</v>
      </c>
      <c r="O87" s="405" t="n">
        <v>0.0377964601769911</v>
      </c>
      <c r="P87" s="393" t="n">
        <v>4271</v>
      </c>
      <c r="Q87" s="406"/>
      <c r="R87" s="404" t="n">
        <v>117271</v>
      </c>
      <c r="S87" s="407" t="n">
        <v>0.0377964601769911</v>
      </c>
    </row>
    <row r="88" customFormat="false" ht="15" hidden="false" customHeight="false" outlineLevel="0" collapsed="false">
      <c r="A88" s="383" t="s">
        <v>1155</v>
      </c>
      <c r="B88" s="383" t="s">
        <v>1156</v>
      </c>
      <c r="C88" s="398" t="s">
        <v>1157</v>
      </c>
      <c r="D88" s="399" t="n">
        <v>58.9</v>
      </c>
      <c r="E88" s="400" t="n">
        <v>116386.4</v>
      </c>
      <c r="F88" s="408" t="n">
        <v>5</v>
      </c>
      <c r="G88" s="400" t="n">
        <v>2238.2</v>
      </c>
      <c r="H88" s="401" t="n">
        <v>0.175</v>
      </c>
      <c r="I88" s="400" t="n">
        <v>1958.425</v>
      </c>
      <c r="J88" s="400"/>
      <c r="K88" s="400" t="n">
        <v>120583.025</v>
      </c>
      <c r="L88" s="402" t="n">
        <v>61.0237980769231</v>
      </c>
      <c r="M88" s="403" t="n">
        <v>121000</v>
      </c>
      <c r="N88" s="404" t="n">
        <v>125594</v>
      </c>
      <c r="O88" s="405" t="n">
        <v>0.0379669421487603</v>
      </c>
      <c r="P88" s="393" t="n">
        <v>4594</v>
      </c>
      <c r="Q88" s="406"/>
      <c r="R88" s="404" t="n">
        <v>125594</v>
      </c>
      <c r="S88" s="407" t="n">
        <v>0.0379669421487603</v>
      </c>
    </row>
    <row r="89" customFormat="false" ht="15" hidden="false" customHeight="false" outlineLevel="0" collapsed="false">
      <c r="A89" s="383" t="s">
        <v>1158</v>
      </c>
      <c r="B89" s="383" t="s">
        <v>1159</v>
      </c>
      <c r="C89" s="398" t="s">
        <v>1160</v>
      </c>
      <c r="D89" s="399" t="n">
        <v>63.05</v>
      </c>
      <c r="E89" s="400" t="n">
        <v>124586.8</v>
      </c>
      <c r="F89" s="408" t="n">
        <v>5</v>
      </c>
      <c r="G89" s="400" t="n">
        <v>2395.9</v>
      </c>
      <c r="H89" s="401" t="n">
        <v>0.175</v>
      </c>
      <c r="I89" s="400" t="n">
        <v>2096.4125</v>
      </c>
      <c r="J89" s="400"/>
      <c r="K89" s="400" t="n">
        <v>129079.1125</v>
      </c>
      <c r="L89" s="402" t="n">
        <v>65.3234375</v>
      </c>
      <c r="M89" s="403" t="n">
        <v>130000</v>
      </c>
      <c r="N89" s="404" t="n">
        <v>134918</v>
      </c>
      <c r="O89" s="405" t="n">
        <v>0.0378307692307693</v>
      </c>
      <c r="P89" s="393" t="n">
        <v>4918</v>
      </c>
      <c r="Q89" s="406"/>
      <c r="R89" s="404" t="n">
        <v>134918</v>
      </c>
      <c r="S89" s="407" t="n">
        <v>0.0378307692307693</v>
      </c>
    </row>
    <row r="90" customFormat="false" ht="15" hidden="false" customHeight="false" outlineLevel="0" collapsed="false">
      <c r="A90" s="383" t="s">
        <v>1161</v>
      </c>
      <c r="B90" s="383" t="s">
        <v>1162</v>
      </c>
      <c r="C90" s="398" t="s">
        <v>1163</v>
      </c>
      <c r="D90" s="399" t="n">
        <v>54.76</v>
      </c>
      <c r="E90" s="400" t="n">
        <v>108205.76</v>
      </c>
      <c r="F90" s="408" t="n">
        <v>5</v>
      </c>
      <c r="G90" s="400" t="n">
        <v>2080.88</v>
      </c>
      <c r="H90" s="401" t="n">
        <v>0.175</v>
      </c>
      <c r="I90" s="400" t="n">
        <v>1820.77</v>
      </c>
      <c r="J90" s="400"/>
      <c r="K90" s="400" t="n">
        <v>112107.41</v>
      </c>
      <c r="L90" s="402" t="n">
        <v>56.7345192307692</v>
      </c>
      <c r="M90" s="403" t="n">
        <v>113000</v>
      </c>
      <c r="N90" s="404" t="n">
        <v>117271</v>
      </c>
      <c r="O90" s="405" t="n">
        <v>0.0377964601769911</v>
      </c>
      <c r="P90" s="393" t="n">
        <v>4271</v>
      </c>
      <c r="Q90" s="406"/>
      <c r="R90" s="404" t="n">
        <v>117271</v>
      </c>
      <c r="S90" s="407" t="n">
        <v>0.0377964601769911</v>
      </c>
    </row>
    <row r="91" customFormat="false" ht="15" hidden="false" customHeight="false" outlineLevel="0" collapsed="false">
      <c r="A91" s="383" t="s">
        <v>1161</v>
      </c>
      <c r="B91" s="383" t="s">
        <v>1164</v>
      </c>
      <c r="C91" s="398" t="s">
        <v>1165</v>
      </c>
      <c r="D91" s="399" t="n">
        <v>52.55</v>
      </c>
      <c r="E91" s="400" t="n">
        <v>103838.8</v>
      </c>
      <c r="F91" s="408" t="n">
        <v>5</v>
      </c>
      <c r="G91" s="400" t="n">
        <v>1996.9</v>
      </c>
      <c r="H91" s="401" t="n">
        <v>0.175</v>
      </c>
      <c r="I91" s="400" t="n">
        <v>1747.2875</v>
      </c>
      <c r="J91" s="400"/>
      <c r="K91" s="400" t="n">
        <v>107582.9875</v>
      </c>
      <c r="L91" s="402" t="n">
        <v>54.4448317307692</v>
      </c>
      <c r="M91" s="403" t="n">
        <v>108000</v>
      </c>
      <c r="N91" s="404" t="n">
        <v>112099</v>
      </c>
      <c r="O91" s="405" t="n">
        <v>0.0379537037037037</v>
      </c>
      <c r="P91" s="393" t="n">
        <v>4099</v>
      </c>
      <c r="Q91" s="406"/>
      <c r="R91" s="404" t="n">
        <v>112099</v>
      </c>
      <c r="S91" s="407" t="n">
        <v>0.0379537037037037</v>
      </c>
    </row>
    <row r="92" customFormat="false" ht="15" hidden="false" customHeight="false" outlineLevel="0" collapsed="false">
      <c r="A92" s="383" t="s">
        <v>1161</v>
      </c>
      <c r="B92" s="383" t="s">
        <v>1166</v>
      </c>
      <c r="C92" s="398" t="s">
        <v>1167</v>
      </c>
      <c r="D92" s="399" t="n">
        <v>47.23</v>
      </c>
      <c r="E92" s="400" t="n">
        <v>93326.48</v>
      </c>
      <c r="F92" s="408" t="n">
        <v>5</v>
      </c>
      <c r="G92" s="400" t="n">
        <v>1794.74</v>
      </c>
      <c r="H92" s="401" t="n">
        <v>0.175</v>
      </c>
      <c r="I92" s="400" t="n">
        <v>1570.3975</v>
      </c>
      <c r="J92" s="400"/>
      <c r="K92" s="400" t="n">
        <v>96691.6175</v>
      </c>
      <c r="L92" s="402" t="n">
        <v>48.9330048076923</v>
      </c>
      <c r="M92" s="403" t="n">
        <v>97000</v>
      </c>
      <c r="N92" s="404" t="n">
        <v>100684</v>
      </c>
      <c r="O92" s="405" t="n">
        <v>0.0379793814432989</v>
      </c>
      <c r="P92" s="393" t="n">
        <v>3684</v>
      </c>
      <c r="Q92" s="406"/>
      <c r="R92" s="404" t="n">
        <v>100684</v>
      </c>
      <c r="S92" s="407" t="n">
        <v>0.0379793814432989</v>
      </c>
    </row>
    <row r="93" customFormat="false" ht="15" hidden="false" customHeight="false" outlineLevel="0" collapsed="false">
      <c r="A93" s="383" t="s">
        <v>1168</v>
      </c>
      <c r="B93" s="383" t="s">
        <v>1169</v>
      </c>
      <c r="C93" s="398" t="s">
        <v>1170</v>
      </c>
      <c r="D93" s="399" t="n">
        <v>58.32</v>
      </c>
      <c r="E93" s="400" t="n">
        <v>115240.32</v>
      </c>
      <c r="F93" s="408" t="n">
        <v>5</v>
      </c>
      <c r="G93" s="400" t="n">
        <v>2216.16</v>
      </c>
      <c r="H93" s="401" t="n">
        <v>0.175</v>
      </c>
      <c r="I93" s="400" t="n">
        <v>1939.14</v>
      </c>
      <c r="J93" s="400"/>
      <c r="K93" s="400" t="n">
        <v>119395.62</v>
      </c>
      <c r="L93" s="402" t="n">
        <v>60.4228846153846</v>
      </c>
      <c r="M93" s="403" t="n">
        <v>120000</v>
      </c>
      <c r="N93" s="404" t="n">
        <v>124549</v>
      </c>
      <c r="O93" s="405" t="n">
        <v>0.0379083333333334</v>
      </c>
      <c r="P93" s="393" t="n">
        <v>4549</v>
      </c>
      <c r="Q93" s="406"/>
      <c r="R93" s="404" t="n">
        <v>124549</v>
      </c>
      <c r="S93" s="407" t="n">
        <v>0.0379083333333334</v>
      </c>
    </row>
    <row r="94" customFormat="false" ht="15" hidden="false" customHeight="false" outlineLevel="0" collapsed="false">
      <c r="A94" s="383" t="s">
        <v>1171</v>
      </c>
      <c r="B94" s="383" t="s">
        <v>1172</v>
      </c>
      <c r="C94" s="398" t="s">
        <v>1173</v>
      </c>
      <c r="D94" s="399" t="n">
        <v>63.05</v>
      </c>
      <c r="E94" s="400" t="n">
        <v>124586.8</v>
      </c>
      <c r="F94" s="408" t="n">
        <v>5</v>
      </c>
      <c r="G94" s="400" t="n">
        <v>2395.9</v>
      </c>
      <c r="H94" s="401" t="n">
        <v>0.175</v>
      </c>
      <c r="I94" s="400" t="n">
        <v>2096.4125</v>
      </c>
      <c r="J94" s="400"/>
      <c r="K94" s="400" t="n">
        <v>129079.1125</v>
      </c>
      <c r="L94" s="402" t="n">
        <v>65.3234375</v>
      </c>
      <c r="M94" s="403" t="n">
        <v>130000</v>
      </c>
      <c r="N94" s="404" t="n">
        <v>134918</v>
      </c>
      <c r="O94" s="405" t="n">
        <v>0.0378307692307693</v>
      </c>
      <c r="P94" s="393" t="n">
        <v>4918</v>
      </c>
      <c r="Q94" s="406"/>
      <c r="R94" s="404" t="n">
        <v>134918</v>
      </c>
      <c r="S94" s="407" t="n">
        <v>0.0378307692307693</v>
      </c>
    </row>
    <row r="95" customFormat="false" ht="15" hidden="false" customHeight="false" outlineLevel="0" collapsed="false">
      <c r="A95" s="383" t="s">
        <v>1174</v>
      </c>
      <c r="B95" s="383" t="s">
        <v>1175</v>
      </c>
      <c r="C95" s="398" t="s">
        <v>1176</v>
      </c>
      <c r="D95" s="399" t="n">
        <v>67.78</v>
      </c>
      <c r="E95" s="400" t="n">
        <v>133933.28</v>
      </c>
      <c r="F95" s="408" t="n">
        <v>5</v>
      </c>
      <c r="G95" s="400" t="n">
        <v>2575.64</v>
      </c>
      <c r="H95" s="401" t="n">
        <v>0.175</v>
      </c>
      <c r="I95" s="400" t="n">
        <v>2253.685</v>
      </c>
      <c r="J95" s="400"/>
      <c r="K95" s="400" t="n">
        <v>138762.605</v>
      </c>
      <c r="L95" s="402" t="n">
        <v>70.2239903846154</v>
      </c>
      <c r="M95" s="403" t="n">
        <v>139000</v>
      </c>
      <c r="N95" s="404" t="n">
        <v>144287</v>
      </c>
      <c r="O95" s="405" t="n">
        <v>0.0380359712230216</v>
      </c>
      <c r="P95" s="393" t="n">
        <v>5287</v>
      </c>
      <c r="Q95" s="406"/>
      <c r="R95" s="404" t="n">
        <v>144287</v>
      </c>
      <c r="S95" s="407" t="n">
        <v>0.0380359712230216</v>
      </c>
    </row>
    <row r="96" customFormat="false" ht="15" hidden="false" customHeight="false" outlineLevel="0" collapsed="false">
      <c r="A96" s="383"/>
      <c r="B96" s="383"/>
      <c r="C96" s="398"/>
      <c r="D96" s="399"/>
      <c r="E96" s="400"/>
      <c r="F96" s="408"/>
      <c r="G96" s="408"/>
      <c r="H96" s="401"/>
      <c r="I96" s="400"/>
      <c r="J96" s="400"/>
      <c r="K96" s="400"/>
      <c r="L96" s="402"/>
      <c r="M96" s="403"/>
      <c r="O96" s="416"/>
      <c r="P96" s="393"/>
    </row>
    <row r="97" customFormat="false" ht="53.25" hidden="false" customHeight="false" outlineLevel="0" collapsed="false">
      <c r="A97" s="410"/>
      <c r="B97" s="410" t="s">
        <v>1177</v>
      </c>
      <c r="C97" s="410"/>
      <c r="D97" s="410"/>
      <c r="E97" s="410"/>
      <c r="F97" s="410"/>
      <c r="G97" s="410"/>
      <c r="H97" s="410"/>
      <c r="I97" s="410"/>
      <c r="J97" s="410"/>
      <c r="K97" s="410"/>
      <c r="L97" s="410"/>
      <c r="M97" s="410"/>
      <c r="N97" s="119" t="n">
        <v>1</v>
      </c>
      <c r="O97" s="119" t="s">
        <v>947</v>
      </c>
      <c r="P97" s="393"/>
      <c r="Q97" s="395" t="s">
        <v>948</v>
      </c>
      <c r="R97" s="396"/>
      <c r="S97" s="397" t="s">
        <v>949</v>
      </c>
    </row>
    <row r="98" customFormat="false" ht="15" hidden="false" customHeight="false" outlineLevel="0" collapsed="false">
      <c r="A98" s="383" t="s">
        <v>1178</v>
      </c>
      <c r="B98" s="383" t="s">
        <v>1179</v>
      </c>
      <c r="C98" s="398" t="s">
        <v>1180</v>
      </c>
      <c r="D98" s="399" t="n">
        <v>34.04</v>
      </c>
      <c r="E98" s="400" t="n">
        <v>67263.04</v>
      </c>
      <c r="F98" s="408"/>
      <c r="G98" s="400" t="n">
        <v>0</v>
      </c>
      <c r="H98" s="401" t="n">
        <v>0.175</v>
      </c>
      <c r="I98" s="400" t="n">
        <v>905.464</v>
      </c>
      <c r="J98" s="400"/>
      <c r="K98" s="400" t="n">
        <v>68168.504</v>
      </c>
      <c r="L98" s="402" t="n">
        <v>34.4982307692308</v>
      </c>
      <c r="M98" s="403" t="n">
        <v>69000</v>
      </c>
      <c r="N98" s="404" t="n">
        <v>71655</v>
      </c>
      <c r="O98" s="405" t="n">
        <v>0.0384782608695653</v>
      </c>
      <c r="P98" s="393" t="n">
        <v>2655</v>
      </c>
      <c r="Q98" s="406"/>
      <c r="R98" s="404" t="n">
        <v>71655</v>
      </c>
      <c r="S98" s="407" t="n">
        <v>0.0384782608695653</v>
      </c>
    </row>
    <row r="99" customFormat="false" ht="15" hidden="false" customHeight="false" outlineLevel="0" collapsed="false">
      <c r="A99" s="383" t="s">
        <v>1181</v>
      </c>
      <c r="B99" s="383" t="s">
        <v>1182</v>
      </c>
      <c r="C99" s="398" t="s">
        <v>1183</v>
      </c>
      <c r="D99" s="399" t="n">
        <v>35.02</v>
      </c>
      <c r="E99" s="400" t="n">
        <v>69199.52</v>
      </c>
      <c r="F99" s="408"/>
      <c r="G99" s="400" t="n">
        <v>0</v>
      </c>
      <c r="H99" s="401" t="n">
        <v>0.175</v>
      </c>
      <c r="I99" s="400" t="n">
        <v>931.532</v>
      </c>
      <c r="J99" s="400"/>
      <c r="K99" s="400" t="n">
        <v>70131.052</v>
      </c>
      <c r="L99" s="402" t="n">
        <v>35.4914230769231</v>
      </c>
      <c r="M99" s="403" t="n">
        <v>71000</v>
      </c>
      <c r="N99" s="404" t="n">
        <v>73732</v>
      </c>
      <c r="O99" s="405" t="n">
        <v>0.0384788732394366</v>
      </c>
      <c r="P99" s="393" t="n">
        <v>2732</v>
      </c>
      <c r="Q99" s="406"/>
      <c r="R99" s="404" t="n">
        <v>73732</v>
      </c>
      <c r="S99" s="407" t="n">
        <v>0.0384788732394366</v>
      </c>
    </row>
    <row r="100" customFormat="false" ht="15" hidden="false" customHeight="false" outlineLevel="0" collapsed="false">
      <c r="A100" s="383" t="s">
        <v>1184</v>
      </c>
      <c r="B100" s="383" t="s">
        <v>1185</v>
      </c>
      <c r="C100" s="398" t="s">
        <v>1186</v>
      </c>
      <c r="D100" s="399" t="n">
        <v>35.77</v>
      </c>
      <c r="E100" s="400" t="n">
        <v>70681.52</v>
      </c>
      <c r="F100" s="408"/>
      <c r="G100" s="400" t="n">
        <v>0</v>
      </c>
      <c r="H100" s="401" t="n">
        <v>0.175</v>
      </c>
      <c r="I100" s="400" t="n">
        <v>951.482</v>
      </c>
      <c r="J100" s="400"/>
      <c r="K100" s="400" t="n">
        <v>71633.002</v>
      </c>
      <c r="L100" s="402" t="n">
        <v>36.2515192307692</v>
      </c>
      <c r="M100" s="403" t="n">
        <v>72000</v>
      </c>
      <c r="N100" s="404" t="n">
        <v>74790</v>
      </c>
      <c r="O100" s="405" t="n">
        <v>0.0387500000000001</v>
      </c>
      <c r="P100" s="393" t="n">
        <v>2790</v>
      </c>
      <c r="Q100" s="406"/>
      <c r="R100" s="404" t="n">
        <v>74790</v>
      </c>
      <c r="S100" s="407" t="n">
        <v>0.0387500000000001</v>
      </c>
    </row>
    <row r="101" customFormat="false" ht="15" hidden="false" customHeight="false" outlineLevel="0" collapsed="false">
      <c r="A101" s="383" t="s">
        <v>1187</v>
      </c>
      <c r="B101" s="383" t="s">
        <v>1188</v>
      </c>
      <c r="C101" s="398" t="s">
        <v>1189</v>
      </c>
      <c r="D101" s="399" t="n">
        <v>36.5</v>
      </c>
      <c r="E101" s="400" t="n">
        <v>72124</v>
      </c>
      <c r="F101" s="408"/>
      <c r="G101" s="400" t="n">
        <v>0</v>
      </c>
      <c r="H101" s="401" t="n">
        <v>0.175</v>
      </c>
      <c r="I101" s="400" t="n">
        <v>970.9</v>
      </c>
      <c r="J101" s="400"/>
      <c r="K101" s="400" t="n">
        <v>73094.9</v>
      </c>
      <c r="L101" s="402" t="n">
        <v>36.9913461538462</v>
      </c>
      <c r="M101" s="403" t="n">
        <v>74000</v>
      </c>
      <c r="N101" s="404" t="n">
        <v>76847</v>
      </c>
      <c r="O101" s="405" t="n">
        <v>0.0384729729729729</v>
      </c>
      <c r="P101" s="393" t="n">
        <v>2847</v>
      </c>
      <c r="Q101" s="406"/>
      <c r="R101" s="404" t="n">
        <v>76847</v>
      </c>
      <c r="S101" s="407" t="n">
        <v>0.0384729729729729</v>
      </c>
    </row>
    <row r="102" customFormat="false" ht="15" hidden="false" customHeight="false" outlineLevel="0" collapsed="false">
      <c r="A102" s="383" t="s">
        <v>1190</v>
      </c>
      <c r="B102" s="383" t="s">
        <v>1191</v>
      </c>
      <c r="C102" s="398" t="s">
        <v>1192</v>
      </c>
      <c r="D102" s="399" t="n">
        <v>39.26</v>
      </c>
      <c r="E102" s="400" t="n">
        <v>77577.76</v>
      </c>
      <c r="F102" s="408"/>
      <c r="G102" s="400" t="n">
        <v>0</v>
      </c>
      <c r="H102" s="401" t="n">
        <v>0.175</v>
      </c>
      <c r="I102" s="400" t="n">
        <v>1044.316</v>
      </c>
      <c r="J102" s="400"/>
      <c r="K102" s="400" t="n">
        <v>78622.076</v>
      </c>
      <c r="L102" s="402" t="n">
        <v>39.7885</v>
      </c>
      <c r="M102" s="403" t="n">
        <v>79000</v>
      </c>
      <c r="N102" s="404" t="n">
        <v>82062</v>
      </c>
      <c r="O102" s="405" t="n">
        <v>0.0387594936708862</v>
      </c>
      <c r="P102" s="393" t="n">
        <v>3062</v>
      </c>
      <c r="Q102" s="406"/>
      <c r="R102" s="404" t="n">
        <v>82062</v>
      </c>
      <c r="S102" s="407" t="n">
        <v>0.0387594936708862</v>
      </c>
    </row>
    <row r="103" customFormat="false" ht="15" hidden="false" customHeight="false" outlineLevel="0" collapsed="false">
      <c r="A103" s="383" t="s">
        <v>1193</v>
      </c>
      <c r="B103" s="383" t="s">
        <v>1194</v>
      </c>
      <c r="C103" s="398" t="s">
        <v>1195</v>
      </c>
      <c r="D103" s="399" t="n">
        <v>40.29</v>
      </c>
      <c r="E103" s="400" t="n">
        <v>79613.04</v>
      </c>
      <c r="F103" s="408"/>
      <c r="G103" s="400" t="n">
        <v>0</v>
      </c>
      <c r="H103" s="401" t="n">
        <v>0.175</v>
      </c>
      <c r="I103" s="400" t="n">
        <v>1071.714</v>
      </c>
      <c r="J103" s="400"/>
      <c r="K103" s="400" t="n">
        <v>80684.754</v>
      </c>
      <c r="L103" s="402" t="n">
        <v>40.8323653846154</v>
      </c>
      <c r="M103" s="403" t="n">
        <v>81000</v>
      </c>
      <c r="N103" s="404" t="n">
        <v>84143</v>
      </c>
      <c r="O103" s="405" t="n">
        <v>0.0388024691358024</v>
      </c>
      <c r="P103" s="393" t="n">
        <v>3143</v>
      </c>
      <c r="Q103" s="406"/>
      <c r="R103" s="404" t="n">
        <v>84143</v>
      </c>
      <c r="S103" s="407" t="n">
        <v>0.0388024691358024</v>
      </c>
    </row>
    <row r="104" customFormat="false" ht="15" hidden="false" customHeight="false" outlineLevel="0" collapsed="false">
      <c r="A104" s="383" t="s">
        <v>1196</v>
      </c>
      <c r="B104" s="383" t="s">
        <v>1197</v>
      </c>
      <c r="C104" s="398" t="s">
        <v>1198</v>
      </c>
      <c r="D104" s="399" t="n">
        <v>41.32</v>
      </c>
      <c r="E104" s="400" t="n">
        <v>81648.32</v>
      </c>
      <c r="F104" s="408"/>
      <c r="G104" s="400" t="n">
        <v>0</v>
      </c>
      <c r="H104" s="401" t="n">
        <v>0.175</v>
      </c>
      <c r="I104" s="400" t="n">
        <v>1099.112</v>
      </c>
      <c r="J104" s="400"/>
      <c r="K104" s="400" t="n">
        <v>82747.432</v>
      </c>
      <c r="L104" s="402" t="n">
        <v>41.8762307692308</v>
      </c>
      <c r="M104" s="403" t="n">
        <v>83000</v>
      </c>
      <c r="N104" s="404" t="n">
        <v>86223</v>
      </c>
      <c r="O104" s="405" t="n">
        <v>0.0388313253012049</v>
      </c>
      <c r="P104" s="393" t="n">
        <v>3223</v>
      </c>
      <c r="Q104" s="406"/>
      <c r="R104" s="404" t="n">
        <v>86223</v>
      </c>
      <c r="S104" s="407" t="n">
        <v>0.0388313253012049</v>
      </c>
    </row>
    <row r="105" customFormat="false" ht="15" hidden="false" customHeight="false" outlineLevel="0" collapsed="false">
      <c r="A105" s="383" t="s">
        <v>1199</v>
      </c>
      <c r="B105" s="383" t="s">
        <v>1200</v>
      </c>
      <c r="C105" s="398" t="s">
        <v>1201</v>
      </c>
      <c r="D105" s="399" t="n">
        <v>42.25</v>
      </c>
      <c r="E105" s="400" t="n">
        <v>83486</v>
      </c>
      <c r="F105" s="408"/>
      <c r="G105" s="400" t="n">
        <v>0</v>
      </c>
      <c r="H105" s="401" t="n">
        <v>0.175</v>
      </c>
      <c r="I105" s="400" t="n">
        <v>1123.85</v>
      </c>
      <c r="J105" s="400"/>
      <c r="K105" s="400" t="n">
        <v>84609.85</v>
      </c>
      <c r="L105" s="402" t="n">
        <v>42.81875</v>
      </c>
      <c r="M105" s="403" t="n">
        <v>85000</v>
      </c>
      <c r="N105" s="404" t="n">
        <v>88296</v>
      </c>
      <c r="O105" s="405" t="n">
        <v>0.0387764705882352</v>
      </c>
      <c r="P105" s="393" t="n">
        <v>3296</v>
      </c>
      <c r="Q105" s="406"/>
      <c r="R105" s="404" t="n">
        <v>88296</v>
      </c>
      <c r="S105" s="407" t="n">
        <v>0.0387764705882352</v>
      </c>
    </row>
    <row r="106" customFormat="false" ht="15" hidden="false" customHeight="false" outlineLevel="0" collapsed="false">
      <c r="A106" s="383" t="s">
        <v>1202</v>
      </c>
      <c r="B106" s="383" t="s">
        <v>1203</v>
      </c>
      <c r="C106" s="398" t="s">
        <v>1204</v>
      </c>
      <c r="D106" s="399" t="n">
        <v>44.92</v>
      </c>
      <c r="E106" s="400" t="n">
        <v>88761.92</v>
      </c>
      <c r="F106" s="408"/>
      <c r="G106" s="400" t="n">
        <v>0</v>
      </c>
      <c r="H106" s="401" t="n">
        <v>0.175</v>
      </c>
      <c r="I106" s="400" t="n">
        <v>1194.872</v>
      </c>
      <c r="J106" s="400"/>
      <c r="K106" s="400" t="n">
        <v>89956.792</v>
      </c>
      <c r="L106" s="402" t="n">
        <v>45.5246923076923</v>
      </c>
      <c r="M106" s="403" t="n">
        <v>90000</v>
      </c>
      <c r="N106" s="404" t="n">
        <v>93504</v>
      </c>
      <c r="O106" s="405" t="n">
        <v>0.0389333333333333</v>
      </c>
      <c r="P106" s="393" t="n">
        <v>3504</v>
      </c>
      <c r="Q106" s="406"/>
      <c r="R106" s="404" t="n">
        <v>93504</v>
      </c>
      <c r="S106" s="407" t="n">
        <v>0.0389333333333333</v>
      </c>
    </row>
    <row r="107" customFormat="false" ht="15" hidden="false" customHeight="false" outlineLevel="0" collapsed="false">
      <c r="A107" s="383" t="s">
        <v>1205</v>
      </c>
      <c r="B107" s="383" t="s">
        <v>1206</v>
      </c>
      <c r="C107" s="398" t="s">
        <v>1207</v>
      </c>
      <c r="D107" s="399" t="n">
        <v>45.88</v>
      </c>
      <c r="E107" s="400" t="n">
        <v>90658.88</v>
      </c>
      <c r="F107" s="408"/>
      <c r="G107" s="400" t="n">
        <v>0</v>
      </c>
      <c r="H107" s="401" t="n">
        <v>0.175</v>
      </c>
      <c r="I107" s="400" t="n">
        <v>1220.408</v>
      </c>
      <c r="J107" s="400"/>
      <c r="K107" s="400" t="n">
        <v>91879.288</v>
      </c>
      <c r="L107" s="402" t="n">
        <v>46.4976153846154</v>
      </c>
      <c r="M107" s="403" t="n">
        <v>92000</v>
      </c>
      <c r="N107" s="404" t="n">
        <v>95579</v>
      </c>
      <c r="O107" s="405" t="n">
        <v>0.0389021739130435</v>
      </c>
      <c r="P107" s="393" t="n">
        <v>3579</v>
      </c>
      <c r="Q107" s="406"/>
      <c r="R107" s="404" t="n">
        <v>95579</v>
      </c>
      <c r="S107" s="407" t="n">
        <v>0.0389021739130435</v>
      </c>
    </row>
    <row r="108" customFormat="false" ht="15" hidden="false" customHeight="false" outlineLevel="0" collapsed="false">
      <c r="A108" s="383" t="s">
        <v>1208</v>
      </c>
      <c r="B108" s="383" t="s">
        <v>1209</v>
      </c>
      <c r="C108" s="398" t="s">
        <v>1210</v>
      </c>
      <c r="D108" s="399" t="n">
        <v>46.95</v>
      </c>
      <c r="E108" s="400" t="n">
        <v>92773.2</v>
      </c>
      <c r="F108" s="408"/>
      <c r="G108" s="400" t="n">
        <v>0</v>
      </c>
      <c r="H108" s="401" t="n">
        <v>0.175</v>
      </c>
      <c r="I108" s="400" t="n">
        <v>1248.87</v>
      </c>
      <c r="J108" s="400"/>
      <c r="K108" s="400" t="n">
        <v>94022.07</v>
      </c>
      <c r="L108" s="402" t="n">
        <v>47.5820192307692</v>
      </c>
      <c r="M108" s="403" t="n">
        <v>95000</v>
      </c>
      <c r="N108" s="404" t="n">
        <v>98662</v>
      </c>
      <c r="O108" s="405" t="n">
        <v>0.0385473684210527</v>
      </c>
      <c r="P108" s="393" t="n">
        <v>3662</v>
      </c>
      <c r="Q108" s="406"/>
      <c r="R108" s="404" t="n">
        <v>98662</v>
      </c>
      <c r="S108" s="407" t="n">
        <v>0.0385473684210527</v>
      </c>
    </row>
    <row r="109" customFormat="false" ht="15" hidden="false" customHeight="false" outlineLevel="0" collapsed="false">
      <c r="A109" s="383" t="s">
        <v>1211</v>
      </c>
      <c r="B109" s="383" t="s">
        <v>1212</v>
      </c>
      <c r="C109" s="398" t="s">
        <v>1213</v>
      </c>
      <c r="D109" s="399" t="n">
        <v>49.07</v>
      </c>
      <c r="E109" s="400" t="n">
        <v>96962.32</v>
      </c>
      <c r="F109" s="408"/>
      <c r="G109" s="400" t="n">
        <v>0</v>
      </c>
      <c r="H109" s="401" t="n">
        <v>0.175</v>
      </c>
      <c r="I109" s="400" t="n">
        <v>1305.262</v>
      </c>
      <c r="J109" s="400"/>
      <c r="K109" s="400" t="n">
        <v>98267.582</v>
      </c>
      <c r="L109" s="402" t="n">
        <v>49.7305576923077</v>
      </c>
      <c r="M109" s="403" t="n">
        <v>99000</v>
      </c>
      <c r="N109" s="404" t="n">
        <v>102827</v>
      </c>
      <c r="O109" s="405" t="n">
        <v>0.0386565656565656</v>
      </c>
      <c r="P109" s="393" t="n">
        <v>3827</v>
      </c>
      <c r="Q109" s="406"/>
      <c r="R109" s="404" t="n">
        <v>102827</v>
      </c>
      <c r="S109" s="407" t="n">
        <v>0.0386565656565656</v>
      </c>
    </row>
    <row r="110" customFormat="false" ht="15" hidden="false" customHeight="false" outlineLevel="0" collapsed="false">
      <c r="A110" s="383" t="s">
        <v>1214</v>
      </c>
      <c r="B110" s="383" t="s">
        <v>1215</v>
      </c>
      <c r="C110" s="398" t="s">
        <v>1216</v>
      </c>
      <c r="D110" s="399" t="n">
        <v>50.15</v>
      </c>
      <c r="E110" s="400" t="n">
        <v>99096.4</v>
      </c>
      <c r="F110" s="408"/>
      <c r="G110" s="400" t="n">
        <v>0</v>
      </c>
      <c r="H110" s="401" t="n">
        <v>0.175</v>
      </c>
      <c r="I110" s="400" t="n">
        <v>1333.99</v>
      </c>
      <c r="J110" s="400"/>
      <c r="K110" s="400" t="n">
        <v>100430.39</v>
      </c>
      <c r="L110" s="402" t="n">
        <v>50.8250961538462</v>
      </c>
      <c r="M110" s="403" t="n">
        <v>101000</v>
      </c>
      <c r="N110" s="404" t="n">
        <v>104912</v>
      </c>
      <c r="O110" s="405" t="n">
        <v>0.0387326732673268</v>
      </c>
      <c r="P110" s="393" t="n">
        <v>3912</v>
      </c>
      <c r="Q110" s="406"/>
      <c r="R110" s="404" t="n">
        <v>104912</v>
      </c>
      <c r="S110" s="407" t="n">
        <v>0.0387326732673268</v>
      </c>
    </row>
    <row r="111" customFormat="false" ht="15" hidden="false" customHeight="false" outlineLevel="0" collapsed="false">
      <c r="A111" s="383" t="s">
        <v>1217</v>
      </c>
      <c r="B111" s="383" t="s">
        <v>1218</v>
      </c>
      <c r="C111" s="398" t="s">
        <v>1219</v>
      </c>
      <c r="D111" s="399" t="n">
        <v>51.24</v>
      </c>
      <c r="E111" s="400" t="n">
        <v>101250.24</v>
      </c>
      <c r="F111" s="408"/>
      <c r="G111" s="400" t="n">
        <v>0</v>
      </c>
      <c r="H111" s="401" t="n">
        <v>0.175</v>
      </c>
      <c r="I111" s="400" t="n">
        <v>1362.984</v>
      </c>
      <c r="J111" s="400"/>
      <c r="K111" s="400" t="n">
        <v>102613.224</v>
      </c>
      <c r="L111" s="402" t="n">
        <v>51.9297692307692</v>
      </c>
      <c r="M111" s="403" t="n">
        <v>103000</v>
      </c>
      <c r="N111" s="404" t="n">
        <v>106997</v>
      </c>
      <c r="O111" s="405" t="n">
        <v>0.0388058252427184</v>
      </c>
      <c r="P111" s="393" t="n">
        <v>3997</v>
      </c>
      <c r="Q111" s="406"/>
      <c r="R111" s="404" t="n">
        <v>106997</v>
      </c>
      <c r="S111" s="407" t="n">
        <v>0.0388058252427184</v>
      </c>
    </row>
    <row r="112" customFormat="false" ht="15" hidden="false" customHeight="false" outlineLevel="0" collapsed="false">
      <c r="A112" s="383"/>
      <c r="B112" s="383" t="s">
        <v>1220</v>
      </c>
      <c r="C112" s="398" t="s">
        <v>1221</v>
      </c>
      <c r="D112" s="399" t="n">
        <v>59.85</v>
      </c>
      <c r="E112" s="400" t="n">
        <v>118263.6</v>
      </c>
      <c r="F112" s="408"/>
      <c r="G112" s="400" t="n">
        <v>0</v>
      </c>
      <c r="H112" s="401" t="n">
        <v>0.175</v>
      </c>
      <c r="I112" s="400" t="n">
        <v>1592.01</v>
      </c>
      <c r="J112" s="400"/>
      <c r="K112" s="400" t="n">
        <v>119855.61</v>
      </c>
      <c r="L112" s="402" t="n">
        <v>60.6556730769231</v>
      </c>
      <c r="M112" s="403" t="n">
        <v>120000</v>
      </c>
      <c r="N112" s="404" t="n">
        <v>124668</v>
      </c>
      <c r="O112" s="417" t="n">
        <v>0.0388999999999999</v>
      </c>
      <c r="P112" s="393" t="n">
        <v>4668</v>
      </c>
      <c r="Q112" s="406"/>
      <c r="R112" s="404"/>
      <c r="S112" s="407"/>
    </row>
    <row r="113" customFormat="false" ht="15" hidden="false" customHeight="false" outlineLevel="0" collapsed="false">
      <c r="B113" s="383"/>
      <c r="C113" s="383"/>
      <c r="D113" s="383"/>
      <c r="I113" s="383"/>
      <c r="J113" s="383"/>
      <c r="K113" s="383"/>
      <c r="L113" s="383"/>
      <c r="M113" s="383"/>
      <c r="O113" s="119"/>
      <c r="P113" s="393"/>
    </row>
    <row r="114" customFormat="false" ht="53.25" hidden="false" customHeight="false" outlineLevel="0" collapsed="false">
      <c r="A114" s="410"/>
      <c r="B114" s="410" t="s">
        <v>1222</v>
      </c>
      <c r="C114" s="410"/>
      <c r="D114" s="410"/>
      <c r="E114" s="410"/>
      <c r="F114" s="410"/>
      <c r="G114" s="410"/>
      <c r="H114" s="410"/>
      <c r="I114" s="410"/>
      <c r="J114" s="410"/>
      <c r="K114" s="410"/>
      <c r="L114" s="410"/>
      <c r="M114" s="410"/>
      <c r="N114" s="119" t="n">
        <v>1</v>
      </c>
      <c r="O114" s="119" t="s">
        <v>947</v>
      </c>
      <c r="P114" s="393"/>
      <c r="Q114" s="395" t="s">
        <v>948</v>
      </c>
      <c r="R114" s="396"/>
      <c r="S114" s="397" t="s">
        <v>949</v>
      </c>
    </row>
    <row r="115" customFormat="false" ht="15" hidden="false" customHeight="false" outlineLevel="0" collapsed="false">
      <c r="A115" s="383" t="s">
        <v>1223</v>
      </c>
      <c r="B115" s="383" t="s">
        <v>1224</v>
      </c>
      <c r="C115" s="398" t="s">
        <v>1225</v>
      </c>
      <c r="D115" s="399" t="n">
        <v>24.96</v>
      </c>
      <c r="E115" s="400" t="n">
        <v>49320.96</v>
      </c>
      <c r="F115" s="408"/>
      <c r="G115" s="400" t="n">
        <v>0</v>
      </c>
      <c r="H115" s="401" t="n">
        <v>0.175</v>
      </c>
      <c r="I115" s="400" t="n">
        <v>663.936</v>
      </c>
      <c r="J115" s="400"/>
      <c r="K115" s="400" t="n">
        <v>49984.896</v>
      </c>
      <c r="L115" s="402" t="n">
        <v>25.296</v>
      </c>
      <c r="M115" s="403" t="n">
        <v>50000</v>
      </c>
      <c r="N115" s="404" t="n">
        <v>51947</v>
      </c>
      <c r="O115" s="405" t="n">
        <v>0.03894</v>
      </c>
      <c r="P115" s="393" t="n">
        <v>1947</v>
      </c>
      <c r="Q115" s="406"/>
      <c r="R115" s="404" t="n">
        <v>51947</v>
      </c>
      <c r="S115" s="407" t="n">
        <v>0.03894</v>
      </c>
    </row>
    <row r="116" customFormat="false" ht="15" hidden="false" customHeight="false" outlineLevel="0" collapsed="false">
      <c r="A116" s="383" t="s">
        <v>1226</v>
      </c>
      <c r="B116" s="383" t="s">
        <v>1227</v>
      </c>
      <c r="C116" s="398" t="s">
        <v>1228</v>
      </c>
      <c r="D116" s="399" t="n">
        <v>25.37</v>
      </c>
      <c r="E116" s="400" t="n">
        <v>50131.12</v>
      </c>
      <c r="F116" s="408"/>
      <c r="G116" s="400" t="n">
        <v>0</v>
      </c>
      <c r="H116" s="401" t="n">
        <v>0.175</v>
      </c>
      <c r="I116" s="400" t="n">
        <v>674.842</v>
      </c>
      <c r="J116" s="400"/>
      <c r="K116" s="400" t="n">
        <v>50805.962</v>
      </c>
      <c r="L116" s="402" t="n">
        <v>25.7115192307692</v>
      </c>
      <c r="M116" s="403" t="n">
        <v>51000</v>
      </c>
      <c r="N116" s="404" t="n">
        <v>52979</v>
      </c>
      <c r="O116" s="405" t="n">
        <v>0.0388039215686276</v>
      </c>
      <c r="P116" s="393" t="n">
        <v>1979</v>
      </c>
      <c r="Q116" s="406"/>
      <c r="R116" s="404" t="n">
        <v>52979</v>
      </c>
      <c r="S116" s="407" t="n">
        <v>0.0388039215686276</v>
      </c>
    </row>
    <row r="117" customFormat="false" ht="15" hidden="false" customHeight="false" outlineLevel="0" collapsed="false">
      <c r="A117" s="383" t="s">
        <v>1229</v>
      </c>
      <c r="B117" s="383" t="s">
        <v>1230</v>
      </c>
      <c r="C117" s="398" t="s">
        <v>1231</v>
      </c>
      <c r="D117" s="399" t="n">
        <v>25.85</v>
      </c>
      <c r="E117" s="400" t="n">
        <v>51079.6</v>
      </c>
      <c r="F117" s="408"/>
      <c r="G117" s="400" t="n">
        <v>0</v>
      </c>
      <c r="H117" s="401" t="n">
        <v>0.175</v>
      </c>
      <c r="I117" s="400" t="n">
        <v>687.61</v>
      </c>
      <c r="J117" s="400"/>
      <c r="K117" s="400" t="n">
        <v>51767.21</v>
      </c>
      <c r="L117" s="402" t="n">
        <v>26.1979807692308</v>
      </c>
      <c r="M117" s="403" t="n">
        <v>52000</v>
      </c>
      <c r="N117" s="404" t="n">
        <v>54016</v>
      </c>
      <c r="O117" s="405" t="n">
        <v>0.0387692307692307</v>
      </c>
      <c r="P117" s="393" t="n">
        <v>2016</v>
      </c>
      <c r="Q117" s="406"/>
      <c r="R117" s="404" t="n">
        <v>54016</v>
      </c>
      <c r="S117" s="407" t="n">
        <v>0.0387692307692307</v>
      </c>
    </row>
    <row r="118" customFormat="false" ht="15" hidden="false" customHeight="false" outlineLevel="0" collapsed="false">
      <c r="A118" s="383" t="s">
        <v>1232</v>
      </c>
      <c r="B118" s="383" t="s">
        <v>1233</v>
      </c>
      <c r="C118" s="398" t="s">
        <v>1234</v>
      </c>
      <c r="D118" s="399" t="n">
        <v>27.25</v>
      </c>
      <c r="E118" s="400" t="n">
        <v>53846</v>
      </c>
      <c r="F118" s="408"/>
      <c r="G118" s="400" t="n">
        <v>0</v>
      </c>
      <c r="H118" s="401" t="n">
        <v>0.175</v>
      </c>
      <c r="I118" s="400" t="n">
        <v>724.85</v>
      </c>
      <c r="J118" s="400"/>
      <c r="K118" s="400" t="n">
        <v>54570.85</v>
      </c>
      <c r="L118" s="402" t="n">
        <v>27.6168269230769</v>
      </c>
      <c r="M118" s="403" t="n">
        <v>55000</v>
      </c>
      <c r="N118" s="404" t="n">
        <v>57126</v>
      </c>
      <c r="O118" s="405" t="n">
        <v>0.0386545454545455</v>
      </c>
      <c r="P118" s="393" t="n">
        <v>2126</v>
      </c>
      <c r="Q118" s="406"/>
      <c r="R118" s="404" t="n">
        <v>57126</v>
      </c>
      <c r="S118" s="407" t="n">
        <v>0.0386545454545455</v>
      </c>
    </row>
    <row r="119" customFormat="false" ht="15" hidden="false" customHeight="false" outlineLevel="0" collapsed="false">
      <c r="A119" s="383" t="s">
        <v>1232</v>
      </c>
      <c r="B119" s="383" t="s">
        <v>1235</v>
      </c>
      <c r="C119" s="398" t="s">
        <v>1236</v>
      </c>
      <c r="D119" s="399" t="n">
        <v>27.85</v>
      </c>
      <c r="E119" s="400" t="n">
        <v>55031.6</v>
      </c>
      <c r="F119" s="408"/>
      <c r="G119" s="400" t="n">
        <v>0</v>
      </c>
      <c r="H119" s="401" t="n">
        <v>0.175</v>
      </c>
      <c r="I119" s="400" t="n">
        <v>740.81</v>
      </c>
      <c r="J119" s="400"/>
      <c r="K119" s="400" t="n">
        <v>55772.41</v>
      </c>
      <c r="L119" s="402" t="n">
        <v>28.2249038461538</v>
      </c>
      <c r="M119" s="403" t="n">
        <v>56000</v>
      </c>
      <c r="N119" s="404" t="n">
        <v>58172</v>
      </c>
      <c r="O119" s="405" t="n">
        <v>0.0387857142857142</v>
      </c>
      <c r="P119" s="393" t="n">
        <v>2172</v>
      </c>
      <c r="Q119" s="406"/>
      <c r="R119" s="404" t="n">
        <v>58172</v>
      </c>
      <c r="S119" s="407" t="n">
        <v>0.0387857142857142</v>
      </c>
    </row>
    <row r="120" customFormat="false" ht="15" hidden="false" customHeight="false" outlineLevel="0" collapsed="false">
      <c r="A120" s="383" t="s">
        <v>1106</v>
      </c>
      <c r="B120" s="383" t="s">
        <v>1237</v>
      </c>
      <c r="C120" s="398" t="s">
        <v>1238</v>
      </c>
      <c r="D120" s="399" t="n">
        <v>28.15</v>
      </c>
      <c r="E120" s="400" t="n">
        <v>55624.4</v>
      </c>
      <c r="F120" s="408"/>
      <c r="G120" s="400" t="n">
        <v>0</v>
      </c>
      <c r="H120" s="401" t="n">
        <v>0.175</v>
      </c>
      <c r="I120" s="400" t="n">
        <v>748.79</v>
      </c>
      <c r="J120" s="400"/>
      <c r="K120" s="400" t="n">
        <v>56373.19</v>
      </c>
      <c r="L120" s="402" t="n">
        <v>28.5289423076923</v>
      </c>
      <c r="M120" s="403" t="n">
        <v>57000</v>
      </c>
      <c r="N120" s="404" t="n">
        <v>59196</v>
      </c>
      <c r="O120" s="405" t="n">
        <v>0.0385263157894737</v>
      </c>
      <c r="P120" s="393" t="n">
        <v>2196</v>
      </c>
      <c r="Q120" s="406"/>
      <c r="R120" s="404" t="n">
        <v>59196</v>
      </c>
      <c r="S120" s="407" t="n">
        <v>0.0385263157894737</v>
      </c>
    </row>
    <row r="121" customFormat="false" ht="15" hidden="false" customHeight="false" outlineLevel="0" collapsed="false">
      <c r="A121" s="383" t="s">
        <v>1106</v>
      </c>
      <c r="B121" s="383" t="s">
        <v>1239</v>
      </c>
      <c r="C121" s="398" t="s">
        <v>1240</v>
      </c>
      <c r="D121" s="399" t="n">
        <v>28.75</v>
      </c>
      <c r="E121" s="400" t="n">
        <v>56810</v>
      </c>
      <c r="F121" s="408"/>
      <c r="G121" s="400" t="n">
        <v>0</v>
      </c>
      <c r="H121" s="401" t="n">
        <v>0.175</v>
      </c>
      <c r="I121" s="400" t="n">
        <v>764.75</v>
      </c>
      <c r="J121" s="400"/>
      <c r="K121" s="400" t="n">
        <v>57574.75</v>
      </c>
      <c r="L121" s="402" t="n">
        <v>29.1370192307692</v>
      </c>
      <c r="M121" s="403" t="n">
        <v>58000</v>
      </c>
      <c r="N121" s="404" t="n">
        <v>60243</v>
      </c>
      <c r="O121" s="405" t="n">
        <v>0.0386724137931034</v>
      </c>
      <c r="P121" s="393" t="n">
        <v>2243</v>
      </c>
      <c r="Q121" s="406"/>
      <c r="R121" s="404" t="n">
        <v>60243</v>
      </c>
      <c r="S121" s="407" t="n">
        <v>0.0386724137931034</v>
      </c>
    </row>
    <row r="122" customFormat="false" ht="15" hidden="false" customHeight="false" outlineLevel="0" collapsed="false">
      <c r="A122" s="383" t="s">
        <v>1113</v>
      </c>
      <c r="B122" s="383" t="s">
        <v>1241</v>
      </c>
      <c r="C122" s="398" t="s">
        <v>1242</v>
      </c>
      <c r="D122" s="399" t="n">
        <v>30.14</v>
      </c>
      <c r="E122" s="400" t="n">
        <v>59556.64</v>
      </c>
      <c r="F122" s="408"/>
      <c r="G122" s="400" t="n">
        <v>0</v>
      </c>
      <c r="H122" s="401" t="n">
        <v>0.175</v>
      </c>
      <c r="I122" s="400" t="n">
        <v>801.724</v>
      </c>
      <c r="J122" s="400"/>
      <c r="K122" s="400" t="n">
        <v>60358.364</v>
      </c>
      <c r="L122" s="402" t="n">
        <v>30.5457307692308</v>
      </c>
      <c r="M122" s="403" t="n">
        <v>61000</v>
      </c>
      <c r="N122" s="404" t="n">
        <v>63351</v>
      </c>
      <c r="O122" s="405" t="n">
        <v>0.0385409836065573</v>
      </c>
      <c r="P122" s="393" t="n">
        <v>2351</v>
      </c>
      <c r="Q122" s="406"/>
      <c r="R122" s="404" t="n">
        <v>63351</v>
      </c>
      <c r="S122" s="407" t="n">
        <v>0.0385409836065573</v>
      </c>
    </row>
    <row r="123" customFormat="false" ht="15" hidden="false" customHeight="false" outlineLevel="0" collapsed="false">
      <c r="A123" s="383" t="s">
        <v>1113</v>
      </c>
      <c r="B123" s="383" t="s">
        <v>1243</v>
      </c>
      <c r="C123" s="398" t="s">
        <v>1244</v>
      </c>
      <c r="D123" s="399" t="n">
        <v>30.74</v>
      </c>
      <c r="E123" s="400" t="n">
        <v>60742.24</v>
      </c>
      <c r="F123" s="408"/>
      <c r="G123" s="400" t="n">
        <v>0</v>
      </c>
      <c r="H123" s="401" t="n">
        <v>0.175</v>
      </c>
      <c r="I123" s="400" t="n">
        <v>817.684</v>
      </c>
      <c r="J123" s="400"/>
      <c r="K123" s="400" t="n">
        <v>61559.924</v>
      </c>
      <c r="L123" s="402" t="n">
        <v>31.1538076923077</v>
      </c>
      <c r="M123" s="403" t="n">
        <v>62000</v>
      </c>
      <c r="N123" s="404" t="n">
        <v>64398</v>
      </c>
      <c r="O123" s="405" t="n">
        <v>0.0386774193548387</v>
      </c>
      <c r="P123" s="393" t="n">
        <v>2398</v>
      </c>
      <c r="Q123" s="406"/>
      <c r="R123" s="404" t="n">
        <v>64398</v>
      </c>
      <c r="S123" s="407" t="n">
        <v>0.0386774193548387</v>
      </c>
    </row>
    <row r="124" customFormat="false" ht="15" hidden="false" customHeight="false" outlineLevel="0" collapsed="false">
      <c r="A124" s="383" t="s">
        <v>1245</v>
      </c>
      <c r="B124" s="383" t="s">
        <v>1246</v>
      </c>
      <c r="C124" s="398" t="s">
        <v>1247</v>
      </c>
      <c r="D124" s="399" t="n">
        <v>31.97</v>
      </c>
      <c r="E124" s="400" t="n">
        <v>63172.72</v>
      </c>
      <c r="F124" s="408"/>
      <c r="G124" s="400" t="n">
        <v>0</v>
      </c>
      <c r="H124" s="401" t="n">
        <v>0.175</v>
      </c>
      <c r="I124" s="400" t="n">
        <v>850.402</v>
      </c>
      <c r="J124" s="400"/>
      <c r="K124" s="400" t="n">
        <v>64023.122</v>
      </c>
      <c r="L124" s="402" t="n">
        <v>32.4003653846154</v>
      </c>
      <c r="M124" s="403" t="n">
        <v>65000</v>
      </c>
      <c r="N124" s="404" t="n">
        <v>67494</v>
      </c>
      <c r="O124" s="405" t="n">
        <v>0.0383692307692307</v>
      </c>
      <c r="P124" s="393" t="n">
        <v>2494</v>
      </c>
      <c r="Q124" s="406"/>
      <c r="R124" s="404" t="n">
        <v>67494</v>
      </c>
      <c r="S124" s="407" t="n">
        <v>0.0383692307692307</v>
      </c>
    </row>
    <row r="125" customFormat="false" ht="15" hidden="false" customHeight="false" outlineLevel="0" collapsed="false">
      <c r="B125" s="383"/>
      <c r="C125" s="383"/>
      <c r="D125" s="383"/>
      <c r="I125" s="383"/>
      <c r="J125" s="383"/>
      <c r="K125" s="383"/>
      <c r="L125" s="383"/>
      <c r="M125" s="383"/>
      <c r="O125" s="119"/>
      <c r="P125" s="393"/>
    </row>
    <row r="126" customFormat="false" ht="53.25" hidden="false" customHeight="false" outlineLevel="0" collapsed="false">
      <c r="A126" s="410"/>
      <c r="B126" s="410" t="s">
        <v>1248</v>
      </c>
      <c r="C126" s="410"/>
      <c r="D126" s="410"/>
      <c r="E126" s="410"/>
      <c r="F126" s="410"/>
      <c r="G126" s="410"/>
      <c r="H126" s="410"/>
      <c r="I126" s="410"/>
      <c r="J126" s="410"/>
      <c r="K126" s="410"/>
      <c r="L126" s="410"/>
      <c r="M126" s="410"/>
      <c r="N126" s="119" t="n">
        <v>1</v>
      </c>
      <c r="O126" s="119" t="s">
        <v>947</v>
      </c>
      <c r="P126" s="393"/>
      <c r="Q126" s="395" t="s">
        <v>948</v>
      </c>
      <c r="R126" s="396"/>
      <c r="S126" s="397" t="s">
        <v>949</v>
      </c>
    </row>
    <row r="127" customFormat="false" ht="15" hidden="false" customHeight="false" outlineLevel="0" collapsed="false">
      <c r="A127" s="383" t="s">
        <v>1249</v>
      </c>
      <c r="B127" s="383" t="s">
        <v>1250</v>
      </c>
      <c r="C127" s="398" t="s">
        <v>1251</v>
      </c>
      <c r="D127" s="412" t="n">
        <v>63.32585</v>
      </c>
      <c r="E127" s="413" t="n">
        <v>125131.8796</v>
      </c>
      <c r="F127" s="395" t="n">
        <v>5</v>
      </c>
      <c r="G127" s="400" t="n">
        <v>2406.3823</v>
      </c>
      <c r="H127" s="401" t="n">
        <v>0.175</v>
      </c>
      <c r="I127" s="400" t="n">
        <v>2105.5845125</v>
      </c>
      <c r="J127" s="400"/>
      <c r="K127" s="400" t="n">
        <v>129643.8464125</v>
      </c>
      <c r="L127" s="402" t="n">
        <v>65.6092340144231</v>
      </c>
      <c r="M127" s="403" t="n">
        <v>130000</v>
      </c>
      <c r="N127" s="404" t="n">
        <v>134939</v>
      </c>
      <c r="O127" s="405" t="n">
        <v>0.0379923076923077</v>
      </c>
      <c r="P127" s="393" t="n">
        <v>4939</v>
      </c>
      <c r="Q127" s="406"/>
      <c r="R127" s="404" t="n">
        <v>134939</v>
      </c>
      <c r="S127" s="407" t="n">
        <v>0.0379923076923077</v>
      </c>
    </row>
    <row r="128" customFormat="false" ht="15" hidden="false" customHeight="false" outlineLevel="0" collapsed="false">
      <c r="B128" s="383"/>
      <c r="C128" s="383"/>
      <c r="D128" s="383"/>
      <c r="I128" s="383"/>
      <c r="J128" s="383"/>
      <c r="K128" s="383"/>
      <c r="L128" s="383"/>
      <c r="M128" s="383"/>
      <c r="O128" s="119"/>
      <c r="P128" s="393"/>
    </row>
    <row r="129" customFormat="false" ht="53.25" hidden="false" customHeight="false" outlineLevel="0" collapsed="false">
      <c r="A129" s="410"/>
      <c r="B129" s="410" t="s">
        <v>1252</v>
      </c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119" t="n">
        <v>1</v>
      </c>
      <c r="O129" s="119" t="s">
        <v>947</v>
      </c>
      <c r="P129" s="393"/>
      <c r="Q129" s="395" t="s">
        <v>948</v>
      </c>
      <c r="R129" s="396"/>
      <c r="S129" s="397" t="s">
        <v>949</v>
      </c>
    </row>
    <row r="130" customFormat="false" ht="15" hidden="false" customHeight="false" outlineLevel="0" collapsed="false">
      <c r="A130" s="383" t="s">
        <v>1253</v>
      </c>
      <c r="B130" s="383" t="s">
        <v>1254</v>
      </c>
      <c r="C130" s="398" t="s">
        <v>1255</v>
      </c>
      <c r="D130" s="412" t="n">
        <v>27.7768</v>
      </c>
      <c r="E130" s="413" t="n">
        <v>54886.9568</v>
      </c>
      <c r="F130" s="397"/>
      <c r="G130" s="400" t="n">
        <v>0</v>
      </c>
      <c r="H130" s="401" t="n">
        <v>0.175</v>
      </c>
      <c r="I130" s="400" t="n">
        <v>738.86288</v>
      </c>
      <c r="J130" s="400"/>
      <c r="K130" s="400" t="n">
        <v>55625.81968</v>
      </c>
      <c r="L130" s="402" t="n">
        <v>28.1507184615385</v>
      </c>
      <c r="M130" s="403" t="n">
        <v>56000</v>
      </c>
      <c r="N130" s="404" t="n">
        <v>58167</v>
      </c>
      <c r="O130" s="405" t="n">
        <v>0.0386964285714286</v>
      </c>
      <c r="P130" s="393" t="n">
        <v>2167</v>
      </c>
      <c r="Q130" s="406"/>
      <c r="R130" s="404" t="n">
        <v>58167</v>
      </c>
      <c r="S130" s="407" t="n">
        <v>0.0386964285714286</v>
      </c>
    </row>
    <row r="131" customFormat="false" ht="15" hidden="false" customHeight="false" outlineLevel="0" collapsed="false">
      <c r="A131" s="383" t="s">
        <v>1253</v>
      </c>
      <c r="B131" s="383" t="s">
        <v>1256</v>
      </c>
      <c r="C131" s="398" t="s">
        <v>1257</v>
      </c>
      <c r="D131" s="412" t="n">
        <v>28.34347</v>
      </c>
      <c r="E131" s="413" t="n">
        <v>56006.69672</v>
      </c>
      <c r="F131" s="397"/>
      <c r="G131" s="400" t="n">
        <v>0</v>
      </c>
      <c r="H131" s="401" t="n">
        <v>0.175</v>
      </c>
      <c r="I131" s="400" t="n">
        <v>753.936302</v>
      </c>
      <c r="J131" s="400"/>
      <c r="K131" s="400" t="n">
        <v>56760.633022</v>
      </c>
      <c r="L131" s="402" t="n">
        <v>28.7250167115385</v>
      </c>
      <c r="M131" s="403" t="n">
        <v>57000</v>
      </c>
      <c r="N131" s="404" t="n">
        <v>59211</v>
      </c>
      <c r="O131" s="405" t="n">
        <v>0.0387894736842105</v>
      </c>
      <c r="P131" s="393" t="n">
        <v>2211</v>
      </c>
      <c r="Q131" s="406"/>
      <c r="R131" s="404" t="n">
        <v>59211</v>
      </c>
      <c r="S131" s="407" t="n">
        <v>0.0387894736842105</v>
      </c>
    </row>
    <row r="132" customFormat="false" ht="15" hidden="false" customHeight="false" outlineLevel="0" collapsed="false">
      <c r="A132" s="383" t="s">
        <v>1253</v>
      </c>
      <c r="B132" s="383" t="s">
        <v>1258</v>
      </c>
      <c r="C132" s="398" t="s">
        <v>1259</v>
      </c>
      <c r="D132" s="412" t="n">
        <v>28.89218</v>
      </c>
      <c r="E132" s="413" t="n">
        <v>57090.94768</v>
      </c>
      <c r="F132" s="397"/>
      <c r="G132" s="400" t="n">
        <v>0</v>
      </c>
      <c r="H132" s="401" t="n">
        <v>0.175</v>
      </c>
      <c r="I132" s="400" t="n">
        <v>768.531988</v>
      </c>
      <c r="J132" s="400"/>
      <c r="K132" s="400" t="n">
        <v>57859.479668</v>
      </c>
      <c r="L132" s="402" t="n">
        <v>29.2811131923077</v>
      </c>
      <c r="M132" s="403" t="n">
        <v>58000</v>
      </c>
      <c r="N132" s="404" t="n">
        <v>60254</v>
      </c>
      <c r="O132" s="405" t="n">
        <v>0.0388620689655173</v>
      </c>
      <c r="P132" s="393" t="n">
        <v>2254</v>
      </c>
      <c r="Q132" s="406"/>
      <c r="R132" s="404" t="n">
        <v>60254</v>
      </c>
      <c r="S132" s="407" t="n">
        <v>0.0388620689655173</v>
      </c>
    </row>
    <row r="133" customFormat="false" ht="15" hidden="false" customHeight="false" outlineLevel="0" collapsed="false">
      <c r="A133" s="383" t="s">
        <v>1253</v>
      </c>
      <c r="B133" s="383" t="s">
        <v>1260</v>
      </c>
      <c r="C133" s="398" t="s">
        <v>1261</v>
      </c>
      <c r="D133" s="412" t="n">
        <v>29.1778</v>
      </c>
      <c r="E133" s="413" t="n">
        <v>57655.3328</v>
      </c>
      <c r="F133" s="397"/>
      <c r="G133" s="400" t="n">
        <v>0</v>
      </c>
      <c r="H133" s="401" t="n">
        <v>0.175</v>
      </c>
      <c r="I133" s="400" t="n">
        <v>776.12948</v>
      </c>
      <c r="J133" s="400"/>
      <c r="K133" s="400" t="n">
        <v>58431.46228</v>
      </c>
      <c r="L133" s="402" t="n">
        <v>29.5705780769231</v>
      </c>
      <c r="M133" s="403" t="n">
        <v>59000</v>
      </c>
      <c r="N133" s="404" t="n">
        <v>61276</v>
      </c>
      <c r="O133" s="405" t="n">
        <v>0.0385762711864406</v>
      </c>
      <c r="P133" s="393" t="n">
        <v>2276</v>
      </c>
      <c r="Q133" s="406"/>
      <c r="R133" s="404" t="n">
        <v>61276</v>
      </c>
      <c r="S133" s="407" t="n">
        <v>0.0385762711864406</v>
      </c>
    </row>
    <row r="134" customFormat="false" ht="15" hidden="false" customHeight="false" outlineLevel="0" collapsed="false">
      <c r="A134" s="383" t="s">
        <v>1262</v>
      </c>
      <c r="B134" s="383" t="s">
        <v>1263</v>
      </c>
      <c r="C134" s="398" t="s">
        <v>1264</v>
      </c>
      <c r="D134" s="412" t="n">
        <v>30.83236</v>
      </c>
      <c r="E134" s="413" t="n">
        <v>60924.74336</v>
      </c>
      <c r="F134" s="397"/>
      <c r="G134" s="400" t="n">
        <v>0</v>
      </c>
      <c r="H134" s="401" t="n">
        <v>0.175</v>
      </c>
      <c r="I134" s="400" t="n">
        <v>820.140776</v>
      </c>
      <c r="J134" s="400"/>
      <c r="K134" s="400" t="n">
        <v>61744.884136</v>
      </c>
      <c r="L134" s="402" t="n">
        <v>31.247411</v>
      </c>
      <c r="M134" s="403" t="n">
        <v>62000</v>
      </c>
      <c r="N134" s="404" t="n">
        <v>64405</v>
      </c>
      <c r="O134" s="405" t="n">
        <v>0.0387903225806452</v>
      </c>
      <c r="P134" s="393" t="n">
        <v>2405</v>
      </c>
      <c r="Q134" s="406"/>
      <c r="R134" s="404" t="n">
        <v>64405</v>
      </c>
      <c r="S134" s="407" t="n">
        <v>0.0387903225806452</v>
      </c>
    </row>
    <row r="135" customFormat="false" ht="15" hidden="false" customHeight="false" outlineLevel="0" collapsed="false">
      <c r="A135" s="383" t="s">
        <v>1262</v>
      </c>
      <c r="B135" s="383" t="s">
        <v>1265</v>
      </c>
      <c r="C135" s="398" t="s">
        <v>1266</v>
      </c>
      <c r="D135" s="412" t="n">
        <v>31.66699</v>
      </c>
      <c r="E135" s="413" t="n">
        <v>62573.97224</v>
      </c>
      <c r="F135" s="397"/>
      <c r="G135" s="400" t="n">
        <v>0</v>
      </c>
      <c r="H135" s="401" t="n">
        <v>0.175</v>
      </c>
      <c r="I135" s="400" t="n">
        <v>842.341934</v>
      </c>
      <c r="J135" s="400"/>
      <c r="K135" s="400" t="n">
        <v>63416.314174</v>
      </c>
      <c r="L135" s="402" t="n">
        <v>32.0932764038462</v>
      </c>
      <c r="M135" s="403" t="n">
        <v>64000</v>
      </c>
      <c r="N135" s="404" t="n">
        <v>66470</v>
      </c>
      <c r="O135" s="405" t="n">
        <v>0.03859375</v>
      </c>
      <c r="P135" s="393" t="n">
        <v>2470</v>
      </c>
      <c r="Q135" s="406"/>
      <c r="R135" s="404" t="n">
        <v>66470</v>
      </c>
      <c r="S135" s="407" t="n">
        <v>0.03859375</v>
      </c>
    </row>
    <row r="136" customFormat="false" ht="15" hidden="false" customHeight="false" outlineLevel="0" collapsed="false">
      <c r="A136" s="383" t="s">
        <v>1267</v>
      </c>
      <c r="B136" s="383" t="s">
        <v>1268</v>
      </c>
      <c r="C136" s="398" t="s">
        <v>1269</v>
      </c>
      <c r="D136" s="412" t="n">
        <v>32.22473</v>
      </c>
      <c r="E136" s="413" t="n">
        <v>63676.06648</v>
      </c>
      <c r="F136" s="397"/>
      <c r="G136" s="400" t="n">
        <v>0</v>
      </c>
      <c r="H136" s="401" t="n">
        <v>0.175</v>
      </c>
      <c r="I136" s="400" t="n">
        <v>857.177818</v>
      </c>
      <c r="J136" s="400"/>
      <c r="K136" s="400" t="n">
        <v>64533.244298</v>
      </c>
      <c r="L136" s="402" t="n">
        <v>32.6585244423077</v>
      </c>
      <c r="M136" s="403" t="n">
        <v>65000</v>
      </c>
      <c r="N136" s="404" t="n">
        <v>67514</v>
      </c>
      <c r="O136" s="405" t="n">
        <v>0.0386769230769231</v>
      </c>
      <c r="P136" s="393" t="n">
        <v>2514</v>
      </c>
      <c r="Q136" s="406"/>
      <c r="R136" s="404" t="n">
        <v>67514</v>
      </c>
      <c r="S136" s="407" t="n">
        <v>0.0386769230769231</v>
      </c>
    </row>
    <row r="137" customFormat="false" ht="15" hidden="false" customHeight="false" outlineLevel="0" collapsed="false">
      <c r="A137" s="383" t="s">
        <v>1267</v>
      </c>
      <c r="B137" s="383" t="s">
        <v>1270</v>
      </c>
      <c r="C137" s="398" t="s">
        <v>1271</v>
      </c>
      <c r="D137" s="412" t="n">
        <v>33.05013</v>
      </c>
      <c r="E137" s="413" t="n">
        <v>65307.05688</v>
      </c>
      <c r="F137" s="397"/>
      <c r="G137" s="400" t="n">
        <v>0</v>
      </c>
      <c r="H137" s="401" t="n">
        <v>0.175</v>
      </c>
      <c r="I137" s="400" t="n">
        <v>879.133458</v>
      </c>
      <c r="J137" s="400"/>
      <c r="K137" s="400" t="n">
        <v>66186.190338</v>
      </c>
      <c r="L137" s="402" t="n">
        <v>33.4950355961539</v>
      </c>
      <c r="M137" s="403" t="n">
        <v>67000</v>
      </c>
      <c r="N137" s="404" t="n">
        <v>69578</v>
      </c>
      <c r="O137" s="405" t="n">
        <v>0.0384776119402985</v>
      </c>
      <c r="P137" s="393" t="n">
        <v>2578</v>
      </c>
      <c r="Q137" s="406"/>
      <c r="R137" s="404" t="n">
        <v>69578</v>
      </c>
      <c r="S137" s="407" t="n">
        <v>0.0384776119402985</v>
      </c>
    </row>
    <row r="138" customFormat="false" ht="15" hidden="false" customHeight="false" outlineLevel="0" collapsed="false">
      <c r="A138" s="383" t="s">
        <v>1272</v>
      </c>
      <c r="B138" s="383" t="s">
        <v>1273</v>
      </c>
      <c r="C138" s="398" t="s">
        <v>1274</v>
      </c>
      <c r="D138" s="412" t="n">
        <v>34.99974</v>
      </c>
      <c r="E138" s="413" t="n">
        <v>69159.48624</v>
      </c>
      <c r="F138" s="397"/>
      <c r="G138" s="400" t="n">
        <v>0</v>
      </c>
      <c r="H138" s="401" t="n">
        <v>0.175</v>
      </c>
      <c r="I138" s="400" t="n">
        <v>930.993084</v>
      </c>
      <c r="J138" s="400"/>
      <c r="K138" s="400" t="n">
        <v>70090.479324</v>
      </c>
      <c r="L138" s="402" t="n">
        <v>35.4708903461538</v>
      </c>
      <c r="M138" s="403" t="n">
        <v>71000</v>
      </c>
      <c r="N138" s="404" t="n">
        <v>73730</v>
      </c>
      <c r="O138" s="405" t="n">
        <v>0.0384507042253521</v>
      </c>
      <c r="P138" s="393" t="n">
        <v>2730</v>
      </c>
      <c r="Q138" s="406"/>
      <c r="R138" s="404" t="n">
        <v>73730</v>
      </c>
      <c r="S138" s="407" t="n">
        <v>0.0384507042253521</v>
      </c>
    </row>
    <row r="139" customFormat="false" ht="15" hidden="false" customHeight="false" outlineLevel="0" collapsed="false">
      <c r="A139" s="383" t="s">
        <v>1272</v>
      </c>
      <c r="B139" s="383" t="s">
        <v>1275</v>
      </c>
      <c r="C139" s="398" t="s">
        <v>1276</v>
      </c>
      <c r="D139" s="412" t="n">
        <v>35.82504</v>
      </c>
      <c r="E139" s="413" t="n">
        <v>70790.27904</v>
      </c>
      <c r="F139" s="397"/>
      <c r="G139" s="400" t="n">
        <v>0</v>
      </c>
      <c r="H139" s="401" t="n">
        <v>0.175</v>
      </c>
      <c r="I139" s="400" t="n">
        <v>952.946064</v>
      </c>
      <c r="J139" s="400"/>
      <c r="K139" s="400" t="n">
        <v>71743.225104</v>
      </c>
      <c r="L139" s="402" t="n">
        <v>36.3073001538462</v>
      </c>
      <c r="M139" s="403" t="n">
        <v>72000</v>
      </c>
      <c r="N139" s="404" t="n">
        <v>74794</v>
      </c>
      <c r="O139" s="405" t="n">
        <v>0.0388055555555555</v>
      </c>
      <c r="P139" s="393" t="n">
        <v>2794</v>
      </c>
      <c r="Q139" s="406"/>
      <c r="R139" s="404" t="n">
        <v>74794</v>
      </c>
      <c r="S139" s="407" t="n">
        <v>0.0388055555555555</v>
      </c>
    </row>
    <row r="140" customFormat="false" ht="15" hidden="false" customHeight="false" outlineLevel="0" collapsed="false">
      <c r="A140" s="383" t="s">
        <v>1277</v>
      </c>
      <c r="B140" s="383" t="s">
        <v>1278</v>
      </c>
      <c r="C140" s="398" t="s">
        <v>1279</v>
      </c>
      <c r="D140" s="412" t="n">
        <v>37.53937</v>
      </c>
      <c r="E140" s="413" t="n">
        <v>74177.79512</v>
      </c>
      <c r="F140" s="397"/>
      <c r="G140" s="400" t="n">
        <v>0</v>
      </c>
      <c r="H140" s="401" t="n">
        <v>0.175</v>
      </c>
      <c r="I140" s="400" t="n">
        <v>998.547242</v>
      </c>
      <c r="J140" s="400"/>
      <c r="K140" s="400" t="n">
        <v>75176.342362</v>
      </c>
      <c r="L140" s="402" t="n">
        <v>38.0447076730769</v>
      </c>
      <c r="M140" s="403" t="n">
        <v>76000</v>
      </c>
      <c r="N140" s="404" t="n">
        <v>78928</v>
      </c>
      <c r="O140" s="405" t="n">
        <v>0.0385263157894737</v>
      </c>
      <c r="P140" s="393" t="n">
        <v>2928</v>
      </c>
      <c r="Q140" s="406"/>
      <c r="R140" s="404" t="n">
        <v>78928</v>
      </c>
      <c r="S140" s="407" t="n">
        <v>0.0385263157894737</v>
      </c>
    </row>
    <row r="141" customFormat="false" ht="15" hidden="false" customHeight="false" outlineLevel="0" collapsed="false">
      <c r="A141" s="383" t="s">
        <v>1262</v>
      </c>
      <c r="B141" s="383" t="s">
        <v>1280</v>
      </c>
      <c r="C141" s="398" t="s">
        <v>1281</v>
      </c>
      <c r="D141" s="412" t="n">
        <v>35.57626</v>
      </c>
      <c r="E141" s="413" t="n">
        <v>70298.68976</v>
      </c>
      <c r="F141" s="397"/>
      <c r="G141" s="400" t="n">
        <v>0</v>
      </c>
      <c r="H141" s="401" t="n">
        <v>0.175</v>
      </c>
      <c r="I141" s="400" t="n">
        <v>946.328516</v>
      </c>
      <c r="J141" s="400"/>
      <c r="K141" s="400" t="n">
        <v>71245.018276</v>
      </c>
      <c r="L141" s="402" t="n">
        <v>36.0551711923077</v>
      </c>
      <c r="M141" s="403" t="n">
        <v>72000</v>
      </c>
      <c r="N141" s="404" t="n">
        <v>74775</v>
      </c>
      <c r="O141" s="405" t="n">
        <v>0.0385416666666667</v>
      </c>
      <c r="P141" s="393" t="n">
        <v>2775</v>
      </c>
      <c r="Q141" s="406"/>
      <c r="R141" s="404" t="n">
        <v>74775</v>
      </c>
      <c r="S141" s="407" t="n">
        <v>0.0385416666666667</v>
      </c>
    </row>
    <row r="142" customFormat="false" ht="15" hidden="false" customHeight="false" outlineLevel="0" collapsed="false">
      <c r="A142" s="383" t="s">
        <v>1267</v>
      </c>
      <c r="B142" s="383" t="s">
        <v>1282</v>
      </c>
      <c r="C142" s="398" t="s">
        <v>1283</v>
      </c>
      <c r="D142" s="412" t="n">
        <v>39.8623</v>
      </c>
      <c r="E142" s="413" t="n">
        <v>78767.9048</v>
      </c>
      <c r="F142" s="397"/>
      <c r="G142" s="400" t="n">
        <v>0</v>
      </c>
      <c r="H142" s="401" t="n">
        <v>0.175</v>
      </c>
      <c r="I142" s="400" t="n">
        <v>1060.33718</v>
      </c>
      <c r="J142" s="400"/>
      <c r="K142" s="400" t="n">
        <v>79828.24198</v>
      </c>
      <c r="L142" s="402" t="n">
        <v>40.3989078846154</v>
      </c>
      <c r="M142" s="403" t="n">
        <v>80000</v>
      </c>
      <c r="N142" s="404" t="n">
        <v>83109</v>
      </c>
      <c r="O142" s="405" t="n">
        <v>0.0388625</v>
      </c>
      <c r="P142" s="393" t="n">
        <v>3109</v>
      </c>
      <c r="Q142" s="406"/>
      <c r="R142" s="404" t="n">
        <v>83109</v>
      </c>
      <c r="S142" s="407" t="n">
        <v>0.0388625</v>
      </c>
    </row>
    <row r="143" customFormat="false" ht="15" hidden="false" customHeight="false" outlineLevel="0" collapsed="false">
      <c r="A143" s="383" t="s">
        <v>1272</v>
      </c>
      <c r="B143" s="383" t="s">
        <v>1284</v>
      </c>
      <c r="C143" s="398" t="s">
        <v>1285</v>
      </c>
      <c r="D143" s="412" t="n">
        <v>48.46595</v>
      </c>
      <c r="E143" s="413" t="n">
        <v>95768.7172</v>
      </c>
      <c r="F143" s="397"/>
      <c r="G143" s="400" t="n">
        <v>0</v>
      </c>
      <c r="H143" s="401" t="n">
        <v>0.175</v>
      </c>
      <c r="I143" s="400" t="n">
        <v>1289.19427</v>
      </c>
      <c r="J143" s="400"/>
      <c r="K143" s="400" t="n">
        <v>97057.91147</v>
      </c>
      <c r="L143" s="402" t="n">
        <v>49.11837625</v>
      </c>
      <c r="M143" s="403" t="n">
        <v>98000</v>
      </c>
      <c r="N143" s="404" t="n">
        <v>101780</v>
      </c>
      <c r="O143" s="405" t="n">
        <v>0.0385714285714285</v>
      </c>
      <c r="P143" s="393" t="n">
        <v>3780</v>
      </c>
      <c r="Q143" s="406"/>
      <c r="R143" s="404" t="n">
        <v>101780</v>
      </c>
      <c r="S143" s="407" t="n">
        <v>0.0385714285714285</v>
      </c>
    </row>
    <row r="144" customFormat="false" ht="15" hidden="false" customHeight="false" outlineLevel="0" collapsed="false">
      <c r="A144" s="383" t="s">
        <v>1277</v>
      </c>
      <c r="B144" s="383" t="s">
        <v>1286</v>
      </c>
      <c r="C144" s="398" t="s">
        <v>1287</v>
      </c>
      <c r="D144" s="412" t="n">
        <v>50.54457</v>
      </c>
      <c r="E144" s="413" t="n">
        <v>99876.07032</v>
      </c>
      <c r="F144" s="397"/>
      <c r="G144" s="400" t="n">
        <v>0</v>
      </c>
      <c r="H144" s="401" t="n">
        <v>0.175</v>
      </c>
      <c r="I144" s="400" t="n">
        <v>1344.485562</v>
      </c>
      <c r="J144" s="400"/>
      <c r="K144" s="400" t="n">
        <v>101220.555882</v>
      </c>
      <c r="L144" s="402" t="n">
        <v>51.2249776730769</v>
      </c>
      <c r="M144" s="403" t="n">
        <v>102000</v>
      </c>
      <c r="N144" s="404" t="n">
        <v>105942</v>
      </c>
      <c r="O144" s="405" t="n">
        <v>0.0386470588235295</v>
      </c>
      <c r="P144" s="393" t="n">
        <v>3942</v>
      </c>
      <c r="Q144" s="406"/>
      <c r="R144" s="404" t="n">
        <v>105942</v>
      </c>
      <c r="S144" s="407" t="n">
        <v>0.0386470588235295</v>
      </c>
    </row>
    <row r="145" customFormat="false" ht="15" hidden="false" customHeight="false" outlineLevel="0" collapsed="false">
      <c r="A145" s="383" t="s">
        <v>1253</v>
      </c>
      <c r="B145" s="383" t="s">
        <v>1288</v>
      </c>
      <c r="C145" s="398" t="s">
        <v>1289</v>
      </c>
      <c r="D145" s="412" t="n">
        <v>26.82574</v>
      </c>
      <c r="E145" s="413" t="n">
        <v>53007.66224</v>
      </c>
      <c r="F145" s="397"/>
      <c r="G145" s="400" t="n">
        <v>0</v>
      </c>
      <c r="H145" s="401" t="n">
        <v>0.175</v>
      </c>
      <c r="I145" s="400" t="n">
        <v>713.564684</v>
      </c>
      <c r="J145" s="400"/>
      <c r="K145" s="400" t="n">
        <v>53721.226924</v>
      </c>
      <c r="L145" s="402" t="n">
        <v>27.1868557307692</v>
      </c>
      <c r="M145" s="403" t="n">
        <v>54000</v>
      </c>
      <c r="N145" s="404" t="n">
        <v>56092</v>
      </c>
      <c r="O145" s="405" t="n">
        <v>0.0387407407407407</v>
      </c>
      <c r="P145" s="393" t="n">
        <v>2092</v>
      </c>
      <c r="Q145" s="406"/>
      <c r="R145" s="404" t="n">
        <v>56092</v>
      </c>
      <c r="S145" s="407" t="n">
        <v>0.0387407407407407</v>
      </c>
    </row>
    <row r="146" customFormat="false" ht="15" hidden="false" customHeight="false" outlineLevel="0" collapsed="false">
      <c r="A146" s="383" t="s">
        <v>1262</v>
      </c>
      <c r="B146" s="383" t="s">
        <v>1290</v>
      </c>
      <c r="C146" s="398" t="s">
        <v>1291</v>
      </c>
      <c r="D146" s="412" t="n">
        <v>28.98434</v>
      </c>
      <c r="E146" s="413" t="n">
        <v>57273.05584</v>
      </c>
      <c r="F146" s="397"/>
      <c r="G146" s="400" t="n">
        <v>0</v>
      </c>
      <c r="H146" s="401" t="n">
        <v>0.175</v>
      </c>
      <c r="I146" s="400" t="n">
        <v>770.983444</v>
      </c>
      <c r="J146" s="400"/>
      <c r="K146" s="400" t="n">
        <v>58044.039284</v>
      </c>
      <c r="L146" s="402" t="n">
        <v>29.3745138076923</v>
      </c>
      <c r="M146" s="403" t="n">
        <v>59000</v>
      </c>
      <c r="N146" s="404" t="n">
        <v>61261</v>
      </c>
      <c r="O146" s="405" t="n">
        <v>0.038322033898305</v>
      </c>
      <c r="P146" s="393" t="n">
        <v>2261</v>
      </c>
      <c r="Q146" s="406"/>
      <c r="R146" s="404" t="n">
        <v>61261</v>
      </c>
      <c r="S146" s="407" t="n">
        <v>0.038322033898305</v>
      </c>
    </row>
    <row r="147" customFormat="false" ht="15" hidden="false" customHeight="false" outlineLevel="0" collapsed="false">
      <c r="A147" s="383" t="s">
        <v>1262</v>
      </c>
      <c r="B147" s="383" t="s">
        <v>1292</v>
      </c>
      <c r="C147" s="398" t="s">
        <v>1293</v>
      </c>
      <c r="D147" s="412" t="n">
        <v>30.83449</v>
      </c>
      <c r="E147" s="413" t="n">
        <v>60928.95224</v>
      </c>
      <c r="F147" s="397"/>
      <c r="G147" s="400" t="n">
        <v>0</v>
      </c>
      <c r="H147" s="401" t="n">
        <v>0.175</v>
      </c>
      <c r="I147" s="400" t="n">
        <v>820.197434</v>
      </c>
      <c r="J147" s="400"/>
      <c r="K147" s="400" t="n">
        <v>61749.149674</v>
      </c>
      <c r="L147" s="402" t="n">
        <v>31.2495696730769</v>
      </c>
      <c r="M147" s="403" t="n">
        <v>62000</v>
      </c>
      <c r="N147" s="404" t="n">
        <v>64405</v>
      </c>
      <c r="O147" s="405" t="n">
        <v>0.0387903225806452</v>
      </c>
      <c r="P147" s="393" t="n">
        <v>2405</v>
      </c>
      <c r="Q147" s="406"/>
      <c r="R147" s="404" t="n">
        <v>64405</v>
      </c>
      <c r="S147" s="407" t="n">
        <v>0.0387903225806452</v>
      </c>
    </row>
    <row r="148" customFormat="false" ht="15" hidden="false" customHeight="false" outlineLevel="0" collapsed="false">
      <c r="A148" s="383" t="s">
        <v>1267</v>
      </c>
      <c r="B148" s="383" t="s">
        <v>1294</v>
      </c>
      <c r="C148" s="398" t="s">
        <v>1295</v>
      </c>
      <c r="D148" s="412" t="n">
        <v>35.39803</v>
      </c>
      <c r="E148" s="413" t="n">
        <v>69946.50728</v>
      </c>
      <c r="F148" s="397"/>
      <c r="G148" s="400" t="n">
        <v>0</v>
      </c>
      <c r="H148" s="401" t="n">
        <v>0.175</v>
      </c>
      <c r="I148" s="400" t="n">
        <v>941.587598</v>
      </c>
      <c r="J148" s="400"/>
      <c r="K148" s="400" t="n">
        <v>70888.094878</v>
      </c>
      <c r="L148" s="402" t="n">
        <v>35.8745419423077</v>
      </c>
      <c r="M148" s="403" t="n">
        <v>71000</v>
      </c>
      <c r="N148" s="404" t="n">
        <v>73761</v>
      </c>
      <c r="O148" s="405" t="n">
        <v>0.038887323943662</v>
      </c>
      <c r="P148" s="393" t="n">
        <v>2761</v>
      </c>
      <c r="Q148" s="406"/>
      <c r="R148" s="404" t="n">
        <v>73761</v>
      </c>
      <c r="S148" s="407" t="n">
        <v>0.038887323943662</v>
      </c>
    </row>
    <row r="149" customFormat="false" ht="15" hidden="false" customHeight="false" outlineLevel="0" collapsed="false">
      <c r="A149" s="383" t="s">
        <v>1272</v>
      </c>
      <c r="B149" s="383" t="s">
        <v>1296</v>
      </c>
      <c r="C149" s="398" t="s">
        <v>1297</v>
      </c>
      <c r="D149" s="412" t="n">
        <v>36.25733</v>
      </c>
      <c r="E149" s="413" t="n">
        <v>71644.48408</v>
      </c>
      <c r="F149" s="397"/>
      <c r="G149" s="400" t="n">
        <v>0</v>
      </c>
      <c r="H149" s="401" t="n">
        <v>0.175</v>
      </c>
      <c r="I149" s="400" t="n">
        <v>964.444978</v>
      </c>
      <c r="J149" s="400"/>
      <c r="K149" s="400" t="n">
        <v>72608.929058</v>
      </c>
      <c r="L149" s="402" t="n">
        <v>36.7454094423077</v>
      </c>
      <c r="M149" s="403" t="n">
        <v>73000</v>
      </c>
      <c r="N149" s="404" t="n">
        <v>75828</v>
      </c>
      <c r="O149" s="405" t="n">
        <v>0.0387397260273972</v>
      </c>
      <c r="P149" s="393" t="n">
        <v>2828</v>
      </c>
      <c r="Q149" s="406"/>
      <c r="R149" s="404" t="n">
        <v>75828</v>
      </c>
      <c r="S149" s="407" t="n">
        <v>0.0387397260273972</v>
      </c>
    </row>
    <row r="150" customFormat="false" ht="15" hidden="false" customHeight="false" outlineLevel="0" collapsed="false">
      <c r="A150" s="383" t="s">
        <v>1277</v>
      </c>
      <c r="B150" s="383" t="s">
        <v>1298</v>
      </c>
      <c r="C150" s="398" t="s">
        <v>1299</v>
      </c>
      <c r="D150" s="412" t="n">
        <v>36.61989</v>
      </c>
      <c r="E150" s="413" t="n">
        <v>72360.90264</v>
      </c>
      <c r="F150" s="397"/>
      <c r="G150" s="400" t="n">
        <v>0</v>
      </c>
      <c r="H150" s="401" t="n">
        <v>0.175</v>
      </c>
      <c r="I150" s="400" t="n">
        <v>974.089074</v>
      </c>
      <c r="J150" s="400"/>
      <c r="K150" s="400" t="n">
        <v>73334.991714</v>
      </c>
      <c r="L150" s="402" t="n">
        <v>37.1128500576923</v>
      </c>
      <c r="M150" s="403" t="n">
        <v>74000</v>
      </c>
      <c r="N150" s="404" t="n">
        <v>76856</v>
      </c>
      <c r="O150" s="405" t="n">
        <v>0.0385945945945947</v>
      </c>
      <c r="P150" s="393" t="n">
        <v>2856</v>
      </c>
      <c r="Q150" s="406"/>
      <c r="R150" s="404" t="n">
        <v>76856</v>
      </c>
      <c r="S150" s="407" t="n">
        <v>0.0385945945945947</v>
      </c>
    </row>
    <row r="151" customFormat="false" ht="15" hidden="false" customHeight="false" outlineLevel="0" collapsed="false">
      <c r="A151" s="383" t="s">
        <v>1300</v>
      </c>
      <c r="B151" s="383" t="s">
        <v>1301</v>
      </c>
      <c r="C151" s="398" t="s">
        <v>1302</v>
      </c>
      <c r="D151" s="412" t="n">
        <v>36.97818</v>
      </c>
      <c r="E151" s="413" t="n">
        <v>73068.88368</v>
      </c>
      <c r="F151" s="397"/>
      <c r="G151" s="400" t="n">
        <v>0</v>
      </c>
      <c r="H151" s="401" t="n">
        <v>0.175</v>
      </c>
      <c r="I151" s="400" t="n">
        <v>983.619588</v>
      </c>
      <c r="J151" s="400"/>
      <c r="K151" s="400" t="n">
        <v>74052.503268</v>
      </c>
      <c r="L151" s="402" t="n">
        <v>37.4759631923077</v>
      </c>
      <c r="M151" s="403" t="n">
        <v>75000</v>
      </c>
      <c r="N151" s="404" t="n">
        <v>77884</v>
      </c>
      <c r="O151" s="405" t="n">
        <v>0.0384533333333332</v>
      </c>
      <c r="P151" s="393" t="n">
        <v>2884</v>
      </c>
      <c r="Q151" s="406"/>
      <c r="R151" s="404" t="n">
        <v>77884</v>
      </c>
      <c r="S151" s="407" t="n">
        <v>0.0384533333333332</v>
      </c>
    </row>
    <row r="152" customFormat="false" ht="15" hidden="false" customHeight="false" outlineLevel="0" collapsed="false">
      <c r="A152" s="383" t="s">
        <v>1303</v>
      </c>
      <c r="B152" s="383" t="s">
        <v>1304</v>
      </c>
      <c r="C152" s="398" t="s">
        <v>1305</v>
      </c>
      <c r="D152" s="412" t="n">
        <v>37.90264</v>
      </c>
      <c r="E152" s="413" t="n">
        <v>74895.61664</v>
      </c>
      <c r="F152" s="397"/>
      <c r="G152" s="400" t="n">
        <v>0</v>
      </c>
      <c r="H152" s="401" t="n">
        <v>0.175</v>
      </c>
      <c r="I152" s="400" t="n">
        <v>1008.210224</v>
      </c>
      <c r="J152" s="400"/>
      <c r="K152" s="400" t="n">
        <v>75903.826864</v>
      </c>
      <c r="L152" s="402" t="n">
        <v>38.4128678461538</v>
      </c>
      <c r="M152" s="403" t="n">
        <v>76000</v>
      </c>
      <c r="N152" s="404" t="n">
        <v>78956</v>
      </c>
      <c r="O152" s="405" t="n">
        <v>0.0388947368421053</v>
      </c>
      <c r="P152" s="393" t="n">
        <v>2956</v>
      </c>
      <c r="Q152" s="406"/>
      <c r="R152" s="404" t="n">
        <v>78956</v>
      </c>
      <c r="S152" s="407" t="n">
        <v>0.0388947368421053</v>
      </c>
    </row>
    <row r="153" customFormat="false" ht="15" hidden="false" customHeight="false" outlineLevel="0" collapsed="false">
      <c r="A153" s="383" t="s">
        <v>1306</v>
      </c>
      <c r="B153" s="383" t="s">
        <v>1307</v>
      </c>
      <c r="C153" s="398" t="s">
        <v>1308</v>
      </c>
      <c r="D153" s="412" t="n">
        <v>38.28174</v>
      </c>
      <c r="E153" s="413" t="n">
        <v>75644.71824</v>
      </c>
      <c r="F153" s="397"/>
      <c r="G153" s="400" t="n">
        <v>0</v>
      </c>
      <c r="H153" s="401" t="n">
        <v>0.175</v>
      </c>
      <c r="I153" s="400" t="n">
        <v>1018.294284</v>
      </c>
      <c r="J153" s="400"/>
      <c r="K153" s="400" t="n">
        <v>76663.012524</v>
      </c>
      <c r="L153" s="402" t="n">
        <v>38.7970711153846</v>
      </c>
      <c r="M153" s="403" t="n">
        <v>77000</v>
      </c>
      <c r="N153" s="404" t="n">
        <v>79986</v>
      </c>
      <c r="O153" s="405" t="n">
        <v>0.0387792207792208</v>
      </c>
      <c r="P153" s="393" t="n">
        <v>2986</v>
      </c>
      <c r="Q153" s="406"/>
      <c r="R153" s="404" t="n">
        <v>79986</v>
      </c>
      <c r="S153" s="407" t="n">
        <v>0.0387792207792208</v>
      </c>
    </row>
    <row r="154" customFormat="false" ht="15" hidden="false" customHeight="false" outlineLevel="0" collapsed="false">
      <c r="A154" s="383" t="s">
        <v>1309</v>
      </c>
      <c r="B154" s="383" t="s">
        <v>1310</v>
      </c>
      <c r="C154" s="398" t="s">
        <v>1311</v>
      </c>
      <c r="D154" s="412" t="n">
        <v>39.50655</v>
      </c>
      <c r="E154" s="413" t="n">
        <v>78064.9428</v>
      </c>
      <c r="F154" s="397"/>
      <c r="G154" s="400" t="n">
        <v>0</v>
      </c>
      <c r="H154" s="401" t="n">
        <v>0.175</v>
      </c>
      <c r="I154" s="400" t="n">
        <v>1050.87423</v>
      </c>
      <c r="J154" s="400"/>
      <c r="K154" s="400" t="n">
        <v>79115.81703</v>
      </c>
      <c r="L154" s="402" t="n">
        <v>40.0383689423077</v>
      </c>
      <c r="M154" s="403" t="n">
        <v>80000</v>
      </c>
      <c r="N154" s="404" t="n">
        <v>83082</v>
      </c>
      <c r="O154" s="405" t="n">
        <v>0.0385249999999999</v>
      </c>
      <c r="P154" s="393" t="n">
        <v>3082</v>
      </c>
      <c r="Q154" s="406"/>
      <c r="R154" s="404" t="n">
        <v>83082</v>
      </c>
      <c r="S154" s="407" t="n">
        <v>0.0385249999999999</v>
      </c>
    </row>
    <row r="155" customFormat="false" ht="15" hidden="false" customHeight="false" outlineLevel="0" collapsed="false">
      <c r="A155" s="383" t="s">
        <v>1312</v>
      </c>
      <c r="B155" s="383" t="s">
        <v>1313</v>
      </c>
      <c r="C155" s="398" t="s">
        <v>1314</v>
      </c>
      <c r="D155" s="412" t="n">
        <v>40.49434</v>
      </c>
      <c r="E155" s="413" t="n">
        <v>80016.81584</v>
      </c>
      <c r="F155" s="397"/>
      <c r="G155" s="400" t="n">
        <v>0</v>
      </c>
      <c r="H155" s="401" t="n">
        <v>0.175</v>
      </c>
      <c r="I155" s="400" t="n">
        <v>1077.149444</v>
      </c>
      <c r="J155" s="400"/>
      <c r="K155" s="400" t="n">
        <v>81093.965284</v>
      </c>
      <c r="L155" s="402" t="n">
        <v>41.0394561153846</v>
      </c>
      <c r="M155" s="403" t="n">
        <v>82000</v>
      </c>
      <c r="N155" s="404" t="n">
        <v>85159</v>
      </c>
      <c r="O155" s="405" t="n">
        <v>0.0385243902439025</v>
      </c>
      <c r="P155" s="393" t="n">
        <v>3159</v>
      </c>
      <c r="Q155" s="406"/>
      <c r="R155" s="404" t="n">
        <v>85159</v>
      </c>
      <c r="S155" s="407" t="n">
        <v>0.0385243902439025</v>
      </c>
    </row>
    <row r="156" customFormat="false" ht="15" hidden="false" customHeight="false" outlineLevel="0" collapsed="false">
      <c r="A156" s="383" t="s">
        <v>1315</v>
      </c>
      <c r="B156" s="383" t="s">
        <v>1316</v>
      </c>
      <c r="C156" s="398" t="s">
        <v>1317</v>
      </c>
      <c r="D156" s="412" t="n">
        <v>40.89923</v>
      </c>
      <c r="E156" s="413" t="n">
        <v>80816.87848</v>
      </c>
      <c r="F156" s="397"/>
      <c r="G156" s="400" t="n">
        <v>0</v>
      </c>
      <c r="H156" s="401" t="n">
        <v>0.175</v>
      </c>
      <c r="I156" s="400" t="n">
        <v>1087.919518</v>
      </c>
      <c r="J156" s="400"/>
      <c r="K156" s="400" t="n">
        <v>81904.797998</v>
      </c>
      <c r="L156" s="402" t="n">
        <v>41.4497965576923</v>
      </c>
      <c r="M156" s="403" t="n">
        <v>82000</v>
      </c>
      <c r="N156" s="404" t="n">
        <v>85190</v>
      </c>
      <c r="O156" s="405" t="n">
        <v>0.0389024390243902</v>
      </c>
      <c r="P156" s="393" t="n">
        <v>3190</v>
      </c>
      <c r="Q156" s="406"/>
      <c r="R156" s="404" t="n">
        <v>85190</v>
      </c>
      <c r="S156" s="407" t="n">
        <v>0.0389024390243902</v>
      </c>
    </row>
    <row r="157" customFormat="false" ht="15" hidden="false" customHeight="false" outlineLevel="0" collapsed="false">
      <c r="A157" s="383" t="s">
        <v>1277</v>
      </c>
      <c r="B157" s="383" t="s">
        <v>1318</v>
      </c>
      <c r="C157" s="398" t="s">
        <v>1319</v>
      </c>
      <c r="D157" s="412" t="n">
        <v>30.28365</v>
      </c>
      <c r="E157" s="413" t="n">
        <v>59840.4924</v>
      </c>
      <c r="F157" s="397"/>
      <c r="G157" s="400" t="n">
        <v>0</v>
      </c>
      <c r="H157" s="401" t="n">
        <v>0.175</v>
      </c>
      <c r="I157" s="400" t="n">
        <v>805.54509</v>
      </c>
      <c r="J157" s="400"/>
      <c r="K157" s="400" t="n">
        <v>60646.03749</v>
      </c>
      <c r="L157" s="402" t="n">
        <v>30.6913145192308</v>
      </c>
      <c r="M157" s="403" t="n">
        <v>61000</v>
      </c>
      <c r="N157" s="404" t="n">
        <v>63362</v>
      </c>
      <c r="O157" s="405" t="n">
        <v>0.0387213114754099</v>
      </c>
      <c r="P157" s="393" t="n">
        <v>2362</v>
      </c>
      <c r="Q157" s="406"/>
      <c r="R157" s="404" t="n">
        <v>63362</v>
      </c>
      <c r="S157" s="407" t="n">
        <v>0.0387213114754099</v>
      </c>
    </row>
    <row r="158" customFormat="false" ht="15" hidden="false" customHeight="false" outlineLevel="0" collapsed="false">
      <c r="B158" s="383"/>
      <c r="C158" s="383"/>
      <c r="D158" s="383"/>
      <c r="I158" s="383"/>
      <c r="J158" s="383"/>
      <c r="K158" s="383"/>
      <c r="L158" s="383"/>
      <c r="M158" s="383"/>
      <c r="O158" s="119"/>
      <c r="P158" s="393"/>
    </row>
    <row r="159" customFormat="false" ht="53.25" hidden="false" customHeight="false" outlineLevel="0" collapsed="false">
      <c r="A159" s="410"/>
      <c r="B159" s="410" t="s">
        <v>1320</v>
      </c>
      <c r="C159" s="410"/>
      <c r="D159" s="410"/>
      <c r="E159" s="410"/>
      <c r="F159" s="120" t="s">
        <v>1321</v>
      </c>
      <c r="G159" s="410"/>
      <c r="H159" s="410"/>
      <c r="I159" s="410"/>
      <c r="J159" s="410"/>
      <c r="K159" s="410"/>
      <c r="L159" s="410"/>
      <c r="M159" s="410"/>
      <c r="N159" s="119" t="n">
        <v>1</v>
      </c>
      <c r="O159" s="119" t="s">
        <v>947</v>
      </c>
      <c r="P159" s="393"/>
      <c r="Q159" s="395" t="s">
        <v>948</v>
      </c>
      <c r="R159" s="396"/>
      <c r="S159" s="397" t="s">
        <v>949</v>
      </c>
    </row>
    <row r="160" customFormat="false" ht="15" hidden="false" customHeight="false" outlineLevel="0" collapsed="false">
      <c r="A160" s="383" t="s">
        <v>1322</v>
      </c>
      <c r="B160" s="383" t="s">
        <v>1323</v>
      </c>
      <c r="C160" s="398" t="s">
        <v>1324</v>
      </c>
      <c r="D160" s="399" t="n">
        <v>38.58</v>
      </c>
      <c r="E160" s="400" t="n">
        <v>76234.08</v>
      </c>
      <c r="F160" s="408"/>
      <c r="G160" s="400" t="n">
        <v>0</v>
      </c>
      <c r="H160" s="401" t="n">
        <v>0.175</v>
      </c>
      <c r="I160" s="400" t="n">
        <v>1026.228</v>
      </c>
      <c r="J160" s="400"/>
      <c r="K160" s="400" t="n">
        <v>77260.308</v>
      </c>
      <c r="L160" s="400" t="n">
        <v>39.0993461538462</v>
      </c>
      <c r="M160" s="403" t="n">
        <v>78000</v>
      </c>
      <c r="N160" s="404" t="n">
        <v>81009</v>
      </c>
      <c r="O160" s="405" t="n">
        <v>0.0385769230769231</v>
      </c>
      <c r="P160" s="393" t="n">
        <v>3009</v>
      </c>
      <c r="Q160" s="406"/>
      <c r="R160" s="404" t="n">
        <v>81009</v>
      </c>
      <c r="S160" s="407" t="n">
        <v>0.0385769230769231</v>
      </c>
    </row>
    <row r="161" customFormat="false" ht="15" hidden="false" customHeight="false" outlineLevel="0" collapsed="false">
      <c r="A161" s="383" t="s">
        <v>1325</v>
      </c>
      <c r="B161" s="383" t="s">
        <v>1326</v>
      </c>
      <c r="C161" s="398" t="s">
        <v>1327</v>
      </c>
      <c r="D161" s="399" t="n">
        <v>39.66</v>
      </c>
      <c r="E161" s="400" t="n">
        <v>78368.16</v>
      </c>
      <c r="F161" s="408"/>
      <c r="G161" s="400" t="n">
        <v>0</v>
      </c>
      <c r="H161" s="401" t="n">
        <v>0.175</v>
      </c>
      <c r="I161" s="400" t="n">
        <v>1054.956</v>
      </c>
      <c r="J161" s="400"/>
      <c r="K161" s="400" t="n">
        <v>79423.116</v>
      </c>
      <c r="L161" s="400" t="n">
        <v>40.1938846153846</v>
      </c>
      <c r="M161" s="403" t="n">
        <v>80000</v>
      </c>
      <c r="N161" s="404" t="n">
        <v>83093</v>
      </c>
      <c r="O161" s="405" t="n">
        <v>0.0386625</v>
      </c>
      <c r="P161" s="393" t="n">
        <v>3093</v>
      </c>
      <c r="Q161" s="406"/>
      <c r="R161" s="404" t="n">
        <v>83093</v>
      </c>
      <c r="S161" s="407" t="n">
        <v>0.0386625</v>
      </c>
    </row>
    <row r="162" customFormat="false" ht="15" hidden="false" customHeight="false" outlineLevel="0" collapsed="false">
      <c r="A162" s="383" t="s">
        <v>1328</v>
      </c>
      <c r="B162" s="383" t="s">
        <v>1329</v>
      </c>
      <c r="C162" s="398" t="s">
        <v>1330</v>
      </c>
      <c r="D162" s="399" t="n">
        <v>40.52</v>
      </c>
      <c r="E162" s="400" t="n">
        <v>80067.52</v>
      </c>
      <c r="F162" s="408"/>
      <c r="G162" s="400" t="n">
        <v>0</v>
      </c>
      <c r="H162" s="401" t="n">
        <v>0.175</v>
      </c>
      <c r="I162" s="400" t="n">
        <v>1077.832</v>
      </c>
      <c r="J162" s="400"/>
      <c r="K162" s="400" t="n">
        <v>81145.352</v>
      </c>
      <c r="L162" s="400" t="n">
        <v>41.0654615384615</v>
      </c>
      <c r="M162" s="403" t="n">
        <v>82000</v>
      </c>
      <c r="N162" s="404" t="n">
        <v>85161</v>
      </c>
      <c r="O162" s="405" t="n">
        <v>0.0385487804878049</v>
      </c>
      <c r="P162" s="393" t="n">
        <v>3161</v>
      </c>
      <c r="Q162" s="406"/>
      <c r="R162" s="404" t="n">
        <v>85161</v>
      </c>
      <c r="S162" s="407" t="n">
        <v>0.0385487804878049</v>
      </c>
    </row>
    <row r="163" customFormat="false" ht="15" hidden="false" customHeight="false" outlineLevel="0" collapsed="false">
      <c r="A163" s="383" t="s">
        <v>1331</v>
      </c>
      <c r="B163" s="383" t="s">
        <v>1332</v>
      </c>
      <c r="C163" s="398" t="s">
        <v>1333</v>
      </c>
      <c r="D163" s="399" t="n">
        <v>42.31</v>
      </c>
      <c r="E163" s="400" t="n">
        <v>83604.56</v>
      </c>
      <c r="F163" s="408"/>
      <c r="G163" s="400" t="n">
        <v>0</v>
      </c>
      <c r="H163" s="401" t="n">
        <v>0.175</v>
      </c>
      <c r="I163" s="400" t="n">
        <v>1125.446</v>
      </c>
      <c r="J163" s="400"/>
      <c r="K163" s="400" t="n">
        <v>84730.006</v>
      </c>
      <c r="L163" s="400" t="n">
        <v>42.8795576923077</v>
      </c>
      <c r="M163" s="403" t="n">
        <v>85000</v>
      </c>
      <c r="N163" s="404" t="n">
        <v>88300</v>
      </c>
      <c r="O163" s="405" t="n">
        <v>0.0388235294117647</v>
      </c>
      <c r="P163" s="393" t="n">
        <v>3300</v>
      </c>
      <c r="Q163" s="406"/>
      <c r="R163" s="404" t="n">
        <v>88300</v>
      </c>
      <c r="S163" s="407" t="n">
        <v>0.0388235294117647</v>
      </c>
    </row>
    <row r="164" customFormat="false" ht="15" hidden="false" customHeight="false" outlineLevel="0" collapsed="false">
      <c r="A164" s="383" t="s">
        <v>1334</v>
      </c>
      <c r="B164" s="383" t="s">
        <v>1335</v>
      </c>
      <c r="C164" s="398" t="s">
        <v>1336</v>
      </c>
      <c r="D164" s="399" t="n">
        <v>43.88</v>
      </c>
      <c r="E164" s="400" t="n">
        <v>86706.88</v>
      </c>
      <c r="F164" s="408"/>
      <c r="G164" s="400" t="n">
        <v>0</v>
      </c>
      <c r="H164" s="401" t="n">
        <v>0.175</v>
      </c>
      <c r="I164" s="400" t="n">
        <v>1167.208</v>
      </c>
      <c r="J164" s="400"/>
      <c r="K164" s="400" t="n">
        <v>87874.088</v>
      </c>
      <c r="L164" s="400" t="n">
        <v>44.4706923076923</v>
      </c>
      <c r="M164" s="403" t="n">
        <v>88000</v>
      </c>
      <c r="N164" s="404" t="n">
        <v>91423</v>
      </c>
      <c r="O164" s="405" t="n">
        <v>0.0388977272727273</v>
      </c>
      <c r="P164" s="393" t="n">
        <v>3423</v>
      </c>
      <c r="Q164" s="406"/>
      <c r="R164" s="404" t="n">
        <v>91423</v>
      </c>
      <c r="S164" s="407" t="n">
        <v>0.0388977272727273</v>
      </c>
    </row>
    <row r="165" customFormat="false" ht="15" hidden="false" customHeight="false" outlineLevel="0" collapsed="false">
      <c r="A165" s="383" t="s">
        <v>1337</v>
      </c>
      <c r="B165" s="383" t="s">
        <v>1338</v>
      </c>
      <c r="C165" s="398" t="s">
        <v>1339</v>
      </c>
      <c r="D165" s="399" t="n">
        <v>46.71</v>
      </c>
      <c r="E165" s="400" t="n">
        <v>92298.96</v>
      </c>
      <c r="F165" s="408"/>
      <c r="G165" s="400" t="n">
        <v>0</v>
      </c>
      <c r="H165" s="401" t="n">
        <v>0.175</v>
      </c>
      <c r="I165" s="400" t="n">
        <v>1242.486</v>
      </c>
      <c r="J165" s="400"/>
      <c r="K165" s="400" t="n">
        <v>93541.446</v>
      </c>
      <c r="L165" s="400" t="n">
        <v>47.3387884615385</v>
      </c>
      <c r="M165" s="403" t="n">
        <v>94000</v>
      </c>
      <c r="N165" s="404" t="n">
        <v>97643</v>
      </c>
      <c r="O165" s="405" t="n">
        <v>0.0387553191489363</v>
      </c>
      <c r="P165" s="393" t="n">
        <v>3643</v>
      </c>
      <c r="Q165" s="406"/>
      <c r="R165" s="404" t="n">
        <v>97643</v>
      </c>
      <c r="S165" s="407" t="n">
        <v>0.0387553191489363</v>
      </c>
    </row>
    <row r="166" customFormat="false" ht="15" hidden="false" customHeight="false" outlineLevel="0" collapsed="false">
      <c r="A166" s="383" t="s">
        <v>1340</v>
      </c>
      <c r="B166" s="383" t="s">
        <v>1341</v>
      </c>
      <c r="C166" s="398" t="s">
        <v>1342</v>
      </c>
      <c r="D166" s="399" t="n">
        <v>49.85</v>
      </c>
      <c r="E166" s="400" t="n">
        <v>98503.6</v>
      </c>
      <c r="F166" s="408"/>
      <c r="G166" s="400" t="n">
        <v>0</v>
      </c>
      <c r="H166" s="401" t="n">
        <v>0.175</v>
      </c>
      <c r="I166" s="400" t="n">
        <v>1326.01</v>
      </c>
      <c r="J166" s="400"/>
      <c r="K166" s="400" t="n">
        <v>99829.61</v>
      </c>
      <c r="L166" s="400" t="n">
        <v>50.5210576923077</v>
      </c>
      <c r="M166" s="403" t="n">
        <v>100000</v>
      </c>
      <c r="N166" s="404" t="n">
        <v>103888</v>
      </c>
      <c r="O166" s="405" t="n">
        <v>0.03888</v>
      </c>
      <c r="P166" s="393" t="n">
        <v>3888</v>
      </c>
      <c r="Q166" s="406"/>
      <c r="R166" s="404" t="n">
        <v>103888</v>
      </c>
      <c r="S166" s="407" t="n">
        <v>0.03888</v>
      </c>
    </row>
    <row r="167" customFormat="false" ht="15" hidden="false" customHeight="false" outlineLevel="0" collapsed="false">
      <c r="A167" s="383" t="s">
        <v>1343</v>
      </c>
      <c r="B167" s="383" t="s">
        <v>1344</v>
      </c>
      <c r="C167" s="398" t="s">
        <v>1345</v>
      </c>
      <c r="D167" s="399" t="n">
        <v>54.21</v>
      </c>
      <c r="E167" s="400" t="n">
        <v>107118.96</v>
      </c>
      <c r="F167" s="408"/>
      <c r="G167" s="400" t="n">
        <v>0</v>
      </c>
      <c r="H167" s="401" t="n">
        <v>0.175</v>
      </c>
      <c r="I167" s="400" t="n">
        <v>1441.986</v>
      </c>
      <c r="J167" s="400"/>
      <c r="K167" s="400" t="n">
        <v>108560.946</v>
      </c>
      <c r="L167" s="400" t="n">
        <v>54.93975</v>
      </c>
      <c r="M167" s="403" t="n">
        <v>109000</v>
      </c>
      <c r="N167" s="404" t="n">
        <v>113228</v>
      </c>
      <c r="O167" s="405" t="n">
        <v>0.038788990825688</v>
      </c>
      <c r="P167" s="393" t="n">
        <v>4228</v>
      </c>
      <c r="Q167" s="406"/>
      <c r="R167" s="404" t="n">
        <v>113228</v>
      </c>
      <c r="S167" s="407" t="n">
        <v>0.038788990825688</v>
      </c>
    </row>
    <row r="168" customFormat="false" ht="15" hidden="false" customHeight="false" outlineLevel="0" collapsed="false">
      <c r="A168" s="383" t="s">
        <v>1346</v>
      </c>
      <c r="B168" s="383" t="s">
        <v>1347</v>
      </c>
      <c r="C168" s="398" t="s">
        <v>1348</v>
      </c>
      <c r="D168" s="399" t="n">
        <v>59.84</v>
      </c>
      <c r="E168" s="400" t="n">
        <v>118243.84</v>
      </c>
      <c r="F168" s="408"/>
      <c r="G168" s="400" t="n">
        <v>0</v>
      </c>
      <c r="H168" s="401" t="n">
        <v>0.175</v>
      </c>
      <c r="I168" s="400" t="n">
        <v>1591.744</v>
      </c>
      <c r="J168" s="400"/>
      <c r="K168" s="400" t="n">
        <v>119835.584</v>
      </c>
      <c r="L168" s="400" t="n">
        <v>60.6455384615385</v>
      </c>
      <c r="M168" s="403" t="n">
        <v>120000</v>
      </c>
      <c r="N168" s="404" t="n">
        <v>124668</v>
      </c>
      <c r="O168" s="405" t="n">
        <v>0.0388999999999999</v>
      </c>
      <c r="P168" s="393" t="n">
        <v>4668</v>
      </c>
      <c r="Q168" s="406"/>
      <c r="R168" s="404" t="n">
        <v>124668</v>
      </c>
      <c r="S168" s="407" t="n">
        <v>0.0388999999999999</v>
      </c>
    </row>
    <row r="169" customFormat="false" ht="15" hidden="false" customHeight="false" outlineLevel="0" collapsed="false">
      <c r="B169" s="383"/>
      <c r="C169" s="383"/>
      <c r="D169" s="383"/>
      <c r="I169" s="383"/>
      <c r="J169" s="383"/>
      <c r="K169" s="383"/>
      <c r="L169" s="383"/>
      <c r="M169" s="383"/>
      <c r="O169" s="119"/>
      <c r="P169" s="393"/>
    </row>
    <row r="170" customFormat="false" ht="53.25" hidden="false" customHeight="false" outlineLevel="0" collapsed="false">
      <c r="A170" s="410"/>
      <c r="B170" s="410" t="s">
        <v>1349</v>
      </c>
      <c r="C170" s="410"/>
      <c r="D170" s="410"/>
      <c r="E170" s="410"/>
      <c r="F170" s="120" t="s">
        <v>1321</v>
      </c>
      <c r="G170" s="410"/>
      <c r="H170" s="410"/>
      <c r="I170" s="410"/>
      <c r="J170" s="410"/>
      <c r="K170" s="410"/>
      <c r="L170" s="410"/>
      <c r="M170" s="410"/>
      <c r="N170" s="119" t="n">
        <v>1</v>
      </c>
      <c r="O170" s="119" t="s">
        <v>947</v>
      </c>
      <c r="P170" s="393"/>
      <c r="Q170" s="395" t="s">
        <v>948</v>
      </c>
      <c r="R170" s="396"/>
      <c r="S170" s="397" t="s">
        <v>949</v>
      </c>
    </row>
    <row r="171" customFormat="false" ht="15" hidden="false" customHeight="false" outlineLevel="0" collapsed="false">
      <c r="A171" s="383" t="s">
        <v>1350</v>
      </c>
      <c r="B171" s="383" t="s">
        <v>1351</v>
      </c>
      <c r="C171" s="398" t="s">
        <v>1350</v>
      </c>
      <c r="D171" s="399" t="n">
        <v>22.67</v>
      </c>
      <c r="E171" s="400" t="n">
        <v>44795.92</v>
      </c>
      <c r="F171" s="408"/>
      <c r="G171" s="400" t="n">
        <v>0</v>
      </c>
      <c r="H171" s="401" t="n">
        <v>0.175</v>
      </c>
      <c r="I171" s="400" t="n">
        <v>603.022</v>
      </c>
      <c r="J171" s="400"/>
      <c r="K171" s="400" t="n">
        <v>45398.942</v>
      </c>
      <c r="L171" s="402" t="n">
        <v>22.9751730769231</v>
      </c>
      <c r="M171" s="403" t="n">
        <v>46000</v>
      </c>
      <c r="N171" s="404" t="n">
        <v>47768</v>
      </c>
      <c r="O171" s="405" t="n">
        <v>0.0384347826086957</v>
      </c>
      <c r="P171" s="393" t="n">
        <v>1768</v>
      </c>
      <c r="Q171" s="406"/>
      <c r="R171" s="404" t="n">
        <v>47768</v>
      </c>
      <c r="S171" s="407" t="n">
        <v>0.0384347826086957</v>
      </c>
    </row>
    <row r="172" customFormat="false" ht="15" hidden="false" customHeight="false" outlineLevel="0" collapsed="false">
      <c r="A172" s="383" t="s">
        <v>1352</v>
      </c>
      <c r="B172" s="383" t="s">
        <v>1353</v>
      </c>
      <c r="C172" s="398" t="s">
        <v>1352</v>
      </c>
      <c r="D172" s="399" t="n">
        <v>23.74</v>
      </c>
      <c r="E172" s="400" t="n">
        <v>46910.24</v>
      </c>
      <c r="F172" s="408"/>
      <c r="G172" s="400" t="n">
        <v>0</v>
      </c>
      <c r="H172" s="401" t="n">
        <v>0.175</v>
      </c>
      <c r="I172" s="400" t="n">
        <v>631.484</v>
      </c>
      <c r="J172" s="400"/>
      <c r="K172" s="400" t="n">
        <v>47541.724</v>
      </c>
      <c r="L172" s="402" t="n">
        <v>24.0595769230769</v>
      </c>
      <c r="M172" s="403" t="n">
        <v>48000</v>
      </c>
      <c r="N172" s="404" t="n">
        <v>49852</v>
      </c>
      <c r="O172" s="405" t="n">
        <v>0.0385833333333334</v>
      </c>
      <c r="P172" s="393" t="n">
        <v>1852</v>
      </c>
      <c r="Q172" s="406"/>
      <c r="R172" s="404" t="n">
        <v>49852</v>
      </c>
      <c r="S172" s="407" t="n">
        <v>0.0385833333333334</v>
      </c>
    </row>
    <row r="173" customFormat="false" ht="15" hidden="false" customHeight="false" outlineLevel="0" collapsed="false">
      <c r="A173" s="383" t="s">
        <v>1354</v>
      </c>
      <c r="B173" s="383" t="s">
        <v>1355</v>
      </c>
      <c r="C173" s="398" t="s">
        <v>1354</v>
      </c>
      <c r="D173" s="399" t="n">
        <v>24.47</v>
      </c>
      <c r="E173" s="400" t="n">
        <v>48352.72</v>
      </c>
      <c r="F173" s="408"/>
      <c r="G173" s="400" t="n">
        <v>0</v>
      </c>
      <c r="H173" s="401" t="n">
        <v>0.175</v>
      </c>
      <c r="I173" s="400" t="n">
        <v>650.902</v>
      </c>
      <c r="J173" s="400"/>
      <c r="K173" s="400" t="n">
        <v>49003.622</v>
      </c>
      <c r="L173" s="402" t="n">
        <v>24.7994038461538</v>
      </c>
      <c r="M173" s="403" t="n">
        <v>50000</v>
      </c>
      <c r="N173" s="404" t="n">
        <v>51909</v>
      </c>
      <c r="O173" s="405" t="n">
        <v>0.0381800000000001</v>
      </c>
      <c r="P173" s="393" t="n">
        <v>1909</v>
      </c>
      <c r="Q173" s="406"/>
      <c r="R173" s="404" t="n">
        <v>51909</v>
      </c>
      <c r="S173" s="407" t="n">
        <v>0.0381800000000001</v>
      </c>
    </row>
    <row r="174" customFormat="false" ht="15" hidden="false" customHeight="false" outlineLevel="0" collapsed="false">
      <c r="A174" s="383" t="s">
        <v>1356</v>
      </c>
      <c r="B174" s="383" t="s">
        <v>1357</v>
      </c>
      <c r="C174" s="398" t="s">
        <v>1356</v>
      </c>
      <c r="D174" s="399" t="n">
        <v>24.76</v>
      </c>
      <c r="E174" s="400" t="n">
        <v>48925.76</v>
      </c>
      <c r="F174" s="408"/>
      <c r="G174" s="400" t="n">
        <v>0</v>
      </c>
      <c r="H174" s="401" t="n">
        <v>0.175</v>
      </c>
      <c r="I174" s="400" t="n">
        <v>658.616</v>
      </c>
      <c r="J174" s="400"/>
      <c r="K174" s="400" t="n">
        <v>49584.376</v>
      </c>
      <c r="L174" s="402" t="n">
        <v>25.0933076923077</v>
      </c>
      <c r="M174" s="403" t="n">
        <v>50000</v>
      </c>
      <c r="N174" s="404" t="n">
        <v>51931</v>
      </c>
      <c r="O174" s="405" t="n">
        <v>0.0386200000000001</v>
      </c>
      <c r="P174" s="393" t="n">
        <v>1931</v>
      </c>
      <c r="Q174" s="406"/>
      <c r="R174" s="404" t="n">
        <v>51931</v>
      </c>
      <c r="S174" s="407" t="n">
        <v>0.0386200000000001</v>
      </c>
    </row>
    <row r="175" customFormat="false" ht="15" hidden="false" customHeight="false" outlineLevel="0" collapsed="false">
      <c r="A175" s="383" t="s">
        <v>1358</v>
      </c>
      <c r="B175" s="383" t="s">
        <v>1359</v>
      </c>
      <c r="C175" s="398" t="s">
        <v>1358</v>
      </c>
      <c r="D175" s="399" t="n">
        <v>25.22</v>
      </c>
      <c r="E175" s="400" t="n">
        <v>49834.72</v>
      </c>
      <c r="F175" s="408"/>
      <c r="G175" s="400" t="n">
        <v>0</v>
      </c>
      <c r="H175" s="401" t="n">
        <v>0.175</v>
      </c>
      <c r="I175" s="400" t="n">
        <v>670.852</v>
      </c>
      <c r="J175" s="400"/>
      <c r="K175" s="400" t="n">
        <v>50505.572</v>
      </c>
      <c r="L175" s="402" t="n">
        <v>25.5595</v>
      </c>
      <c r="M175" s="403" t="n">
        <v>51000</v>
      </c>
      <c r="N175" s="404" t="n">
        <v>52967</v>
      </c>
      <c r="O175" s="405" t="n">
        <v>0.0385686274509804</v>
      </c>
      <c r="P175" s="393" t="n">
        <v>1967</v>
      </c>
      <c r="Q175" s="406"/>
      <c r="R175" s="404" t="n">
        <v>52967</v>
      </c>
      <c r="S175" s="407" t="n">
        <v>0.0385686274509804</v>
      </c>
    </row>
    <row r="176" customFormat="false" ht="15" hidden="false" customHeight="false" outlineLevel="0" collapsed="false">
      <c r="A176" s="383" t="s">
        <v>1095</v>
      </c>
      <c r="B176" s="383" t="s">
        <v>1360</v>
      </c>
      <c r="C176" s="398" t="s">
        <v>1095</v>
      </c>
      <c r="D176" s="399" t="n">
        <v>26.15</v>
      </c>
      <c r="E176" s="400" t="n">
        <v>51672.4</v>
      </c>
      <c r="F176" s="408"/>
      <c r="G176" s="400" t="n">
        <v>0</v>
      </c>
      <c r="H176" s="401" t="n">
        <v>0.175</v>
      </c>
      <c r="I176" s="400" t="n">
        <v>695.59</v>
      </c>
      <c r="J176" s="400"/>
      <c r="K176" s="400" t="n">
        <v>52367.99</v>
      </c>
      <c r="L176" s="402" t="n">
        <v>26.5020192307692</v>
      </c>
      <c r="M176" s="403" t="n">
        <v>53000</v>
      </c>
      <c r="N176" s="404" t="n">
        <v>55040</v>
      </c>
      <c r="O176" s="405" t="n">
        <v>0.0384905660377359</v>
      </c>
      <c r="P176" s="393" t="n">
        <v>2040</v>
      </c>
      <c r="Q176" s="406"/>
      <c r="R176" s="404" t="n">
        <v>55040</v>
      </c>
      <c r="S176" s="407" t="n">
        <v>0.0384905660377359</v>
      </c>
    </row>
    <row r="177" customFormat="false" ht="15" hidden="false" customHeight="false" outlineLevel="0" collapsed="false">
      <c r="A177" s="383" t="s">
        <v>1106</v>
      </c>
      <c r="B177" s="383" t="s">
        <v>1361</v>
      </c>
      <c r="C177" s="398" t="s">
        <v>1106</v>
      </c>
      <c r="D177" s="399" t="n">
        <v>27.46</v>
      </c>
      <c r="E177" s="400" t="n">
        <v>54260.96</v>
      </c>
      <c r="F177" s="408"/>
      <c r="G177" s="400" t="n">
        <v>0</v>
      </c>
      <c r="H177" s="401" t="n">
        <v>0.175</v>
      </c>
      <c r="I177" s="400" t="n">
        <v>730.436</v>
      </c>
      <c r="J177" s="400"/>
      <c r="K177" s="400" t="n">
        <v>54991.396</v>
      </c>
      <c r="L177" s="402" t="n">
        <v>27.8296538461538</v>
      </c>
      <c r="M177" s="403" t="n">
        <v>55000</v>
      </c>
      <c r="N177" s="404" t="n">
        <v>57142</v>
      </c>
      <c r="O177" s="405" t="n">
        <v>0.0389454545454546</v>
      </c>
      <c r="P177" s="393" t="n">
        <v>2142</v>
      </c>
      <c r="Q177" s="406"/>
      <c r="R177" s="404" t="n">
        <v>57142</v>
      </c>
      <c r="S177" s="407" t="n">
        <v>0.0389454545454546</v>
      </c>
    </row>
    <row r="178" customFormat="false" ht="15" hidden="false" customHeight="false" outlineLevel="0" collapsed="false">
      <c r="A178" s="383" t="s">
        <v>1113</v>
      </c>
      <c r="B178" s="383" t="s">
        <v>1362</v>
      </c>
      <c r="C178" s="398" t="s">
        <v>1113</v>
      </c>
      <c r="D178" s="399" t="n">
        <v>28.58</v>
      </c>
      <c r="E178" s="400" t="n">
        <v>56474.08</v>
      </c>
      <c r="F178" s="408"/>
      <c r="G178" s="400" t="n">
        <v>0</v>
      </c>
      <c r="H178" s="401" t="n">
        <v>0.175</v>
      </c>
      <c r="I178" s="400" t="n">
        <v>760.228</v>
      </c>
      <c r="J178" s="400"/>
      <c r="K178" s="400" t="n">
        <v>57234.308</v>
      </c>
      <c r="L178" s="402" t="n">
        <v>28.9647307692308</v>
      </c>
      <c r="M178" s="403" t="n">
        <v>58000</v>
      </c>
      <c r="N178" s="404" t="n">
        <v>60229</v>
      </c>
      <c r="O178" s="405" t="n">
        <v>0.0384310344827585</v>
      </c>
      <c r="P178" s="393" t="n">
        <v>2229</v>
      </c>
      <c r="Q178" s="406"/>
      <c r="R178" s="404" t="n">
        <v>60229</v>
      </c>
      <c r="S178" s="407" t="n">
        <v>0.0384310344827585</v>
      </c>
    </row>
    <row r="179" customFormat="false" ht="15" hidden="false" customHeight="false" outlineLevel="0" collapsed="false">
      <c r="B179" s="383"/>
      <c r="C179" s="383"/>
      <c r="D179" s="383"/>
      <c r="I179" s="383"/>
      <c r="J179" s="383"/>
      <c r="K179" s="383"/>
      <c r="L179" s="383"/>
      <c r="M179" s="383"/>
      <c r="O179" s="119"/>
      <c r="P179" s="393"/>
    </row>
    <row r="180" customFormat="false" ht="53.25" hidden="false" customHeight="false" outlineLevel="0" collapsed="false">
      <c r="A180" s="410"/>
      <c r="B180" s="410" t="s">
        <v>1363</v>
      </c>
      <c r="C180" s="410"/>
      <c r="D180" s="410"/>
      <c r="E180" s="410"/>
      <c r="F180" s="120" t="s">
        <v>1321</v>
      </c>
      <c r="G180" s="410"/>
      <c r="H180" s="410"/>
      <c r="I180" s="410"/>
      <c r="J180" s="410"/>
      <c r="K180" s="410"/>
      <c r="L180" s="410"/>
      <c r="M180" s="410"/>
      <c r="N180" s="119" t="n">
        <v>1</v>
      </c>
      <c r="O180" s="119" t="s">
        <v>947</v>
      </c>
      <c r="P180" s="393"/>
      <c r="Q180" s="395" t="s">
        <v>948</v>
      </c>
      <c r="R180" s="396"/>
      <c r="S180" s="397" t="s">
        <v>949</v>
      </c>
    </row>
    <row r="181" customFormat="false" ht="15" hidden="false" customHeight="false" outlineLevel="0" collapsed="false">
      <c r="A181" s="383" t="s">
        <v>1029</v>
      </c>
      <c r="B181" s="383" t="s">
        <v>1364</v>
      </c>
      <c r="C181" s="398" t="s">
        <v>1365</v>
      </c>
      <c r="D181" s="399" t="n">
        <v>23.38</v>
      </c>
      <c r="E181" s="400" t="n">
        <v>46198.88</v>
      </c>
      <c r="F181" s="408"/>
      <c r="G181" s="400" t="n">
        <v>0</v>
      </c>
      <c r="H181" s="401" t="n">
        <v>0.175</v>
      </c>
      <c r="I181" s="400" t="n">
        <v>621.908</v>
      </c>
      <c r="J181" s="400"/>
      <c r="K181" s="400" t="n">
        <v>46820.788</v>
      </c>
      <c r="L181" s="402" t="n">
        <v>23.6947307692308</v>
      </c>
      <c r="M181" s="403" t="n">
        <v>47000</v>
      </c>
      <c r="N181" s="404" t="n">
        <v>48824</v>
      </c>
      <c r="O181" s="405" t="n">
        <v>0.0388085106382978</v>
      </c>
      <c r="P181" s="393" t="n">
        <v>1824</v>
      </c>
      <c r="Q181" s="406"/>
      <c r="R181" s="404" t="n">
        <v>48824</v>
      </c>
      <c r="S181" s="407" t="n">
        <v>0.0388085106382978</v>
      </c>
    </row>
    <row r="182" customFormat="false" ht="15" hidden="false" customHeight="false" outlineLevel="0" collapsed="false">
      <c r="A182" s="383" t="s">
        <v>1032</v>
      </c>
      <c r="B182" s="383" t="s">
        <v>1366</v>
      </c>
      <c r="C182" s="398" t="s">
        <v>1087</v>
      </c>
      <c r="D182" s="399" t="n">
        <v>23.92</v>
      </c>
      <c r="E182" s="400" t="n">
        <v>47265.92</v>
      </c>
      <c r="F182" s="408"/>
      <c r="G182" s="400" t="n">
        <v>0</v>
      </c>
      <c r="H182" s="401" t="n">
        <v>0.175</v>
      </c>
      <c r="I182" s="400" t="n">
        <v>636.272</v>
      </c>
      <c r="J182" s="400"/>
      <c r="K182" s="400" t="n">
        <v>47902.192</v>
      </c>
      <c r="L182" s="402" t="n">
        <v>24.242</v>
      </c>
      <c r="M182" s="403" t="n">
        <v>48000</v>
      </c>
      <c r="N182" s="404" t="n">
        <v>49866</v>
      </c>
      <c r="O182" s="405" t="n">
        <v>0.038875</v>
      </c>
      <c r="P182" s="393" t="n">
        <v>1866</v>
      </c>
      <c r="Q182" s="406"/>
      <c r="R182" s="404" t="n">
        <v>49866</v>
      </c>
      <c r="S182" s="407" t="n">
        <v>0.038875</v>
      </c>
    </row>
    <row r="183" customFormat="false" ht="15" hidden="false" customHeight="false" outlineLevel="0" collapsed="false">
      <c r="A183" s="383" t="s">
        <v>1035</v>
      </c>
      <c r="B183" s="383" t="s">
        <v>1367</v>
      </c>
      <c r="C183" s="398" t="s">
        <v>1095</v>
      </c>
      <c r="D183" s="399" t="n">
        <v>24.29</v>
      </c>
      <c r="E183" s="400" t="n">
        <v>47997.04</v>
      </c>
      <c r="F183" s="408"/>
      <c r="G183" s="400" t="n">
        <v>0</v>
      </c>
      <c r="H183" s="401" t="n">
        <v>0.175</v>
      </c>
      <c r="I183" s="400" t="n">
        <v>646.114</v>
      </c>
      <c r="J183" s="400"/>
      <c r="K183" s="400" t="n">
        <v>48643.154</v>
      </c>
      <c r="L183" s="402" t="n">
        <v>24.6169807692308</v>
      </c>
      <c r="M183" s="403" t="n">
        <v>49000</v>
      </c>
      <c r="N183" s="404" t="n">
        <v>50895</v>
      </c>
      <c r="O183" s="405" t="n">
        <v>0.0386734693877551</v>
      </c>
      <c r="P183" s="393" t="n">
        <v>1895</v>
      </c>
      <c r="Q183" s="406"/>
      <c r="R183" s="404" t="n">
        <v>50895</v>
      </c>
      <c r="S183" s="407" t="n">
        <v>0.0386734693877551</v>
      </c>
    </row>
    <row r="184" customFormat="false" ht="15" hidden="false" customHeight="false" outlineLevel="0" collapsed="false">
      <c r="A184" s="383" t="s">
        <v>1038</v>
      </c>
      <c r="B184" s="383" t="s">
        <v>1368</v>
      </c>
      <c r="C184" s="398" t="s">
        <v>1106</v>
      </c>
      <c r="D184" s="399" t="n">
        <v>24.76</v>
      </c>
      <c r="E184" s="400" t="n">
        <v>48925.76</v>
      </c>
      <c r="F184" s="408"/>
      <c r="G184" s="400" t="n">
        <v>0</v>
      </c>
      <c r="H184" s="401" t="n">
        <v>0.175</v>
      </c>
      <c r="I184" s="400" t="n">
        <v>658.616</v>
      </c>
      <c r="J184" s="400"/>
      <c r="K184" s="400" t="n">
        <v>49584.376</v>
      </c>
      <c r="L184" s="402" t="n">
        <v>25.0933076923077</v>
      </c>
      <c r="M184" s="403" t="n">
        <v>50000</v>
      </c>
      <c r="N184" s="404" t="n">
        <v>51931</v>
      </c>
      <c r="O184" s="405" t="n">
        <v>0.0386200000000001</v>
      </c>
      <c r="P184" s="393" t="n">
        <v>1931</v>
      </c>
      <c r="Q184" s="406"/>
      <c r="R184" s="404" t="n">
        <v>51931</v>
      </c>
      <c r="S184" s="407" t="n">
        <v>0.0386200000000001</v>
      </c>
    </row>
    <row r="185" customFormat="false" ht="15" hidden="false" customHeight="false" outlineLevel="0" collapsed="false">
      <c r="A185" s="383" t="s">
        <v>1369</v>
      </c>
      <c r="B185" s="383" t="s">
        <v>1370</v>
      </c>
      <c r="C185" s="398" t="s">
        <v>1113</v>
      </c>
      <c r="D185" s="399" t="n">
        <v>25.78</v>
      </c>
      <c r="E185" s="400" t="n">
        <v>50941.28</v>
      </c>
      <c r="F185" s="408"/>
      <c r="G185" s="400" t="n">
        <v>0</v>
      </c>
      <c r="H185" s="401" t="n">
        <v>0.175</v>
      </c>
      <c r="I185" s="400" t="n">
        <v>685.748</v>
      </c>
      <c r="J185" s="400"/>
      <c r="K185" s="400" t="n">
        <v>51627.028</v>
      </c>
      <c r="L185" s="402" t="n">
        <v>26.1270384615385</v>
      </c>
      <c r="M185" s="403" t="n">
        <v>52000</v>
      </c>
      <c r="N185" s="404" t="n">
        <v>54011</v>
      </c>
      <c r="O185" s="405" t="n">
        <v>0.038673076923077</v>
      </c>
      <c r="P185" s="393" t="n">
        <v>2011</v>
      </c>
      <c r="Q185" s="406"/>
      <c r="R185" s="404" t="n">
        <v>54011</v>
      </c>
      <c r="S185" s="407" t="n">
        <v>0.038673076923077</v>
      </c>
    </row>
    <row r="186" customFormat="false" ht="15" hidden="false" customHeight="false" outlineLevel="0" collapsed="false">
      <c r="A186" s="383" t="s">
        <v>1371</v>
      </c>
      <c r="B186" s="383" t="s">
        <v>1372</v>
      </c>
      <c r="C186" s="398" t="s">
        <v>1120</v>
      </c>
      <c r="D186" s="399" t="n">
        <v>26.15</v>
      </c>
      <c r="E186" s="400" t="n">
        <v>51672.4</v>
      </c>
      <c r="F186" s="408"/>
      <c r="G186" s="400" t="n">
        <v>0</v>
      </c>
      <c r="H186" s="401" t="n">
        <v>0.175</v>
      </c>
      <c r="I186" s="400" t="n">
        <v>695.59</v>
      </c>
      <c r="J186" s="400"/>
      <c r="K186" s="400" t="n">
        <v>52367.99</v>
      </c>
      <c r="L186" s="402" t="n">
        <v>26.5020192307692</v>
      </c>
      <c r="M186" s="403" t="n">
        <v>53000</v>
      </c>
      <c r="N186" s="404" t="n">
        <v>55040</v>
      </c>
      <c r="O186" s="405" t="n">
        <v>0.0384905660377359</v>
      </c>
      <c r="P186" s="393" t="n">
        <v>2040</v>
      </c>
      <c r="Q186" s="406"/>
      <c r="R186" s="404" t="n">
        <v>55040</v>
      </c>
      <c r="S186" s="407" t="n">
        <v>0.0384905660377359</v>
      </c>
    </row>
    <row r="187" customFormat="false" ht="15" hidden="false" customHeight="false" outlineLevel="0" collapsed="false">
      <c r="A187" s="383" t="s">
        <v>1373</v>
      </c>
      <c r="B187" s="383" t="s">
        <v>1374</v>
      </c>
      <c r="C187" s="398" t="s">
        <v>1375</v>
      </c>
      <c r="D187" s="399" t="n">
        <v>27.46</v>
      </c>
      <c r="E187" s="400" t="n">
        <v>54260.96</v>
      </c>
      <c r="F187" s="408"/>
      <c r="G187" s="400" t="n">
        <v>0</v>
      </c>
      <c r="H187" s="401" t="n">
        <v>0.175</v>
      </c>
      <c r="I187" s="400" t="n">
        <v>730.436</v>
      </c>
      <c r="J187" s="400"/>
      <c r="K187" s="400" t="n">
        <v>54991.396</v>
      </c>
      <c r="L187" s="402" t="n">
        <v>27.8296538461538</v>
      </c>
      <c r="M187" s="403" t="n">
        <v>55000</v>
      </c>
      <c r="N187" s="404" t="n">
        <v>57142</v>
      </c>
      <c r="O187" s="405" t="n">
        <v>0.0389454545454546</v>
      </c>
      <c r="P187" s="393" t="n">
        <v>2142</v>
      </c>
      <c r="Q187" s="406"/>
      <c r="R187" s="404" t="n">
        <v>57142</v>
      </c>
      <c r="S187" s="407" t="n">
        <v>0.0389454545454546</v>
      </c>
    </row>
    <row r="188" customFormat="false" ht="15" hidden="false" customHeight="false" outlineLevel="0" collapsed="false">
      <c r="A188" s="383" t="s">
        <v>1041</v>
      </c>
      <c r="B188" s="383" t="s">
        <v>1376</v>
      </c>
      <c r="C188" s="398" t="s">
        <v>1377</v>
      </c>
      <c r="D188" s="399" t="n">
        <v>28.58</v>
      </c>
      <c r="E188" s="400" t="n">
        <v>56474.08</v>
      </c>
      <c r="F188" s="408"/>
      <c r="G188" s="400" t="n">
        <v>0</v>
      </c>
      <c r="H188" s="401" t="n">
        <v>0.175</v>
      </c>
      <c r="I188" s="400" t="n">
        <v>760.228</v>
      </c>
      <c r="J188" s="400"/>
      <c r="K188" s="400" t="n">
        <v>57234.308</v>
      </c>
      <c r="L188" s="402" t="n">
        <v>28.9647307692308</v>
      </c>
      <c r="M188" s="403" t="n">
        <v>58000</v>
      </c>
      <c r="N188" s="404" t="n">
        <v>60229</v>
      </c>
      <c r="O188" s="405" t="n">
        <v>0.0384310344827585</v>
      </c>
      <c r="P188" s="393" t="n">
        <v>2229</v>
      </c>
      <c r="Q188" s="406"/>
      <c r="R188" s="404" t="n">
        <v>60229</v>
      </c>
      <c r="S188" s="407" t="n">
        <v>0.0384310344827585</v>
      </c>
    </row>
  </sheetData>
  <mergeCells count="2">
    <mergeCell ref="N1:O1"/>
    <mergeCell ref="Q1:S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A1CA4554089E479FBF6055E1380E28" ma:contentTypeVersion="4" ma:contentTypeDescription="Create a new document." ma:contentTypeScope="" ma:versionID="78d49d0734411169383c655017c35352">
  <xsd:schema xmlns:xsd="http://www.w3.org/2001/XMLSchema" xmlns:xs="http://www.w3.org/2001/XMLSchema" xmlns:p="http://schemas.microsoft.com/office/2006/metadata/properties" xmlns:ns3="bdf8b31f-01b1-409b-8d3e-6f0f3db09b77" targetNamespace="http://schemas.microsoft.com/office/2006/metadata/properties" ma:root="true" ma:fieldsID="d5c467ab4593f3ac4b4e1dc1374b5008" ns3:_="">
    <xsd:import namespace="bdf8b31f-01b1-409b-8d3e-6f0f3db09b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f8b31f-01b1-409b-8d3e-6f0f3db09b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FCF024-1520-401B-BB47-F4F159DED6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70D898-BFA5-483C-9993-5BA09BFD4A17}">
  <ds:schemaRefs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bdf8b31f-01b1-409b-8d3e-6f0f3db09b7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480FD65-88C4-4616-8430-80A5CB1335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f8b31f-01b1-409b-8d3e-6f0f3db09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103</TotalTime>
  <Application>LibreOffice/7.5.4.2$MacOSX_AARCH64 LibreOffice_project/36ccfdc35048b057fd9854c757a8b67ec53977b6</Application>
  <AppVersion>15.0000</AppVersion>
  <Company>UCQ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2017-07-21T02:02:27Z</dcterms:created>
  <dc:creator>Nina Da Silva</dc:creator>
  <dc:description/>
  <dc:language>en-IN</dc:language>
  <cp:lastModifiedBy/>
  <cp:lastPrinted>2021-11-04T00:33:07Z</cp:lastPrinted>
  <dcterms:modified xsi:type="dcterms:W3CDTF">2023-08-23T15:53:05Z</dcterms:modified>
  <cp:revision>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0x01010013A1CA4554089E479FBF6055E1380E28</vt:lpwstr>
  </property>
</Properties>
</file>