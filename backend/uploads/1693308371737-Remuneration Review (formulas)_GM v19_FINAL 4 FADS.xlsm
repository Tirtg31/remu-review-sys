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Indradeep\UCQ\updated splitsend\"/>
    </mc:Choice>
  </mc:AlternateContent>
  <xr:revisionPtr revIDLastSave="0" documentId="13_ncr:1_{2E9ED6A1-94EF-4D26-B29A-4CA812FE46C3}" xr6:coauthVersionLast="47" xr6:coauthVersionMax="47" xr10:uidLastSave="{00000000-0000-0000-0000-000000000000}"/>
  <bookViews>
    <workbookView xWindow="28680" yWindow="-120" windowWidth="29040" windowHeight="15720" tabRatio="857" activeTab="2" xr2:uid="{00000000-000D-0000-FFFF-FFFF00000000}"/>
  </bookViews>
  <sheets>
    <sheet name="Macros" sheetId="47" r:id="rId1"/>
    <sheet name="2023 ARR Summary" sheetId="39" r:id="rId2"/>
    <sheet name="Employee Data" sheetId="42" r:id="rId3"/>
    <sheet name="Graphs" sheetId="56" r:id="rId4"/>
    <sheet name="Lookup_Rem Ranges" sheetId="44" state="hidden" r:id="rId5"/>
    <sheet name="Pivot_BU" sheetId="55" state="hidden" r:id="rId6"/>
    <sheet name="Lookup_EA Award Compliance" sheetId="36" state="hidden" r:id="rId7"/>
  </sheets>
  <functionGroups builtInGroupCount="19"/>
  <externalReferences>
    <externalReference r:id="rId8"/>
    <externalReference r:id="rId9"/>
    <externalReference r:id="rId10"/>
    <externalReference r:id="rId11"/>
  </externalReferences>
  <definedNames>
    <definedName name="_xlnm._FilterDatabase" localSheetId="1" hidden="1">'2023 ARR Summary'!$A$12:$CE$79</definedName>
    <definedName name="_xlnm._FilterDatabase" localSheetId="2" hidden="1">'Employee Data'!$A$16:$JC$121</definedName>
    <definedName name="_Key1" localSheetId="2" hidden="1">#REF!</definedName>
    <definedName name="_Key1" localSheetId="6" hidden="1">#REF!</definedName>
    <definedName name="_Key1" hidden="1">#REF!</definedName>
    <definedName name="_Key2" localSheetId="2" hidden="1">#REF!</definedName>
    <definedName name="_Key2" localSheetId="6" hidden="1">#REF!</definedName>
    <definedName name="_Key2" hidden="1">#REF!</definedName>
    <definedName name="_Order1" hidden="1">0</definedName>
    <definedName name="_Order2" hidden="1">0</definedName>
    <definedName name="_Sort" localSheetId="2" hidden="1">#REF!</definedName>
    <definedName name="_Sort" localSheetId="6" hidden="1">#REF!</definedName>
    <definedName name="_Sort" hidden="1">#REF!</definedName>
    <definedName name="ARR_Increase" localSheetId="6">'[1]Increase Formulation'!$E$9:$L$14</definedName>
    <definedName name="ARR_Increase">#REF!</definedName>
    <definedName name="CIQWBGuid" hidden="1">"faee302c-b0fe-48d8-85a3-816a2ff1510b"</definedName>
    <definedName name="Comp_ratio_min" localSheetId="6">'[1]Increase Formulation'!$E$8:$L$8</definedName>
    <definedName name="Comp_ratio_min">#REF!</definedName>
    <definedName name="_xlnm.Extract" localSheetId="2">'Employee Data'!$DN$16</definedName>
    <definedName name="_xlnm.Extract" localSheetId="0">Macros!$DT$11:$DU$11</definedName>
    <definedName name="Impact_DD" hidden="1">[2]SynergyConfig!$G$78:$G$97</definedName>
    <definedName name="Income_Tax_Max" localSheetId="6">'[1]PBI Tax Calc'!$C$3:$C$7</definedName>
    <definedName name="Income_Tax_Max">#REF!</definedName>
    <definedName name="Income_Tax_Max_Calc" localSheetId="6">'[1]PBI Tax Calc'!$B$3:$B$7</definedName>
    <definedName name="Income_Tax_Max_Calc">#REF!</definedName>
    <definedName name="Income_Tax_Min" localSheetId="6">'[1]PBI Tax Calc'!$A$3:$A$7</definedName>
    <definedName name="Income_Tax_Min">#REF!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41602.9657175926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erf_rating" localSheetId="6">'[1]Increase Formulation'!$A$9:$A$14</definedName>
    <definedName name="Perf_rating">#REF!</definedName>
    <definedName name="_xlnm.Print_Area" localSheetId="2">'Employee Data'!$E$16:$BP$16</definedName>
    <definedName name="_xlnm.Print_Titles" localSheetId="2">'Employee Data'!$16:$16</definedName>
    <definedName name="Tax_Payable_Amount" localSheetId="6">'[1]PBI Tax Calc'!$D$3:$D$7</definedName>
    <definedName name="Tax_Payable_Amount">#REF!</definedName>
    <definedName name="Tax_Percentage" localSheetId="6">'[1]PBI Tax Calc'!$E$3:$E$7</definedName>
    <definedName name="Tax_Percentage">#REF!</definedName>
    <definedName name="UC_Payline" localSheetId="6">'[1]UCQ RF'!$G$9:$G$14</definedName>
    <definedName name="UC_Payline">#REF!</definedName>
    <definedName name="UC_WorkLevel" localSheetId="6">'[1]UCQ RF'!$A$9:$A$14</definedName>
    <definedName name="UC_WorkLevel">#REF!</definedName>
  </definedName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39" l="1"/>
  <c r="C32" i="39"/>
  <c r="D32" i="39"/>
  <c r="E32" i="39"/>
  <c r="F32" i="39"/>
  <c r="H32" i="39"/>
  <c r="I32" i="39"/>
  <c r="J32" i="39"/>
  <c r="K32" i="39"/>
  <c r="L32" i="39"/>
  <c r="M32" i="39"/>
  <c r="O32" i="39"/>
  <c r="Q32" i="39"/>
  <c r="S32" i="39"/>
  <c r="U32" i="39"/>
  <c r="W32" i="39"/>
  <c r="X32" i="39"/>
  <c r="Y32" i="39"/>
  <c r="B13" i="39"/>
  <c r="C13" i="39"/>
  <c r="D13" i="39"/>
  <c r="E13" i="39"/>
  <c r="F13" i="39"/>
  <c r="H13" i="39"/>
  <c r="I13" i="39"/>
  <c r="J13" i="39"/>
  <c r="K13" i="39"/>
  <c r="L13" i="39"/>
  <c r="M13" i="39"/>
  <c r="O13" i="39"/>
  <c r="Q13" i="39"/>
  <c r="S13" i="39"/>
  <c r="U13" i="39"/>
  <c r="W13" i="39"/>
  <c r="X13" i="39"/>
  <c r="Y13" i="39"/>
  <c r="B14" i="39"/>
  <c r="C14" i="39"/>
  <c r="D14" i="39"/>
  <c r="E14" i="39"/>
  <c r="F14" i="39"/>
  <c r="H14" i="39"/>
  <c r="I14" i="39"/>
  <c r="J14" i="39"/>
  <c r="K14" i="39"/>
  <c r="L14" i="39"/>
  <c r="M14" i="39"/>
  <c r="O14" i="39"/>
  <c r="Q14" i="39"/>
  <c r="S14" i="39"/>
  <c r="U14" i="39"/>
  <c r="W14" i="39"/>
  <c r="X14" i="39"/>
  <c r="Y14" i="39"/>
  <c r="B15" i="39"/>
  <c r="C15" i="39"/>
  <c r="D15" i="39"/>
  <c r="E15" i="39"/>
  <c r="F15" i="39"/>
  <c r="H15" i="39"/>
  <c r="I15" i="39"/>
  <c r="J15" i="39"/>
  <c r="K15" i="39"/>
  <c r="L15" i="39"/>
  <c r="M15" i="39"/>
  <c r="O15" i="39"/>
  <c r="Q15" i="39"/>
  <c r="S15" i="39"/>
  <c r="U15" i="39"/>
  <c r="W15" i="39"/>
  <c r="X15" i="39"/>
  <c r="Y15" i="39"/>
  <c r="B16" i="39"/>
  <c r="C16" i="39"/>
  <c r="D16" i="39"/>
  <c r="E16" i="39"/>
  <c r="F16" i="39"/>
  <c r="H16" i="39"/>
  <c r="I16" i="39"/>
  <c r="J16" i="39"/>
  <c r="K16" i="39"/>
  <c r="L16" i="39"/>
  <c r="M16" i="39"/>
  <c r="O16" i="39"/>
  <c r="Q16" i="39"/>
  <c r="S16" i="39"/>
  <c r="U16" i="39"/>
  <c r="W16" i="39"/>
  <c r="X16" i="39"/>
  <c r="Y16" i="39"/>
  <c r="B17" i="39"/>
  <c r="C17" i="39"/>
  <c r="D17" i="39"/>
  <c r="E17" i="39"/>
  <c r="F17" i="39"/>
  <c r="H17" i="39"/>
  <c r="I17" i="39"/>
  <c r="J17" i="39"/>
  <c r="K17" i="39"/>
  <c r="L17" i="39"/>
  <c r="M17" i="39"/>
  <c r="O17" i="39"/>
  <c r="Q17" i="39"/>
  <c r="S17" i="39"/>
  <c r="U17" i="39"/>
  <c r="W17" i="39"/>
  <c r="X17" i="39"/>
  <c r="Y17" i="39"/>
  <c r="B18" i="39"/>
  <c r="C18" i="39"/>
  <c r="D18" i="39"/>
  <c r="E18" i="39"/>
  <c r="F18" i="39"/>
  <c r="H18" i="39"/>
  <c r="I18" i="39"/>
  <c r="J18" i="39"/>
  <c r="K18" i="39"/>
  <c r="L18" i="39"/>
  <c r="M18" i="39"/>
  <c r="O18" i="39"/>
  <c r="Q18" i="39"/>
  <c r="S18" i="39"/>
  <c r="R18" i="39" s="1"/>
  <c r="U18" i="39"/>
  <c r="W18" i="39"/>
  <c r="X18" i="39"/>
  <c r="Y18" i="39"/>
  <c r="B19" i="39"/>
  <c r="C19" i="39"/>
  <c r="D19" i="39"/>
  <c r="E19" i="39"/>
  <c r="F19" i="39"/>
  <c r="H19" i="39"/>
  <c r="I19" i="39"/>
  <c r="J19" i="39"/>
  <c r="K19" i="39"/>
  <c r="L19" i="39"/>
  <c r="M19" i="39"/>
  <c r="O19" i="39"/>
  <c r="Q19" i="39"/>
  <c r="S19" i="39"/>
  <c r="U19" i="39"/>
  <c r="W19" i="39"/>
  <c r="X19" i="39"/>
  <c r="Y19" i="39"/>
  <c r="B20" i="39"/>
  <c r="C20" i="39"/>
  <c r="D20" i="39"/>
  <c r="E20" i="39"/>
  <c r="F20" i="39"/>
  <c r="H20" i="39"/>
  <c r="I20" i="39"/>
  <c r="J20" i="39"/>
  <c r="K20" i="39"/>
  <c r="L20" i="39"/>
  <c r="M20" i="39"/>
  <c r="O20" i="39"/>
  <c r="Q20" i="39"/>
  <c r="S20" i="39"/>
  <c r="U20" i="39"/>
  <c r="W20" i="39"/>
  <c r="X20" i="39"/>
  <c r="Y20" i="39"/>
  <c r="B21" i="39"/>
  <c r="C21" i="39"/>
  <c r="D21" i="39"/>
  <c r="B22" i="39"/>
  <c r="C22" i="39"/>
  <c r="D22" i="39"/>
  <c r="B23" i="39"/>
  <c r="C23" i="39"/>
  <c r="D23" i="39"/>
  <c r="B24" i="39"/>
  <c r="C24" i="39"/>
  <c r="D24" i="39"/>
  <c r="B25" i="39"/>
  <c r="C25" i="39"/>
  <c r="D25" i="39"/>
  <c r="B26" i="39"/>
  <c r="C26" i="39"/>
  <c r="D26" i="39"/>
  <c r="B27" i="39"/>
  <c r="C27" i="39"/>
  <c r="D27" i="39"/>
  <c r="B28" i="39"/>
  <c r="C28" i="39"/>
  <c r="D28" i="39"/>
  <c r="B29" i="39"/>
  <c r="C29" i="39"/>
  <c r="D29" i="39"/>
  <c r="E29" i="39"/>
  <c r="F29" i="39"/>
  <c r="H29" i="39"/>
  <c r="I29" i="39"/>
  <c r="J29" i="39"/>
  <c r="K29" i="39"/>
  <c r="L29" i="39"/>
  <c r="M29" i="39"/>
  <c r="O29" i="39"/>
  <c r="Q29" i="39"/>
  <c r="S29" i="39"/>
  <c r="U29" i="39"/>
  <c r="W29" i="39"/>
  <c r="X29" i="39"/>
  <c r="Y29" i="39"/>
  <c r="B30" i="39"/>
  <c r="C30" i="39"/>
  <c r="D30" i="39"/>
  <c r="E30" i="39"/>
  <c r="F30" i="39"/>
  <c r="H30" i="39"/>
  <c r="I30" i="39"/>
  <c r="J30" i="39"/>
  <c r="K30" i="39"/>
  <c r="L30" i="39"/>
  <c r="M30" i="39"/>
  <c r="O30" i="39"/>
  <c r="Q30" i="39"/>
  <c r="S30" i="39"/>
  <c r="R30" i="39" s="1"/>
  <c r="U30" i="39"/>
  <c r="W30" i="39"/>
  <c r="X30" i="39"/>
  <c r="Y30" i="39"/>
  <c r="B31" i="39"/>
  <c r="C31" i="39"/>
  <c r="D31" i="39"/>
  <c r="E31" i="39"/>
  <c r="F31" i="39"/>
  <c r="H31" i="39"/>
  <c r="I31" i="39"/>
  <c r="J31" i="39"/>
  <c r="K31" i="39"/>
  <c r="L31" i="39"/>
  <c r="M31" i="39"/>
  <c r="O31" i="39"/>
  <c r="Q31" i="39"/>
  <c r="S31" i="39"/>
  <c r="U31" i="39"/>
  <c r="W31" i="39"/>
  <c r="X31" i="39"/>
  <c r="Y31" i="39"/>
  <c r="B33" i="39"/>
  <c r="C33" i="39"/>
  <c r="D33" i="39"/>
  <c r="E33" i="39"/>
  <c r="F33" i="39"/>
  <c r="H33" i="39"/>
  <c r="I33" i="39"/>
  <c r="J33" i="39"/>
  <c r="K33" i="39"/>
  <c r="L33" i="39"/>
  <c r="M33" i="39"/>
  <c r="O33" i="39"/>
  <c r="Q33" i="39"/>
  <c r="S33" i="39"/>
  <c r="R33" i="39" s="1"/>
  <c r="U33" i="39"/>
  <c r="W33" i="39"/>
  <c r="X33" i="39"/>
  <c r="Y33" i="39"/>
  <c r="B34" i="39"/>
  <c r="C34" i="39"/>
  <c r="D34" i="39"/>
  <c r="E34" i="39"/>
  <c r="F34" i="39"/>
  <c r="H34" i="39"/>
  <c r="I34" i="39"/>
  <c r="J34" i="39"/>
  <c r="K34" i="39"/>
  <c r="L34" i="39"/>
  <c r="M34" i="39"/>
  <c r="O34" i="39"/>
  <c r="Q34" i="39"/>
  <c r="S34" i="39"/>
  <c r="R34" i="39" s="1"/>
  <c r="U34" i="39"/>
  <c r="W34" i="39"/>
  <c r="X34" i="39"/>
  <c r="Y34" i="39"/>
  <c r="B35" i="39"/>
  <c r="C35" i="39"/>
  <c r="D35" i="39"/>
  <c r="E35" i="39"/>
  <c r="F35" i="39"/>
  <c r="H35" i="39"/>
  <c r="I35" i="39"/>
  <c r="J35" i="39"/>
  <c r="K35" i="39"/>
  <c r="L35" i="39"/>
  <c r="M35" i="39"/>
  <c r="O35" i="39"/>
  <c r="Q35" i="39"/>
  <c r="S35" i="39"/>
  <c r="R35" i="39" s="1"/>
  <c r="U35" i="39"/>
  <c r="W35" i="39"/>
  <c r="X35" i="39"/>
  <c r="Y35" i="39"/>
  <c r="B36" i="39"/>
  <c r="C36" i="39"/>
  <c r="D36" i="39"/>
  <c r="E36" i="39"/>
  <c r="F36" i="39"/>
  <c r="H36" i="39"/>
  <c r="I36" i="39"/>
  <c r="J36" i="39"/>
  <c r="K36" i="39"/>
  <c r="L36" i="39"/>
  <c r="M36" i="39"/>
  <c r="O36" i="39"/>
  <c r="Q36" i="39"/>
  <c r="S36" i="39"/>
  <c r="U36" i="39"/>
  <c r="W36" i="39"/>
  <c r="X36" i="39"/>
  <c r="Y36" i="39"/>
  <c r="B37" i="39"/>
  <c r="C37" i="39"/>
  <c r="D37" i="39"/>
  <c r="E37" i="39"/>
  <c r="F37" i="39"/>
  <c r="H37" i="39"/>
  <c r="I37" i="39"/>
  <c r="J37" i="39"/>
  <c r="K37" i="39"/>
  <c r="L37" i="39"/>
  <c r="M37" i="39"/>
  <c r="O37" i="39"/>
  <c r="Q37" i="39"/>
  <c r="S37" i="39"/>
  <c r="U37" i="39"/>
  <c r="W37" i="39"/>
  <c r="X37" i="39"/>
  <c r="Y37" i="39"/>
  <c r="B38" i="39"/>
  <c r="C38" i="39"/>
  <c r="D38" i="39"/>
  <c r="E38" i="39"/>
  <c r="F38" i="39"/>
  <c r="H38" i="39"/>
  <c r="I38" i="39"/>
  <c r="J38" i="39"/>
  <c r="K38" i="39"/>
  <c r="L38" i="39"/>
  <c r="M38" i="39"/>
  <c r="O38" i="39"/>
  <c r="Q38" i="39"/>
  <c r="S38" i="39"/>
  <c r="U38" i="39"/>
  <c r="W38" i="39"/>
  <c r="X38" i="39"/>
  <c r="Y38" i="39"/>
  <c r="B39" i="39"/>
  <c r="C39" i="39"/>
  <c r="D39" i="39"/>
  <c r="E39" i="39"/>
  <c r="F39" i="39"/>
  <c r="H39" i="39"/>
  <c r="I39" i="39"/>
  <c r="J39" i="39"/>
  <c r="K39" i="39"/>
  <c r="L39" i="39"/>
  <c r="M39" i="39"/>
  <c r="O39" i="39"/>
  <c r="Q39" i="39"/>
  <c r="S39" i="39"/>
  <c r="U39" i="39"/>
  <c r="W39" i="39"/>
  <c r="X39" i="39"/>
  <c r="Y39" i="39"/>
  <c r="B40" i="39"/>
  <c r="C40" i="39"/>
  <c r="D40" i="39"/>
  <c r="E40" i="39"/>
  <c r="F40" i="39"/>
  <c r="H40" i="39"/>
  <c r="I40" i="39"/>
  <c r="J40" i="39"/>
  <c r="K40" i="39"/>
  <c r="L40" i="39"/>
  <c r="M40" i="39"/>
  <c r="O40" i="39"/>
  <c r="Q40" i="39"/>
  <c r="S40" i="39"/>
  <c r="U40" i="39"/>
  <c r="W40" i="39"/>
  <c r="X40" i="39"/>
  <c r="Y40" i="39"/>
  <c r="B41" i="39"/>
  <c r="C41" i="39"/>
  <c r="D41" i="39"/>
  <c r="E41" i="39"/>
  <c r="F41" i="39"/>
  <c r="H41" i="39"/>
  <c r="I41" i="39"/>
  <c r="J41" i="39"/>
  <c r="K41" i="39"/>
  <c r="L41" i="39"/>
  <c r="M41" i="39"/>
  <c r="O41" i="39"/>
  <c r="Q41" i="39"/>
  <c r="S41" i="39"/>
  <c r="U41" i="39"/>
  <c r="W41" i="39"/>
  <c r="X41" i="39"/>
  <c r="Y41" i="39"/>
  <c r="B42" i="39"/>
  <c r="C42" i="39"/>
  <c r="D42" i="39"/>
  <c r="E42" i="39"/>
  <c r="F42" i="39"/>
  <c r="H42" i="39"/>
  <c r="I42" i="39"/>
  <c r="J42" i="39"/>
  <c r="K42" i="39"/>
  <c r="L42" i="39"/>
  <c r="M42" i="39"/>
  <c r="O42" i="39"/>
  <c r="Q42" i="39"/>
  <c r="S42" i="39"/>
  <c r="U42" i="39"/>
  <c r="W42" i="39"/>
  <c r="X42" i="39"/>
  <c r="Y42" i="39"/>
  <c r="B43" i="39"/>
  <c r="C43" i="39"/>
  <c r="D43" i="39"/>
  <c r="E43" i="39"/>
  <c r="F43" i="39"/>
  <c r="H43" i="39"/>
  <c r="I43" i="39"/>
  <c r="J43" i="39"/>
  <c r="K43" i="39"/>
  <c r="L43" i="39"/>
  <c r="M43" i="39"/>
  <c r="O43" i="39"/>
  <c r="Q43" i="39"/>
  <c r="S43" i="39"/>
  <c r="U43" i="39"/>
  <c r="W43" i="39"/>
  <c r="X43" i="39"/>
  <c r="Y43" i="39"/>
  <c r="B44" i="39"/>
  <c r="C44" i="39"/>
  <c r="D44" i="39"/>
  <c r="E44" i="39"/>
  <c r="F44" i="39"/>
  <c r="H44" i="39"/>
  <c r="I44" i="39"/>
  <c r="J44" i="39"/>
  <c r="K44" i="39"/>
  <c r="L44" i="39"/>
  <c r="M44" i="39"/>
  <c r="O44" i="39"/>
  <c r="Q44" i="39"/>
  <c r="S44" i="39"/>
  <c r="U44" i="39"/>
  <c r="W44" i="39"/>
  <c r="X44" i="39"/>
  <c r="Y44" i="39"/>
  <c r="B45" i="39"/>
  <c r="C45" i="39"/>
  <c r="D45" i="39"/>
  <c r="E45" i="39"/>
  <c r="F45" i="39"/>
  <c r="H45" i="39"/>
  <c r="I45" i="39"/>
  <c r="J45" i="39"/>
  <c r="K45" i="39"/>
  <c r="L45" i="39"/>
  <c r="M45" i="39"/>
  <c r="O45" i="39"/>
  <c r="Q45" i="39"/>
  <c r="S45" i="39"/>
  <c r="U45" i="39"/>
  <c r="W45" i="39"/>
  <c r="X45" i="39"/>
  <c r="Y45" i="39"/>
  <c r="B46" i="39"/>
  <c r="C46" i="39"/>
  <c r="D46" i="39"/>
  <c r="E46" i="39"/>
  <c r="F46" i="39"/>
  <c r="H46" i="39"/>
  <c r="I46" i="39"/>
  <c r="J46" i="39"/>
  <c r="K46" i="39"/>
  <c r="L46" i="39"/>
  <c r="M46" i="39"/>
  <c r="O46" i="39"/>
  <c r="Q46" i="39"/>
  <c r="S46" i="39"/>
  <c r="U46" i="39"/>
  <c r="W46" i="39"/>
  <c r="X46" i="39"/>
  <c r="Y46" i="39"/>
  <c r="B47" i="39"/>
  <c r="C47" i="39"/>
  <c r="D47" i="39"/>
  <c r="E47" i="39"/>
  <c r="F47" i="39"/>
  <c r="H47" i="39"/>
  <c r="I47" i="39"/>
  <c r="J47" i="39"/>
  <c r="K47" i="39"/>
  <c r="L47" i="39"/>
  <c r="M47" i="39"/>
  <c r="O47" i="39"/>
  <c r="Q47" i="39"/>
  <c r="S47" i="39"/>
  <c r="R47" i="39" s="1"/>
  <c r="U47" i="39"/>
  <c r="W47" i="39"/>
  <c r="X47" i="39"/>
  <c r="Y47" i="39"/>
  <c r="B48" i="39"/>
  <c r="C48" i="39"/>
  <c r="D48" i="39"/>
  <c r="E48" i="39"/>
  <c r="F48" i="39"/>
  <c r="H48" i="39"/>
  <c r="I48" i="39"/>
  <c r="J48" i="39"/>
  <c r="K48" i="39"/>
  <c r="L48" i="39"/>
  <c r="M48" i="39"/>
  <c r="O48" i="39"/>
  <c r="Q48" i="39"/>
  <c r="S48" i="39"/>
  <c r="R48" i="39" s="1"/>
  <c r="U48" i="39"/>
  <c r="W48" i="39"/>
  <c r="X48" i="39"/>
  <c r="Y48" i="39"/>
  <c r="B49" i="39"/>
  <c r="C49" i="39"/>
  <c r="D49" i="39"/>
  <c r="E49" i="39"/>
  <c r="F49" i="39"/>
  <c r="H49" i="39"/>
  <c r="I49" i="39"/>
  <c r="J49" i="39"/>
  <c r="K49" i="39"/>
  <c r="L49" i="39"/>
  <c r="M49" i="39"/>
  <c r="O49" i="39"/>
  <c r="Q49" i="39"/>
  <c r="S49" i="39"/>
  <c r="U49" i="39"/>
  <c r="W49" i="39"/>
  <c r="X49" i="39"/>
  <c r="Y49" i="39"/>
  <c r="B50" i="39"/>
  <c r="C50" i="39"/>
  <c r="D50" i="39"/>
  <c r="E50" i="39"/>
  <c r="F50" i="39"/>
  <c r="H50" i="39"/>
  <c r="I50" i="39"/>
  <c r="J50" i="39"/>
  <c r="K50" i="39"/>
  <c r="L50" i="39"/>
  <c r="M50" i="39"/>
  <c r="O50" i="39"/>
  <c r="Q50" i="39"/>
  <c r="S50" i="39"/>
  <c r="R50" i="39" s="1"/>
  <c r="U50" i="39"/>
  <c r="W50" i="39"/>
  <c r="X50" i="39"/>
  <c r="Y50" i="39"/>
  <c r="B51" i="39"/>
  <c r="C51" i="39"/>
  <c r="D51" i="39"/>
  <c r="E51" i="39"/>
  <c r="F51" i="39"/>
  <c r="H51" i="39"/>
  <c r="I51" i="39"/>
  <c r="J51" i="39"/>
  <c r="K51" i="39"/>
  <c r="L51" i="39"/>
  <c r="M51" i="39"/>
  <c r="O51" i="39"/>
  <c r="Q51" i="39"/>
  <c r="S51" i="39"/>
  <c r="U51" i="39"/>
  <c r="W51" i="39"/>
  <c r="X51" i="39"/>
  <c r="Y51" i="39"/>
  <c r="B52" i="39"/>
  <c r="C52" i="39"/>
  <c r="D52" i="39"/>
  <c r="E52" i="39"/>
  <c r="F52" i="39"/>
  <c r="H52" i="39"/>
  <c r="I52" i="39"/>
  <c r="J52" i="39"/>
  <c r="K52" i="39"/>
  <c r="L52" i="39"/>
  <c r="M52" i="39"/>
  <c r="O52" i="39"/>
  <c r="Q52" i="39"/>
  <c r="S52" i="39"/>
  <c r="R52" i="39" s="1"/>
  <c r="U52" i="39"/>
  <c r="W52" i="39"/>
  <c r="X52" i="39"/>
  <c r="Y52" i="39"/>
  <c r="B53" i="39"/>
  <c r="C53" i="39"/>
  <c r="D53" i="39"/>
  <c r="E53" i="39"/>
  <c r="F53" i="39"/>
  <c r="H53" i="39"/>
  <c r="I53" i="39"/>
  <c r="J53" i="39"/>
  <c r="K53" i="39"/>
  <c r="L53" i="39"/>
  <c r="M53" i="39"/>
  <c r="O53" i="39"/>
  <c r="Q53" i="39"/>
  <c r="S53" i="39"/>
  <c r="U53" i="39"/>
  <c r="W53" i="39"/>
  <c r="X53" i="39"/>
  <c r="Y53" i="39"/>
  <c r="B54" i="39"/>
  <c r="C54" i="39"/>
  <c r="D54" i="39"/>
  <c r="E54" i="39"/>
  <c r="F54" i="39"/>
  <c r="H54" i="39"/>
  <c r="I54" i="39"/>
  <c r="J54" i="39"/>
  <c r="K54" i="39"/>
  <c r="L54" i="39"/>
  <c r="M54" i="39"/>
  <c r="O54" i="39"/>
  <c r="Q54" i="39"/>
  <c r="S54" i="39"/>
  <c r="U54" i="39"/>
  <c r="W54" i="39"/>
  <c r="X54" i="39"/>
  <c r="Y54" i="39"/>
  <c r="B55" i="39"/>
  <c r="C55" i="39"/>
  <c r="D55" i="39"/>
  <c r="E55" i="39"/>
  <c r="F55" i="39"/>
  <c r="H55" i="39"/>
  <c r="I55" i="39"/>
  <c r="J55" i="39"/>
  <c r="K55" i="39"/>
  <c r="L55" i="39"/>
  <c r="M55" i="39"/>
  <c r="O55" i="39"/>
  <c r="Q55" i="39"/>
  <c r="S55" i="39"/>
  <c r="R55" i="39" s="1"/>
  <c r="U55" i="39"/>
  <c r="W55" i="39"/>
  <c r="X55" i="39"/>
  <c r="Y55" i="39"/>
  <c r="B56" i="39"/>
  <c r="C56" i="39"/>
  <c r="D56" i="39"/>
  <c r="E56" i="39"/>
  <c r="F56" i="39"/>
  <c r="H56" i="39"/>
  <c r="I56" i="39"/>
  <c r="J56" i="39"/>
  <c r="K56" i="39"/>
  <c r="L56" i="39"/>
  <c r="M56" i="39"/>
  <c r="O56" i="39"/>
  <c r="Q56" i="39"/>
  <c r="S56" i="39"/>
  <c r="U56" i="39"/>
  <c r="W56" i="39"/>
  <c r="X56" i="39"/>
  <c r="Y56" i="39"/>
  <c r="B57" i="39"/>
  <c r="C57" i="39"/>
  <c r="D57" i="39"/>
  <c r="E57" i="39"/>
  <c r="F57" i="39"/>
  <c r="H57" i="39"/>
  <c r="I57" i="39"/>
  <c r="J57" i="39"/>
  <c r="K57" i="39"/>
  <c r="L57" i="39"/>
  <c r="M57" i="39"/>
  <c r="O57" i="39"/>
  <c r="Q57" i="39"/>
  <c r="S57" i="39"/>
  <c r="R57" i="39" s="1"/>
  <c r="U57" i="39"/>
  <c r="W57" i="39"/>
  <c r="X57" i="39"/>
  <c r="Y57" i="39"/>
  <c r="B58" i="39"/>
  <c r="C58" i="39"/>
  <c r="D58" i="39"/>
  <c r="E58" i="39"/>
  <c r="F58" i="39"/>
  <c r="H58" i="39"/>
  <c r="I58" i="39"/>
  <c r="J58" i="39"/>
  <c r="K58" i="39"/>
  <c r="L58" i="39"/>
  <c r="M58" i="39"/>
  <c r="O58" i="39"/>
  <c r="Q58" i="39"/>
  <c r="S58" i="39"/>
  <c r="R58" i="39" s="1"/>
  <c r="U58" i="39"/>
  <c r="W58" i="39"/>
  <c r="X58" i="39"/>
  <c r="Y58" i="39"/>
  <c r="B59" i="39"/>
  <c r="C59" i="39"/>
  <c r="D59" i="39"/>
  <c r="E59" i="39"/>
  <c r="F59" i="39"/>
  <c r="H59" i="39"/>
  <c r="I59" i="39"/>
  <c r="J59" i="39"/>
  <c r="K59" i="39"/>
  <c r="L59" i="39"/>
  <c r="M59" i="39"/>
  <c r="O59" i="39"/>
  <c r="Q59" i="39"/>
  <c r="S59" i="39"/>
  <c r="R59" i="39" s="1"/>
  <c r="U59" i="39"/>
  <c r="W59" i="39"/>
  <c r="X59" i="39"/>
  <c r="Y59" i="39"/>
  <c r="B60" i="39"/>
  <c r="C60" i="39"/>
  <c r="D60" i="39"/>
  <c r="E60" i="39"/>
  <c r="F60" i="39"/>
  <c r="H60" i="39"/>
  <c r="I60" i="39"/>
  <c r="J60" i="39"/>
  <c r="K60" i="39"/>
  <c r="L60" i="39"/>
  <c r="M60" i="39"/>
  <c r="O60" i="39"/>
  <c r="Q60" i="39"/>
  <c r="S60" i="39"/>
  <c r="R60" i="39" s="1"/>
  <c r="U60" i="39"/>
  <c r="W60" i="39"/>
  <c r="X60" i="39"/>
  <c r="Y60" i="39"/>
  <c r="B61" i="39"/>
  <c r="C61" i="39"/>
  <c r="D61" i="39"/>
  <c r="E61" i="39"/>
  <c r="F61" i="39"/>
  <c r="H61" i="39"/>
  <c r="I61" i="39"/>
  <c r="J61" i="39"/>
  <c r="K61" i="39"/>
  <c r="L61" i="39"/>
  <c r="M61" i="39"/>
  <c r="O61" i="39"/>
  <c r="Q61" i="39"/>
  <c r="S61" i="39"/>
  <c r="U61" i="39"/>
  <c r="W61" i="39"/>
  <c r="X61" i="39"/>
  <c r="Y61" i="39"/>
  <c r="B62" i="39"/>
  <c r="C62" i="39"/>
  <c r="D62" i="39"/>
  <c r="E62" i="39"/>
  <c r="F62" i="39"/>
  <c r="H62" i="39"/>
  <c r="I62" i="39"/>
  <c r="J62" i="39"/>
  <c r="K62" i="39"/>
  <c r="L62" i="39"/>
  <c r="M62" i="39"/>
  <c r="O62" i="39"/>
  <c r="Q62" i="39"/>
  <c r="S62" i="39"/>
  <c r="U62" i="39"/>
  <c r="W62" i="39"/>
  <c r="X62" i="39"/>
  <c r="Y62" i="39"/>
  <c r="B63" i="39"/>
  <c r="C63" i="39"/>
  <c r="D63" i="39"/>
  <c r="E63" i="39"/>
  <c r="F63" i="39"/>
  <c r="H63" i="39"/>
  <c r="I63" i="39"/>
  <c r="J63" i="39"/>
  <c r="K63" i="39"/>
  <c r="L63" i="39"/>
  <c r="M63" i="39"/>
  <c r="O63" i="39"/>
  <c r="Q63" i="39"/>
  <c r="S63" i="39"/>
  <c r="U63" i="39"/>
  <c r="W63" i="39"/>
  <c r="X63" i="39"/>
  <c r="Y63" i="39"/>
  <c r="B64" i="39"/>
  <c r="C64" i="39"/>
  <c r="D64" i="39"/>
  <c r="E64" i="39"/>
  <c r="F64" i="39"/>
  <c r="H64" i="39"/>
  <c r="I64" i="39"/>
  <c r="J64" i="39"/>
  <c r="K64" i="39"/>
  <c r="L64" i="39"/>
  <c r="M64" i="39"/>
  <c r="O64" i="39"/>
  <c r="Q64" i="39"/>
  <c r="S64" i="39"/>
  <c r="U64" i="39"/>
  <c r="W64" i="39"/>
  <c r="X64" i="39"/>
  <c r="Y64" i="39"/>
  <c r="B65" i="39"/>
  <c r="C65" i="39"/>
  <c r="D65" i="39"/>
  <c r="E65" i="39"/>
  <c r="F65" i="39"/>
  <c r="H65" i="39"/>
  <c r="I65" i="39"/>
  <c r="J65" i="39"/>
  <c r="K65" i="39"/>
  <c r="L65" i="39"/>
  <c r="M65" i="39"/>
  <c r="O65" i="39"/>
  <c r="Q65" i="39"/>
  <c r="S65" i="39"/>
  <c r="U65" i="39"/>
  <c r="W65" i="39"/>
  <c r="X65" i="39"/>
  <c r="Y65" i="39"/>
  <c r="B66" i="39"/>
  <c r="C66" i="39"/>
  <c r="D66" i="39"/>
  <c r="E66" i="39"/>
  <c r="F66" i="39"/>
  <c r="H66" i="39"/>
  <c r="I66" i="39"/>
  <c r="J66" i="39"/>
  <c r="K66" i="39"/>
  <c r="L66" i="39"/>
  <c r="M66" i="39"/>
  <c r="O66" i="39"/>
  <c r="Q66" i="39"/>
  <c r="S66" i="39"/>
  <c r="U66" i="39"/>
  <c r="W66" i="39"/>
  <c r="X66" i="39"/>
  <c r="Y66" i="39"/>
  <c r="B67" i="39"/>
  <c r="C67" i="39"/>
  <c r="D67" i="39"/>
  <c r="E67" i="39"/>
  <c r="F67" i="39"/>
  <c r="H67" i="39"/>
  <c r="I67" i="39"/>
  <c r="J67" i="39"/>
  <c r="K67" i="39"/>
  <c r="L67" i="39"/>
  <c r="M67" i="39"/>
  <c r="O67" i="39"/>
  <c r="Q67" i="39"/>
  <c r="S67" i="39"/>
  <c r="U67" i="39"/>
  <c r="W67" i="39"/>
  <c r="X67" i="39"/>
  <c r="Y67" i="39"/>
  <c r="B68" i="39"/>
  <c r="C68" i="39"/>
  <c r="D68" i="39"/>
  <c r="E68" i="39"/>
  <c r="F68" i="39"/>
  <c r="H68" i="39"/>
  <c r="I68" i="39"/>
  <c r="J68" i="39"/>
  <c r="K68" i="39"/>
  <c r="L68" i="39"/>
  <c r="M68" i="39"/>
  <c r="O68" i="39"/>
  <c r="Q68" i="39"/>
  <c r="S68" i="39"/>
  <c r="R68" i="39" s="1"/>
  <c r="U68" i="39"/>
  <c r="W68" i="39"/>
  <c r="X68" i="39"/>
  <c r="Y68" i="39"/>
  <c r="B69" i="39"/>
  <c r="C69" i="39"/>
  <c r="D69" i="39"/>
  <c r="E69" i="39"/>
  <c r="F69" i="39"/>
  <c r="H69" i="39"/>
  <c r="I69" i="39"/>
  <c r="J69" i="39"/>
  <c r="K69" i="39"/>
  <c r="L69" i="39"/>
  <c r="M69" i="39"/>
  <c r="O69" i="39"/>
  <c r="Q69" i="39"/>
  <c r="S69" i="39"/>
  <c r="U69" i="39"/>
  <c r="W69" i="39"/>
  <c r="X69" i="39"/>
  <c r="Y69" i="39"/>
  <c r="B70" i="39"/>
  <c r="C70" i="39"/>
  <c r="D70" i="39"/>
  <c r="E70" i="39"/>
  <c r="F70" i="39"/>
  <c r="H70" i="39"/>
  <c r="I70" i="39"/>
  <c r="J70" i="39"/>
  <c r="K70" i="39"/>
  <c r="L70" i="39"/>
  <c r="M70" i="39"/>
  <c r="O70" i="39"/>
  <c r="Q70" i="39"/>
  <c r="S70" i="39"/>
  <c r="R70" i="39" s="1"/>
  <c r="U70" i="39"/>
  <c r="W70" i="39"/>
  <c r="X70" i="39"/>
  <c r="Y70" i="39"/>
  <c r="B71" i="39"/>
  <c r="C71" i="39"/>
  <c r="D71" i="39"/>
  <c r="E71" i="39"/>
  <c r="F71" i="39"/>
  <c r="H71" i="39"/>
  <c r="I71" i="39"/>
  <c r="J71" i="39"/>
  <c r="K71" i="39"/>
  <c r="L71" i="39"/>
  <c r="M71" i="39"/>
  <c r="O71" i="39"/>
  <c r="Q71" i="39"/>
  <c r="S71" i="39"/>
  <c r="R71" i="39" s="1"/>
  <c r="U71" i="39"/>
  <c r="W71" i="39"/>
  <c r="X71" i="39"/>
  <c r="Y71" i="39"/>
  <c r="B72" i="39"/>
  <c r="C72" i="39"/>
  <c r="D72" i="39"/>
  <c r="E72" i="39"/>
  <c r="F72" i="39"/>
  <c r="H72" i="39"/>
  <c r="I72" i="39"/>
  <c r="J72" i="39"/>
  <c r="K72" i="39"/>
  <c r="L72" i="39"/>
  <c r="M72" i="39"/>
  <c r="O72" i="39"/>
  <c r="Q72" i="39"/>
  <c r="S72" i="39"/>
  <c r="R72" i="39" s="1"/>
  <c r="U72" i="39"/>
  <c r="W72" i="39"/>
  <c r="X72" i="39"/>
  <c r="Y72" i="39"/>
  <c r="B73" i="39"/>
  <c r="C73" i="39"/>
  <c r="D73" i="39"/>
  <c r="E73" i="39"/>
  <c r="F73" i="39"/>
  <c r="H73" i="39"/>
  <c r="I73" i="39"/>
  <c r="J73" i="39"/>
  <c r="K73" i="39"/>
  <c r="L73" i="39"/>
  <c r="M73" i="39"/>
  <c r="O73" i="39"/>
  <c r="Q73" i="39"/>
  <c r="S73" i="39"/>
  <c r="R73" i="39" s="1"/>
  <c r="U73" i="39"/>
  <c r="W73" i="39"/>
  <c r="X73" i="39"/>
  <c r="Y73" i="39"/>
  <c r="B74" i="39"/>
  <c r="C74" i="39"/>
  <c r="D74" i="39"/>
  <c r="E74" i="39"/>
  <c r="F74" i="39"/>
  <c r="H74" i="39"/>
  <c r="I74" i="39"/>
  <c r="J74" i="39"/>
  <c r="K74" i="39"/>
  <c r="L74" i="39"/>
  <c r="M74" i="39"/>
  <c r="O74" i="39"/>
  <c r="Q74" i="39"/>
  <c r="S74" i="39"/>
  <c r="R74" i="39" s="1"/>
  <c r="U74" i="39"/>
  <c r="W74" i="39"/>
  <c r="X74" i="39"/>
  <c r="Y74" i="39"/>
  <c r="B75" i="39"/>
  <c r="C75" i="39"/>
  <c r="D75" i="39"/>
  <c r="E75" i="39"/>
  <c r="F75" i="39"/>
  <c r="H75" i="39"/>
  <c r="I75" i="39"/>
  <c r="J75" i="39"/>
  <c r="K75" i="39"/>
  <c r="L75" i="39"/>
  <c r="M75" i="39"/>
  <c r="O75" i="39"/>
  <c r="Q75" i="39"/>
  <c r="S75" i="39"/>
  <c r="U75" i="39"/>
  <c r="W75" i="39"/>
  <c r="X75" i="39"/>
  <c r="Y75" i="39"/>
  <c r="B76" i="39"/>
  <c r="C76" i="39"/>
  <c r="D76" i="39"/>
  <c r="E76" i="39"/>
  <c r="F76" i="39"/>
  <c r="H76" i="39"/>
  <c r="I76" i="39"/>
  <c r="J76" i="39"/>
  <c r="K76" i="39"/>
  <c r="L76" i="39"/>
  <c r="M76" i="39"/>
  <c r="O76" i="39"/>
  <c r="Q76" i="39"/>
  <c r="S76" i="39"/>
  <c r="U76" i="39"/>
  <c r="W76" i="39"/>
  <c r="X76" i="39"/>
  <c r="Y76" i="39"/>
  <c r="B77" i="39"/>
  <c r="C77" i="39"/>
  <c r="D77" i="39"/>
  <c r="E77" i="39"/>
  <c r="F77" i="39"/>
  <c r="H77" i="39"/>
  <c r="I77" i="39"/>
  <c r="J77" i="39"/>
  <c r="K77" i="39"/>
  <c r="L77" i="39"/>
  <c r="M77" i="39"/>
  <c r="O77" i="39"/>
  <c r="Q77" i="39"/>
  <c r="S77" i="39"/>
  <c r="U77" i="39"/>
  <c r="W77" i="39"/>
  <c r="X77" i="39"/>
  <c r="Y77" i="39"/>
  <c r="B78" i="39"/>
  <c r="C78" i="39"/>
  <c r="D78" i="39"/>
  <c r="E78" i="39"/>
  <c r="F78" i="39"/>
  <c r="H78" i="39"/>
  <c r="I78" i="39"/>
  <c r="J78" i="39"/>
  <c r="K78" i="39"/>
  <c r="L78" i="39"/>
  <c r="M78" i="39"/>
  <c r="O78" i="39"/>
  <c r="Q78" i="39"/>
  <c r="S78" i="39"/>
  <c r="R78" i="39" s="1"/>
  <c r="U78" i="39"/>
  <c r="W78" i="39"/>
  <c r="X78" i="39"/>
  <c r="Y78" i="39"/>
  <c r="G19" i="39" l="1"/>
  <c r="R13" i="39"/>
  <c r="R15" i="39"/>
  <c r="N32" i="39"/>
  <c r="G78" i="39"/>
  <c r="G76" i="39"/>
  <c r="N59" i="39"/>
  <c r="N57" i="39"/>
  <c r="P15" i="39"/>
  <c r="G32" i="39"/>
  <c r="V18" i="39"/>
  <c r="V32" i="39"/>
  <c r="V74" i="39"/>
  <c r="P76" i="39"/>
  <c r="P74" i="39"/>
  <c r="G59" i="39"/>
  <c r="G47" i="39"/>
  <c r="G35" i="39"/>
  <c r="V35" i="39"/>
  <c r="P59" i="39"/>
  <c r="P57" i="39"/>
  <c r="P47" i="39"/>
  <c r="P33" i="39"/>
  <c r="V17" i="39"/>
  <c r="V15" i="39"/>
  <c r="V13" i="39"/>
  <c r="P35" i="39"/>
  <c r="N74" i="39"/>
  <c r="N66" i="39"/>
  <c r="N60" i="39"/>
  <c r="N48" i="39"/>
  <c r="N40" i="39"/>
  <c r="N38" i="39"/>
  <c r="N36" i="39"/>
  <c r="R19" i="39"/>
  <c r="R37" i="39"/>
  <c r="G60" i="39"/>
  <c r="G48" i="39"/>
  <c r="G36" i="39"/>
  <c r="R20" i="39"/>
  <c r="P20" i="39"/>
  <c r="V48" i="39"/>
  <c r="V46" i="39"/>
  <c r="V40" i="39"/>
  <c r="V36" i="39"/>
  <c r="N20" i="39"/>
  <c r="P18" i="39"/>
  <c r="N78" i="39"/>
  <c r="N76" i="39"/>
  <c r="P34" i="39"/>
  <c r="B79" i="39"/>
  <c r="V59" i="39"/>
  <c r="R39" i="39"/>
  <c r="N31" i="39"/>
  <c r="N29" i="39"/>
  <c r="V47" i="39"/>
  <c r="R53" i="39"/>
  <c r="V76" i="39"/>
  <c r="N47" i="39"/>
  <c r="R46" i="39"/>
  <c r="R40" i="39"/>
  <c r="R36" i="39"/>
  <c r="N35" i="39"/>
  <c r="G34" i="39"/>
  <c r="N33" i="39"/>
  <c r="G31" i="39"/>
  <c r="R76" i="39"/>
  <c r="R16" i="39"/>
  <c r="N18" i="39"/>
  <c r="N16" i="39"/>
  <c r="R31" i="39"/>
  <c r="R43" i="39"/>
  <c r="R41" i="39"/>
  <c r="V45" i="39"/>
  <c r="V43" i="39"/>
  <c r="V41" i="39"/>
  <c r="N73" i="39"/>
  <c r="R66" i="39"/>
  <c r="R64" i="39"/>
  <c r="R62" i="39"/>
  <c r="R45" i="39"/>
  <c r="T74" i="39"/>
  <c r="V72" i="39"/>
  <c r="V70" i="39"/>
  <c r="V68" i="39"/>
  <c r="V66" i="39"/>
  <c r="V64" i="39"/>
  <c r="V62" i="39"/>
  <c r="V60" i="39"/>
  <c r="R54" i="39"/>
  <c r="P45" i="39"/>
  <c r="P78" i="39"/>
  <c r="T72" i="39"/>
  <c r="T70" i="39"/>
  <c r="T60" i="39"/>
  <c r="V58" i="39"/>
  <c r="V52" i="39"/>
  <c r="V50" i="39"/>
  <c r="G46" i="39"/>
  <c r="N45" i="39"/>
  <c r="G44" i="39"/>
  <c r="V20" i="39"/>
  <c r="T46" i="39"/>
  <c r="V44" i="39"/>
  <c r="V42" i="39"/>
  <c r="V16" i="39"/>
  <c r="R14" i="39"/>
  <c r="N13" i="39"/>
  <c r="G73" i="39"/>
  <c r="G71" i="39"/>
  <c r="V38" i="39"/>
  <c r="P32" i="39"/>
  <c r="R63" i="39"/>
  <c r="T36" i="39"/>
  <c r="R44" i="39"/>
  <c r="R38" i="39"/>
  <c r="V34" i="39"/>
  <c r="V31" i="39"/>
  <c r="V29" i="39"/>
  <c r="V73" i="39"/>
  <c r="V71" i="39"/>
  <c r="R51" i="39"/>
  <c r="R49" i="39"/>
  <c r="P46" i="39"/>
  <c r="R75" i="39"/>
  <c r="V57" i="39"/>
  <c r="V55" i="39"/>
  <c r="V53" i="39"/>
  <c r="V51" i="39"/>
  <c r="V49" i="39"/>
  <c r="N44" i="39"/>
  <c r="N42" i="39"/>
  <c r="T34" i="39"/>
  <c r="V19" i="39"/>
  <c r="T32" i="39"/>
  <c r="R32" i="39"/>
  <c r="R77" i="39"/>
  <c r="V14" i="39"/>
  <c r="V69" i="39"/>
  <c r="V67" i="39"/>
  <c r="V65" i="39"/>
  <c r="N62" i="39"/>
  <c r="V37" i="39"/>
  <c r="P64" i="39"/>
  <c r="D79" i="39"/>
  <c r="V63" i="39"/>
  <c r="T50" i="39"/>
  <c r="T37" i="39"/>
  <c r="R69" i="39"/>
  <c r="R65" i="39"/>
  <c r="V61" i="39"/>
  <c r="P58" i="39"/>
  <c r="T48" i="39"/>
  <c r="N64" i="39"/>
  <c r="P62" i="39"/>
  <c r="R56" i="39"/>
  <c r="R67" i="39"/>
  <c r="G72" i="39"/>
  <c r="P71" i="39"/>
  <c r="P69" i="39"/>
  <c r="N56" i="39"/>
  <c r="N54" i="39"/>
  <c r="P52" i="39"/>
  <c r="R42" i="39"/>
  <c r="V33" i="39"/>
  <c r="V30" i="39"/>
  <c r="R17" i="39"/>
  <c r="G15" i="39"/>
  <c r="V39" i="39"/>
  <c r="N71" i="39"/>
  <c r="G70" i="39"/>
  <c r="N69" i="39"/>
  <c r="G68" i="39"/>
  <c r="R61" i="39"/>
  <c r="N52" i="39"/>
  <c r="P50" i="39"/>
  <c r="T58" i="39"/>
  <c r="V56" i="39"/>
  <c r="V54" i="39"/>
  <c r="G64" i="39"/>
  <c r="N50" i="39"/>
  <c r="T15" i="39"/>
  <c r="T38" i="39"/>
  <c r="V77" i="39"/>
  <c r="T62" i="39"/>
  <c r="P40" i="39"/>
  <c r="R29" i="39"/>
  <c r="V75" i="39"/>
  <c r="G58" i="39"/>
  <c r="G56" i="39"/>
  <c r="P38" i="39"/>
  <c r="N15" i="39"/>
  <c r="T75" i="39"/>
  <c r="P72" i="39"/>
  <c r="N67" i="39"/>
  <c r="T63" i="39"/>
  <c r="G61" i="39"/>
  <c r="P60" i="39"/>
  <c r="N55" i="39"/>
  <c r="T51" i="39"/>
  <c r="G49" i="39"/>
  <c r="P48" i="39"/>
  <c r="N43" i="39"/>
  <c r="T39" i="39"/>
  <c r="G37" i="39"/>
  <c r="P36" i="39"/>
  <c r="N30" i="39"/>
  <c r="T14" i="39"/>
  <c r="P55" i="39"/>
  <c r="T68" i="39"/>
  <c r="G66" i="39"/>
  <c r="P65" i="39"/>
  <c r="T56" i="39"/>
  <c r="G54" i="39"/>
  <c r="P53" i="39"/>
  <c r="T44" i="39"/>
  <c r="G42" i="39"/>
  <c r="P41" i="39"/>
  <c r="T31" i="39"/>
  <c r="G29" i="39"/>
  <c r="T19" i="39"/>
  <c r="G17" i="39"/>
  <c r="P16" i="39"/>
  <c r="P43" i="39"/>
  <c r="T61" i="39"/>
  <c r="N53" i="39"/>
  <c r="T49" i="39"/>
  <c r="N41" i="39"/>
  <c r="T73" i="39"/>
  <c r="N65" i="39"/>
  <c r="P75" i="39"/>
  <c r="N70" i="39"/>
  <c r="T66" i="39"/>
  <c r="P63" i="39"/>
  <c r="N58" i="39"/>
  <c r="T54" i="39"/>
  <c r="G52" i="39"/>
  <c r="P51" i="39"/>
  <c r="N46" i="39"/>
  <c r="T42" i="39"/>
  <c r="G40" i="39"/>
  <c r="P39" i="39"/>
  <c r="N34" i="39"/>
  <c r="T29" i="39"/>
  <c r="T17" i="39"/>
  <c r="P14" i="39"/>
  <c r="P30" i="39"/>
  <c r="P77" i="39"/>
  <c r="N72" i="39"/>
  <c r="N77" i="39"/>
  <c r="P70" i="39"/>
  <c r="T78" i="39"/>
  <c r="N75" i="39"/>
  <c r="T71" i="39"/>
  <c r="G69" i="39"/>
  <c r="P68" i="39"/>
  <c r="N63" i="39"/>
  <c r="T59" i="39"/>
  <c r="G57" i="39"/>
  <c r="P56" i="39"/>
  <c r="N51" i="39"/>
  <c r="T47" i="39"/>
  <c r="G45" i="39"/>
  <c r="P44" i="39"/>
  <c r="N39" i="39"/>
  <c r="T35" i="39"/>
  <c r="G33" i="39"/>
  <c r="P31" i="39"/>
  <c r="G20" i="39"/>
  <c r="P19" i="39"/>
  <c r="N14" i="39"/>
  <c r="P67" i="39"/>
  <c r="C79" i="39"/>
  <c r="T76" i="39"/>
  <c r="G74" i="39"/>
  <c r="P73" i="39"/>
  <c r="N68" i="39"/>
  <c r="T64" i="39"/>
  <c r="G62" i="39"/>
  <c r="P61" i="39"/>
  <c r="T52" i="39"/>
  <c r="G50" i="39"/>
  <c r="P49" i="39"/>
  <c r="T40" i="39"/>
  <c r="G38" i="39"/>
  <c r="P37" i="39"/>
  <c r="N19" i="39"/>
  <c r="G13" i="39"/>
  <c r="T69" i="39"/>
  <c r="G67" i="39"/>
  <c r="P66" i="39"/>
  <c r="N61" i="39"/>
  <c r="T57" i="39"/>
  <c r="G55" i="39"/>
  <c r="P54" i="39"/>
  <c r="N49" i="39"/>
  <c r="T45" i="39"/>
  <c r="G43" i="39"/>
  <c r="P42" i="39"/>
  <c r="N37" i="39"/>
  <c r="T33" i="39"/>
  <c r="G30" i="39"/>
  <c r="P29" i="39"/>
  <c r="T20" i="39"/>
  <c r="G18" i="39"/>
  <c r="P17" i="39"/>
  <c r="N17" i="39"/>
  <c r="T13" i="39"/>
  <c r="G77" i="39"/>
  <c r="T67" i="39"/>
  <c r="G65" i="39"/>
  <c r="T55" i="39"/>
  <c r="G53" i="39"/>
  <c r="T43" i="39"/>
  <c r="G41" i="39"/>
  <c r="T30" i="39"/>
  <c r="T18" i="39"/>
  <c r="G16" i="39"/>
  <c r="T77" i="39"/>
  <c r="G75" i="39"/>
  <c r="T65" i="39"/>
  <c r="G63" i="39"/>
  <c r="T53" i="39"/>
  <c r="G51" i="39"/>
  <c r="T41" i="39"/>
  <c r="G39" i="39"/>
  <c r="T16" i="39"/>
  <c r="G14" i="39"/>
  <c r="P13" i="39"/>
  <c r="V78" i="39"/>
  <c r="BC25" i="42"/>
  <c r="BC31" i="42"/>
  <c r="BC53" i="42"/>
  <c r="BC45" i="42"/>
  <c r="BC51" i="42"/>
  <c r="BC50" i="42"/>
  <c r="BC54" i="42"/>
  <c r="AY10" i="42" l="1"/>
  <c r="AP10" i="42"/>
  <c r="DG54" i="42"/>
  <c r="DH54" i="42" s="1"/>
  <c r="CT54" i="42"/>
  <c r="CR54" i="42"/>
  <c r="CP54" i="42"/>
  <c r="CK54" i="42"/>
  <c r="CL54" i="42" s="1"/>
  <c r="CN54" i="42" s="1"/>
  <c r="CC54" i="42"/>
  <c r="CF54" i="42" s="1"/>
  <c r="AR54" i="42"/>
  <c r="AL54" i="42"/>
  <c r="AE54" i="42" s="1"/>
  <c r="P54" i="42"/>
  <c r="DG33" i="42"/>
  <c r="DH33" i="42" s="1"/>
  <c r="CT33" i="42"/>
  <c r="CR33" i="42"/>
  <c r="CP33" i="42"/>
  <c r="CK33" i="42"/>
  <c r="CL33" i="42" s="1"/>
  <c r="CN33" i="42" s="1"/>
  <c r="CC33" i="42"/>
  <c r="CF33" i="42" s="1"/>
  <c r="BS33" i="42"/>
  <c r="AR33" i="42"/>
  <c r="AL33" i="42"/>
  <c r="AG33" i="42" s="1"/>
  <c r="P33" i="42"/>
  <c r="AQ33" i="42" s="1"/>
  <c r="DG32" i="42"/>
  <c r="DH32" i="42" s="1"/>
  <c r="CT32" i="42"/>
  <c r="CR32" i="42"/>
  <c r="CP32" i="42"/>
  <c r="CK32" i="42"/>
  <c r="CL32" i="42" s="1"/>
  <c r="CN32" i="42" s="1"/>
  <c r="CC32" i="42"/>
  <c r="CF32" i="42" s="1"/>
  <c r="AR32" i="42"/>
  <c r="AL32" i="42"/>
  <c r="AE32" i="42" s="1"/>
  <c r="BD32" i="42" s="1"/>
  <c r="P32" i="42"/>
  <c r="AQ32" i="42" s="1"/>
  <c r="DG50" i="42"/>
  <c r="DH50" i="42" s="1"/>
  <c r="CT50" i="42"/>
  <c r="CR50" i="42"/>
  <c r="CP50" i="42"/>
  <c r="CK50" i="42"/>
  <c r="CL50" i="42" s="1"/>
  <c r="CN50" i="42" s="1"/>
  <c r="CC50" i="42"/>
  <c r="CF50" i="42" s="1"/>
  <c r="AR50" i="42"/>
  <c r="AL50" i="42"/>
  <c r="P50" i="42"/>
  <c r="AQ50" i="42" s="1"/>
  <c r="DG24" i="42"/>
  <c r="DH24" i="42" s="1"/>
  <c r="CT24" i="42"/>
  <c r="CR24" i="42"/>
  <c r="CP24" i="42"/>
  <c r="CK24" i="42"/>
  <c r="CL24" i="42" s="1"/>
  <c r="CN24" i="42" s="1"/>
  <c r="CC24" i="42"/>
  <c r="CF24" i="42" s="1"/>
  <c r="AR24" i="42"/>
  <c r="AL24" i="42"/>
  <c r="P24" i="42"/>
  <c r="DG51" i="42"/>
  <c r="DH51" i="42" s="1"/>
  <c r="CT51" i="42"/>
  <c r="CR51" i="42"/>
  <c r="CP51" i="42"/>
  <c r="CK51" i="42"/>
  <c r="CL51" i="42" s="1"/>
  <c r="CN51" i="42" s="1"/>
  <c r="CC51" i="42"/>
  <c r="CF51" i="42" s="1"/>
  <c r="AR51" i="42"/>
  <c r="AL51" i="42"/>
  <c r="AG51" i="42" s="1"/>
  <c r="P51" i="42"/>
  <c r="DG34" i="42"/>
  <c r="DH34" i="42" s="1"/>
  <c r="CT34" i="42"/>
  <c r="CR34" i="42"/>
  <c r="CP34" i="42"/>
  <c r="CK34" i="42"/>
  <c r="CL34" i="42" s="1"/>
  <c r="CN34" i="42" s="1"/>
  <c r="CC34" i="42"/>
  <c r="CF34" i="42" s="1"/>
  <c r="AR34" i="42"/>
  <c r="AL34" i="42"/>
  <c r="AG34" i="42" s="1"/>
  <c r="P34" i="42"/>
  <c r="AQ34" i="42" s="1"/>
  <c r="DG112" i="42"/>
  <c r="DH112" i="42" s="1"/>
  <c r="CT112" i="42"/>
  <c r="CR112" i="42"/>
  <c r="CP112" i="42"/>
  <c r="CK112" i="42"/>
  <c r="CL112" i="42" s="1"/>
  <c r="CN112" i="42" s="1"/>
  <c r="CC112" i="42"/>
  <c r="CF112" i="42" s="1"/>
  <c r="AR112" i="42"/>
  <c r="AL112" i="42"/>
  <c r="AE112" i="42" s="1"/>
  <c r="BD112" i="42" s="1"/>
  <c r="P112" i="42"/>
  <c r="AQ112" i="42" s="1"/>
  <c r="DG48" i="42"/>
  <c r="DH48" i="42" s="1"/>
  <c r="CT48" i="42"/>
  <c r="CR48" i="42"/>
  <c r="CP48" i="42"/>
  <c r="CK48" i="42"/>
  <c r="CL48" i="42" s="1"/>
  <c r="CN48" i="42" s="1"/>
  <c r="CC48" i="42"/>
  <c r="CF48" i="42" s="1"/>
  <c r="AR48" i="42"/>
  <c r="AL48" i="42"/>
  <c r="AE48" i="42" s="1"/>
  <c r="BD48" i="42" s="1"/>
  <c r="BC48" i="42" s="1"/>
  <c r="P48" i="42"/>
  <c r="DG121" i="42"/>
  <c r="DH121" i="42" s="1"/>
  <c r="CT121" i="42"/>
  <c r="CR121" i="42"/>
  <c r="CP121" i="42"/>
  <c r="CK121" i="42"/>
  <c r="CL121" i="42" s="1"/>
  <c r="CN121" i="42" s="1"/>
  <c r="CC121" i="42"/>
  <c r="CF121" i="42" s="1"/>
  <c r="AR121" i="42"/>
  <c r="AL121" i="42"/>
  <c r="P121" i="42"/>
  <c r="AQ121" i="42" s="1"/>
  <c r="DG119" i="42"/>
  <c r="DH119" i="42" s="1"/>
  <c r="CT119" i="42"/>
  <c r="CR119" i="42"/>
  <c r="CP119" i="42"/>
  <c r="CK119" i="42"/>
  <c r="CL119" i="42" s="1"/>
  <c r="CN119" i="42" s="1"/>
  <c r="CC119" i="42"/>
  <c r="CF119" i="42" s="1"/>
  <c r="AR119" i="42"/>
  <c r="AL119" i="42"/>
  <c r="AG119" i="42" s="1"/>
  <c r="P119" i="42"/>
  <c r="AQ119" i="42" s="1"/>
  <c r="DG88" i="42"/>
  <c r="DH88" i="42" s="1"/>
  <c r="CT88" i="42"/>
  <c r="CR88" i="42"/>
  <c r="CP88" i="42"/>
  <c r="CK88" i="42"/>
  <c r="CL88" i="42" s="1"/>
  <c r="CN88" i="42" s="1"/>
  <c r="CC88" i="42"/>
  <c r="CF88" i="42" s="1"/>
  <c r="AR88" i="42"/>
  <c r="AL88" i="42"/>
  <c r="AG88" i="42" s="1"/>
  <c r="P88" i="42"/>
  <c r="DG120" i="42"/>
  <c r="DH120" i="42" s="1"/>
  <c r="CT120" i="42"/>
  <c r="CR120" i="42"/>
  <c r="CP120" i="42"/>
  <c r="CK120" i="42"/>
  <c r="CL120" i="42" s="1"/>
  <c r="CN120" i="42" s="1"/>
  <c r="CC120" i="42"/>
  <c r="CF120" i="42" s="1"/>
  <c r="AR120" i="42"/>
  <c r="AL120" i="42"/>
  <c r="AE120" i="42" s="1"/>
  <c r="BD120" i="42" s="1"/>
  <c r="BC120" i="42" s="1"/>
  <c r="P120" i="42"/>
  <c r="AQ120" i="42" s="1"/>
  <c r="DG118" i="42"/>
  <c r="DH118" i="42" s="1"/>
  <c r="CT118" i="42"/>
  <c r="CR118" i="42"/>
  <c r="CP118" i="42"/>
  <c r="CK118" i="42"/>
  <c r="CL118" i="42" s="1"/>
  <c r="CN118" i="42" s="1"/>
  <c r="CC118" i="42"/>
  <c r="CF118" i="42" s="1"/>
  <c r="AR118" i="42"/>
  <c r="AL118" i="42"/>
  <c r="AG118" i="42" s="1"/>
  <c r="P118" i="42"/>
  <c r="AQ118" i="42" s="1"/>
  <c r="DG116" i="42"/>
  <c r="DH116" i="42" s="1"/>
  <c r="CT116" i="42"/>
  <c r="CR116" i="42"/>
  <c r="CP116" i="42"/>
  <c r="CK116" i="42"/>
  <c r="CL116" i="42" s="1"/>
  <c r="CN116" i="42" s="1"/>
  <c r="CC116" i="42"/>
  <c r="CF116" i="42" s="1"/>
  <c r="AR116" i="42"/>
  <c r="AL116" i="42"/>
  <c r="AE116" i="42" s="1"/>
  <c r="BD116" i="42" s="1"/>
  <c r="BC116" i="42" s="1"/>
  <c r="P116" i="42"/>
  <c r="AQ116" i="42" s="1"/>
  <c r="DG117" i="42"/>
  <c r="DH117" i="42" s="1"/>
  <c r="CT117" i="42"/>
  <c r="CR117" i="42"/>
  <c r="CP117" i="42"/>
  <c r="CK117" i="42"/>
  <c r="CL117" i="42" s="1"/>
  <c r="CN117" i="42" s="1"/>
  <c r="CC117" i="42"/>
  <c r="CF117" i="42" s="1"/>
  <c r="AR117" i="42"/>
  <c r="AL117" i="42"/>
  <c r="AF117" i="42" s="1"/>
  <c r="AZ117" i="42" s="1"/>
  <c r="P117" i="42"/>
  <c r="DG85" i="42"/>
  <c r="DH85" i="42" s="1"/>
  <c r="CT85" i="42"/>
  <c r="CR85" i="42"/>
  <c r="CP85" i="42"/>
  <c r="CK85" i="42"/>
  <c r="CL85" i="42" s="1"/>
  <c r="CN85" i="42" s="1"/>
  <c r="CC85" i="42"/>
  <c r="CF85" i="42" s="1"/>
  <c r="AR85" i="42"/>
  <c r="AL85" i="42"/>
  <c r="P85" i="42"/>
  <c r="AQ85" i="42" s="1"/>
  <c r="DG84" i="42"/>
  <c r="DH84" i="42" s="1"/>
  <c r="CT84" i="42"/>
  <c r="CR84" i="42"/>
  <c r="CP84" i="42"/>
  <c r="CK84" i="42"/>
  <c r="CL84" i="42" s="1"/>
  <c r="CN84" i="42" s="1"/>
  <c r="CC84" i="42"/>
  <c r="CF84" i="42" s="1"/>
  <c r="AR84" i="42"/>
  <c r="AL84" i="42"/>
  <c r="AG84" i="42" s="1"/>
  <c r="P84" i="42"/>
  <c r="AQ84" i="42" s="1"/>
  <c r="DG86" i="42"/>
  <c r="DH86" i="42" s="1"/>
  <c r="CT86" i="42"/>
  <c r="CR86" i="42"/>
  <c r="CP86" i="42"/>
  <c r="CK86" i="42"/>
  <c r="CL86" i="42" s="1"/>
  <c r="CN86" i="42" s="1"/>
  <c r="CC86" i="42"/>
  <c r="CF86" i="42" s="1"/>
  <c r="AR86" i="42"/>
  <c r="AL86" i="42"/>
  <c r="AG86" i="42" s="1"/>
  <c r="P86" i="42"/>
  <c r="DG87" i="42"/>
  <c r="DH87" i="42" s="1"/>
  <c r="CT87" i="42"/>
  <c r="CR87" i="42"/>
  <c r="CP87" i="42"/>
  <c r="CK87" i="42"/>
  <c r="CL87" i="42" s="1"/>
  <c r="CN87" i="42" s="1"/>
  <c r="CC87" i="42"/>
  <c r="CF87" i="42" s="1"/>
  <c r="AR87" i="42"/>
  <c r="AL87" i="42"/>
  <c r="P87" i="42"/>
  <c r="DG38" i="42"/>
  <c r="DH38" i="42" s="1"/>
  <c r="CT38" i="42"/>
  <c r="CR38" i="42"/>
  <c r="CP38" i="42"/>
  <c r="CK38" i="42"/>
  <c r="CL38" i="42" s="1"/>
  <c r="CN38" i="42" s="1"/>
  <c r="CC38" i="42"/>
  <c r="CF38" i="42" s="1"/>
  <c r="AR38" i="42"/>
  <c r="AL38" i="42"/>
  <c r="AF38" i="42" s="1"/>
  <c r="AZ38" i="42" s="1"/>
  <c r="P38" i="42"/>
  <c r="AQ38" i="42" s="1"/>
  <c r="DG45" i="42"/>
  <c r="DH45" i="42" s="1"/>
  <c r="CT45" i="42"/>
  <c r="CR45" i="42"/>
  <c r="CP45" i="42"/>
  <c r="CK45" i="42"/>
  <c r="CL45" i="42" s="1"/>
  <c r="CN45" i="42" s="1"/>
  <c r="CC45" i="42"/>
  <c r="CF45" i="42" s="1"/>
  <c r="AR45" i="42"/>
  <c r="AL45" i="42"/>
  <c r="AF45" i="42" s="1"/>
  <c r="AZ45" i="42" s="1"/>
  <c r="DE45" i="42" s="1"/>
  <c r="P45" i="42"/>
  <c r="AQ45" i="42" s="1"/>
  <c r="DG41" i="42"/>
  <c r="DH41" i="42" s="1"/>
  <c r="CT41" i="42"/>
  <c r="CR41" i="42"/>
  <c r="CP41" i="42"/>
  <c r="CK41" i="42"/>
  <c r="CL41" i="42" s="1"/>
  <c r="CN41" i="42" s="1"/>
  <c r="CC41" i="42"/>
  <c r="CF41" i="42" s="1"/>
  <c r="AR41" i="42"/>
  <c r="AL41" i="42"/>
  <c r="AF41" i="42" s="1"/>
  <c r="AZ41" i="42" s="1"/>
  <c r="P41" i="42"/>
  <c r="AQ41" i="42" s="1"/>
  <c r="DG53" i="42"/>
  <c r="DH53" i="42" s="1"/>
  <c r="CT53" i="42"/>
  <c r="CR53" i="42"/>
  <c r="CP53" i="42"/>
  <c r="CK53" i="42"/>
  <c r="CL53" i="42" s="1"/>
  <c r="CN53" i="42" s="1"/>
  <c r="CC53" i="42"/>
  <c r="CF53" i="42" s="1"/>
  <c r="AR53" i="42"/>
  <c r="AL53" i="42"/>
  <c r="P53" i="42"/>
  <c r="AQ53" i="42" s="1"/>
  <c r="DG93" i="42"/>
  <c r="DH93" i="42" s="1"/>
  <c r="CT93" i="42"/>
  <c r="CR93" i="42"/>
  <c r="CP93" i="42"/>
  <c r="CK93" i="42"/>
  <c r="CL93" i="42" s="1"/>
  <c r="CN93" i="42" s="1"/>
  <c r="CC93" i="42"/>
  <c r="CF93" i="42" s="1"/>
  <c r="AR93" i="42"/>
  <c r="AL93" i="42"/>
  <c r="P93" i="42"/>
  <c r="AQ93" i="42" s="1"/>
  <c r="DG103" i="42"/>
  <c r="DH103" i="42" s="1"/>
  <c r="CT103" i="42"/>
  <c r="CR103" i="42"/>
  <c r="CP103" i="42"/>
  <c r="CK103" i="42"/>
  <c r="CL103" i="42" s="1"/>
  <c r="CN103" i="42" s="1"/>
  <c r="CC103" i="42"/>
  <c r="CF103" i="42" s="1"/>
  <c r="AR103" i="42"/>
  <c r="AL103" i="42"/>
  <c r="P103" i="42"/>
  <c r="AQ103" i="42" s="1"/>
  <c r="DG97" i="42"/>
  <c r="DH97" i="42" s="1"/>
  <c r="CT97" i="42"/>
  <c r="CR97" i="42"/>
  <c r="CP97" i="42"/>
  <c r="CK97" i="42"/>
  <c r="CL97" i="42" s="1"/>
  <c r="CN97" i="42" s="1"/>
  <c r="CC97" i="42"/>
  <c r="CF97" i="42" s="1"/>
  <c r="AR97" i="42"/>
  <c r="AL97" i="42"/>
  <c r="P97" i="42"/>
  <c r="AQ97" i="42" s="1"/>
  <c r="DG99" i="42"/>
  <c r="DH99" i="42" s="1"/>
  <c r="CT99" i="42"/>
  <c r="CR99" i="42"/>
  <c r="CP99" i="42"/>
  <c r="CK99" i="42"/>
  <c r="CL99" i="42" s="1"/>
  <c r="CN99" i="42" s="1"/>
  <c r="CC99" i="42"/>
  <c r="CF99" i="42" s="1"/>
  <c r="AR99" i="42"/>
  <c r="AL99" i="42"/>
  <c r="P99" i="42"/>
  <c r="AQ99" i="42" s="1"/>
  <c r="DG98" i="42"/>
  <c r="DH98" i="42" s="1"/>
  <c r="CT98" i="42"/>
  <c r="CR98" i="42"/>
  <c r="CP98" i="42"/>
  <c r="CK98" i="42"/>
  <c r="CL98" i="42" s="1"/>
  <c r="CN98" i="42" s="1"/>
  <c r="CC98" i="42"/>
  <c r="CF98" i="42" s="1"/>
  <c r="AR98" i="42"/>
  <c r="AL98" i="42"/>
  <c r="AG98" i="42" s="1"/>
  <c r="P98" i="42"/>
  <c r="DG100" i="42"/>
  <c r="DH100" i="42" s="1"/>
  <c r="CT100" i="42"/>
  <c r="CR100" i="42"/>
  <c r="CP100" i="42"/>
  <c r="CK100" i="42"/>
  <c r="CL100" i="42" s="1"/>
  <c r="CN100" i="42" s="1"/>
  <c r="CC100" i="42"/>
  <c r="CF100" i="42" s="1"/>
  <c r="AR100" i="42"/>
  <c r="AL100" i="42"/>
  <c r="AG100" i="42" s="1"/>
  <c r="P100" i="42"/>
  <c r="AQ100" i="42" s="1"/>
  <c r="DG95" i="42"/>
  <c r="DH95" i="42" s="1"/>
  <c r="CT95" i="42"/>
  <c r="CR95" i="42"/>
  <c r="CP95" i="42"/>
  <c r="CK95" i="42"/>
  <c r="CL95" i="42" s="1"/>
  <c r="CN95" i="42" s="1"/>
  <c r="CC95" i="42"/>
  <c r="CF95" i="42" s="1"/>
  <c r="AR95" i="42"/>
  <c r="AL95" i="42"/>
  <c r="AE95" i="42" s="1"/>
  <c r="BD95" i="42" s="1"/>
  <c r="BC95" i="42" s="1"/>
  <c r="P95" i="42"/>
  <c r="AQ95" i="42" s="1"/>
  <c r="DG94" i="42"/>
  <c r="DH94" i="42" s="1"/>
  <c r="CT94" i="42"/>
  <c r="CR94" i="42"/>
  <c r="CP94" i="42"/>
  <c r="CK94" i="42"/>
  <c r="CL94" i="42" s="1"/>
  <c r="CN94" i="42" s="1"/>
  <c r="CC94" i="42"/>
  <c r="CF94" i="42" s="1"/>
  <c r="AR94" i="42"/>
  <c r="AL94" i="42"/>
  <c r="AF94" i="42" s="1"/>
  <c r="AZ94" i="42" s="1"/>
  <c r="P94" i="42"/>
  <c r="AQ94" i="42" s="1"/>
  <c r="DG92" i="42"/>
  <c r="DH92" i="42" s="1"/>
  <c r="CT92" i="42"/>
  <c r="CR92" i="42"/>
  <c r="CP92" i="42"/>
  <c r="CK92" i="42"/>
  <c r="CL92" i="42" s="1"/>
  <c r="CN92" i="42" s="1"/>
  <c r="CC92" i="42"/>
  <c r="CF92" i="42" s="1"/>
  <c r="AR92" i="42"/>
  <c r="AL92" i="42"/>
  <c r="AF92" i="42" s="1"/>
  <c r="AZ92" i="42" s="1"/>
  <c r="P92" i="42"/>
  <c r="DG102" i="42"/>
  <c r="DH102" i="42" s="1"/>
  <c r="CT102" i="42"/>
  <c r="CR102" i="42"/>
  <c r="CP102" i="42"/>
  <c r="CK102" i="42"/>
  <c r="CL102" i="42" s="1"/>
  <c r="CN102" i="42" s="1"/>
  <c r="CC102" i="42"/>
  <c r="CF102" i="42" s="1"/>
  <c r="AR102" i="42"/>
  <c r="AL102" i="42"/>
  <c r="P102" i="42"/>
  <c r="DG79" i="42"/>
  <c r="DH79" i="42" s="1"/>
  <c r="CT79" i="42"/>
  <c r="CR79" i="42"/>
  <c r="CP79" i="42"/>
  <c r="CK79" i="42"/>
  <c r="CL79" i="42" s="1"/>
  <c r="CN79" i="42" s="1"/>
  <c r="CC79" i="42"/>
  <c r="CF79" i="42" s="1"/>
  <c r="AR79" i="42"/>
  <c r="AL79" i="42"/>
  <c r="AF79" i="42" s="1"/>
  <c r="AZ79" i="42" s="1"/>
  <c r="P79" i="42"/>
  <c r="AQ79" i="42" s="1"/>
  <c r="DG78" i="42"/>
  <c r="DH78" i="42" s="1"/>
  <c r="CT78" i="42"/>
  <c r="CR78" i="42"/>
  <c r="CP78" i="42"/>
  <c r="CK78" i="42"/>
  <c r="CL78" i="42" s="1"/>
  <c r="CN78" i="42" s="1"/>
  <c r="CC78" i="42"/>
  <c r="CF78" i="42" s="1"/>
  <c r="AR78" i="42"/>
  <c r="AL78" i="42"/>
  <c r="AE78" i="42" s="1"/>
  <c r="BD78" i="42" s="1"/>
  <c r="P78" i="42"/>
  <c r="DG81" i="42"/>
  <c r="DH81" i="42" s="1"/>
  <c r="CT81" i="42"/>
  <c r="CR81" i="42"/>
  <c r="CP81" i="42"/>
  <c r="CK81" i="42"/>
  <c r="CL81" i="42" s="1"/>
  <c r="CN81" i="42" s="1"/>
  <c r="CC81" i="42"/>
  <c r="CF81" i="42" s="1"/>
  <c r="AR81" i="42"/>
  <c r="AL81" i="42"/>
  <c r="P81" i="42"/>
  <c r="DG80" i="42"/>
  <c r="DH80" i="42" s="1"/>
  <c r="CT80" i="42"/>
  <c r="CR80" i="42"/>
  <c r="CP80" i="42"/>
  <c r="CK80" i="42"/>
  <c r="CL80" i="42" s="1"/>
  <c r="CN80" i="42" s="1"/>
  <c r="CC80" i="42"/>
  <c r="CF80" i="42" s="1"/>
  <c r="AR80" i="42"/>
  <c r="AL80" i="42"/>
  <c r="P80" i="42"/>
  <c r="DG23" i="42"/>
  <c r="DH23" i="42" s="1"/>
  <c r="CT23" i="42"/>
  <c r="CR23" i="42"/>
  <c r="CP23" i="42"/>
  <c r="CK23" i="42"/>
  <c r="CL23" i="42" s="1"/>
  <c r="CN23" i="42" s="1"/>
  <c r="CC23" i="42"/>
  <c r="CF23" i="42" s="1"/>
  <c r="AR23" i="42"/>
  <c r="AL23" i="42"/>
  <c r="AG23" i="42" s="1"/>
  <c r="P23" i="42"/>
  <c r="AQ23" i="42" s="1"/>
  <c r="DG44" i="42"/>
  <c r="DH44" i="42" s="1"/>
  <c r="CT44" i="42"/>
  <c r="CR44" i="42"/>
  <c r="CP44" i="42"/>
  <c r="CK44" i="42"/>
  <c r="CL44" i="42" s="1"/>
  <c r="CN44" i="42" s="1"/>
  <c r="CC44" i="42"/>
  <c r="CF44" i="42" s="1"/>
  <c r="AR44" i="42"/>
  <c r="AL44" i="42"/>
  <c r="AF44" i="42" s="1"/>
  <c r="AZ44" i="42" s="1"/>
  <c r="P44" i="42"/>
  <c r="DG52" i="42"/>
  <c r="DH52" i="42" s="1"/>
  <c r="CT52" i="42"/>
  <c r="CR52" i="42"/>
  <c r="CP52" i="42"/>
  <c r="CK52" i="42"/>
  <c r="CL52" i="42" s="1"/>
  <c r="CN52" i="42" s="1"/>
  <c r="CC52" i="42"/>
  <c r="CF52" i="42" s="1"/>
  <c r="AR52" i="42"/>
  <c r="AL52" i="42"/>
  <c r="P52" i="42"/>
  <c r="DG39" i="42"/>
  <c r="DH39" i="42" s="1"/>
  <c r="CT39" i="42"/>
  <c r="CR39" i="42"/>
  <c r="CP39" i="42"/>
  <c r="CK39" i="42"/>
  <c r="CL39" i="42" s="1"/>
  <c r="CN39" i="42" s="1"/>
  <c r="CC39" i="42"/>
  <c r="CF39" i="42" s="1"/>
  <c r="AR39" i="42"/>
  <c r="AL39" i="42"/>
  <c r="AG39" i="42" s="1"/>
  <c r="P39" i="42"/>
  <c r="AQ39" i="42" s="1"/>
  <c r="DG31" i="42"/>
  <c r="DH31" i="42" s="1"/>
  <c r="CT31" i="42"/>
  <c r="CR31" i="42"/>
  <c r="CP31" i="42"/>
  <c r="CK31" i="42"/>
  <c r="CL31" i="42" s="1"/>
  <c r="CN31" i="42" s="1"/>
  <c r="CC31" i="42"/>
  <c r="CF31" i="42" s="1"/>
  <c r="AR31" i="42"/>
  <c r="AL31" i="42"/>
  <c r="P31" i="42"/>
  <c r="AQ31" i="42" s="1"/>
  <c r="DG67" i="42"/>
  <c r="DH67" i="42" s="1"/>
  <c r="CT67" i="42"/>
  <c r="CR67" i="42"/>
  <c r="CP67" i="42"/>
  <c r="CK67" i="42"/>
  <c r="CL67" i="42" s="1"/>
  <c r="CN67" i="42" s="1"/>
  <c r="CC67" i="42"/>
  <c r="CF67" i="42" s="1"/>
  <c r="AR67" i="42"/>
  <c r="AL67" i="42"/>
  <c r="AG67" i="42" s="1"/>
  <c r="P67" i="42"/>
  <c r="AQ67" i="42" s="1"/>
  <c r="DG26" i="42"/>
  <c r="DH26" i="42" s="1"/>
  <c r="CT26" i="42"/>
  <c r="CR26" i="42"/>
  <c r="CP26" i="42"/>
  <c r="CK26" i="42"/>
  <c r="CL26" i="42" s="1"/>
  <c r="CN26" i="42" s="1"/>
  <c r="CC26" i="42"/>
  <c r="CF26" i="42" s="1"/>
  <c r="AR26" i="42"/>
  <c r="AL26" i="42"/>
  <c r="AE26" i="42" s="1"/>
  <c r="BD26" i="42" s="1"/>
  <c r="BC26" i="42" s="1"/>
  <c r="P26" i="42"/>
  <c r="DG46" i="42"/>
  <c r="DH46" i="42" s="1"/>
  <c r="CT46" i="42"/>
  <c r="CR46" i="42"/>
  <c r="CP46" i="42"/>
  <c r="CK46" i="42"/>
  <c r="CL46" i="42" s="1"/>
  <c r="CN46" i="42" s="1"/>
  <c r="CC46" i="42"/>
  <c r="CF46" i="42" s="1"/>
  <c r="AR46" i="42"/>
  <c r="AL46" i="42"/>
  <c r="AG46" i="42" s="1"/>
  <c r="P46" i="42"/>
  <c r="DG42" i="42"/>
  <c r="DH42" i="42" s="1"/>
  <c r="CT42" i="42"/>
  <c r="CR42" i="42"/>
  <c r="CP42" i="42"/>
  <c r="CK42" i="42"/>
  <c r="CL42" i="42" s="1"/>
  <c r="CN42" i="42" s="1"/>
  <c r="CC42" i="42"/>
  <c r="CF42" i="42" s="1"/>
  <c r="AR42" i="42"/>
  <c r="AL42" i="42"/>
  <c r="P42" i="42"/>
  <c r="DG47" i="42"/>
  <c r="DH47" i="42" s="1"/>
  <c r="CT47" i="42"/>
  <c r="CR47" i="42"/>
  <c r="CP47" i="42"/>
  <c r="CK47" i="42"/>
  <c r="CL47" i="42" s="1"/>
  <c r="CN47" i="42" s="1"/>
  <c r="CC47" i="42"/>
  <c r="CF47" i="42" s="1"/>
  <c r="AR47" i="42"/>
  <c r="AL47" i="42"/>
  <c r="AG47" i="42" s="1"/>
  <c r="P47" i="42"/>
  <c r="DG25" i="42"/>
  <c r="DH25" i="42" s="1"/>
  <c r="CT25" i="42"/>
  <c r="CR25" i="42"/>
  <c r="CP25" i="42"/>
  <c r="CK25" i="42"/>
  <c r="CL25" i="42" s="1"/>
  <c r="CN25" i="42" s="1"/>
  <c r="CC25" i="42"/>
  <c r="CF25" i="42" s="1"/>
  <c r="AR25" i="42"/>
  <c r="AL25" i="42"/>
  <c r="AE25" i="42" s="1"/>
  <c r="P25" i="42"/>
  <c r="DG21" i="42"/>
  <c r="DH21" i="42" s="1"/>
  <c r="CT21" i="42"/>
  <c r="CR21" i="42"/>
  <c r="CP21" i="42"/>
  <c r="CK21" i="42"/>
  <c r="CL21" i="42" s="1"/>
  <c r="CN21" i="42" s="1"/>
  <c r="CC21" i="42"/>
  <c r="CF21" i="42" s="1"/>
  <c r="AR21" i="42"/>
  <c r="AL21" i="42"/>
  <c r="P21" i="42"/>
  <c r="DG107" i="42"/>
  <c r="DH107" i="42" s="1"/>
  <c r="CT107" i="42"/>
  <c r="CR107" i="42"/>
  <c r="CP107" i="42"/>
  <c r="CK107" i="42"/>
  <c r="CL107" i="42" s="1"/>
  <c r="CN107" i="42" s="1"/>
  <c r="CC107" i="42"/>
  <c r="CF107" i="42" s="1"/>
  <c r="AR107" i="42"/>
  <c r="AL107" i="42"/>
  <c r="AE107" i="42" s="1"/>
  <c r="BD107" i="42" s="1"/>
  <c r="BC107" i="42" s="1"/>
  <c r="P107" i="42"/>
  <c r="AQ107" i="42" s="1"/>
  <c r="DG74" i="42"/>
  <c r="DH74" i="42" s="1"/>
  <c r="CT74" i="42"/>
  <c r="CR74" i="42"/>
  <c r="CP74" i="42"/>
  <c r="CK74" i="42"/>
  <c r="CL74" i="42" s="1"/>
  <c r="CN74" i="42" s="1"/>
  <c r="CC74" i="42"/>
  <c r="CF74" i="42" s="1"/>
  <c r="AR74" i="42"/>
  <c r="AL74" i="42"/>
  <c r="AG74" i="42" s="1"/>
  <c r="P74" i="42"/>
  <c r="DG73" i="42"/>
  <c r="DH73" i="42" s="1"/>
  <c r="CT73" i="42"/>
  <c r="CR73" i="42"/>
  <c r="CP73" i="42"/>
  <c r="CK73" i="42"/>
  <c r="CL73" i="42" s="1"/>
  <c r="CN73" i="42" s="1"/>
  <c r="CC73" i="42"/>
  <c r="CF73" i="42" s="1"/>
  <c r="AR73" i="42"/>
  <c r="AL73" i="42"/>
  <c r="P73" i="42"/>
  <c r="AQ73" i="42" s="1"/>
  <c r="DG60" i="42"/>
  <c r="DH60" i="42" s="1"/>
  <c r="CT60" i="42"/>
  <c r="CR60" i="42"/>
  <c r="CP60" i="42"/>
  <c r="CK60" i="42"/>
  <c r="CL60" i="42" s="1"/>
  <c r="CN60" i="42" s="1"/>
  <c r="CC60" i="42"/>
  <c r="CF60" i="42" s="1"/>
  <c r="AR60" i="42"/>
  <c r="AL60" i="42"/>
  <c r="AE60" i="42" s="1"/>
  <c r="BD60" i="42" s="1"/>
  <c r="BC60" i="42" s="1"/>
  <c r="P60" i="42"/>
  <c r="AQ60" i="42" s="1"/>
  <c r="DG71" i="42"/>
  <c r="DH71" i="42" s="1"/>
  <c r="CT71" i="42"/>
  <c r="CR71" i="42"/>
  <c r="CP71" i="42"/>
  <c r="CK71" i="42"/>
  <c r="CL71" i="42" s="1"/>
  <c r="CN71" i="42" s="1"/>
  <c r="CC71" i="42"/>
  <c r="CF71" i="42" s="1"/>
  <c r="AR71" i="42"/>
  <c r="AL71" i="42"/>
  <c r="AF71" i="42" s="1"/>
  <c r="AZ71" i="42" s="1"/>
  <c r="P71" i="42"/>
  <c r="DG82" i="42"/>
  <c r="DH82" i="42" s="1"/>
  <c r="CT82" i="42"/>
  <c r="CR82" i="42"/>
  <c r="CP82" i="42"/>
  <c r="CK82" i="42"/>
  <c r="CL82" i="42" s="1"/>
  <c r="CN82" i="42" s="1"/>
  <c r="CC82" i="42"/>
  <c r="CF82" i="42" s="1"/>
  <c r="AR82" i="42"/>
  <c r="AL82" i="42"/>
  <c r="P82" i="42"/>
  <c r="AQ82" i="42" s="1"/>
  <c r="DG68" i="42"/>
  <c r="DH68" i="42" s="1"/>
  <c r="CT68" i="42"/>
  <c r="CR68" i="42"/>
  <c r="CP68" i="42"/>
  <c r="CK68" i="42"/>
  <c r="CL68" i="42" s="1"/>
  <c r="CN68" i="42" s="1"/>
  <c r="CC68" i="42"/>
  <c r="CF68" i="42" s="1"/>
  <c r="AR68" i="42"/>
  <c r="AL68" i="42"/>
  <c r="AG68" i="42" s="1"/>
  <c r="P68" i="42"/>
  <c r="DG66" i="42"/>
  <c r="DH66" i="42" s="1"/>
  <c r="CT66" i="42"/>
  <c r="CR66" i="42"/>
  <c r="CP66" i="42"/>
  <c r="CK66" i="42"/>
  <c r="CL66" i="42" s="1"/>
  <c r="CN66" i="42" s="1"/>
  <c r="CC66" i="42"/>
  <c r="CF66" i="42" s="1"/>
  <c r="AR66" i="42"/>
  <c r="AL66" i="42"/>
  <c r="AF66" i="42" s="1"/>
  <c r="AZ66" i="42" s="1"/>
  <c r="P66" i="42"/>
  <c r="AQ66" i="42" s="1"/>
  <c r="DG58" i="42"/>
  <c r="DH58" i="42" s="1"/>
  <c r="CT58" i="42"/>
  <c r="CR58" i="42"/>
  <c r="CP58" i="42"/>
  <c r="CK58" i="42"/>
  <c r="CL58" i="42" s="1"/>
  <c r="CN58" i="42" s="1"/>
  <c r="CC58" i="42"/>
  <c r="CF58" i="42" s="1"/>
  <c r="AR58" i="42"/>
  <c r="AL58" i="42"/>
  <c r="AG58" i="42" s="1"/>
  <c r="P58" i="42"/>
  <c r="DG72" i="42"/>
  <c r="DH72" i="42" s="1"/>
  <c r="CT72" i="42"/>
  <c r="CR72" i="42"/>
  <c r="CP72" i="42"/>
  <c r="CK72" i="42"/>
  <c r="CL72" i="42" s="1"/>
  <c r="CN72" i="42" s="1"/>
  <c r="CC72" i="42"/>
  <c r="CF72" i="42" s="1"/>
  <c r="AR72" i="42"/>
  <c r="AL72" i="42"/>
  <c r="AG72" i="42" s="1"/>
  <c r="P72" i="42"/>
  <c r="DG57" i="42"/>
  <c r="DH57" i="42" s="1"/>
  <c r="CT57" i="42"/>
  <c r="CR57" i="42"/>
  <c r="CP57" i="42"/>
  <c r="CK57" i="42"/>
  <c r="CL57" i="42" s="1"/>
  <c r="CN57" i="42" s="1"/>
  <c r="CC57" i="42"/>
  <c r="CF57" i="42" s="1"/>
  <c r="AR57" i="42"/>
  <c r="AL57" i="42"/>
  <c r="AE57" i="42" s="1"/>
  <c r="BD57" i="42" s="1"/>
  <c r="BC57" i="42" s="1"/>
  <c r="P57" i="42"/>
  <c r="DG61" i="42"/>
  <c r="DH61" i="42" s="1"/>
  <c r="CT61" i="42"/>
  <c r="CR61" i="42"/>
  <c r="CP61" i="42"/>
  <c r="CK61" i="42"/>
  <c r="CL61" i="42" s="1"/>
  <c r="CN61" i="42" s="1"/>
  <c r="CC61" i="42"/>
  <c r="CF61" i="42" s="1"/>
  <c r="AR61" i="42"/>
  <c r="AL61" i="42"/>
  <c r="P61" i="42"/>
  <c r="DG56" i="42"/>
  <c r="DH56" i="42" s="1"/>
  <c r="CT56" i="42"/>
  <c r="CR56" i="42"/>
  <c r="CP56" i="42"/>
  <c r="CK56" i="42"/>
  <c r="CL56" i="42" s="1"/>
  <c r="CN56" i="42" s="1"/>
  <c r="CC56" i="42"/>
  <c r="CF56" i="42" s="1"/>
  <c r="AR56" i="42"/>
  <c r="AL56" i="42"/>
  <c r="AG56" i="42" s="1"/>
  <c r="P56" i="42"/>
  <c r="AQ56" i="42" s="1"/>
  <c r="DG59" i="42"/>
  <c r="DH59" i="42" s="1"/>
  <c r="CT59" i="42"/>
  <c r="CR59" i="42"/>
  <c r="CP59" i="42"/>
  <c r="CK59" i="42"/>
  <c r="CL59" i="42" s="1"/>
  <c r="CN59" i="42" s="1"/>
  <c r="CC59" i="42"/>
  <c r="CF59" i="42" s="1"/>
  <c r="AR59" i="42"/>
  <c r="AL59" i="42"/>
  <c r="AF59" i="42" s="1"/>
  <c r="AZ59" i="42" s="1"/>
  <c r="P59" i="42"/>
  <c r="AQ59" i="42" s="1"/>
  <c r="DG70" i="42"/>
  <c r="DH70" i="42" s="1"/>
  <c r="CT70" i="42"/>
  <c r="CR70" i="42"/>
  <c r="CP70" i="42"/>
  <c r="CK70" i="42"/>
  <c r="CL70" i="42" s="1"/>
  <c r="CN70" i="42" s="1"/>
  <c r="CC70" i="42"/>
  <c r="CF70" i="42" s="1"/>
  <c r="AR70" i="42"/>
  <c r="AL70" i="42"/>
  <c r="AE70" i="42" s="1"/>
  <c r="BD70" i="42" s="1"/>
  <c r="BC70" i="42" s="1"/>
  <c r="P70" i="42"/>
  <c r="AQ70" i="42" s="1"/>
  <c r="DG20" i="42"/>
  <c r="DH20" i="42" s="1"/>
  <c r="CT20" i="42"/>
  <c r="CR20" i="42"/>
  <c r="CP20" i="42"/>
  <c r="CK20" i="42"/>
  <c r="CL20" i="42" s="1"/>
  <c r="CN20" i="42" s="1"/>
  <c r="CC20" i="42"/>
  <c r="CF20" i="42" s="1"/>
  <c r="AR20" i="42"/>
  <c r="AL20" i="42"/>
  <c r="AF20" i="42" s="1"/>
  <c r="AZ20" i="42" s="1"/>
  <c r="P20" i="42"/>
  <c r="AQ20" i="42" s="1"/>
  <c r="DG111" i="42"/>
  <c r="DH111" i="42" s="1"/>
  <c r="CT111" i="42"/>
  <c r="CR111" i="42"/>
  <c r="CP111" i="42"/>
  <c r="CK111" i="42"/>
  <c r="CL111" i="42" s="1"/>
  <c r="CN111" i="42" s="1"/>
  <c r="CC111" i="42"/>
  <c r="CF111" i="42" s="1"/>
  <c r="AR111" i="42"/>
  <c r="AL111" i="42"/>
  <c r="P111" i="42"/>
  <c r="AQ111" i="42" s="1"/>
  <c r="DG109" i="42"/>
  <c r="DH109" i="42" s="1"/>
  <c r="CT109" i="42"/>
  <c r="CR109" i="42"/>
  <c r="CP109" i="42"/>
  <c r="CK109" i="42"/>
  <c r="CL109" i="42" s="1"/>
  <c r="CN109" i="42" s="1"/>
  <c r="CC109" i="42"/>
  <c r="CF109" i="42" s="1"/>
  <c r="AR109" i="42"/>
  <c r="AL109" i="42"/>
  <c r="AF109" i="42" s="1"/>
  <c r="AZ109" i="42" s="1"/>
  <c r="P109" i="42"/>
  <c r="AQ109" i="42" s="1"/>
  <c r="DG91" i="42"/>
  <c r="DH91" i="42" s="1"/>
  <c r="CT91" i="42"/>
  <c r="CR91" i="42"/>
  <c r="CP91" i="42"/>
  <c r="CK91" i="42"/>
  <c r="CL91" i="42" s="1"/>
  <c r="CN91" i="42" s="1"/>
  <c r="CC91" i="42"/>
  <c r="CF91" i="42" s="1"/>
  <c r="AR91" i="42"/>
  <c r="AL91" i="42"/>
  <c r="AF91" i="42" s="1"/>
  <c r="AZ91" i="42" s="1"/>
  <c r="P91" i="42"/>
  <c r="AQ91" i="42" s="1"/>
  <c r="DG89" i="42"/>
  <c r="DH89" i="42" s="1"/>
  <c r="CT89" i="42"/>
  <c r="CR89" i="42"/>
  <c r="CP89" i="42"/>
  <c r="CK89" i="42"/>
  <c r="CL89" i="42" s="1"/>
  <c r="CN89" i="42" s="1"/>
  <c r="CC89" i="42"/>
  <c r="CF89" i="42" s="1"/>
  <c r="AR89" i="42"/>
  <c r="AL89" i="42"/>
  <c r="AG89" i="42" s="1"/>
  <c r="P89" i="42"/>
  <c r="DG43" i="42"/>
  <c r="DH43" i="42" s="1"/>
  <c r="CT43" i="42"/>
  <c r="CR43" i="42"/>
  <c r="CP43" i="42"/>
  <c r="CK43" i="42"/>
  <c r="CL43" i="42" s="1"/>
  <c r="CN43" i="42" s="1"/>
  <c r="CC43" i="42"/>
  <c r="CF43" i="42" s="1"/>
  <c r="AR43" i="42"/>
  <c r="AL43" i="42"/>
  <c r="AG43" i="42" s="1"/>
  <c r="P43" i="42"/>
  <c r="AQ43" i="42" s="1"/>
  <c r="DG27" i="42"/>
  <c r="DH27" i="42" s="1"/>
  <c r="CT27" i="42"/>
  <c r="CR27" i="42"/>
  <c r="CP27" i="42"/>
  <c r="CK27" i="42"/>
  <c r="CL27" i="42" s="1"/>
  <c r="CN27" i="42" s="1"/>
  <c r="CC27" i="42"/>
  <c r="CF27" i="42" s="1"/>
  <c r="AR27" i="42"/>
  <c r="AL27" i="42"/>
  <c r="AG27" i="42" s="1"/>
  <c r="P27" i="42"/>
  <c r="DG63" i="42"/>
  <c r="DH63" i="42" s="1"/>
  <c r="CT63" i="42"/>
  <c r="CR63" i="42"/>
  <c r="CP63" i="42"/>
  <c r="CK63" i="42"/>
  <c r="CL63" i="42" s="1"/>
  <c r="CN63" i="42" s="1"/>
  <c r="CC63" i="42"/>
  <c r="CF63" i="42" s="1"/>
  <c r="AR63" i="42"/>
  <c r="AL63" i="42"/>
  <c r="AE63" i="42" s="1"/>
  <c r="BD63" i="42" s="1"/>
  <c r="BC63" i="42" s="1"/>
  <c r="P63" i="42"/>
  <c r="DG30" i="42"/>
  <c r="DH30" i="42" s="1"/>
  <c r="CT30" i="42"/>
  <c r="CR30" i="42"/>
  <c r="CP30" i="42"/>
  <c r="CK30" i="42"/>
  <c r="CL30" i="42" s="1"/>
  <c r="CN30" i="42" s="1"/>
  <c r="CC30" i="42"/>
  <c r="CF30" i="42" s="1"/>
  <c r="AR30" i="42"/>
  <c r="AL30" i="42"/>
  <c r="P30" i="42"/>
  <c r="DG65" i="42"/>
  <c r="DH65" i="42" s="1"/>
  <c r="CT65" i="42"/>
  <c r="CR65" i="42"/>
  <c r="CP65" i="42"/>
  <c r="CK65" i="42"/>
  <c r="CL65" i="42" s="1"/>
  <c r="CN65" i="42" s="1"/>
  <c r="CC65" i="42"/>
  <c r="CF65" i="42" s="1"/>
  <c r="AR65" i="42"/>
  <c r="AL65" i="42"/>
  <c r="AF65" i="42" s="1"/>
  <c r="AZ65" i="42" s="1"/>
  <c r="P65" i="42"/>
  <c r="AQ65" i="42" s="1"/>
  <c r="DG105" i="42"/>
  <c r="DH105" i="42" s="1"/>
  <c r="CT105" i="42"/>
  <c r="CR105" i="42"/>
  <c r="CP105" i="42"/>
  <c r="CK105" i="42"/>
  <c r="CL105" i="42" s="1"/>
  <c r="CN105" i="42" s="1"/>
  <c r="CC105" i="42"/>
  <c r="CF105" i="42" s="1"/>
  <c r="AR105" i="42"/>
  <c r="AL105" i="42"/>
  <c r="AG105" i="42" s="1"/>
  <c r="P105" i="42"/>
  <c r="AQ105" i="42" s="1"/>
  <c r="DG64" i="42"/>
  <c r="DH64" i="42" s="1"/>
  <c r="CT64" i="42"/>
  <c r="CR64" i="42"/>
  <c r="CP64" i="42"/>
  <c r="CK64" i="42"/>
  <c r="CL64" i="42" s="1"/>
  <c r="CN64" i="42" s="1"/>
  <c r="CC64" i="42"/>
  <c r="CF64" i="42" s="1"/>
  <c r="AR64" i="42"/>
  <c r="AL64" i="42"/>
  <c r="P64" i="42"/>
  <c r="AQ64" i="42" s="1"/>
  <c r="DG83" i="42"/>
  <c r="DH83" i="42" s="1"/>
  <c r="CT83" i="42"/>
  <c r="CR83" i="42"/>
  <c r="CP83" i="42"/>
  <c r="CK83" i="42"/>
  <c r="CL83" i="42" s="1"/>
  <c r="CN83" i="42" s="1"/>
  <c r="CC83" i="42"/>
  <c r="CF83" i="42" s="1"/>
  <c r="AR83" i="42"/>
  <c r="AL83" i="42"/>
  <c r="AF83" i="42" s="1"/>
  <c r="AZ83" i="42" s="1"/>
  <c r="P83" i="42"/>
  <c r="DG28" i="42"/>
  <c r="DH28" i="42" s="1"/>
  <c r="CT28" i="42"/>
  <c r="CR28" i="42"/>
  <c r="CP28" i="42"/>
  <c r="CK28" i="42"/>
  <c r="CL28" i="42" s="1"/>
  <c r="CN28" i="42" s="1"/>
  <c r="CC28" i="42"/>
  <c r="CF28" i="42" s="1"/>
  <c r="AR28" i="42"/>
  <c r="AL28" i="42"/>
  <c r="AG28" i="42" s="1"/>
  <c r="P28" i="42"/>
  <c r="DG77" i="42"/>
  <c r="DH77" i="42" s="1"/>
  <c r="CT77" i="42"/>
  <c r="CR77" i="42"/>
  <c r="CP77" i="42"/>
  <c r="CK77" i="42"/>
  <c r="CL77" i="42" s="1"/>
  <c r="CN77" i="42" s="1"/>
  <c r="CC77" i="42"/>
  <c r="CF77" i="42" s="1"/>
  <c r="AR77" i="42"/>
  <c r="AL77" i="42"/>
  <c r="P77" i="42"/>
  <c r="AQ77" i="42" s="1"/>
  <c r="DG76" i="42"/>
  <c r="DH76" i="42" s="1"/>
  <c r="CT76" i="42"/>
  <c r="CR76" i="42"/>
  <c r="CP76" i="42"/>
  <c r="CK76" i="42"/>
  <c r="CL76" i="42" s="1"/>
  <c r="CN76" i="42" s="1"/>
  <c r="CC76" i="42"/>
  <c r="CF76" i="42" s="1"/>
  <c r="AR76" i="42"/>
  <c r="AL76" i="42"/>
  <c r="P76" i="42"/>
  <c r="AQ76" i="42" s="1"/>
  <c r="DG90" i="42"/>
  <c r="DH90" i="42" s="1"/>
  <c r="CT90" i="42"/>
  <c r="CR90" i="42"/>
  <c r="CP90" i="42"/>
  <c r="CK90" i="42"/>
  <c r="CL90" i="42" s="1"/>
  <c r="CN90" i="42" s="1"/>
  <c r="CC90" i="42"/>
  <c r="CF90" i="42" s="1"/>
  <c r="AR90" i="42"/>
  <c r="AL90" i="42"/>
  <c r="P90" i="42"/>
  <c r="AQ90" i="42" s="1"/>
  <c r="DG49" i="42"/>
  <c r="DH49" i="42" s="1"/>
  <c r="CT49" i="42"/>
  <c r="CR49" i="42"/>
  <c r="CP49" i="42"/>
  <c r="CK49" i="42"/>
  <c r="CL49" i="42" s="1"/>
  <c r="CN49" i="42" s="1"/>
  <c r="CC49" i="42"/>
  <c r="CF49" i="42" s="1"/>
  <c r="AR49" i="42"/>
  <c r="AL49" i="42"/>
  <c r="AG49" i="42" s="1"/>
  <c r="P49" i="42"/>
  <c r="AQ49" i="42" s="1"/>
  <c r="DG29" i="42"/>
  <c r="DH29" i="42" s="1"/>
  <c r="CT29" i="42"/>
  <c r="CR29" i="42"/>
  <c r="CP29" i="42"/>
  <c r="CK29" i="42"/>
  <c r="CL29" i="42" s="1"/>
  <c r="CN29" i="42" s="1"/>
  <c r="CC29" i="42"/>
  <c r="CF29" i="42" s="1"/>
  <c r="AR29" i="42"/>
  <c r="AL29" i="42"/>
  <c r="P29" i="42"/>
  <c r="AQ29" i="42" s="1"/>
  <c r="DG104" i="42"/>
  <c r="DH104" i="42" s="1"/>
  <c r="CT104" i="42"/>
  <c r="CR104" i="42"/>
  <c r="CP104" i="42"/>
  <c r="CK104" i="42"/>
  <c r="CL104" i="42" s="1"/>
  <c r="CN104" i="42" s="1"/>
  <c r="CC104" i="42"/>
  <c r="CF104" i="42" s="1"/>
  <c r="AR104" i="42"/>
  <c r="AL104" i="42"/>
  <c r="AF104" i="42" s="1"/>
  <c r="AZ104" i="42" s="1"/>
  <c r="P104" i="42"/>
  <c r="AQ104" i="42" s="1"/>
  <c r="DG106" i="42"/>
  <c r="DH106" i="42" s="1"/>
  <c r="CT106" i="42"/>
  <c r="CR106" i="42"/>
  <c r="CP106" i="42"/>
  <c r="CK106" i="42"/>
  <c r="CL106" i="42" s="1"/>
  <c r="CN106" i="42" s="1"/>
  <c r="CC106" i="42"/>
  <c r="CF106" i="42" s="1"/>
  <c r="AR106" i="42"/>
  <c r="AL106" i="42"/>
  <c r="AG106" i="42" s="1"/>
  <c r="P106" i="42"/>
  <c r="DG75" i="42"/>
  <c r="DH75" i="42" s="1"/>
  <c r="CT75" i="42"/>
  <c r="CR75" i="42"/>
  <c r="CP75" i="42"/>
  <c r="CK75" i="42"/>
  <c r="CL75" i="42" s="1"/>
  <c r="CN75" i="42" s="1"/>
  <c r="CC75" i="42"/>
  <c r="CF75" i="42" s="1"/>
  <c r="AR75" i="42"/>
  <c r="AL75" i="42"/>
  <c r="AF75" i="42" s="1"/>
  <c r="AZ75" i="42" s="1"/>
  <c r="P75" i="42"/>
  <c r="AQ75" i="42" s="1"/>
  <c r="DG19" i="42"/>
  <c r="DH19" i="42" s="1"/>
  <c r="CT19" i="42"/>
  <c r="CR19" i="42"/>
  <c r="CP19" i="42"/>
  <c r="CK19" i="42"/>
  <c r="CL19" i="42" s="1"/>
  <c r="CN19" i="42" s="1"/>
  <c r="CC19" i="42"/>
  <c r="CF19" i="42" s="1"/>
  <c r="AR19" i="42"/>
  <c r="AL19" i="42"/>
  <c r="AE19" i="42" s="1"/>
  <c r="BD19" i="42" s="1"/>
  <c r="BC19" i="42" s="1"/>
  <c r="P19" i="42"/>
  <c r="AQ19" i="42" s="1"/>
  <c r="DG18" i="42"/>
  <c r="DH18" i="42" s="1"/>
  <c r="CT18" i="42"/>
  <c r="CR18" i="42"/>
  <c r="CP18" i="42"/>
  <c r="CK18" i="42"/>
  <c r="CL18" i="42" s="1"/>
  <c r="CN18" i="42" s="1"/>
  <c r="CC18" i="42"/>
  <c r="CF18" i="42" s="1"/>
  <c r="AR18" i="42"/>
  <c r="AL18" i="42"/>
  <c r="AF18" i="42" s="1"/>
  <c r="AZ18" i="42" s="1"/>
  <c r="P18" i="42"/>
  <c r="AQ18" i="42" s="1"/>
  <c r="DG17" i="42"/>
  <c r="DH17" i="42" s="1"/>
  <c r="CT17" i="42"/>
  <c r="CR17" i="42"/>
  <c r="CP17" i="42"/>
  <c r="CK17" i="42"/>
  <c r="CL17" i="42" s="1"/>
  <c r="CN17" i="42" s="1"/>
  <c r="CC17" i="42"/>
  <c r="CF17" i="42" s="1"/>
  <c r="AR17" i="42"/>
  <c r="AL17" i="42"/>
  <c r="AG17" i="42" s="1"/>
  <c r="P17" i="42"/>
  <c r="DG22" i="42"/>
  <c r="DH22" i="42" s="1"/>
  <c r="CT22" i="42"/>
  <c r="CR22" i="42"/>
  <c r="CP22" i="42"/>
  <c r="CK22" i="42"/>
  <c r="CL22" i="42" s="1"/>
  <c r="CN22" i="42" s="1"/>
  <c r="CC22" i="42"/>
  <c r="CF22" i="42" s="1"/>
  <c r="AR22" i="42"/>
  <c r="AL22" i="42"/>
  <c r="P22" i="42"/>
  <c r="AQ22" i="42" s="1"/>
  <c r="DG69" i="42"/>
  <c r="DH69" i="42" s="1"/>
  <c r="CT69" i="42"/>
  <c r="CR69" i="42"/>
  <c r="CP69" i="42"/>
  <c r="CK69" i="42"/>
  <c r="CL69" i="42" s="1"/>
  <c r="CN69" i="42" s="1"/>
  <c r="CC69" i="42"/>
  <c r="CF69" i="42" s="1"/>
  <c r="AR69" i="42"/>
  <c r="AL69" i="42"/>
  <c r="AF69" i="42" s="1"/>
  <c r="AZ69" i="42" s="1"/>
  <c r="P69" i="42"/>
  <c r="AQ69" i="42" s="1"/>
  <c r="DG113" i="42"/>
  <c r="DH113" i="42" s="1"/>
  <c r="CT113" i="42"/>
  <c r="CR113" i="42"/>
  <c r="CP113" i="42"/>
  <c r="CK113" i="42"/>
  <c r="CL113" i="42" s="1"/>
  <c r="CN113" i="42" s="1"/>
  <c r="CC113" i="42"/>
  <c r="CF113" i="42" s="1"/>
  <c r="BS113" i="42"/>
  <c r="AR113" i="42"/>
  <c r="AL113" i="42"/>
  <c r="AG113" i="42" s="1"/>
  <c r="P113" i="42"/>
  <c r="AQ113" i="42" s="1"/>
  <c r="DG101" i="42"/>
  <c r="DH101" i="42" s="1"/>
  <c r="CT101" i="42"/>
  <c r="CR101" i="42"/>
  <c r="CP101" i="42"/>
  <c r="CK101" i="42"/>
  <c r="CL101" i="42" s="1"/>
  <c r="CN101" i="42" s="1"/>
  <c r="CC101" i="42"/>
  <c r="CF101" i="42" s="1"/>
  <c r="AR101" i="42"/>
  <c r="AL101" i="42"/>
  <c r="AF101" i="42" s="1"/>
  <c r="AZ101" i="42" s="1"/>
  <c r="P101" i="42"/>
  <c r="DG96" i="42"/>
  <c r="DH96" i="42" s="1"/>
  <c r="CT96" i="42"/>
  <c r="CR96" i="42"/>
  <c r="CP96" i="42"/>
  <c r="CK96" i="42"/>
  <c r="CL96" i="42" s="1"/>
  <c r="CN96" i="42" s="1"/>
  <c r="CC96" i="42"/>
  <c r="CF96" i="42" s="1"/>
  <c r="AR96" i="42"/>
  <c r="AL96" i="42"/>
  <c r="AF96" i="42" s="1"/>
  <c r="AZ96" i="42" s="1"/>
  <c r="P96" i="42"/>
  <c r="DG115" i="42"/>
  <c r="DH115" i="42" s="1"/>
  <c r="CT115" i="42"/>
  <c r="CR115" i="42"/>
  <c r="CP115" i="42"/>
  <c r="CK115" i="42"/>
  <c r="CL115" i="42" s="1"/>
  <c r="CN115" i="42" s="1"/>
  <c r="CC115" i="42"/>
  <c r="CF115" i="42" s="1"/>
  <c r="AR115" i="42"/>
  <c r="AL115" i="42"/>
  <c r="P115" i="42"/>
  <c r="AQ115" i="42" s="1"/>
  <c r="DG114" i="42"/>
  <c r="DH114" i="42" s="1"/>
  <c r="CT114" i="42"/>
  <c r="CR114" i="42"/>
  <c r="CP114" i="42"/>
  <c r="CK114" i="42"/>
  <c r="CL114" i="42" s="1"/>
  <c r="CN114" i="42" s="1"/>
  <c r="CC114" i="42"/>
  <c r="CF114" i="42" s="1"/>
  <c r="AR114" i="42"/>
  <c r="AL114" i="42"/>
  <c r="AF114" i="42" s="1"/>
  <c r="AZ114" i="42" s="1"/>
  <c r="P114" i="42"/>
  <c r="AQ114" i="42" s="1"/>
  <c r="DG110" i="42"/>
  <c r="DH110" i="42" s="1"/>
  <c r="CT110" i="42"/>
  <c r="CR110" i="42"/>
  <c r="CP110" i="42"/>
  <c r="CK110" i="42"/>
  <c r="CL110" i="42" s="1"/>
  <c r="CN110" i="42" s="1"/>
  <c r="CC110" i="42"/>
  <c r="CF110" i="42" s="1"/>
  <c r="AR110" i="42"/>
  <c r="AL110" i="42"/>
  <c r="AE110" i="42" s="1"/>
  <c r="BD110" i="42" s="1"/>
  <c r="BC110" i="42" s="1"/>
  <c r="P110" i="42"/>
  <c r="AQ110" i="42" s="1"/>
  <c r="DG108" i="42"/>
  <c r="DH108" i="42" s="1"/>
  <c r="CT108" i="42"/>
  <c r="CR108" i="42"/>
  <c r="CP108" i="42"/>
  <c r="CK108" i="42"/>
  <c r="CL108" i="42" s="1"/>
  <c r="CN108" i="42" s="1"/>
  <c r="CC108" i="42"/>
  <c r="CF108" i="42" s="1"/>
  <c r="AR108" i="42"/>
  <c r="AL108" i="42"/>
  <c r="AF108" i="42" s="1"/>
  <c r="AZ108" i="42" s="1"/>
  <c r="P108" i="42"/>
  <c r="DG37" i="42"/>
  <c r="DH37" i="42" s="1"/>
  <c r="CT37" i="42"/>
  <c r="CR37" i="42"/>
  <c r="CP37" i="42"/>
  <c r="CK37" i="42"/>
  <c r="CL37" i="42" s="1"/>
  <c r="CN37" i="42" s="1"/>
  <c r="CC37" i="42"/>
  <c r="CF37" i="42" s="1"/>
  <c r="AR37" i="42"/>
  <c r="AL37" i="42"/>
  <c r="AG37" i="42" s="1"/>
  <c r="P37" i="42"/>
  <c r="DG36" i="42"/>
  <c r="DH36" i="42" s="1"/>
  <c r="CT36" i="42"/>
  <c r="CR36" i="42"/>
  <c r="CP36" i="42"/>
  <c r="CK36" i="42"/>
  <c r="CL36" i="42" s="1"/>
  <c r="CN36" i="42" s="1"/>
  <c r="CC36" i="42"/>
  <c r="CF36" i="42" s="1"/>
  <c r="AR36" i="42"/>
  <c r="AL36" i="42"/>
  <c r="P36" i="42"/>
  <c r="AQ36" i="42" s="1"/>
  <c r="DG40" i="42"/>
  <c r="DH40" i="42" s="1"/>
  <c r="CT40" i="42"/>
  <c r="CR40" i="42"/>
  <c r="CP40" i="42"/>
  <c r="CK40" i="42"/>
  <c r="CL40" i="42" s="1"/>
  <c r="CN40" i="42" s="1"/>
  <c r="CC40" i="42"/>
  <c r="CF40" i="42" s="1"/>
  <c r="AR40" i="42"/>
  <c r="AL40" i="42"/>
  <c r="AG40" i="42" s="1"/>
  <c r="P40" i="42"/>
  <c r="DG35" i="42"/>
  <c r="DH35" i="42" s="1"/>
  <c r="CT35" i="42"/>
  <c r="CR35" i="42"/>
  <c r="CP35" i="42"/>
  <c r="CK35" i="42"/>
  <c r="CL35" i="42" s="1"/>
  <c r="CN35" i="42" s="1"/>
  <c r="CC35" i="42"/>
  <c r="CF35" i="42" s="1"/>
  <c r="AR35" i="42"/>
  <c r="AL35" i="42"/>
  <c r="AG35" i="42" s="1"/>
  <c r="P35" i="42"/>
  <c r="AQ35" i="42" s="1"/>
  <c r="DG55" i="42"/>
  <c r="DH55" i="42" s="1"/>
  <c r="CT55" i="42"/>
  <c r="CR55" i="42"/>
  <c r="CP55" i="42"/>
  <c r="CK55" i="42"/>
  <c r="CL55" i="42" s="1"/>
  <c r="CN55" i="42" s="1"/>
  <c r="CC55" i="42"/>
  <c r="CF55" i="42" s="1"/>
  <c r="AR55" i="42"/>
  <c r="AL55" i="42"/>
  <c r="AE55" i="42" s="1"/>
  <c r="BD55" i="42" s="1"/>
  <c r="BC55" i="42" s="1"/>
  <c r="P55" i="42"/>
  <c r="AQ55" i="42" s="1"/>
  <c r="DG62" i="42"/>
  <c r="DH62" i="42" s="1"/>
  <c r="CT62" i="42"/>
  <c r="CR62" i="42"/>
  <c r="CP62" i="42"/>
  <c r="CK62" i="42"/>
  <c r="CL62" i="42" s="1"/>
  <c r="CN62" i="42" s="1"/>
  <c r="CC62" i="42"/>
  <c r="CF62" i="42" s="1"/>
  <c r="AR62" i="42"/>
  <c r="AL62" i="42"/>
  <c r="AG62" i="42" s="1"/>
  <c r="P62" i="42"/>
  <c r="F26" i="39" l="1"/>
  <c r="F25" i="39"/>
  <c r="F23" i="39"/>
  <c r="F22" i="39"/>
  <c r="F21" i="39"/>
  <c r="F79" i="39" s="1"/>
  <c r="F27" i="39"/>
  <c r="F28" i="39"/>
  <c r="F24" i="39"/>
  <c r="BJ45" i="42"/>
  <c r="BH62" i="42"/>
  <c r="BH108" i="42"/>
  <c r="BH106" i="42"/>
  <c r="BH29" i="42"/>
  <c r="BH90" i="42"/>
  <c r="BH64" i="42"/>
  <c r="BH30" i="42"/>
  <c r="BH43" i="42"/>
  <c r="BH20" i="42"/>
  <c r="BH72" i="42"/>
  <c r="BH58" i="42"/>
  <c r="BH68" i="42"/>
  <c r="BH26" i="42"/>
  <c r="BH81" i="42"/>
  <c r="BH79" i="42"/>
  <c r="BH94" i="42"/>
  <c r="BH99" i="42"/>
  <c r="BH103" i="42"/>
  <c r="BH117" i="42"/>
  <c r="BH118" i="42"/>
  <c r="BH34" i="42"/>
  <c r="BH50" i="42"/>
  <c r="BH33" i="42"/>
  <c r="BH54" i="42"/>
  <c r="BC78" i="42"/>
  <c r="CV78" i="42" s="1"/>
  <c r="BC112" i="42"/>
  <c r="CV112" i="42" s="1"/>
  <c r="BC32" i="42"/>
  <c r="CV32" i="42" s="1"/>
  <c r="AF25" i="42"/>
  <c r="AZ25" i="42" s="1"/>
  <c r="BH113" i="42"/>
  <c r="CU66" i="42"/>
  <c r="AG26" i="42"/>
  <c r="AG79" i="42"/>
  <c r="CS61" i="42"/>
  <c r="AE96" i="42"/>
  <c r="BD96" i="42" s="1"/>
  <c r="BC96" i="42" s="1"/>
  <c r="CV96" i="42" s="1"/>
  <c r="AF27" i="42"/>
  <c r="AZ27" i="42" s="1"/>
  <c r="AG109" i="42"/>
  <c r="BH47" i="42"/>
  <c r="BH70" i="42"/>
  <c r="CQ86" i="42"/>
  <c r="CS93" i="42"/>
  <c r="AF32" i="42"/>
  <c r="AZ32" i="42" s="1"/>
  <c r="BH89" i="42"/>
  <c r="AE23" i="42"/>
  <c r="BD23" i="42" s="1"/>
  <c r="BC23" i="42" s="1"/>
  <c r="CV23" i="42" s="1"/>
  <c r="CS109" i="42"/>
  <c r="CQ82" i="42"/>
  <c r="CS82" i="42"/>
  <c r="AE106" i="42"/>
  <c r="BD106" i="42" s="1"/>
  <c r="BC106" i="42" s="1"/>
  <c r="CV106" i="42" s="1"/>
  <c r="CS105" i="42"/>
  <c r="CV63" i="42"/>
  <c r="CX63" i="42" s="1"/>
  <c r="DK63" i="42" s="1"/>
  <c r="AG18" i="42"/>
  <c r="AE27" i="42"/>
  <c r="BD27" i="42" s="1"/>
  <c r="BC27" i="42" s="1"/>
  <c r="CV27" i="42" s="1"/>
  <c r="CQ19" i="42"/>
  <c r="AF106" i="42"/>
  <c r="AZ106" i="42" s="1"/>
  <c r="AE18" i="42"/>
  <c r="BD18" i="42" s="1"/>
  <c r="BC18" i="42" s="1"/>
  <c r="CV18" i="42" s="1"/>
  <c r="CU108" i="42"/>
  <c r="CS18" i="42"/>
  <c r="CQ110" i="42"/>
  <c r="AE114" i="42"/>
  <c r="BD114" i="42" s="1"/>
  <c r="AG114" i="42"/>
  <c r="CS35" i="42"/>
  <c r="CQ108" i="42"/>
  <c r="AG104" i="42"/>
  <c r="AE104" i="42"/>
  <c r="BD104" i="42" s="1"/>
  <c r="BC104" i="42" s="1"/>
  <c r="CV104" i="42" s="1"/>
  <c r="AE35" i="42"/>
  <c r="BD35" i="42" s="1"/>
  <c r="BC35" i="42" s="1"/>
  <c r="AF35" i="42"/>
  <c r="AZ35" i="42" s="1"/>
  <c r="AF37" i="42"/>
  <c r="AZ37" i="42" s="1"/>
  <c r="AE28" i="42"/>
  <c r="BD28" i="42" s="1"/>
  <c r="AF28" i="42"/>
  <c r="AZ28" i="42" s="1"/>
  <c r="CU57" i="42"/>
  <c r="CQ85" i="42"/>
  <c r="CS89" i="42"/>
  <c r="BH66" i="42"/>
  <c r="AF100" i="42"/>
  <c r="AZ100" i="42" s="1"/>
  <c r="AE47" i="42"/>
  <c r="BD47" i="42" s="1"/>
  <c r="BC47" i="42" s="1"/>
  <c r="CS107" i="42"/>
  <c r="CQ99" i="42"/>
  <c r="CQ103" i="42"/>
  <c r="CU99" i="42"/>
  <c r="AF119" i="42"/>
  <c r="AZ119" i="42" s="1"/>
  <c r="AG116" i="42"/>
  <c r="CQ37" i="42"/>
  <c r="BH110" i="42"/>
  <c r="AF17" i="42"/>
  <c r="AZ17" i="42" s="1"/>
  <c r="AE62" i="42"/>
  <c r="BD62" i="42" s="1"/>
  <c r="AF62" i="42"/>
  <c r="AZ62" i="42" s="1"/>
  <c r="CU114" i="42"/>
  <c r="AF19" i="42"/>
  <c r="AZ19" i="42" s="1"/>
  <c r="AG19" i="42"/>
  <c r="BH21" i="42"/>
  <c r="BH93" i="42"/>
  <c r="CQ23" i="42"/>
  <c r="BH92" i="42"/>
  <c r="AF112" i="42"/>
  <c r="AZ112" i="42" s="1"/>
  <c r="CQ33" i="42"/>
  <c r="AE118" i="42"/>
  <c r="BD118" i="42" s="1"/>
  <c r="CS79" i="42"/>
  <c r="CQ92" i="42"/>
  <c r="BH95" i="42"/>
  <c r="CQ93" i="42"/>
  <c r="BH85" i="42"/>
  <c r="AF118" i="42"/>
  <c r="AZ118" i="42" s="1"/>
  <c r="CQ47" i="42"/>
  <c r="AE79" i="42"/>
  <c r="BD79" i="42" s="1"/>
  <c r="CS92" i="42"/>
  <c r="CU93" i="42"/>
  <c r="CS87" i="42"/>
  <c r="CQ120" i="42"/>
  <c r="CS121" i="42"/>
  <c r="AG32" i="42"/>
  <c r="AE41" i="42"/>
  <c r="BD41" i="42" s="1"/>
  <c r="BC41" i="42" s="1"/>
  <c r="AG41" i="42"/>
  <c r="AE113" i="42"/>
  <c r="BD113" i="42" s="1"/>
  <c r="BC113" i="42" s="1"/>
  <c r="AF113" i="42"/>
  <c r="AZ113" i="42" s="1"/>
  <c r="BH35" i="42"/>
  <c r="AE37" i="42"/>
  <c r="BD37" i="42" s="1"/>
  <c r="BC37" i="42" s="1"/>
  <c r="CV37" i="42" s="1"/>
  <c r="BH22" i="42"/>
  <c r="AE17" i="42"/>
  <c r="BD17" i="42" s="1"/>
  <c r="CS115" i="42"/>
  <c r="CS36" i="42"/>
  <c r="CU110" i="42"/>
  <c r="AG96" i="42"/>
  <c r="CU40" i="42"/>
  <c r="CS76" i="42"/>
  <c r="AE49" i="42"/>
  <c r="BD49" i="42" s="1"/>
  <c r="AF49" i="42"/>
  <c r="AZ49" i="42" s="1"/>
  <c r="AE76" i="42"/>
  <c r="BD76" i="42" s="1"/>
  <c r="AF76" i="42"/>
  <c r="AZ76" i="42" s="1"/>
  <c r="BH76" i="42"/>
  <c r="AF77" i="42"/>
  <c r="AZ77" i="42" s="1"/>
  <c r="AE77" i="42"/>
  <c r="BD77" i="42" s="1"/>
  <c r="BC77" i="42" s="1"/>
  <c r="BH105" i="42"/>
  <c r="CU65" i="42"/>
  <c r="BH65" i="42"/>
  <c r="CQ105" i="42"/>
  <c r="CS43" i="42"/>
  <c r="CU30" i="42"/>
  <c r="AE43" i="42"/>
  <c r="BD43" i="42" s="1"/>
  <c r="BC43" i="42" s="1"/>
  <c r="CV43" i="42" s="1"/>
  <c r="CU60" i="42"/>
  <c r="BH60" i="42"/>
  <c r="CS27" i="42"/>
  <c r="AF70" i="42"/>
  <c r="AZ70" i="42" s="1"/>
  <c r="AG70" i="42"/>
  <c r="CU89" i="42"/>
  <c r="BH59" i="42"/>
  <c r="BH61" i="42"/>
  <c r="BH27" i="42"/>
  <c r="CU91" i="42"/>
  <c r="CQ91" i="42"/>
  <c r="CQ89" i="42"/>
  <c r="CS73" i="42"/>
  <c r="CS31" i="42"/>
  <c r="BH73" i="42"/>
  <c r="CQ70" i="42"/>
  <c r="CU56" i="42"/>
  <c r="CQ21" i="42"/>
  <c r="AF46" i="42"/>
  <c r="AZ46" i="42" s="1"/>
  <c r="AE46" i="42"/>
  <c r="BD46" i="42" s="1"/>
  <c r="AF47" i="42"/>
  <c r="AZ47" i="42" s="1"/>
  <c r="CU52" i="42"/>
  <c r="CU25" i="42"/>
  <c r="CQ67" i="42"/>
  <c r="AF95" i="42"/>
  <c r="AZ95" i="42" s="1"/>
  <c r="AG95" i="42"/>
  <c r="AG99" i="42"/>
  <c r="AF99" i="42"/>
  <c r="AZ99" i="42" s="1"/>
  <c r="CQ98" i="42"/>
  <c r="BH98" i="42"/>
  <c r="BH100" i="42"/>
  <c r="AG121" i="42"/>
  <c r="AF121" i="42"/>
  <c r="AZ121" i="42" s="1"/>
  <c r="AE121" i="42"/>
  <c r="BD121" i="42" s="1"/>
  <c r="CQ39" i="42"/>
  <c r="CU112" i="42"/>
  <c r="CQ34" i="42"/>
  <c r="CS99" i="42"/>
  <c r="AQ87" i="42"/>
  <c r="AF116" i="42"/>
  <c r="AZ116" i="42" s="1"/>
  <c r="AG112" i="42"/>
  <c r="BH121" i="42"/>
  <c r="CS34" i="42"/>
  <c r="CS53" i="42"/>
  <c r="BH87" i="42"/>
  <c r="CV48" i="42"/>
  <c r="CS48" i="42"/>
  <c r="CS85" i="42"/>
  <c r="AF34" i="42"/>
  <c r="AZ34" i="42" s="1"/>
  <c r="CU54" i="42"/>
  <c r="CQ48" i="42"/>
  <c r="AF33" i="42"/>
  <c r="AZ33" i="42" s="1"/>
  <c r="AG54" i="42"/>
  <c r="AR10" i="42"/>
  <c r="AQ101" i="42"/>
  <c r="BH55" i="42"/>
  <c r="AF36" i="42"/>
  <c r="AZ36" i="42" s="1"/>
  <c r="AG36" i="42"/>
  <c r="AE36" i="42"/>
  <c r="BD36" i="42" s="1"/>
  <c r="CQ55" i="42"/>
  <c r="BH101" i="42"/>
  <c r="AF40" i="42"/>
  <c r="AZ40" i="42" s="1"/>
  <c r="AE40" i="42"/>
  <c r="BD40" i="42" s="1"/>
  <c r="AG55" i="42"/>
  <c r="AF55" i="42"/>
  <c r="AZ55" i="42" s="1"/>
  <c r="BH40" i="42"/>
  <c r="CQ40" i="42"/>
  <c r="AQ108" i="42"/>
  <c r="E23" i="39" s="1"/>
  <c r="CS101" i="42"/>
  <c r="CU101" i="42"/>
  <c r="CS22" i="42"/>
  <c r="CQ22" i="42"/>
  <c r="BH17" i="42"/>
  <c r="BH75" i="42"/>
  <c r="CU75" i="42"/>
  <c r="AE29" i="42"/>
  <c r="BD29" i="42" s="1"/>
  <c r="BC29" i="42" s="1"/>
  <c r="AF29" i="42"/>
  <c r="AZ29" i="42" s="1"/>
  <c r="CQ35" i="42"/>
  <c r="AG76" i="42"/>
  <c r="AG29" i="42"/>
  <c r="CU64" i="42"/>
  <c r="AE83" i="42"/>
  <c r="BD83" i="42" s="1"/>
  <c r="AG83" i="42"/>
  <c r="CS83" i="42"/>
  <c r="AE105" i="42"/>
  <c r="BD105" i="42" s="1"/>
  <c r="BC105" i="42" s="1"/>
  <c r="CS64" i="42"/>
  <c r="AF30" i="42"/>
  <c r="AZ30" i="42" s="1"/>
  <c r="AG30" i="42"/>
  <c r="AE30" i="42"/>
  <c r="BD30" i="42" s="1"/>
  <c r="BC30" i="42" s="1"/>
  <c r="CQ65" i="42"/>
  <c r="AQ30" i="42"/>
  <c r="CQ30" i="42"/>
  <c r="AQ27" i="42"/>
  <c r="AE91" i="42"/>
  <c r="BD91" i="42" s="1"/>
  <c r="AG91" i="42"/>
  <c r="CS63" i="42"/>
  <c r="AG61" i="42"/>
  <c r="AF61" i="42"/>
  <c r="AZ61" i="42" s="1"/>
  <c r="AE61" i="42"/>
  <c r="BD61" i="42" s="1"/>
  <c r="CS58" i="42"/>
  <c r="CQ58" i="42"/>
  <c r="CQ72" i="42"/>
  <c r="AE56" i="42"/>
  <c r="BD56" i="42" s="1"/>
  <c r="AE72" i="42"/>
  <c r="BD72" i="42" s="1"/>
  <c r="CQ107" i="42"/>
  <c r="CU107" i="42"/>
  <c r="AE109" i="42"/>
  <c r="BD109" i="42" s="1"/>
  <c r="AF56" i="42"/>
  <c r="AZ56" i="42" s="1"/>
  <c r="AF72" i="42"/>
  <c r="AZ72" i="42" s="1"/>
  <c r="CQ71" i="42"/>
  <c r="BH107" i="42"/>
  <c r="AG59" i="42"/>
  <c r="CU72" i="42"/>
  <c r="CQ73" i="42"/>
  <c r="CQ59" i="42"/>
  <c r="CQ60" i="42"/>
  <c r="AE21" i="42"/>
  <c r="BD21" i="42" s="1"/>
  <c r="AG21" i="42"/>
  <c r="AF21" i="42"/>
  <c r="AZ21" i="42" s="1"/>
  <c r="CS56" i="42"/>
  <c r="CS57" i="42"/>
  <c r="AQ72" i="42"/>
  <c r="CS59" i="42"/>
  <c r="BH91" i="42"/>
  <c r="CU73" i="42"/>
  <c r="AE74" i="42"/>
  <c r="BD74" i="42" s="1"/>
  <c r="BC74" i="42" s="1"/>
  <c r="AF74" i="42"/>
  <c r="AZ74" i="42" s="1"/>
  <c r="CS21" i="42"/>
  <c r="AQ46" i="42"/>
  <c r="CQ74" i="42"/>
  <c r="CQ26" i="42"/>
  <c r="CS26" i="42"/>
  <c r="AG25" i="42"/>
  <c r="AE52" i="42"/>
  <c r="BD52" i="42" s="1"/>
  <c r="AF52" i="42"/>
  <c r="AZ52" i="42" s="1"/>
  <c r="BH52" i="42"/>
  <c r="AQ25" i="42"/>
  <c r="CQ25" i="42"/>
  <c r="CS25" i="42"/>
  <c r="CU46" i="42"/>
  <c r="CS46" i="42"/>
  <c r="CS67" i="42"/>
  <c r="BH46" i="42"/>
  <c r="AF26" i="42"/>
  <c r="AZ26" i="42" s="1"/>
  <c r="BH67" i="42"/>
  <c r="BH25" i="42"/>
  <c r="CU47" i="42"/>
  <c r="CS39" i="42"/>
  <c r="CU39" i="42"/>
  <c r="BH39" i="42"/>
  <c r="CS38" i="42"/>
  <c r="AE81" i="42"/>
  <c r="BD81" i="42" s="1"/>
  <c r="AG81" i="42"/>
  <c r="AE97" i="42"/>
  <c r="BD97" i="42" s="1"/>
  <c r="BC97" i="42" s="1"/>
  <c r="AF97" i="42"/>
  <c r="AZ97" i="42" s="1"/>
  <c r="AG97" i="42"/>
  <c r="AE102" i="42"/>
  <c r="BD102" i="42" s="1"/>
  <c r="BC102" i="42" s="1"/>
  <c r="AG102" i="42"/>
  <c r="AF102" i="42"/>
  <c r="AZ102" i="42" s="1"/>
  <c r="CU78" i="42"/>
  <c r="AE92" i="42"/>
  <c r="BD92" i="42" s="1"/>
  <c r="AG92" i="42"/>
  <c r="AQ98" i="42"/>
  <c r="CQ31" i="42"/>
  <c r="AE98" i="42"/>
  <c r="BD98" i="42" s="1"/>
  <c r="AF98" i="42"/>
  <c r="AZ98" i="42" s="1"/>
  <c r="CU94" i="42"/>
  <c r="BH53" i="42"/>
  <c r="AE86" i="42"/>
  <c r="BD86" i="42" s="1"/>
  <c r="BC86" i="42" s="1"/>
  <c r="AF86" i="42"/>
  <c r="AZ86" i="42" s="1"/>
  <c r="AE119" i="42"/>
  <c r="BD119" i="42" s="1"/>
  <c r="BC119" i="42" s="1"/>
  <c r="CS112" i="42"/>
  <c r="CQ112" i="42"/>
  <c r="BH112" i="42"/>
  <c r="AE45" i="42"/>
  <c r="CV45" i="42" s="1"/>
  <c r="BH86" i="42"/>
  <c r="CU86" i="42"/>
  <c r="CS102" i="42"/>
  <c r="CS41" i="42"/>
  <c r="BH41" i="42"/>
  <c r="CQ41" i="42"/>
  <c r="AG45" i="42"/>
  <c r="CQ87" i="42"/>
  <c r="CQ117" i="42"/>
  <c r="CQ79" i="42"/>
  <c r="CU79" i="42"/>
  <c r="CU98" i="42"/>
  <c r="CU117" i="42"/>
  <c r="AE38" i="42"/>
  <c r="BD38" i="42" s="1"/>
  <c r="BC38" i="42" s="1"/>
  <c r="CQ38" i="42"/>
  <c r="AE84" i="42"/>
  <c r="BD84" i="42" s="1"/>
  <c r="BC84" i="42" s="1"/>
  <c r="AQ48" i="42"/>
  <c r="AG38" i="42"/>
  <c r="AF84" i="42"/>
  <c r="AZ84" i="42" s="1"/>
  <c r="CS84" i="42"/>
  <c r="AF48" i="42"/>
  <c r="AZ48" i="42" s="1"/>
  <c r="AG48" i="42"/>
  <c r="AE100" i="42"/>
  <c r="BD100" i="42" s="1"/>
  <c r="AE99" i="42"/>
  <c r="BD99" i="42" s="1"/>
  <c r="CU84" i="42"/>
  <c r="BH48" i="42"/>
  <c r="CS51" i="42"/>
  <c r="CQ51" i="42"/>
  <c r="BH51" i="42"/>
  <c r="CU51" i="42"/>
  <c r="AE34" i="42"/>
  <c r="BD34" i="42" s="1"/>
  <c r="AE33" i="42"/>
  <c r="BD33" i="42" s="1"/>
  <c r="BC33" i="42" s="1"/>
  <c r="AF54" i="42"/>
  <c r="AZ54" i="42" s="1"/>
  <c r="AQ54" i="42"/>
  <c r="CQ54" i="42"/>
  <c r="CS54" i="42"/>
  <c r="CV110" i="42"/>
  <c r="CS62" i="42"/>
  <c r="AQ62" i="42"/>
  <c r="AQ37" i="42"/>
  <c r="CS108" i="42"/>
  <c r="AG110" i="42"/>
  <c r="AF110" i="42"/>
  <c r="AZ110" i="42" s="1"/>
  <c r="AQ96" i="42"/>
  <c r="CU35" i="42"/>
  <c r="CQ36" i="42"/>
  <c r="AQ40" i="42"/>
  <c r="CQ62" i="42"/>
  <c r="CS55" i="42"/>
  <c r="BH36" i="42"/>
  <c r="AG108" i="42"/>
  <c r="AE108" i="42"/>
  <c r="BD108" i="42" s="1"/>
  <c r="BC108" i="42" s="1"/>
  <c r="AE115" i="42"/>
  <c r="BD115" i="42" s="1"/>
  <c r="BC115" i="42" s="1"/>
  <c r="AG115" i="42"/>
  <c r="AF115" i="42"/>
  <c r="AZ115" i="42" s="1"/>
  <c r="CU36" i="42"/>
  <c r="CS114" i="42"/>
  <c r="BH114" i="42"/>
  <c r="CQ114" i="42"/>
  <c r="CU62" i="42"/>
  <c r="CS40" i="42"/>
  <c r="CQ96" i="42"/>
  <c r="CU96" i="42"/>
  <c r="CS113" i="42"/>
  <c r="CU55" i="42"/>
  <c r="BH96" i="42"/>
  <c r="CS96" i="42"/>
  <c r="CU37" i="42"/>
  <c r="BH37" i="42"/>
  <c r="CS37" i="42"/>
  <c r="CU115" i="42"/>
  <c r="BH115" i="42"/>
  <c r="CQ115" i="42"/>
  <c r="AG101" i="42"/>
  <c r="AE101" i="42"/>
  <c r="BD101" i="42" s="1"/>
  <c r="BC101" i="42" s="1"/>
  <c r="AE69" i="42"/>
  <c r="BD69" i="42" s="1"/>
  <c r="BC69" i="42" s="1"/>
  <c r="AG69" i="42"/>
  <c r="CS110" i="42"/>
  <c r="CQ101" i="42"/>
  <c r="AQ17" i="42"/>
  <c r="CS19" i="42"/>
  <c r="BH19" i="42"/>
  <c r="CU19" i="42"/>
  <c r="CU22" i="42"/>
  <c r="BH69" i="42"/>
  <c r="CU69" i="42"/>
  <c r="CQ69" i="42"/>
  <c r="CS69" i="42"/>
  <c r="CU18" i="42"/>
  <c r="BH18" i="42"/>
  <c r="CQ18" i="42"/>
  <c r="CV19" i="42"/>
  <c r="AG22" i="42"/>
  <c r="AF22" i="42"/>
  <c r="AZ22" i="42" s="1"/>
  <c r="AE22" i="42"/>
  <c r="BD22" i="42" s="1"/>
  <c r="BC22" i="42" s="1"/>
  <c r="CS17" i="42"/>
  <c r="CQ17" i="42"/>
  <c r="CU17" i="42"/>
  <c r="CU113" i="42"/>
  <c r="CQ113" i="42"/>
  <c r="AG75" i="42"/>
  <c r="AE75" i="42"/>
  <c r="BD75" i="42" s="1"/>
  <c r="BC75" i="42" s="1"/>
  <c r="BH104" i="42"/>
  <c r="CS104" i="42"/>
  <c r="CU104" i="42"/>
  <c r="CS75" i="42"/>
  <c r="AQ106" i="42"/>
  <c r="CQ104" i="42"/>
  <c r="CQ75" i="42"/>
  <c r="CU106" i="42"/>
  <c r="CS106" i="42"/>
  <c r="CQ106" i="42"/>
  <c r="CS90" i="42"/>
  <c r="CU90" i="42"/>
  <c r="CQ90" i="42"/>
  <c r="CQ49" i="42"/>
  <c r="CU49" i="42"/>
  <c r="CS49" i="42"/>
  <c r="BH49" i="42"/>
  <c r="CU29" i="42"/>
  <c r="CQ29" i="42"/>
  <c r="CS29" i="42"/>
  <c r="AG90" i="42"/>
  <c r="AF90" i="42"/>
  <c r="AZ90" i="42" s="1"/>
  <c r="AE90" i="42"/>
  <c r="BD90" i="42" s="1"/>
  <c r="BC90" i="42" s="1"/>
  <c r="CS77" i="42"/>
  <c r="BH77" i="42"/>
  <c r="CQ77" i="42"/>
  <c r="CU77" i="42"/>
  <c r="CU76" i="42"/>
  <c r="CQ76" i="42"/>
  <c r="AG77" i="42"/>
  <c r="AQ28" i="42"/>
  <c r="AF64" i="42"/>
  <c r="AZ64" i="42" s="1"/>
  <c r="AG64" i="42"/>
  <c r="AE64" i="42"/>
  <c r="BD64" i="42" s="1"/>
  <c r="BC64" i="42" s="1"/>
  <c r="AQ83" i="42"/>
  <c r="CS28" i="42"/>
  <c r="BH28" i="42"/>
  <c r="CQ28" i="42"/>
  <c r="CU28" i="42"/>
  <c r="CU83" i="42"/>
  <c r="BH83" i="42"/>
  <c r="CQ83" i="42"/>
  <c r="CU105" i="42"/>
  <c r="AE65" i="42"/>
  <c r="BD65" i="42" s="1"/>
  <c r="BC65" i="42" s="1"/>
  <c r="AG65" i="42"/>
  <c r="CS65" i="42"/>
  <c r="AF105" i="42"/>
  <c r="AZ105" i="42" s="1"/>
  <c r="AQ63" i="42"/>
  <c r="CQ64" i="42"/>
  <c r="AF63" i="42"/>
  <c r="AZ63" i="42" s="1"/>
  <c r="AG63" i="42"/>
  <c r="CQ63" i="42"/>
  <c r="CU63" i="42"/>
  <c r="BH63" i="42"/>
  <c r="CV57" i="42"/>
  <c r="AQ89" i="42"/>
  <c r="CV60" i="42"/>
  <c r="AE20" i="42"/>
  <c r="BD20" i="42" s="1"/>
  <c r="BC20" i="42" s="1"/>
  <c r="AG20" i="42"/>
  <c r="CS72" i="42"/>
  <c r="CS30" i="42"/>
  <c r="AF89" i="42"/>
  <c r="AZ89" i="42" s="1"/>
  <c r="AE89" i="42"/>
  <c r="BD89" i="42" s="1"/>
  <c r="BC89" i="42" s="1"/>
  <c r="CS66" i="42"/>
  <c r="AF43" i="42"/>
  <c r="AZ43" i="42" s="1"/>
  <c r="CS91" i="42"/>
  <c r="AG111" i="42"/>
  <c r="AF111" i="42"/>
  <c r="AZ111" i="42" s="1"/>
  <c r="AE111" i="42"/>
  <c r="BD111" i="42" s="1"/>
  <c r="BC111" i="42" s="1"/>
  <c r="CV70" i="42"/>
  <c r="AG57" i="42"/>
  <c r="AF57" i="42"/>
  <c r="AZ57" i="42" s="1"/>
  <c r="CQ109" i="42"/>
  <c r="BH109" i="42"/>
  <c r="CU109" i="42"/>
  <c r="AQ68" i="42"/>
  <c r="CS60" i="42"/>
  <c r="CU111" i="42"/>
  <c r="BH111" i="42"/>
  <c r="CS111" i="42"/>
  <c r="CU20" i="42"/>
  <c r="CS20" i="42"/>
  <c r="CS70" i="42"/>
  <c r="BH57" i="42"/>
  <c r="CQ57" i="42"/>
  <c r="AE68" i="42"/>
  <c r="BD68" i="42" s="1"/>
  <c r="BC68" i="42" s="1"/>
  <c r="AF68" i="42"/>
  <c r="AZ68" i="42" s="1"/>
  <c r="AE73" i="42"/>
  <c r="BD73" i="42" s="1"/>
  <c r="BC73" i="42" s="1"/>
  <c r="AG73" i="42"/>
  <c r="AF73" i="42"/>
  <c r="AZ73" i="42" s="1"/>
  <c r="AQ58" i="42"/>
  <c r="CS68" i="42"/>
  <c r="CU68" i="42"/>
  <c r="CQ68" i="42"/>
  <c r="AE58" i="42"/>
  <c r="BD58" i="42" s="1"/>
  <c r="BC58" i="42" s="1"/>
  <c r="AF58" i="42"/>
  <c r="AZ58" i="42" s="1"/>
  <c r="CS74" i="42"/>
  <c r="CU74" i="42"/>
  <c r="CQ111" i="42"/>
  <c r="CQ20" i="42"/>
  <c r="CU70" i="42"/>
  <c r="AG66" i="42"/>
  <c r="AE66" i="42"/>
  <c r="BD66" i="42" s="1"/>
  <c r="BC66" i="42" s="1"/>
  <c r="AE71" i="42"/>
  <c r="BD71" i="42" s="1"/>
  <c r="BC71" i="42" s="1"/>
  <c r="AG71" i="42"/>
  <c r="BH74" i="42"/>
  <c r="CU59" i="42"/>
  <c r="AQ61" i="42"/>
  <c r="BH71" i="42"/>
  <c r="CU71" i="42"/>
  <c r="CS71" i="42"/>
  <c r="AF60" i="42"/>
  <c r="AZ60" i="42" s="1"/>
  <c r="AG60" i="42"/>
  <c r="CQ61" i="42"/>
  <c r="AG82" i="42"/>
  <c r="AF82" i="42"/>
  <c r="AZ82" i="42" s="1"/>
  <c r="AE82" i="42"/>
  <c r="BD82" i="42" s="1"/>
  <c r="BC82" i="42" s="1"/>
  <c r="CU58" i="42"/>
  <c r="CQ56" i="42"/>
  <c r="BH56" i="42"/>
  <c r="CQ27" i="42"/>
  <c r="CU27" i="42"/>
  <c r="AQ57" i="42"/>
  <c r="CU82" i="42"/>
  <c r="BH82" i="42"/>
  <c r="AF107" i="42"/>
  <c r="AZ107" i="42" s="1"/>
  <c r="AG107" i="42"/>
  <c r="AQ21" i="42"/>
  <c r="AQ71" i="42"/>
  <c r="CU61" i="42"/>
  <c r="AQ74" i="42"/>
  <c r="CU43" i="42"/>
  <c r="CQ43" i="42"/>
  <c r="CQ66" i="42"/>
  <c r="CU21" i="42"/>
  <c r="AE59" i="42"/>
  <c r="BD59" i="42" s="1"/>
  <c r="BC59" i="42" s="1"/>
  <c r="AE42" i="42"/>
  <c r="BD42" i="42" s="1"/>
  <c r="BC42" i="42" s="1"/>
  <c r="AG42" i="42"/>
  <c r="AF42" i="42"/>
  <c r="AZ42" i="42" s="1"/>
  <c r="BH42" i="42"/>
  <c r="CU42" i="42"/>
  <c r="CS42" i="42"/>
  <c r="CQ42" i="42"/>
  <c r="AQ47" i="42"/>
  <c r="AQ42" i="42"/>
  <c r="CV26" i="42"/>
  <c r="CV25" i="42"/>
  <c r="AQ26" i="42"/>
  <c r="CU26" i="42"/>
  <c r="CU67" i="42"/>
  <c r="CS47" i="42"/>
  <c r="AF67" i="42"/>
  <c r="AZ67" i="42" s="1"/>
  <c r="AE67" i="42"/>
  <c r="BD67" i="42" s="1"/>
  <c r="BC67" i="42" s="1"/>
  <c r="CQ46" i="42"/>
  <c r="AQ52" i="42"/>
  <c r="AG31" i="42"/>
  <c r="AF31" i="42"/>
  <c r="AZ31" i="42" s="1"/>
  <c r="AE31" i="42"/>
  <c r="CS52" i="42"/>
  <c r="AE39" i="42"/>
  <c r="BD39" i="42" s="1"/>
  <c r="BC39" i="42" s="1"/>
  <c r="AF39" i="42"/>
  <c r="AZ39" i="42" s="1"/>
  <c r="AG52" i="42"/>
  <c r="BH31" i="42"/>
  <c r="CU31" i="42"/>
  <c r="CS44" i="42"/>
  <c r="CQ44" i="42"/>
  <c r="BH44" i="42"/>
  <c r="CU44" i="42"/>
  <c r="AG44" i="42"/>
  <c r="AE44" i="42"/>
  <c r="BD44" i="42" s="1"/>
  <c r="BC44" i="42" s="1"/>
  <c r="CQ52" i="42"/>
  <c r="AQ44" i="42"/>
  <c r="AF23" i="42"/>
  <c r="AZ23" i="42" s="1"/>
  <c r="CU23" i="42"/>
  <c r="BH23" i="42"/>
  <c r="CS23" i="42"/>
  <c r="CU80" i="42"/>
  <c r="CS80" i="42"/>
  <c r="CQ80" i="42"/>
  <c r="BH80" i="42"/>
  <c r="AQ102" i="42"/>
  <c r="AE94" i="42"/>
  <c r="BD94" i="42" s="1"/>
  <c r="BC94" i="42" s="1"/>
  <c r="AG94" i="42"/>
  <c r="AQ81" i="42"/>
  <c r="AQ80" i="42"/>
  <c r="CS81" i="42"/>
  <c r="CQ81" i="42"/>
  <c r="AF78" i="42"/>
  <c r="AZ78" i="42" s="1"/>
  <c r="AG78" i="42"/>
  <c r="AG80" i="42"/>
  <c r="AE80" i="42"/>
  <c r="BD80" i="42" s="1"/>
  <c r="BC80" i="42" s="1"/>
  <c r="AF80" i="42"/>
  <c r="AZ80" i="42" s="1"/>
  <c r="CU81" i="42"/>
  <c r="AQ92" i="42"/>
  <c r="AQ78" i="42"/>
  <c r="AF81" i="42"/>
  <c r="AZ81" i="42" s="1"/>
  <c r="CQ97" i="42"/>
  <c r="BH97" i="42"/>
  <c r="AG103" i="42"/>
  <c r="AE103" i="42"/>
  <c r="BD103" i="42" s="1"/>
  <c r="BC103" i="42" s="1"/>
  <c r="AF103" i="42"/>
  <c r="AZ103" i="42" s="1"/>
  <c r="CU97" i="42"/>
  <c r="AF93" i="42"/>
  <c r="AZ93" i="42" s="1"/>
  <c r="AG93" i="42"/>
  <c r="AE93" i="42"/>
  <c r="BD93" i="42" s="1"/>
  <c r="BC93" i="42" s="1"/>
  <c r="CQ95" i="42"/>
  <c r="CU95" i="42"/>
  <c r="CS95" i="42"/>
  <c r="CS78" i="42"/>
  <c r="BH78" i="42"/>
  <c r="CQ78" i="42"/>
  <c r="CU45" i="42"/>
  <c r="CS45" i="42"/>
  <c r="CQ45" i="42"/>
  <c r="BH45" i="42"/>
  <c r="CU92" i="42"/>
  <c r="CS100" i="42"/>
  <c r="CQ100" i="42"/>
  <c r="CU100" i="42"/>
  <c r="CQ53" i="42"/>
  <c r="CU53" i="42"/>
  <c r="BH102" i="42"/>
  <c r="CU102" i="42"/>
  <c r="CQ102" i="42"/>
  <c r="CS94" i="42"/>
  <c r="CV120" i="42"/>
  <c r="CS119" i="42"/>
  <c r="CQ119" i="42"/>
  <c r="BH119" i="42"/>
  <c r="AQ88" i="42"/>
  <c r="CV116" i="42"/>
  <c r="CS98" i="42"/>
  <c r="BH38" i="42"/>
  <c r="CU38" i="42"/>
  <c r="CS103" i="42"/>
  <c r="CU103" i="42"/>
  <c r="AG85" i="42"/>
  <c r="AF85" i="42"/>
  <c r="AZ85" i="42" s="1"/>
  <c r="AE85" i="42"/>
  <c r="BD85" i="42" s="1"/>
  <c r="BC85" i="42" s="1"/>
  <c r="AE117" i="42"/>
  <c r="BD117" i="42" s="1"/>
  <c r="BC117" i="42" s="1"/>
  <c r="AG117" i="42"/>
  <c r="AE87" i="42"/>
  <c r="BD87" i="42" s="1"/>
  <c r="BC87" i="42" s="1"/>
  <c r="AG87" i="42"/>
  <c r="AF87" i="42"/>
  <c r="AZ87" i="42" s="1"/>
  <c r="CQ94" i="42"/>
  <c r="CU85" i="42"/>
  <c r="AE53" i="42"/>
  <c r="AG53" i="42"/>
  <c r="AF53" i="42"/>
  <c r="AZ53" i="42" s="1"/>
  <c r="AG120" i="42"/>
  <c r="AF120" i="42"/>
  <c r="AZ120" i="42" s="1"/>
  <c r="CQ116" i="42"/>
  <c r="BH116" i="42"/>
  <c r="CU116" i="42"/>
  <c r="CS116" i="42"/>
  <c r="CU88" i="42"/>
  <c r="CQ88" i="42"/>
  <c r="CS88" i="42"/>
  <c r="CU87" i="42"/>
  <c r="BH88" i="42"/>
  <c r="CU121" i="42"/>
  <c r="CQ121" i="42"/>
  <c r="CS118" i="42"/>
  <c r="BH120" i="42"/>
  <c r="CU48" i="42"/>
  <c r="AQ86" i="42"/>
  <c r="AQ117" i="42"/>
  <c r="E24" i="39" s="1"/>
  <c r="AF88" i="42"/>
  <c r="AZ88" i="42" s="1"/>
  <c r="AE88" i="42"/>
  <c r="BD88" i="42" s="1"/>
  <c r="BC88" i="42" s="1"/>
  <c r="CS86" i="42"/>
  <c r="CS97" i="42"/>
  <c r="CU41" i="42"/>
  <c r="BH84" i="42"/>
  <c r="CQ84" i="42"/>
  <c r="CS117" i="42"/>
  <c r="CU118" i="42"/>
  <c r="CQ118" i="42"/>
  <c r="CS120" i="42"/>
  <c r="CU120" i="42"/>
  <c r="CU119" i="42"/>
  <c r="CS50" i="42"/>
  <c r="CU50" i="42"/>
  <c r="CQ50" i="42"/>
  <c r="AQ24" i="42"/>
  <c r="CQ24" i="42"/>
  <c r="BH24" i="42"/>
  <c r="CU24" i="42"/>
  <c r="CS24" i="42"/>
  <c r="CS32" i="42"/>
  <c r="CQ32" i="42"/>
  <c r="BH32" i="42"/>
  <c r="CU32" i="42"/>
  <c r="AE51" i="42"/>
  <c r="AF51" i="42"/>
  <c r="AZ51" i="42" s="1"/>
  <c r="AF24" i="42"/>
  <c r="AZ24" i="42" s="1"/>
  <c r="AG24" i="42"/>
  <c r="AE24" i="42"/>
  <c r="BD24" i="42" s="1"/>
  <c r="BC24" i="42" s="1"/>
  <c r="AG50" i="42"/>
  <c r="AE50" i="42"/>
  <c r="AF50" i="42"/>
  <c r="AZ50" i="42" s="1"/>
  <c r="CU34" i="42"/>
  <c r="AQ51" i="42"/>
  <c r="CU33" i="42"/>
  <c r="CS33" i="42"/>
  <c r="CV54" i="42"/>
  <c r="E22" i="39" l="1"/>
  <c r="E26" i="39"/>
  <c r="E21" i="39"/>
  <c r="E79" i="39" s="1"/>
  <c r="E28" i="39"/>
  <c r="I24" i="39"/>
  <c r="E25" i="39"/>
  <c r="H24" i="39"/>
  <c r="G24" i="39" s="1"/>
  <c r="L22" i="39"/>
  <c r="H26" i="39"/>
  <c r="G26" i="39" s="1"/>
  <c r="L24" i="39"/>
  <c r="Q26" i="39"/>
  <c r="P26" i="39" s="1"/>
  <c r="I26" i="39"/>
  <c r="I23" i="39"/>
  <c r="H22" i="39"/>
  <c r="G22" i="39" s="1"/>
  <c r="H21" i="39"/>
  <c r="H27" i="39"/>
  <c r="G27" i="39" s="1"/>
  <c r="L26" i="39"/>
  <c r="H25" i="39"/>
  <c r="G25" i="39" s="1"/>
  <c r="I22" i="39"/>
  <c r="E27" i="39"/>
  <c r="H28" i="39"/>
  <c r="G28" i="39" s="1"/>
  <c r="L25" i="39"/>
  <c r="L23" i="39"/>
  <c r="L28" i="39"/>
  <c r="L21" i="39"/>
  <c r="L79" i="39" s="1"/>
  <c r="C8" i="39" s="1"/>
  <c r="B8" i="39" s="1"/>
  <c r="L27" i="39"/>
  <c r="H23" i="39"/>
  <c r="G23" i="39" s="1"/>
  <c r="Q22" i="39"/>
  <c r="P22" i="39" s="1"/>
  <c r="I28" i="39"/>
  <c r="I21" i="39"/>
  <c r="I79" i="39" s="1"/>
  <c r="C4" i="39" s="1"/>
  <c r="I27" i="39"/>
  <c r="Q23" i="39"/>
  <c r="P23" i="39" s="1"/>
  <c r="I25" i="39"/>
  <c r="Q25" i="39"/>
  <c r="P25" i="39" s="1"/>
  <c r="Q28" i="39"/>
  <c r="P28" i="39" s="1"/>
  <c r="Q21" i="39"/>
  <c r="Q27" i="39"/>
  <c r="P27" i="39" s="1"/>
  <c r="Q24" i="39"/>
  <c r="P24" i="39" s="1"/>
  <c r="CW63" i="42"/>
  <c r="DE95" i="42"/>
  <c r="BJ95" i="42"/>
  <c r="DF95" i="42" s="1"/>
  <c r="DC45" i="42"/>
  <c r="DI45" i="42" s="1"/>
  <c r="BF45" i="42"/>
  <c r="DD45" i="42" s="1"/>
  <c r="BJ107" i="42"/>
  <c r="BF107" i="42"/>
  <c r="BJ120" i="42"/>
  <c r="BF120" i="42"/>
  <c r="BF51" i="42"/>
  <c r="BJ51" i="42"/>
  <c r="BF60" i="42"/>
  <c r="BJ60" i="42"/>
  <c r="BJ50" i="42"/>
  <c r="BF50" i="42"/>
  <c r="BJ31" i="42"/>
  <c r="BF31" i="42"/>
  <c r="BF57" i="42"/>
  <c r="BJ57" i="42"/>
  <c r="BJ53" i="42"/>
  <c r="BF53" i="42"/>
  <c r="BF63" i="42"/>
  <c r="BJ63" i="42"/>
  <c r="BJ26" i="42"/>
  <c r="BF26" i="42"/>
  <c r="BJ54" i="42"/>
  <c r="BF54" i="42"/>
  <c r="BF48" i="42"/>
  <c r="BJ48" i="42"/>
  <c r="BJ110" i="42"/>
  <c r="BF110" i="42"/>
  <c r="BJ55" i="42"/>
  <c r="BF55" i="42"/>
  <c r="BF95" i="42"/>
  <c r="BJ70" i="42"/>
  <c r="BF70" i="42"/>
  <c r="BJ116" i="42"/>
  <c r="BF116" i="42"/>
  <c r="BJ19" i="42"/>
  <c r="BJ25" i="42"/>
  <c r="BF25" i="42"/>
  <c r="BJ24" i="42"/>
  <c r="BF24" i="42"/>
  <c r="BJ88" i="42"/>
  <c r="BF88" i="42"/>
  <c r="BJ87" i="42"/>
  <c r="BF87" i="42"/>
  <c r="BJ117" i="42"/>
  <c r="BF117" i="42"/>
  <c r="BJ85" i="42"/>
  <c r="BF85" i="42"/>
  <c r="BJ93" i="42"/>
  <c r="BF93" i="42"/>
  <c r="BJ103" i="42"/>
  <c r="BF103" i="42"/>
  <c r="BJ80" i="42"/>
  <c r="BF80" i="42"/>
  <c r="BJ94" i="42"/>
  <c r="BF94" i="42"/>
  <c r="BF44" i="42"/>
  <c r="BJ44" i="42"/>
  <c r="BJ39" i="42"/>
  <c r="BF39" i="42"/>
  <c r="BJ67" i="42"/>
  <c r="BF67" i="42"/>
  <c r="BJ42" i="42"/>
  <c r="BF42" i="42"/>
  <c r="BJ59" i="42"/>
  <c r="BF59" i="42"/>
  <c r="BF82" i="42"/>
  <c r="BJ82" i="42"/>
  <c r="BJ71" i="42"/>
  <c r="BF71" i="42"/>
  <c r="BJ66" i="42"/>
  <c r="BF66" i="42"/>
  <c r="BJ58" i="42"/>
  <c r="BF58" i="42"/>
  <c r="BJ73" i="42"/>
  <c r="BF73" i="42"/>
  <c r="BJ68" i="42"/>
  <c r="BF68" i="42"/>
  <c r="BJ111" i="42"/>
  <c r="BF111" i="42"/>
  <c r="BJ89" i="42"/>
  <c r="BF89" i="42"/>
  <c r="BJ20" i="42"/>
  <c r="BF20" i="42"/>
  <c r="BJ65" i="42"/>
  <c r="BF65" i="42"/>
  <c r="BJ64" i="42"/>
  <c r="BF64" i="42"/>
  <c r="BJ90" i="42"/>
  <c r="BF90" i="42"/>
  <c r="BJ75" i="42"/>
  <c r="BF75" i="42"/>
  <c r="BJ22" i="42"/>
  <c r="BF22" i="42"/>
  <c r="BJ69" i="42"/>
  <c r="BF69" i="42"/>
  <c r="BJ101" i="42"/>
  <c r="BF101" i="42"/>
  <c r="BJ115" i="42"/>
  <c r="BF115" i="42"/>
  <c r="BJ108" i="42"/>
  <c r="BF108" i="42"/>
  <c r="BJ33" i="42"/>
  <c r="BF33" i="42"/>
  <c r="BF84" i="42"/>
  <c r="BJ84" i="42"/>
  <c r="BJ38" i="42"/>
  <c r="BJ119" i="42"/>
  <c r="BJ86" i="42"/>
  <c r="BF86" i="42"/>
  <c r="CV102" i="42"/>
  <c r="CW102" i="42" s="1"/>
  <c r="BJ102" i="42"/>
  <c r="BF102" i="42"/>
  <c r="BJ97" i="42"/>
  <c r="BF97" i="42"/>
  <c r="BJ74" i="42"/>
  <c r="BJ30" i="42"/>
  <c r="BF30" i="42"/>
  <c r="BJ105" i="42"/>
  <c r="BJ29" i="42"/>
  <c r="BF29" i="42"/>
  <c r="BJ43" i="42"/>
  <c r="BF43" i="42"/>
  <c r="BJ77" i="42"/>
  <c r="BF77" i="42"/>
  <c r="BJ37" i="42"/>
  <c r="BF37" i="42"/>
  <c r="BJ113" i="42"/>
  <c r="BJ41" i="42"/>
  <c r="BJ47" i="42"/>
  <c r="BJ35" i="42"/>
  <c r="BJ104" i="42"/>
  <c r="BF104" i="42"/>
  <c r="BJ18" i="42"/>
  <c r="BF18" i="42"/>
  <c r="BJ27" i="42"/>
  <c r="BF27" i="42"/>
  <c r="BJ106" i="42"/>
  <c r="BF106" i="42"/>
  <c r="BJ23" i="42"/>
  <c r="BF23" i="42"/>
  <c r="BJ96" i="42"/>
  <c r="BF96" i="42"/>
  <c r="BJ32" i="42"/>
  <c r="BF32" i="42"/>
  <c r="BJ112" i="42"/>
  <c r="BJ78" i="42"/>
  <c r="BF78" i="42"/>
  <c r="CY63" i="42"/>
  <c r="DL63" i="42" s="1"/>
  <c r="BC34" i="42"/>
  <c r="CV34" i="42" s="1"/>
  <c r="BC99" i="42"/>
  <c r="BC100" i="42"/>
  <c r="BC98" i="42"/>
  <c r="BC92" i="42"/>
  <c r="BC81" i="42"/>
  <c r="BC52" i="42"/>
  <c r="BC21" i="42"/>
  <c r="BC109" i="42"/>
  <c r="BC72" i="42"/>
  <c r="BC56" i="42"/>
  <c r="BC61" i="42"/>
  <c r="BC91" i="42"/>
  <c r="BC83" i="42"/>
  <c r="BC40" i="42"/>
  <c r="CV40" i="42" s="1"/>
  <c r="CW40" i="42" s="1"/>
  <c r="BC36" i="42"/>
  <c r="BC121" i="42"/>
  <c r="BC46" i="42"/>
  <c r="BC76" i="42"/>
  <c r="CV76" i="42" s="1"/>
  <c r="CX76" i="42" s="1"/>
  <c r="BC49" i="42"/>
  <c r="BC17" i="42"/>
  <c r="BC79" i="42"/>
  <c r="CV79" i="42" s="1"/>
  <c r="BC118" i="42"/>
  <c r="BC62" i="42"/>
  <c r="BC28" i="42"/>
  <c r="CV28" i="42" s="1"/>
  <c r="BC114" i="42"/>
  <c r="BM45" i="42"/>
  <c r="BT45" i="42" s="1"/>
  <c r="CV86" i="42"/>
  <c r="CZ63" i="42"/>
  <c r="DA63" i="42" s="1"/>
  <c r="CW32" i="42"/>
  <c r="CX32" i="42"/>
  <c r="CZ32" i="42" s="1"/>
  <c r="DA32" i="42" s="1"/>
  <c r="CW48" i="42"/>
  <c r="CX48" i="42"/>
  <c r="CZ48" i="42" s="1"/>
  <c r="DA48" i="42" s="1"/>
  <c r="CV47" i="42"/>
  <c r="CW96" i="42"/>
  <c r="CX96" i="42"/>
  <c r="DH10" i="42"/>
  <c r="DF45" i="42"/>
  <c r="BK45" i="42"/>
  <c r="AQ10" i="42"/>
  <c r="CS10" i="42"/>
  <c r="CQ10" i="42"/>
  <c r="CV97" i="42"/>
  <c r="CX106" i="42"/>
  <c r="CW106" i="42"/>
  <c r="CX19" i="42"/>
  <c r="CZ19" i="42" s="1"/>
  <c r="DA19" i="42" s="1"/>
  <c r="CW19" i="42"/>
  <c r="CV55" i="42"/>
  <c r="CV105" i="42"/>
  <c r="CW104" i="42"/>
  <c r="CX104" i="42"/>
  <c r="CV35" i="42"/>
  <c r="CX18" i="42"/>
  <c r="CW18" i="42"/>
  <c r="CV77" i="42"/>
  <c r="CV113" i="42"/>
  <c r="CW110" i="42"/>
  <c r="CX110" i="42"/>
  <c r="CW37" i="42"/>
  <c r="CX37" i="42"/>
  <c r="CW112" i="42"/>
  <c r="CX112" i="42"/>
  <c r="CZ112" i="42" s="1"/>
  <c r="DA112" i="42" s="1"/>
  <c r="CV88" i="42"/>
  <c r="CV53" i="42"/>
  <c r="CX53" i="42" s="1"/>
  <c r="CV119" i="42"/>
  <c r="CV84" i="42"/>
  <c r="CW120" i="42"/>
  <c r="CX120" i="42"/>
  <c r="CV117" i="42"/>
  <c r="CX116" i="42"/>
  <c r="CZ116" i="42" s="1"/>
  <c r="DA116" i="42" s="1"/>
  <c r="CW116" i="42"/>
  <c r="CV41" i="42"/>
  <c r="CV38" i="42"/>
  <c r="BM120" i="42"/>
  <c r="CX45" i="42"/>
  <c r="CZ45" i="42" s="1"/>
  <c r="DA45" i="42" s="1"/>
  <c r="CW45" i="42"/>
  <c r="CV95" i="42"/>
  <c r="CV94" i="42"/>
  <c r="CX94" i="42" s="1"/>
  <c r="CX78" i="42"/>
  <c r="CW78" i="42"/>
  <c r="CW23" i="42"/>
  <c r="CX23" i="42"/>
  <c r="CZ23" i="42" s="1"/>
  <c r="DA23" i="42" s="1"/>
  <c r="CX26" i="42"/>
  <c r="CZ26" i="42" s="1"/>
  <c r="DA26" i="42" s="1"/>
  <c r="CW26" i="42"/>
  <c r="CV67" i="42"/>
  <c r="CX67" i="42" s="1"/>
  <c r="CW25" i="42"/>
  <c r="CX25" i="42"/>
  <c r="CZ25" i="42" s="1"/>
  <c r="DA25" i="42" s="1"/>
  <c r="CV42" i="42"/>
  <c r="CW57" i="42"/>
  <c r="CX57" i="42"/>
  <c r="CZ57" i="42" s="1"/>
  <c r="DA57" i="42" s="1"/>
  <c r="CV59" i="42"/>
  <c r="CX59" i="42" s="1"/>
  <c r="CV66" i="42"/>
  <c r="CX66" i="42" s="1"/>
  <c r="CV107" i="42"/>
  <c r="CV58" i="42"/>
  <c r="CX70" i="42"/>
  <c r="CW70" i="42"/>
  <c r="CV74" i="42"/>
  <c r="CV73" i="42"/>
  <c r="CX73" i="42" s="1"/>
  <c r="CX60" i="42"/>
  <c r="CZ60" i="42" s="1"/>
  <c r="DA60" i="42" s="1"/>
  <c r="CW60" i="42"/>
  <c r="CX27" i="42"/>
  <c r="CZ27" i="42" s="1"/>
  <c r="DA27" i="42" s="1"/>
  <c r="CW27" i="42"/>
  <c r="CX43" i="42"/>
  <c r="CZ43" i="42" s="1"/>
  <c r="DA43" i="42" s="1"/>
  <c r="CW43" i="42"/>
  <c r="CW54" i="42"/>
  <c r="CX54" i="42"/>
  <c r="CZ54" i="42" s="1"/>
  <c r="DA54" i="42" s="1"/>
  <c r="CV50" i="42"/>
  <c r="CV51" i="42"/>
  <c r="CW51" i="42" s="1"/>
  <c r="CV33" i="42"/>
  <c r="BN45" i="42" l="1"/>
  <c r="BO45" i="42" s="1"/>
  <c r="BR45" i="42" s="1"/>
  <c r="G21" i="39"/>
  <c r="H79" i="39"/>
  <c r="G79" i="39" s="1"/>
  <c r="B4" i="39"/>
  <c r="P21" i="39"/>
  <c r="Q79" i="39"/>
  <c r="BM43" i="42"/>
  <c r="BT43" i="42" s="1"/>
  <c r="BK95" i="42"/>
  <c r="BM18" i="42"/>
  <c r="BT18" i="42" s="1"/>
  <c r="BM57" i="42"/>
  <c r="BT57" i="42" s="1"/>
  <c r="BM110" i="42"/>
  <c r="BT110" i="42" s="1"/>
  <c r="BM84" i="42"/>
  <c r="BT84" i="42" s="1"/>
  <c r="BM77" i="42"/>
  <c r="BT77" i="42" s="1"/>
  <c r="BM119" i="42"/>
  <c r="BT119" i="42" s="1"/>
  <c r="BF119" i="42"/>
  <c r="BM112" i="42"/>
  <c r="BT112" i="42" s="1"/>
  <c r="BF112" i="42"/>
  <c r="BM38" i="42"/>
  <c r="BT38" i="42" s="1"/>
  <c r="BF38" i="42"/>
  <c r="BM74" i="42"/>
  <c r="BT74" i="42" s="1"/>
  <c r="BF74" i="42"/>
  <c r="BM47" i="42"/>
  <c r="BT47" i="42" s="1"/>
  <c r="BF47" i="42"/>
  <c r="BM19" i="42"/>
  <c r="BT19" i="42" s="1"/>
  <c r="BF19" i="42"/>
  <c r="BM35" i="42"/>
  <c r="BT35" i="42" s="1"/>
  <c r="BF35" i="42"/>
  <c r="BM41" i="42"/>
  <c r="BT41" i="42" s="1"/>
  <c r="BF41" i="42"/>
  <c r="BM113" i="42"/>
  <c r="BT113" i="42" s="1"/>
  <c r="BF113" i="42"/>
  <c r="BM105" i="42"/>
  <c r="BT105" i="42" s="1"/>
  <c r="BF105" i="42"/>
  <c r="BM102" i="42"/>
  <c r="BT102" i="42" s="1"/>
  <c r="BM26" i="42"/>
  <c r="BT26" i="42" s="1"/>
  <c r="BM107" i="42"/>
  <c r="BT107" i="42" s="1"/>
  <c r="BM60" i="42"/>
  <c r="BT60" i="42" s="1"/>
  <c r="BM97" i="42"/>
  <c r="BT97" i="42" s="1"/>
  <c r="BM33" i="42"/>
  <c r="BT33" i="42" s="1"/>
  <c r="BM95" i="42"/>
  <c r="BT95" i="42" s="1"/>
  <c r="BM70" i="42"/>
  <c r="BT70" i="42" s="1"/>
  <c r="BT120" i="42"/>
  <c r="CX102" i="42"/>
  <c r="CZ102" i="42" s="1"/>
  <c r="DA102" i="42" s="1"/>
  <c r="DC55" i="42"/>
  <c r="DE110" i="42"/>
  <c r="DE37" i="42"/>
  <c r="DE29" i="42"/>
  <c r="DE105" i="42"/>
  <c r="DE30" i="42"/>
  <c r="DC63" i="42"/>
  <c r="BM63" i="42"/>
  <c r="BT63" i="42" s="1"/>
  <c r="BM55" i="42"/>
  <c r="BT55" i="42" s="1"/>
  <c r="DC19" i="42"/>
  <c r="DC116" i="42"/>
  <c r="BM116" i="42"/>
  <c r="BT116" i="42" s="1"/>
  <c r="DC32" i="42"/>
  <c r="BM32" i="42"/>
  <c r="BT32" i="42" s="1"/>
  <c r="DE54" i="42"/>
  <c r="DC78" i="42"/>
  <c r="BM78" i="42"/>
  <c r="BT78" i="42" s="1"/>
  <c r="DE48" i="42"/>
  <c r="DC23" i="42"/>
  <c r="BM23" i="42"/>
  <c r="BT23" i="42" s="1"/>
  <c r="DC27" i="42"/>
  <c r="BM27" i="42"/>
  <c r="BT27" i="42" s="1"/>
  <c r="DC74" i="42"/>
  <c r="DE86" i="42"/>
  <c r="DE38" i="42"/>
  <c r="DE33" i="42"/>
  <c r="DE69" i="42"/>
  <c r="DE22" i="42"/>
  <c r="DE89" i="42"/>
  <c r="DC82" i="42"/>
  <c r="DE59" i="42"/>
  <c r="DE103" i="42"/>
  <c r="DC120" i="42"/>
  <c r="DC77" i="42"/>
  <c r="DC43" i="42"/>
  <c r="DE26" i="42"/>
  <c r="DE53" i="42"/>
  <c r="DC96" i="42"/>
  <c r="BM96" i="42"/>
  <c r="BT96" i="42" s="1"/>
  <c r="DC106" i="42"/>
  <c r="BM106" i="42"/>
  <c r="BT106" i="42" s="1"/>
  <c r="DE119" i="42"/>
  <c r="DC84" i="42"/>
  <c r="DE90" i="42"/>
  <c r="DE66" i="42"/>
  <c r="DE85" i="42"/>
  <c r="DE25" i="42"/>
  <c r="DC57" i="42"/>
  <c r="DC51" i="42"/>
  <c r="DE107" i="42"/>
  <c r="DE78" i="42"/>
  <c r="DE96" i="42"/>
  <c r="DE106" i="42"/>
  <c r="DC37" i="42"/>
  <c r="BM37" i="42"/>
  <c r="BT37" i="42" s="1"/>
  <c r="DE77" i="42"/>
  <c r="DE43" i="42"/>
  <c r="DC29" i="42"/>
  <c r="DC105" i="42"/>
  <c r="DC30" i="42"/>
  <c r="DE74" i="42"/>
  <c r="DC119" i="42"/>
  <c r="DE84" i="42"/>
  <c r="DC90" i="42"/>
  <c r="DC66" i="42"/>
  <c r="DC85" i="42"/>
  <c r="DC25" i="42"/>
  <c r="BM25" i="42"/>
  <c r="BT25" i="42" s="1"/>
  <c r="DE55" i="42"/>
  <c r="DC54" i="42"/>
  <c r="BM54" i="42"/>
  <c r="BT54" i="42" s="1"/>
  <c r="DC26" i="42"/>
  <c r="DC53" i="42"/>
  <c r="DE57" i="42"/>
  <c r="DE120" i="42"/>
  <c r="DE32" i="42"/>
  <c r="DE23" i="42"/>
  <c r="DE27" i="42"/>
  <c r="DC108" i="42"/>
  <c r="DC68" i="42"/>
  <c r="DC71" i="42"/>
  <c r="DC67" i="42"/>
  <c r="DE44" i="42"/>
  <c r="DC94" i="42"/>
  <c r="DC93" i="42"/>
  <c r="DC117" i="42"/>
  <c r="DC24" i="42"/>
  <c r="DE19" i="42"/>
  <c r="DE116" i="42"/>
  <c r="DC48" i="42"/>
  <c r="BM48" i="42"/>
  <c r="BT48" i="42" s="1"/>
  <c r="DC50" i="42"/>
  <c r="DC104" i="42"/>
  <c r="BM104" i="42"/>
  <c r="BT104" i="42" s="1"/>
  <c r="DC35" i="42"/>
  <c r="DE113" i="42"/>
  <c r="DC97" i="42"/>
  <c r="DC102" i="42"/>
  <c r="DE108" i="42"/>
  <c r="DE68" i="42"/>
  <c r="DE71" i="42"/>
  <c r="DE67" i="42"/>
  <c r="DC44" i="42"/>
  <c r="DE94" i="42"/>
  <c r="DE93" i="42"/>
  <c r="DE117" i="42"/>
  <c r="DE24" i="42"/>
  <c r="DC31" i="42"/>
  <c r="DE50" i="42"/>
  <c r="DE104" i="42"/>
  <c r="DE35" i="42"/>
  <c r="DC113" i="42"/>
  <c r="DE97" i="42"/>
  <c r="DE102" i="42"/>
  <c r="DC115" i="42"/>
  <c r="DC101" i="42"/>
  <c r="DC75" i="42"/>
  <c r="DC64" i="42"/>
  <c r="DC65" i="42"/>
  <c r="DC20" i="42"/>
  <c r="DC111" i="42"/>
  <c r="DC73" i="42"/>
  <c r="DC58" i="42"/>
  <c r="DC42" i="42"/>
  <c r="DC39" i="42"/>
  <c r="DC80" i="42"/>
  <c r="DC87" i="42"/>
  <c r="DC88" i="42"/>
  <c r="DC70" i="42"/>
  <c r="DE31" i="42"/>
  <c r="DE60" i="42"/>
  <c r="DC112" i="42"/>
  <c r="DC18" i="42"/>
  <c r="DC47" i="42"/>
  <c r="DC41" i="42"/>
  <c r="DE115" i="42"/>
  <c r="DE101" i="42"/>
  <c r="DE75" i="42"/>
  <c r="DE64" i="42"/>
  <c r="DE65" i="42"/>
  <c r="DE20" i="42"/>
  <c r="DE111" i="42"/>
  <c r="DE73" i="42"/>
  <c r="DE58" i="42"/>
  <c r="DE42" i="42"/>
  <c r="DE39" i="42"/>
  <c r="DE80" i="42"/>
  <c r="DE87" i="42"/>
  <c r="DE88" i="42"/>
  <c r="DE70" i="42"/>
  <c r="DC95" i="42"/>
  <c r="DI95" i="42" s="1"/>
  <c r="DC60" i="42"/>
  <c r="DE112" i="42"/>
  <c r="DE18" i="42"/>
  <c r="DE47" i="42"/>
  <c r="DE41" i="42"/>
  <c r="DC86" i="42"/>
  <c r="DC38" i="42"/>
  <c r="DC33" i="42"/>
  <c r="DC69" i="42"/>
  <c r="DC22" i="42"/>
  <c r="DC89" i="42"/>
  <c r="DE82" i="42"/>
  <c r="DC59" i="42"/>
  <c r="DC103" i="42"/>
  <c r="DC110" i="42"/>
  <c r="DE63" i="42"/>
  <c r="DE51" i="42"/>
  <c r="DC107" i="42"/>
  <c r="CV114" i="42"/>
  <c r="CW114" i="42" s="1"/>
  <c r="BJ114" i="42"/>
  <c r="BF114" i="42"/>
  <c r="BJ28" i="42"/>
  <c r="CV62" i="42"/>
  <c r="CW62" i="42" s="1"/>
  <c r="BF62" i="42"/>
  <c r="BJ62" i="42"/>
  <c r="CV118" i="42"/>
  <c r="CX118" i="42" s="1"/>
  <c r="CY118" i="42" s="1"/>
  <c r="DL118" i="42" s="1"/>
  <c r="BJ118" i="42"/>
  <c r="BF79" i="42"/>
  <c r="BJ79" i="42"/>
  <c r="CV17" i="42"/>
  <c r="CX17" i="42" s="1"/>
  <c r="BJ17" i="42"/>
  <c r="CV49" i="42"/>
  <c r="BJ49" i="42"/>
  <c r="BF49" i="42"/>
  <c r="BJ76" i="42"/>
  <c r="BF76" i="42"/>
  <c r="CV46" i="42"/>
  <c r="BJ46" i="42"/>
  <c r="BF46" i="42"/>
  <c r="CV121" i="42"/>
  <c r="CX121" i="42" s="1"/>
  <c r="CZ121" i="42" s="1"/>
  <c r="DA121" i="42" s="1"/>
  <c r="BJ121" i="42"/>
  <c r="BF121" i="42"/>
  <c r="CV36" i="42"/>
  <c r="BJ36" i="42"/>
  <c r="BF36" i="42"/>
  <c r="BJ40" i="42"/>
  <c r="BF40" i="42"/>
  <c r="CV83" i="42"/>
  <c r="CX83" i="42" s="1"/>
  <c r="BJ83" i="42"/>
  <c r="BF83" i="42"/>
  <c r="CV91" i="42"/>
  <c r="CW91" i="42" s="1"/>
  <c r="BJ91" i="42"/>
  <c r="BJ61" i="42"/>
  <c r="BF61" i="42"/>
  <c r="CV56" i="42"/>
  <c r="CW56" i="42" s="1"/>
  <c r="BJ56" i="42"/>
  <c r="BF56" i="42"/>
  <c r="CV72" i="42"/>
  <c r="CX72" i="42" s="1"/>
  <c r="BJ72" i="42"/>
  <c r="BF72" i="42"/>
  <c r="BJ109" i="42"/>
  <c r="BJ21" i="42"/>
  <c r="CV52" i="42"/>
  <c r="CW52" i="42" s="1"/>
  <c r="BJ52" i="42"/>
  <c r="BF52" i="42"/>
  <c r="CV81" i="42"/>
  <c r="CW81" i="42" s="1"/>
  <c r="BJ81" i="42"/>
  <c r="BF81" i="42"/>
  <c r="CV92" i="42"/>
  <c r="CW92" i="42" s="1"/>
  <c r="BJ92" i="42"/>
  <c r="BF92" i="42"/>
  <c r="CV98" i="42"/>
  <c r="CW98" i="42" s="1"/>
  <c r="BJ98" i="42"/>
  <c r="BF98" i="42"/>
  <c r="CV100" i="42"/>
  <c r="BJ100" i="42"/>
  <c r="BF100" i="42"/>
  <c r="CV99" i="42"/>
  <c r="CX99" i="42" s="1"/>
  <c r="BJ99" i="42"/>
  <c r="BF99" i="42"/>
  <c r="BJ34" i="42"/>
  <c r="BF34" i="42"/>
  <c r="CY48" i="42"/>
  <c r="DL48" i="42" s="1"/>
  <c r="CV109" i="42"/>
  <c r="CX109" i="42" s="1"/>
  <c r="CY109" i="42" s="1"/>
  <c r="DL109" i="42" s="1"/>
  <c r="CV61" i="42"/>
  <c r="CX61" i="42" s="1"/>
  <c r="CY32" i="42"/>
  <c r="DL32" i="42" s="1"/>
  <c r="CV21" i="42"/>
  <c r="CW21" i="42" s="1"/>
  <c r="BM86" i="42"/>
  <c r="BT86" i="42" s="1"/>
  <c r="CW79" i="42"/>
  <c r="CX86" i="42"/>
  <c r="CZ86" i="42" s="1"/>
  <c r="DA86" i="42" s="1"/>
  <c r="CX40" i="42"/>
  <c r="CZ40" i="42" s="1"/>
  <c r="DA40" i="42" s="1"/>
  <c r="CW86" i="42"/>
  <c r="DK32" i="42"/>
  <c r="CX79" i="42"/>
  <c r="CZ79" i="42" s="1"/>
  <c r="DA79" i="42" s="1"/>
  <c r="DK48" i="42"/>
  <c r="CX28" i="42"/>
  <c r="CW28" i="42"/>
  <c r="CW53" i="42"/>
  <c r="CW76" i="42"/>
  <c r="CX47" i="42"/>
  <c r="CZ47" i="42" s="1"/>
  <c r="DA47" i="42" s="1"/>
  <c r="CW47" i="42"/>
  <c r="CW67" i="42"/>
  <c r="CW59" i="42"/>
  <c r="CW42" i="42"/>
  <c r="DJ45" i="42"/>
  <c r="CW66" i="42"/>
  <c r="CY76" i="42"/>
  <c r="DL76" i="42" s="1"/>
  <c r="DK76" i="42"/>
  <c r="CY96" i="42"/>
  <c r="DL96" i="42" s="1"/>
  <c r="DK96" i="42"/>
  <c r="CZ96" i="42"/>
  <c r="DA96" i="42" s="1"/>
  <c r="CZ76" i="42"/>
  <c r="DA76" i="42" s="1"/>
  <c r="CW97" i="42"/>
  <c r="CX97" i="42"/>
  <c r="CY106" i="42"/>
  <c r="DK106" i="42"/>
  <c r="CZ106" i="42"/>
  <c r="DA106" i="42" s="1"/>
  <c r="CX58" i="42"/>
  <c r="CZ58" i="42" s="1"/>
  <c r="DA58" i="42" s="1"/>
  <c r="CW58" i="42"/>
  <c r="CW73" i="42"/>
  <c r="BM29" i="42"/>
  <c r="BT29" i="42" s="1"/>
  <c r="CV29" i="42"/>
  <c r="CV30" i="42"/>
  <c r="BM30" i="42"/>
  <c r="BT30" i="42" s="1"/>
  <c r="CZ53" i="42"/>
  <c r="DA53" i="42" s="1"/>
  <c r="CU10" i="42"/>
  <c r="BM101" i="42"/>
  <c r="BT101" i="42" s="1"/>
  <c r="CV101" i="42"/>
  <c r="CV22" i="42"/>
  <c r="BM22" i="42"/>
  <c r="BT22" i="42" s="1"/>
  <c r="CW117" i="42"/>
  <c r="BM90" i="42"/>
  <c r="BT90" i="42" s="1"/>
  <c r="CV90" i="42"/>
  <c r="BM69" i="42"/>
  <c r="BT69" i="42" s="1"/>
  <c r="CV69" i="42"/>
  <c r="CW35" i="42"/>
  <c r="CX35" i="42"/>
  <c r="CW50" i="42"/>
  <c r="CX117" i="42"/>
  <c r="CZ117" i="42" s="1"/>
  <c r="DA117" i="42" s="1"/>
  <c r="CY37" i="42"/>
  <c r="DL37" i="42" s="1"/>
  <c r="CZ37" i="42"/>
  <c r="DA37" i="42" s="1"/>
  <c r="DK37" i="42"/>
  <c r="CX77" i="42"/>
  <c r="CZ77" i="42" s="1"/>
  <c r="DA77" i="42" s="1"/>
  <c r="CW77" i="42"/>
  <c r="CV75" i="42"/>
  <c r="BM75" i="42"/>
  <c r="BT75" i="42" s="1"/>
  <c r="CY67" i="42"/>
  <c r="DL67" i="42" s="1"/>
  <c r="DK67" i="42"/>
  <c r="BM115" i="42"/>
  <c r="BT115" i="42" s="1"/>
  <c r="CV115" i="42"/>
  <c r="CX51" i="42"/>
  <c r="CZ51" i="42" s="1"/>
  <c r="DA51" i="42" s="1"/>
  <c r="CX50" i="42"/>
  <c r="CY45" i="42"/>
  <c r="DL45" i="42" s="1"/>
  <c r="DK45" i="42"/>
  <c r="CV87" i="42"/>
  <c r="CW87" i="42" s="1"/>
  <c r="BM87" i="42"/>
  <c r="BT87" i="42" s="1"/>
  <c r="CY110" i="42"/>
  <c r="DL110" i="42" s="1"/>
  <c r="DK110" i="42"/>
  <c r="CZ110" i="42"/>
  <c r="DA110" i="42" s="1"/>
  <c r="CZ94" i="42"/>
  <c r="DA94" i="42" s="1"/>
  <c r="CY116" i="42"/>
  <c r="DL116" i="42" s="1"/>
  <c r="DK116" i="42"/>
  <c r="CY120" i="42"/>
  <c r="DL120" i="42" s="1"/>
  <c r="DK120" i="42"/>
  <c r="BM65" i="42"/>
  <c r="BT65" i="42" s="1"/>
  <c r="CV65" i="42"/>
  <c r="CX105" i="42"/>
  <c r="CZ105" i="42" s="1"/>
  <c r="DA105" i="42" s="1"/>
  <c r="CW105" i="42"/>
  <c r="CZ120" i="42"/>
  <c r="DA120" i="42" s="1"/>
  <c r="CX42" i="42"/>
  <c r="CX88" i="42"/>
  <c r="CZ88" i="42" s="1"/>
  <c r="DA88" i="42" s="1"/>
  <c r="CW113" i="42"/>
  <c r="CX113" i="42"/>
  <c r="CZ113" i="42" s="1"/>
  <c r="DA113" i="42" s="1"/>
  <c r="CY26" i="42"/>
  <c r="DL26" i="42" s="1"/>
  <c r="DK26" i="42"/>
  <c r="CY78" i="42"/>
  <c r="DL78" i="42" s="1"/>
  <c r="DK78" i="42"/>
  <c r="CZ78" i="42"/>
  <c r="DA78" i="42" s="1"/>
  <c r="CW88" i="42"/>
  <c r="CY112" i="42"/>
  <c r="DL112" i="42" s="1"/>
  <c r="DK112" i="42"/>
  <c r="BM108" i="42"/>
  <c r="BT108" i="42" s="1"/>
  <c r="CV108" i="42"/>
  <c r="CY18" i="42"/>
  <c r="DL18" i="42" s="1"/>
  <c r="DK18" i="42"/>
  <c r="CZ18" i="42"/>
  <c r="DA18" i="42" s="1"/>
  <c r="CZ73" i="42"/>
  <c r="DA73" i="42" s="1"/>
  <c r="CY59" i="42"/>
  <c r="DL59" i="42" s="1"/>
  <c r="DK59" i="42"/>
  <c r="CZ66" i="42"/>
  <c r="DA66" i="42" s="1"/>
  <c r="CZ59" i="42"/>
  <c r="DA59" i="42" s="1"/>
  <c r="CZ67" i="42"/>
  <c r="DA67" i="42" s="1"/>
  <c r="BM64" i="42"/>
  <c r="BT64" i="42" s="1"/>
  <c r="CV64" i="42"/>
  <c r="CX55" i="42"/>
  <c r="CZ55" i="42" s="1"/>
  <c r="DA55" i="42" s="1"/>
  <c r="CW55" i="42"/>
  <c r="CY70" i="42"/>
  <c r="DL70" i="42" s="1"/>
  <c r="CZ70" i="42"/>
  <c r="DA70" i="42" s="1"/>
  <c r="DK70" i="42"/>
  <c r="CY43" i="42"/>
  <c r="DL43" i="42" s="1"/>
  <c r="DK43" i="42"/>
  <c r="DK104" i="42"/>
  <c r="CY104" i="42"/>
  <c r="DL104" i="42" s="1"/>
  <c r="CZ104" i="42"/>
  <c r="DA104" i="42" s="1"/>
  <c r="CY66" i="42"/>
  <c r="DL66" i="42" s="1"/>
  <c r="DK66" i="42"/>
  <c r="CW94" i="42"/>
  <c r="CY19" i="42"/>
  <c r="DL19" i="42" s="1"/>
  <c r="DK19" i="42"/>
  <c r="BM20" i="42"/>
  <c r="BT20" i="42" s="1"/>
  <c r="CV20" i="42"/>
  <c r="BM89" i="42"/>
  <c r="BT89" i="42" s="1"/>
  <c r="CV89" i="42"/>
  <c r="CY27" i="42"/>
  <c r="DL27" i="42" s="1"/>
  <c r="DK27" i="42"/>
  <c r="BM111" i="42"/>
  <c r="BT111" i="42" s="1"/>
  <c r="CV111" i="42"/>
  <c r="CY60" i="42"/>
  <c r="DL60" i="42" s="1"/>
  <c r="DK60" i="42"/>
  <c r="CV68" i="42"/>
  <c r="BM68" i="42"/>
  <c r="BT68" i="42" s="1"/>
  <c r="BM73" i="42"/>
  <c r="BT73" i="42" s="1"/>
  <c r="CW74" i="42"/>
  <c r="CX74" i="42"/>
  <c r="CZ74" i="42" s="1"/>
  <c r="DA74" i="42" s="1"/>
  <c r="BM58" i="42"/>
  <c r="BT58" i="42" s="1"/>
  <c r="CW107" i="42"/>
  <c r="CX107" i="42"/>
  <c r="CZ107" i="42" s="1"/>
  <c r="DA107" i="42" s="1"/>
  <c r="BM66" i="42"/>
  <c r="BT66" i="42" s="1"/>
  <c r="BM71" i="42"/>
  <c r="BT71" i="42" s="1"/>
  <c r="CV71" i="42"/>
  <c r="CV82" i="42"/>
  <c r="BM82" i="42"/>
  <c r="BT82" i="42" s="1"/>
  <c r="CY73" i="42"/>
  <c r="DL73" i="42" s="1"/>
  <c r="DK73" i="42"/>
  <c r="BM59" i="42"/>
  <c r="BT59" i="42" s="1"/>
  <c r="CY57" i="42"/>
  <c r="DL57" i="42" s="1"/>
  <c r="DK57" i="42"/>
  <c r="BM42" i="42"/>
  <c r="BT42" i="42" s="1"/>
  <c r="CY25" i="42"/>
  <c r="DL25" i="42" s="1"/>
  <c r="DK25" i="42"/>
  <c r="BM67" i="42"/>
  <c r="BT67" i="42" s="1"/>
  <c r="BM31" i="42"/>
  <c r="BT31" i="42" s="1"/>
  <c r="CV31" i="42"/>
  <c r="BM39" i="42"/>
  <c r="BT39" i="42" s="1"/>
  <c r="CV39" i="42"/>
  <c r="BM44" i="42"/>
  <c r="BT44" i="42" s="1"/>
  <c r="CV44" i="42"/>
  <c r="CY23" i="42"/>
  <c r="DL23" i="42" s="1"/>
  <c r="DK23" i="42"/>
  <c r="BM94" i="42"/>
  <c r="BT94" i="42" s="1"/>
  <c r="CV80" i="42"/>
  <c r="BM80" i="42"/>
  <c r="BT80" i="42" s="1"/>
  <c r="DK53" i="42"/>
  <c r="CY53" i="42"/>
  <c r="DL53" i="42" s="1"/>
  <c r="CW95" i="42"/>
  <c r="CX95" i="42"/>
  <c r="CV103" i="42"/>
  <c r="BM103" i="42"/>
  <c r="BT103" i="42" s="1"/>
  <c r="BM93" i="42"/>
  <c r="BT93" i="42" s="1"/>
  <c r="CV93" i="42"/>
  <c r="CY94" i="42"/>
  <c r="DL94" i="42" s="1"/>
  <c r="DK94" i="42"/>
  <c r="CW38" i="42"/>
  <c r="CX38" i="42"/>
  <c r="CZ38" i="42" s="1"/>
  <c r="DA38" i="42" s="1"/>
  <c r="CW41" i="42"/>
  <c r="CX41" i="42"/>
  <c r="CZ41" i="42" s="1"/>
  <c r="DA41" i="42" s="1"/>
  <c r="CV85" i="42"/>
  <c r="BM85" i="42"/>
  <c r="BT85" i="42" s="1"/>
  <c r="BM117" i="42"/>
  <c r="BT117" i="42" s="1"/>
  <c r="CX84" i="42"/>
  <c r="CZ84" i="42" s="1"/>
  <c r="DA84" i="42" s="1"/>
  <c r="CW84" i="42"/>
  <c r="CX119" i="42"/>
  <c r="CZ119" i="42" s="1"/>
  <c r="DA119" i="42" s="1"/>
  <c r="CW119" i="42"/>
  <c r="BM53" i="42"/>
  <c r="BT53" i="42" s="1"/>
  <c r="BM88" i="42"/>
  <c r="BT88" i="42" s="1"/>
  <c r="CX33" i="42"/>
  <c r="CZ33" i="42" s="1"/>
  <c r="DA33" i="42" s="1"/>
  <c r="CW33" i="42"/>
  <c r="CX34" i="42"/>
  <c r="CZ34" i="42" s="1"/>
  <c r="DA34" i="42" s="1"/>
  <c r="CW34" i="42"/>
  <c r="BM51" i="42"/>
  <c r="BT51" i="42" s="1"/>
  <c r="BM24" i="42"/>
  <c r="BT24" i="42" s="1"/>
  <c r="CV24" i="42"/>
  <c r="BM50" i="42"/>
  <c r="BT50" i="42" s="1"/>
  <c r="CY54" i="42"/>
  <c r="DL54" i="42" s="1"/>
  <c r="DK54" i="42"/>
  <c r="BP45" i="42" l="1"/>
  <c r="BQ45" i="42" s="1"/>
  <c r="BY45" i="42" s="1"/>
  <c r="BW45" i="42"/>
  <c r="BV45" i="42"/>
  <c r="BS45" i="42"/>
  <c r="BU45" i="42"/>
  <c r="M24" i="39"/>
  <c r="M25" i="39"/>
  <c r="K28" i="39"/>
  <c r="M27" i="39"/>
  <c r="M23" i="39"/>
  <c r="M22" i="39"/>
  <c r="M26" i="39"/>
  <c r="K25" i="39"/>
  <c r="M28" i="39"/>
  <c r="M21" i="39"/>
  <c r="M79" i="39" s="1"/>
  <c r="C7" i="39" s="1"/>
  <c r="B7" i="39" s="1"/>
  <c r="DL106" i="42"/>
  <c r="E4" i="39"/>
  <c r="P79" i="39"/>
  <c r="BM56" i="42"/>
  <c r="BT56" i="42" s="1"/>
  <c r="CX114" i="42"/>
  <c r="CY114" i="42" s="1"/>
  <c r="DL114" i="42" s="1"/>
  <c r="DI74" i="42"/>
  <c r="CY121" i="42"/>
  <c r="DL121" i="42" s="1"/>
  <c r="DK121" i="42"/>
  <c r="DK102" i="42"/>
  <c r="CX91" i="42"/>
  <c r="CZ91" i="42" s="1"/>
  <c r="DA91" i="42" s="1"/>
  <c r="BM99" i="42"/>
  <c r="BT99" i="42" s="1"/>
  <c r="DI77" i="42"/>
  <c r="DI107" i="42"/>
  <c r="BM114" i="42"/>
  <c r="BT114" i="42" s="1"/>
  <c r="DI55" i="42"/>
  <c r="CY102" i="42"/>
  <c r="DL102" i="42" s="1"/>
  <c r="BM121" i="42"/>
  <c r="BT121" i="42" s="1"/>
  <c r="DI73" i="42"/>
  <c r="BM118" i="42"/>
  <c r="BT118" i="42" s="1"/>
  <c r="BF118" i="42"/>
  <c r="K24" i="39" s="1"/>
  <c r="BM46" i="42"/>
  <c r="BT46" i="42" s="1"/>
  <c r="BM21" i="42"/>
  <c r="BT21" i="42" s="1"/>
  <c r="BF21" i="42"/>
  <c r="BM91" i="42"/>
  <c r="BT91" i="42" s="1"/>
  <c r="BF91" i="42"/>
  <c r="K26" i="39" s="1"/>
  <c r="BM17" i="42"/>
  <c r="BT17" i="42" s="1"/>
  <c r="BF17" i="42"/>
  <c r="BM28" i="42"/>
  <c r="BT28" i="42" s="1"/>
  <c r="BF28" i="42"/>
  <c r="K27" i="39" s="1"/>
  <c r="BM109" i="42"/>
  <c r="BT109" i="42" s="1"/>
  <c r="BF109" i="42"/>
  <c r="K23" i="39" s="1"/>
  <c r="BM36" i="42"/>
  <c r="BT36" i="42" s="1"/>
  <c r="DI33" i="42"/>
  <c r="BM81" i="42"/>
  <c r="BT81" i="42" s="1"/>
  <c r="BM61" i="42"/>
  <c r="BT61" i="42" s="1"/>
  <c r="BM52" i="42"/>
  <c r="BT52" i="42" s="1"/>
  <c r="BM62" i="42"/>
  <c r="BT62" i="42" s="1"/>
  <c r="BM98" i="42"/>
  <c r="BT98" i="42" s="1"/>
  <c r="BM79" i="42"/>
  <c r="BT79" i="42" s="1"/>
  <c r="DI80" i="42"/>
  <c r="BM100" i="42"/>
  <c r="BT100" i="42" s="1"/>
  <c r="CW17" i="42"/>
  <c r="CX62" i="42"/>
  <c r="CZ62" i="42" s="1"/>
  <c r="DA62" i="42" s="1"/>
  <c r="CX56" i="42"/>
  <c r="CY56" i="42" s="1"/>
  <c r="DL56" i="42" s="1"/>
  <c r="DI35" i="42"/>
  <c r="CX81" i="42"/>
  <c r="CZ81" i="42" s="1"/>
  <c r="DA81" i="42" s="1"/>
  <c r="DI97" i="42"/>
  <c r="DI54" i="42"/>
  <c r="DI37" i="42"/>
  <c r="CW121" i="42"/>
  <c r="DI67" i="42"/>
  <c r="DI59" i="42"/>
  <c r="DI51" i="42"/>
  <c r="CW118" i="42"/>
  <c r="DI86" i="42"/>
  <c r="DI41" i="42"/>
  <c r="DI48" i="42"/>
  <c r="CW61" i="42"/>
  <c r="DI110" i="42"/>
  <c r="DI26" i="42"/>
  <c r="DI53" i="42"/>
  <c r="DI66" i="42"/>
  <c r="DI84" i="42"/>
  <c r="DI94" i="42"/>
  <c r="CZ17" i="42"/>
  <c r="DA17" i="42" s="1"/>
  <c r="CY17" i="42"/>
  <c r="DL17" i="42" s="1"/>
  <c r="DK17" i="42"/>
  <c r="CZ72" i="42"/>
  <c r="DA72" i="42" s="1"/>
  <c r="DK72" i="42"/>
  <c r="CY72" i="42"/>
  <c r="DL72" i="42" s="1"/>
  <c r="CY83" i="42"/>
  <c r="DL83" i="42" s="1"/>
  <c r="DK83" i="42"/>
  <c r="CZ83" i="42"/>
  <c r="DA83" i="42" s="1"/>
  <c r="CW83" i="42"/>
  <c r="CX98" i="42"/>
  <c r="DI113" i="42"/>
  <c r="DI119" i="42"/>
  <c r="DI38" i="42"/>
  <c r="DK109" i="42"/>
  <c r="DI102" i="42"/>
  <c r="CZ109" i="42"/>
  <c r="DA109" i="42" s="1"/>
  <c r="CW109" i="42"/>
  <c r="CZ99" i="42"/>
  <c r="DA99" i="42" s="1"/>
  <c r="CY99" i="42"/>
  <c r="DL99" i="42" s="1"/>
  <c r="DK99" i="42"/>
  <c r="DI60" i="42"/>
  <c r="DI47" i="42"/>
  <c r="DI105" i="42"/>
  <c r="CW99" i="42"/>
  <c r="DI25" i="42"/>
  <c r="DI42" i="42"/>
  <c r="DI50" i="42"/>
  <c r="DI88" i="42"/>
  <c r="DI58" i="42"/>
  <c r="DI117" i="42"/>
  <c r="DE99" i="42"/>
  <c r="DE92" i="42"/>
  <c r="DE72" i="42"/>
  <c r="DE91" i="42"/>
  <c r="CX92" i="42"/>
  <c r="CW72" i="42"/>
  <c r="DC100" i="42"/>
  <c r="DC52" i="42"/>
  <c r="DC56" i="42"/>
  <c r="DE36" i="42"/>
  <c r="DE100" i="42"/>
  <c r="DE52" i="42"/>
  <c r="DE56" i="42"/>
  <c r="CX100" i="42"/>
  <c r="CW100" i="42"/>
  <c r="CX52" i="42"/>
  <c r="DC109" i="42"/>
  <c r="DC61" i="42"/>
  <c r="DC83" i="42"/>
  <c r="BM83" i="42"/>
  <c r="BT83" i="42" s="1"/>
  <c r="DC34" i="42"/>
  <c r="BM34" i="42"/>
  <c r="BT34" i="42" s="1"/>
  <c r="DE109" i="42"/>
  <c r="DE61" i="42"/>
  <c r="DE83" i="42"/>
  <c r="DC40" i="42"/>
  <c r="DE34" i="42"/>
  <c r="DC98" i="42"/>
  <c r="DC81" i="42"/>
  <c r="DC21" i="42"/>
  <c r="DE40" i="42"/>
  <c r="CX21" i="42"/>
  <c r="CY21" i="42" s="1"/>
  <c r="DL21" i="42" s="1"/>
  <c r="DC99" i="42"/>
  <c r="DE98" i="42"/>
  <c r="DC92" i="42"/>
  <c r="BM92" i="42"/>
  <c r="BT92" i="42" s="1"/>
  <c r="DE81" i="42"/>
  <c r="DE21" i="42"/>
  <c r="DC72" i="42"/>
  <c r="BM72" i="42"/>
  <c r="BT72" i="42" s="1"/>
  <c r="DC91" i="42"/>
  <c r="BM40" i="42"/>
  <c r="BT40" i="42" s="1"/>
  <c r="CX36" i="42"/>
  <c r="CW36" i="42"/>
  <c r="DE46" i="42"/>
  <c r="DE76" i="42"/>
  <c r="DE49" i="42"/>
  <c r="DC28" i="42"/>
  <c r="DF51" i="42"/>
  <c r="BK51" i="42"/>
  <c r="DD70" i="42"/>
  <c r="BN70" i="42"/>
  <c r="DD88" i="42"/>
  <c r="BN88" i="42"/>
  <c r="DD58" i="42"/>
  <c r="BN58" i="42"/>
  <c r="DD111" i="42"/>
  <c r="BN111" i="42"/>
  <c r="DD20" i="42"/>
  <c r="BN20" i="42"/>
  <c r="DF97" i="42"/>
  <c r="BK97" i="42"/>
  <c r="DD113" i="42"/>
  <c r="BN113" i="42"/>
  <c r="DF35" i="42"/>
  <c r="BK35" i="42"/>
  <c r="DD44" i="42"/>
  <c r="BN44" i="42"/>
  <c r="DF67" i="42"/>
  <c r="BK67" i="42"/>
  <c r="DD97" i="42"/>
  <c r="BN97" i="42"/>
  <c r="DD104" i="42"/>
  <c r="BN104" i="42"/>
  <c r="DD50" i="42"/>
  <c r="BN50" i="42"/>
  <c r="DD94" i="42"/>
  <c r="BN94" i="42"/>
  <c r="DD71" i="42"/>
  <c r="BN71" i="42"/>
  <c r="DF66" i="42"/>
  <c r="BK66" i="42"/>
  <c r="DD84" i="42"/>
  <c r="BN84" i="42"/>
  <c r="DI106" i="42"/>
  <c r="DI96" i="42"/>
  <c r="DI32" i="42"/>
  <c r="DI116" i="42"/>
  <c r="CW46" i="42"/>
  <c r="CX46" i="42"/>
  <c r="CX49" i="42"/>
  <c r="CW49" i="42"/>
  <c r="DC17" i="42"/>
  <c r="DE62" i="42"/>
  <c r="DE28" i="42"/>
  <c r="DD22" i="42"/>
  <c r="BN22" i="42"/>
  <c r="DD60" i="42"/>
  <c r="BN60" i="42"/>
  <c r="DF80" i="42"/>
  <c r="BK80" i="42"/>
  <c r="DF42" i="42"/>
  <c r="BK42" i="42"/>
  <c r="DF65" i="42"/>
  <c r="BK65" i="42"/>
  <c r="DF75" i="42"/>
  <c r="BK75" i="42"/>
  <c r="DD112" i="42"/>
  <c r="BN112" i="42"/>
  <c r="DI70" i="42"/>
  <c r="DD90" i="42"/>
  <c r="BN90" i="42"/>
  <c r="DF74" i="42"/>
  <c r="BK74" i="42"/>
  <c r="DD30" i="42"/>
  <c r="BN30" i="42"/>
  <c r="DF106" i="42"/>
  <c r="BK106" i="42"/>
  <c r="DD120" i="42"/>
  <c r="BN120" i="42"/>
  <c r="DF103" i="42"/>
  <c r="BK103" i="42"/>
  <c r="DD82" i="42"/>
  <c r="BN82" i="42"/>
  <c r="DD78" i="42"/>
  <c r="BN78" i="42"/>
  <c r="DD19" i="42"/>
  <c r="BN19" i="42"/>
  <c r="DE17" i="42"/>
  <c r="DC62" i="42"/>
  <c r="DC114" i="42"/>
  <c r="DD107" i="42"/>
  <c r="BN107" i="42"/>
  <c r="DF63" i="42"/>
  <c r="BK63" i="42"/>
  <c r="BK41" i="42"/>
  <c r="DF41" i="42"/>
  <c r="DI112" i="42"/>
  <c r="DF31" i="42"/>
  <c r="BK31" i="42"/>
  <c r="DD87" i="42"/>
  <c r="BN87" i="42"/>
  <c r="DD39" i="42"/>
  <c r="BN39" i="42"/>
  <c r="DD73" i="42"/>
  <c r="BN73" i="42"/>
  <c r="BK104" i="42"/>
  <c r="DF104" i="42"/>
  <c r="BK50" i="42"/>
  <c r="DF50" i="42"/>
  <c r="DF24" i="42"/>
  <c r="BK24" i="42"/>
  <c r="DF117" i="42"/>
  <c r="BK117" i="42"/>
  <c r="DF68" i="42"/>
  <c r="BK68" i="42"/>
  <c r="DI104" i="42"/>
  <c r="DF44" i="42"/>
  <c r="BK44" i="42"/>
  <c r="DD67" i="42"/>
  <c r="BN67" i="42"/>
  <c r="DF32" i="42"/>
  <c r="BK32" i="42"/>
  <c r="DD54" i="42"/>
  <c r="BN54" i="42"/>
  <c r="DD25" i="42"/>
  <c r="BN25" i="42"/>
  <c r="DF107" i="42"/>
  <c r="BK107" i="42"/>
  <c r="DF90" i="42"/>
  <c r="BK90" i="42"/>
  <c r="DI120" i="42"/>
  <c r="DI78" i="42"/>
  <c r="DI19" i="42"/>
  <c r="DF105" i="42"/>
  <c r="BK105" i="42"/>
  <c r="DC118" i="42"/>
  <c r="DE114" i="42"/>
  <c r="DD59" i="42"/>
  <c r="BN59" i="42"/>
  <c r="DD69" i="42"/>
  <c r="BN69" i="42"/>
  <c r="DD33" i="42"/>
  <c r="BN33" i="42"/>
  <c r="DD86" i="42"/>
  <c r="BN86" i="42"/>
  <c r="BK18" i="42"/>
  <c r="DF18" i="42"/>
  <c r="DF88" i="42"/>
  <c r="BK88" i="42"/>
  <c r="DF58" i="42"/>
  <c r="BK58" i="42"/>
  <c r="BK111" i="42"/>
  <c r="DF111" i="42"/>
  <c r="BK20" i="42"/>
  <c r="DF20" i="42"/>
  <c r="DD48" i="42"/>
  <c r="BN48" i="42"/>
  <c r="DD85" i="42"/>
  <c r="BN85" i="42"/>
  <c r="DD119" i="42"/>
  <c r="BN119" i="42"/>
  <c r="DD37" i="42"/>
  <c r="BN37" i="42"/>
  <c r="DF89" i="42"/>
  <c r="BK89" i="42"/>
  <c r="BK38" i="42"/>
  <c r="DF38" i="42"/>
  <c r="BK110" i="42"/>
  <c r="DF110" i="42"/>
  <c r="DE118" i="42"/>
  <c r="DF47" i="42"/>
  <c r="BK47" i="42"/>
  <c r="DD95" i="42"/>
  <c r="DJ95" i="42" s="1"/>
  <c r="BN95" i="42"/>
  <c r="DF70" i="42"/>
  <c r="BK70" i="42"/>
  <c r="DF60" i="42"/>
  <c r="BK60" i="42"/>
  <c r="DD64" i="42"/>
  <c r="BN64" i="42"/>
  <c r="DD101" i="42"/>
  <c r="BN101" i="42"/>
  <c r="DD115" i="42"/>
  <c r="BN115" i="42"/>
  <c r="DF93" i="42"/>
  <c r="BK93" i="42"/>
  <c r="DF108" i="42"/>
  <c r="BK108" i="42"/>
  <c r="DD24" i="42"/>
  <c r="BN24" i="42"/>
  <c r="DD117" i="42"/>
  <c r="BN117" i="42"/>
  <c r="DD68" i="42"/>
  <c r="BN68" i="42"/>
  <c r="DF23" i="42"/>
  <c r="BK23" i="42"/>
  <c r="DF77" i="42"/>
  <c r="BK77" i="42"/>
  <c r="DF25" i="42"/>
  <c r="BK25" i="42"/>
  <c r="DF85" i="42"/>
  <c r="BK85" i="42"/>
  <c r="BK119" i="42"/>
  <c r="DF119" i="42"/>
  <c r="DD77" i="42"/>
  <c r="BN77" i="42"/>
  <c r="DD63" i="42"/>
  <c r="BN63" i="42"/>
  <c r="DF29" i="42"/>
  <c r="BK29" i="42"/>
  <c r="DE79" i="42"/>
  <c r="DD103" i="42"/>
  <c r="BN103" i="42"/>
  <c r="BK82" i="42"/>
  <c r="DF82" i="42"/>
  <c r="DF112" i="42"/>
  <c r="BK112" i="42"/>
  <c r="DF87" i="42"/>
  <c r="BK87" i="42"/>
  <c r="BK39" i="42"/>
  <c r="DF39" i="42"/>
  <c r="DF73" i="42"/>
  <c r="BK73" i="42"/>
  <c r="DD47" i="42"/>
  <c r="BN47" i="42"/>
  <c r="DD18" i="42"/>
  <c r="BN18" i="42"/>
  <c r="DD31" i="42"/>
  <c r="BN31" i="42"/>
  <c r="DF116" i="42"/>
  <c r="BK116" i="42"/>
  <c r="DF57" i="42"/>
  <c r="BK57" i="42"/>
  <c r="DD105" i="42"/>
  <c r="BN105" i="42"/>
  <c r="DD43" i="42"/>
  <c r="BN43" i="42"/>
  <c r="BK22" i="42"/>
  <c r="DF22" i="42"/>
  <c r="DD74" i="42"/>
  <c r="BN74" i="42"/>
  <c r="DD27" i="42"/>
  <c r="BN27" i="42"/>
  <c r="DD23" i="42"/>
  <c r="BN23" i="42"/>
  <c r="DD55" i="42"/>
  <c r="BN55" i="42"/>
  <c r="DC36" i="42"/>
  <c r="DC121" i="42"/>
  <c r="DC79" i="42"/>
  <c r="DD110" i="42"/>
  <c r="BN110" i="42"/>
  <c r="DD41" i="42"/>
  <c r="BN41" i="42"/>
  <c r="DI18" i="42"/>
  <c r="DD80" i="42"/>
  <c r="BN80" i="42"/>
  <c r="DD42" i="42"/>
  <c r="BN42" i="42"/>
  <c r="DD65" i="42"/>
  <c r="BN65" i="42"/>
  <c r="DD75" i="42"/>
  <c r="BN75" i="42"/>
  <c r="DF102" i="42"/>
  <c r="BK102" i="42"/>
  <c r="DF94" i="42"/>
  <c r="BK94" i="42"/>
  <c r="DF71" i="42"/>
  <c r="BK71" i="42"/>
  <c r="DD102" i="42"/>
  <c r="BN102" i="42"/>
  <c r="BK113" i="42"/>
  <c r="DF113" i="42"/>
  <c r="DD35" i="42"/>
  <c r="BN35" i="42"/>
  <c r="DD93" i="42"/>
  <c r="BN93" i="42"/>
  <c r="DD108" i="42"/>
  <c r="BN108" i="42"/>
  <c r="DF27" i="42"/>
  <c r="BK27" i="42"/>
  <c r="DF120" i="42"/>
  <c r="BK120" i="42"/>
  <c r="DD26" i="42"/>
  <c r="BN26" i="42"/>
  <c r="BK43" i="42"/>
  <c r="DF43" i="42"/>
  <c r="DF78" i="42"/>
  <c r="BK78" i="42"/>
  <c r="DD51" i="42"/>
  <c r="BN51" i="42"/>
  <c r="DD57" i="42"/>
  <c r="BN57" i="42"/>
  <c r="DI43" i="42"/>
  <c r="DI23" i="42"/>
  <c r="DF54" i="42"/>
  <c r="BK54" i="42"/>
  <c r="DI63" i="42"/>
  <c r="DF30" i="42"/>
  <c r="BK30" i="42"/>
  <c r="DF37" i="42"/>
  <c r="BK37" i="42"/>
  <c r="DE121" i="42"/>
  <c r="DC46" i="42"/>
  <c r="DC76" i="42"/>
  <c r="BM76" i="42"/>
  <c r="BT76" i="42" s="1"/>
  <c r="DC49" i="42"/>
  <c r="BM49" i="42"/>
  <c r="BT49" i="42" s="1"/>
  <c r="DD89" i="42"/>
  <c r="BN89" i="42"/>
  <c r="DD38" i="42"/>
  <c r="BN38" i="42"/>
  <c r="DF64" i="42"/>
  <c r="BK64" i="42"/>
  <c r="DF101" i="42"/>
  <c r="BK101" i="42"/>
  <c r="DF115" i="42"/>
  <c r="BK115" i="42"/>
  <c r="DF19" i="42"/>
  <c r="BK19" i="42"/>
  <c r="DD53" i="42"/>
  <c r="BN53" i="42"/>
  <c r="BK55" i="42"/>
  <c r="DF55" i="42"/>
  <c r="DD66" i="42"/>
  <c r="BN66" i="42"/>
  <c r="BK84" i="42"/>
  <c r="DF84" i="42"/>
  <c r="DD29" i="42"/>
  <c r="BN29" i="42"/>
  <c r="DF96" i="42"/>
  <c r="BK96" i="42"/>
  <c r="DI57" i="42"/>
  <c r="DD106" i="42"/>
  <c r="BN106" i="42"/>
  <c r="DD96" i="42"/>
  <c r="BN96" i="42"/>
  <c r="DF53" i="42"/>
  <c r="BK53" i="42"/>
  <c r="DF26" i="42"/>
  <c r="BK26" i="42"/>
  <c r="DF59" i="42"/>
  <c r="BK59" i="42"/>
  <c r="DF69" i="42"/>
  <c r="BK69" i="42"/>
  <c r="DF33" i="42"/>
  <c r="BK33" i="42"/>
  <c r="DF86" i="42"/>
  <c r="BK86" i="42"/>
  <c r="DI27" i="42"/>
  <c r="DF48" i="42"/>
  <c r="BK48" i="42"/>
  <c r="DD32" i="42"/>
  <c r="BN32" i="42"/>
  <c r="DD116" i="42"/>
  <c r="BN116" i="42"/>
  <c r="CY40" i="42"/>
  <c r="DL40" i="42" s="1"/>
  <c r="DK40" i="42"/>
  <c r="DK117" i="42"/>
  <c r="CY117" i="42"/>
  <c r="DK86" i="42"/>
  <c r="CY86" i="42"/>
  <c r="DL86" i="42" s="1"/>
  <c r="DK118" i="42"/>
  <c r="CZ118" i="42"/>
  <c r="DA118" i="42" s="1"/>
  <c r="DK79" i="42"/>
  <c r="CY79" i="42"/>
  <c r="DL79" i="42" s="1"/>
  <c r="DK58" i="42"/>
  <c r="CY58" i="42"/>
  <c r="DL58" i="42" s="1"/>
  <c r="CZ28" i="42"/>
  <c r="DA28" i="42" s="1"/>
  <c r="DK28" i="42"/>
  <c r="CY28" i="42"/>
  <c r="DL28" i="42" s="1"/>
  <c r="CX87" i="42"/>
  <c r="CY87" i="42" s="1"/>
  <c r="DL87" i="42" s="1"/>
  <c r="DI87" i="42"/>
  <c r="DK51" i="42"/>
  <c r="CY51" i="42"/>
  <c r="DL51" i="42" s="1"/>
  <c r="DK47" i="42"/>
  <c r="CY47" i="42"/>
  <c r="DL47" i="42" s="1"/>
  <c r="CZ61" i="42"/>
  <c r="DA61" i="42" s="1"/>
  <c r="CY61" i="42"/>
  <c r="DL61" i="42" s="1"/>
  <c r="DK61" i="42"/>
  <c r="DI29" i="42"/>
  <c r="CX29" i="42"/>
  <c r="CW29" i="42"/>
  <c r="DI30" i="42"/>
  <c r="CW30" i="42"/>
  <c r="CX30" i="42"/>
  <c r="CZ30" i="42" s="1"/>
  <c r="DA30" i="42" s="1"/>
  <c r="CY97" i="42"/>
  <c r="DL97" i="42" s="1"/>
  <c r="DK97" i="42"/>
  <c r="CZ97" i="42"/>
  <c r="DA97" i="42" s="1"/>
  <c r="CX75" i="42"/>
  <c r="CZ75" i="42" s="1"/>
  <c r="DA75" i="42" s="1"/>
  <c r="CW75" i="42"/>
  <c r="DI75" i="42"/>
  <c r="CY35" i="42"/>
  <c r="DL35" i="42" s="1"/>
  <c r="DK35" i="42"/>
  <c r="CX101" i="42"/>
  <c r="CZ101" i="42" s="1"/>
  <c r="DA101" i="42" s="1"/>
  <c r="CW101" i="42"/>
  <c r="DI101" i="42"/>
  <c r="CY95" i="42"/>
  <c r="DL95" i="42" s="1"/>
  <c r="DK95" i="42"/>
  <c r="CY55" i="42"/>
  <c r="DK55" i="42"/>
  <c r="CY50" i="42"/>
  <c r="DL50" i="42" s="1"/>
  <c r="DK50" i="42"/>
  <c r="CZ50" i="42"/>
  <c r="DA50" i="42" s="1"/>
  <c r="CX108" i="42"/>
  <c r="CZ108" i="42" s="1"/>
  <c r="DA108" i="42" s="1"/>
  <c r="CW108" i="42"/>
  <c r="DI108" i="42"/>
  <c r="CY88" i="42"/>
  <c r="DL88" i="42" s="1"/>
  <c r="DK88" i="42"/>
  <c r="DI103" i="42"/>
  <c r="CZ95" i="42"/>
  <c r="DA95" i="42" s="1"/>
  <c r="CY105" i="42"/>
  <c r="DL105" i="42" s="1"/>
  <c r="DK105" i="42"/>
  <c r="CX69" i="42"/>
  <c r="CZ69" i="42" s="1"/>
  <c r="DA69" i="42" s="1"/>
  <c r="CW69" i="42"/>
  <c r="DI69" i="42"/>
  <c r="CX90" i="42"/>
  <c r="CZ90" i="42" s="1"/>
  <c r="DA90" i="42" s="1"/>
  <c r="CW90" i="42"/>
  <c r="DI90" i="42"/>
  <c r="CY34" i="42"/>
  <c r="DL34" i="42" s="1"/>
  <c r="DK34" i="42"/>
  <c r="CW64" i="42"/>
  <c r="CX64" i="42"/>
  <c r="DI64" i="42"/>
  <c r="CW115" i="42"/>
  <c r="CX115" i="42"/>
  <c r="CZ115" i="42" s="1"/>
  <c r="DA115" i="42" s="1"/>
  <c r="DI115" i="42"/>
  <c r="DI20" i="42"/>
  <c r="CX65" i="42"/>
  <c r="CZ65" i="42" s="1"/>
  <c r="DA65" i="42" s="1"/>
  <c r="CW65" i="42"/>
  <c r="DI65" i="42"/>
  <c r="CY77" i="42"/>
  <c r="DL77" i="42" s="1"/>
  <c r="DK77" i="42"/>
  <c r="CY42" i="42"/>
  <c r="DL42" i="42" s="1"/>
  <c r="DK42" i="42"/>
  <c r="CZ42" i="42"/>
  <c r="DA42" i="42" s="1"/>
  <c r="CY74" i="42"/>
  <c r="DL74" i="42" s="1"/>
  <c r="DK74" i="42"/>
  <c r="DI89" i="42"/>
  <c r="CZ35" i="42"/>
  <c r="DA35" i="42" s="1"/>
  <c r="CX22" i="42"/>
  <c r="CZ22" i="42" s="1"/>
  <c r="DA22" i="42" s="1"/>
  <c r="CW22" i="42"/>
  <c r="DI22" i="42"/>
  <c r="CY113" i="42"/>
  <c r="DL113" i="42" s="1"/>
  <c r="DK113" i="42"/>
  <c r="CY41" i="42"/>
  <c r="DL41" i="42" s="1"/>
  <c r="DK41" i="42"/>
  <c r="CY119" i="42"/>
  <c r="DL119" i="42" s="1"/>
  <c r="DK119" i="42"/>
  <c r="CY84" i="42"/>
  <c r="DL84" i="42" s="1"/>
  <c r="DK84" i="42"/>
  <c r="CX85" i="42"/>
  <c r="CW85" i="42"/>
  <c r="DI85" i="42"/>
  <c r="DK38" i="42"/>
  <c r="CY38" i="42"/>
  <c r="DL38" i="42" s="1"/>
  <c r="CW93" i="42"/>
  <c r="DI93" i="42"/>
  <c r="CX93" i="42"/>
  <c r="CZ93" i="42" s="1"/>
  <c r="DA93" i="42" s="1"/>
  <c r="CX103" i="42"/>
  <c r="CZ103" i="42" s="1"/>
  <c r="DA103" i="42" s="1"/>
  <c r="CW103" i="42"/>
  <c r="CX80" i="42"/>
  <c r="CZ80" i="42" s="1"/>
  <c r="DA80" i="42" s="1"/>
  <c r="CW80" i="42"/>
  <c r="CX44" i="42"/>
  <c r="CZ44" i="42" s="1"/>
  <c r="DA44" i="42" s="1"/>
  <c r="CW44" i="42"/>
  <c r="DI44" i="42"/>
  <c r="CW39" i="42"/>
  <c r="CX39" i="42"/>
  <c r="CZ39" i="42" s="1"/>
  <c r="DA39" i="42" s="1"/>
  <c r="DI39" i="42"/>
  <c r="CX31" i="42"/>
  <c r="CZ31" i="42" s="1"/>
  <c r="DA31" i="42" s="1"/>
  <c r="CW31" i="42"/>
  <c r="DI31" i="42"/>
  <c r="DI82" i="42"/>
  <c r="CX82" i="42"/>
  <c r="CZ82" i="42" s="1"/>
  <c r="DA82" i="42" s="1"/>
  <c r="CW82" i="42"/>
  <c r="CX71" i="42"/>
  <c r="CZ71" i="42" s="1"/>
  <c r="DA71" i="42" s="1"/>
  <c r="CW71" i="42"/>
  <c r="DI71" i="42"/>
  <c r="CY107" i="42"/>
  <c r="DL107" i="42" s="1"/>
  <c r="DK107" i="42"/>
  <c r="CX68" i="42"/>
  <c r="CZ68" i="42" s="1"/>
  <c r="DA68" i="42" s="1"/>
  <c r="DI68" i="42"/>
  <c r="CW68" i="42"/>
  <c r="CW111" i="42"/>
  <c r="CX111" i="42"/>
  <c r="CZ111" i="42" s="1"/>
  <c r="DA111" i="42" s="1"/>
  <c r="DI111" i="42"/>
  <c r="CX89" i="42"/>
  <c r="CZ89" i="42" s="1"/>
  <c r="DA89" i="42" s="1"/>
  <c r="CW89" i="42"/>
  <c r="CX20" i="42"/>
  <c r="CZ20" i="42" s="1"/>
  <c r="DA20" i="42" s="1"/>
  <c r="CW20" i="42"/>
  <c r="CX24" i="42"/>
  <c r="CZ24" i="42" s="1"/>
  <c r="DA24" i="42" s="1"/>
  <c r="CW24" i="42"/>
  <c r="DI24" i="42"/>
  <c r="CY33" i="42"/>
  <c r="DL33" i="42" s="1"/>
  <c r="DK33" i="42"/>
  <c r="DI17" i="42" l="1"/>
  <c r="DJ38" i="42"/>
  <c r="K21" i="39"/>
  <c r="K79" i="39" s="1"/>
  <c r="C6" i="39" s="1"/>
  <c r="B6" i="39" s="1"/>
  <c r="J28" i="39"/>
  <c r="K22" i="39"/>
  <c r="J24" i="39"/>
  <c r="J27" i="39"/>
  <c r="J25" i="39"/>
  <c r="J21" i="39"/>
  <c r="J79" i="39" s="1"/>
  <c r="C5" i="39" s="1"/>
  <c r="DL117" i="42"/>
  <c r="U24" i="39" s="1"/>
  <c r="T24" i="39" s="1"/>
  <c r="S24" i="39"/>
  <c r="R24" i="39" s="1"/>
  <c r="J22" i="39"/>
  <c r="J26" i="39"/>
  <c r="J23" i="39"/>
  <c r="D4" i="39"/>
  <c r="DL55" i="42"/>
  <c r="DK56" i="42"/>
  <c r="CZ114" i="42"/>
  <c r="DA114" i="42" s="1"/>
  <c r="DK114" i="42"/>
  <c r="DJ106" i="42"/>
  <c r="DK62" i="42"/>
  <c r="DJ105" i="42"/>
  <c r="CY91" i="42"/>
  <c r="DL91" i="42" s="1"/>
  <c r="CZ56" i="42"/>
  <c r="DA56" i="42" s="1"/>
  <c r="DK91" i="42"/>
  <c r="DK81" i="42"/>
  <c r="CY81" i="42"/>
  <c r="DL81" i="42" s="1"/>
  <c r="DJ63" i="42"/>
  <c r="CY62" i="42"/>
  <c r="DL62" i="42" s="1"/>
  <c r="DJ111" i="42"/>
  <c r="DJ22" i="42"/>
  <c r="DJ90" i="42"/>
  <c r="DJ44" i="42"/>
  <c r="DJ89" i="42"/>
  <c r="DK21" i="42"/>
  <c r="DJ116" i="42"/>
  <c r="DJ42" i="42"/>
  <c r="DJ75" i="42"/>
  <c r="DJ69" i="42"/>
  <c r="DJ47" i="42"/>
  <c r="DI49" i="42"/>
  <c r="DJ66" i="42"/>
  <c r="DJ71" i="42"/>
  <c r="DJ30" i="42"/>
  <c r="DJ64" i="42"/>
  <c r="DJ57" i="42"/>
  <c r="DI118" i="42"/>
  <c r="DI36" i="42"/>
  <c r="DJ20" i="42"/>
  <c r="CZ21" i="42"/>
  <c r="DA21" i="42" s="1"/>
  <c r="DJ68" i="42"/>
  <c r="DJ101" i="42"/>
  <c r="DJ39" i="42"/>
  <c r="DJ41" i="42"/>
  <c r="DJ32" i="42"/>
  <c r="DJ74" i="42"/>
  <c r="DI98" i="42"/>
  <c r="DI114" i="42"/>
  <c r="DI91" i="42"/>
  <c r="DJ117" i="42"/>
  <c r="DI72" i="42"/>
  <c r="CZ98" i="42"/>
  <c r="DA98" i="42" s="1"/>
  <c r="CY98" i="42"/>
  <c r="DL98" i="42" s="1"/>
  <c r="DK98" i="42"/>
  <c r="DI52" i="42"/>
  <c r="DJ93" i="42"/>
  <c r="DJ103" i="42"/>
  <c r="DJ80" i="42"/>
  <c r="DJ65" i="42"/>
  <c r="DJ82" i="42"/>
  <c r="DI81" i="42"/>
  <c r="DI56" i="42"/>
  <c r="DJ24" i="42"/>
  <c r="DJ85" i="42"/>
  <c r="DJ23" i="42"/>
  <c r="DJ29" i="42"/>
  <c r="DJ77" i="42"/>
  <c r="DJ97" i="42"/>
  <c r="DI79" i="42"/>
  <c r="DI62" i="42"/>
  <c r="DJ108" i="42"/>
  <c r="DJ35" i="42"/>
  <c r="DJ67" i="42"/>
  <c r="DI100" i="42"/>
  <c r="DJ51" i="42"/>
  <c r="DJ86" i="42"/>
  <c r="DJ59" i="42"/>
  <c r="DJ107" i="42"/>
  <c r="DJ84" i="42"/>
  <c r="DI76" i="42"/>
  <c r="DJ55" i="42"/>
  <c r="DJ94" i="42"/>
  <c r="DI92" i="42"/>
  <c r="DJ115" i="42"/>
  <c r="DJ53" i="42"/>
  <c r="DI46" i="42"/>
  <c r="DJ33" i="42"/>
  <c r="DJ58" i="42"/>
  <c r="DI99" i="42"/>
  <c r="DJ31" i="42"/>
  <c r="DJ18" i="42"/>
  <c r="DJ73" i="42"/>
  <c r="DJ50" i="42"/>
  <c r="DJ113" i="42"/>
  <c r="DJ119" i="42"/>
  <c r="DJ88" i="42"/>
  <c r="DJ87" i="42"/>
  <c r="DJ110" i="42"/>
  <c r="BU96" i="42"/>
  <c r="BO96" i="42"/>
  <c r="BS96" i="42"/>
  <c r="DJ102" i="42"/>
  <c r="BS42" i="42"/>
  <c r="BO42" i="42"/>
  <c r="BU42" i="42"/>
  <c r="DD36" i="42"/>
  <c r="BN36" i="42"/>
  <c r="BO77" i="42"/>
  <c r="BU77" i="42"/>
  <c r="BS77" i="42"/>
  <c r="BU37" i="42"/>
  <c r="BO37" i="42"/>
  <c r="BS37" i="42"/>
  <c r="BU85" i="42"/>
  <c r="BO85" i="42"/>
  <c r="BS85" i="42"/>
  <c r="BS48" i="42"/>
  <c r="BO48" i="42"/>
  <c r="BU48" i="42"/>
  <c r="BO33" i="42"/>
  <c r="BU33" i="42"/>
  <c r="BO69" i="42"/>
  <c r="BS69" i="42"/>
  <c r="BU69" i="42"/>
  <c r="DD114" i="42"/>
  <c r="BN114" i="42"/>
  <c r="BO82" i="42"/>
  <c r="BS82" i="42"/>
  <c r="BU82" i="42"/>
  <c r="BU30" i="42"/>
  <c r="BS30" i="42"/>
  <c r="BO30" i="42"/>
  <c r="BS90" i="42"/>
  <c r="BU90" i="42"/>
  <c r="BO90" i="42"/>
  <c r="BU71" i="42"/>
  <c r="BS71" i="42"/>
  <c r="BO71" i="42"/>
  <c r="BS94" i="42"/>
  <c r="BO94" i="42"/>
  <c r="BU94" i="42"/>
  <c r="DJ104" i="42"/>
  <c r="DF76" i="42"/>
  <c r="BK76" i="42"/>
  <c r="DF46" i="42"/>
  <c r="BK46" i="42"/>
  <c r="DD21" i="42"/>
  <c r="BN21" i="42"/>
  <c r="DD81" i="42"/>
  <c r="BN81" i="42"/>
  <c r="DF83" i="42"/>
  <c r="BK83" i="42"/>
  <c r="DF61" i="42"/>
  <c r="BK61" i="42"/>
  <c r="DI34" i="42"/>
  <c r="DD83" i="42"/>
  <c r="BN83" i="42"/>
  <c r="BN109" i="42"/>
  <c r="DD109" i="42"/>
  <c r="DF56" i="42"/>
  <c r="BK56" i="42"/>
  <c r="DD56" i="42"/>
  <c r="BN56" i="42"/>
  <c r="DD100" i="42"/>
  <c r="BN100" i="42"/>
  <c r="BU116" i="42"/>
  <c r="BS116" i="42"/>
  <c r="BO116" i="42"/>
  <c r="DJ96" i="42"/>
  <c r="DD49" i="42"/>
  <c r="BN49" i="42"/>
  <c r="BS26" i="42"/>
  <c r="BU26" i="42"/>
  <c r="BO26" i="42"/>
  <c r="BU110" i="42"/>
  <c r="BS110" i="42"/>
  <c r="BO110" i="42"/>
  <c r="BS27" i="42"/>
  <c r="BO27" i="42"/>
  <c r="BU27" i="42"/>
  <c r="BU103" i="42"/>
  <c r="BS103" i="42"/>
  <c r="BO103" i="42"/>
  <c r="BU117" i="42"/>
  <c r="BO117" i="42"/>
  <c r="BS117" i="42"/>
  <c r="DJ37" i="42"/>
  <c r="DJ48" i="42"/>
  <c r="BK114" i="42"/>
  <c r="DF114" i="42"/>
  <c r="BS73" i="42"/>
  <c r="BO73" i="42"/>
  <c r="BU73" i="42"/>
  <c r="CZ49" i="42"/>
  <c r="DA49" i="42" s="1"/>
  <c r="CY49" i="42"/>
  <c r="DL49" i="42" s="1"/>
  <c r="DK49" i="42"/>
  <c r="BS44" i="42"/>
  <c r="BU44" i="42"/>
  <c r="BO44" i="42"/>
  <c r="BU58" i="42"/>
  <c r="BS58" i="42"/>
  <c r="BO58" i="42"/>
  <c r="BU70" i="42"/>
  <c r="BO70" i="42"/>
  <c r="BS70" i="42"/>
  <c r="DF21" i="42"/>
  <c r="BK21" i="42"/>
  <c r="DI21" i="42"/>
  <c r="DI83" i="42"/>
  <c r="DI109" i="42"/>
  <c r="DF36" i="42"/>
  <c r="BK36" i="42"/>
  <c r="CZ92" i="42"/>
  <c r="DA92" i="42" s="1"/>
  <c r="CY92" i="42"/>
  <c r="DL92" i="42" s="1"/>
  <c r="DK92" i="42"/>
  <c r="BO106" i="42"/>
  <c r="BU106" i="42"/>
  <c r="BS106" i="42"/>
  <c r="BS38" i="42"/>
  <c r="BU38" i="42"/>
  <c r="BO38" i="42"/>
  <c r="BU89" i="42"/>
  <c r="BO89" i="42"/>
  <c r="BS89" i="42"/>
  <c r="DJ26" i="42"/>
  <c r="DJ27" i="42"/>
  <c r="BO105" i="42"/>
  <c r="BS105" i="42"/>
  <c r="BU105" i="42"/>
  <c r="BU31" i="42"/>
  <c r="BS31" i="42"/>
  <c r="BO31" i="42"/>
  <c r="BO47" i="42"/>
  <c r="BU47" i="42"/>
  <c r="BS47" i="42"/>
  <c r="BU115" i="42"/>
  <c r="BS115" i="42"/>
  <c r="BO115" i="42"/>
  <c r="BS95" i="42"/>
  <c r="BO95" i="42"/>
  <c r="BU95" i="42"/>
  <c r="BS119" i="42"/>
  <c r="BO119" i="42"/>
  <c r="BU119" i="42"/>
  <c r="BU25" i="42"/>
  <c r="BS25" i="42"/>
  <c r="BO25" i="42"/>
  <c r="BO112" i="42"/>
  <c r="BU112" i="42"/>
  <c r="BS112" i="42"/>
  <c r="BS50" i="42"/>
  <c r="BO50" i="42"/>
  <c r="BU50" i="42"/>
  <c r="BU113" i="42"/>
  <c r="BO113" i="42"/>
  <c r="DJ70" i="42"/>
  <c r="CY36" i="42"/>
  <c r="DL36" i="42" s="1"/>
  <c r="DK36" i="42"/>
  <c r="CZ36" i="42"/>
  <c r="DA36" i="42" s="1"/>
  <c r="DF81" i="42"/>
  <c r="BK81" i="42"/>
  <c r="DF34" i="42"/>
  <c r="BK34" i="42"/>
  <c r="DF91" i="42"/>
  <c r="BK91" i="42"/>
  <c r="DF72" i="42"/>
  <c r="BK72" i="42"/>
  <c r="DF92" i="42"/>
  <c r="BK92" i="42"/>
  <c r="BU32" i="42"/>
  <c r="BS32" i="42"/>
  <c r="BO32" i="42"/>
  <c r="BS66" i="42"/>
  <c r="BO66" i="42"/>
  <c r="BU66" i="42"/>
  <c r="BS93" i="42"/>
  <c r="BO93" i="42"/>
  <c r="BU93" i="42"/>
  <c r="BN121" i="42"/>
  <c r="DD121" i="42"/>
  <c r="DF118" i="42"/>
  <c r="BK118" i="42"/>
  <c r="DJ25" i="42"/>
  <c r="BO39" i="42"/>
  <c r="BS39" i="42"/>
  <c r="BU39" i="42"/>
  <c r="BU87" i="42"/>
  <c r="BS87" i="42"/>
  <c r="BO87" i="42"/>
  <c r="BU78" i="42"/>
  <c r="BS78" i="42"/>
  <c r="BO78" i="42"/>
  <c r="BU120" i="42"/>
  <c r="BS120" i="42"/>
  <c r="BO120" i="42"/>
  <c r="DJ112" i="42"/>
  <c r="BU88" i="42"/>
  <c r="BO88" i="42"/>
  <c r="BS88" i="42"/>
  <c r="DF40" i="42"/>
  <c r="BK40" i="42"/>
  <c r="DD61" i="42"/>
  <c r="BN61" i="42"/>
  <c r="BK99" i="42"/>
  <c r="DF99" i="42"/>
  <c r="DD76" i="42"/>
  <c r="BN76" i="42"/>
  <c r="BU65" i="42"/>
  <c r="BO65" i="42"/>
  <c r="BS65" i="42"/>
  <c r="BO80" i="42"/>
  <c r="BU80" i="42"/>
  <c r="BS80" i="42"/>
  <c r="BS41" i="42"/>
  <c r="BO41" i="42"/>
  <c r="BU41" i="42"/>
  <c r="DI121" i="42"/>
  <c r="BS55" i="42"/>
  <c r="BU55" i="42"/>
  <c r="BO55" i="42"/>
  <c r="BU101" i="42"/>
  <c r="BO101" i="42"/>
  <c r="BS101" i="42"/>
  <c r="BS54" i="42"/>
  <c r="BU54" i="42"/>
  <c r="BO54" i="42"/>
  <c r="DJ78" i="42"/>
  <c r="DJ120" i="42"/>
  <c r="BS60" i="42"/>
  <c r="BO60" i="42"/>
  <c r="BU60" i="42"/>
  <c r="DF109" i="42"/>
  <c r="BK109" i="42"/>
  <c r="DI61" i="42"/>
  <c r="CZ52" i="42"/>
  <c r="DA52" i="42" s="1"/>
  <c r="DK52" i="42"/>
  <c r="CY52" i="42"/>
  <c r="DL52" i="42" s="1"/>
  <c r="CZ100" i="42"/>
  <c r="DA100" i="42" s="1"/>
  <c r="DK100" i="42"/>
  <c r="CY100" i="42"/>
  <c r="DL100" i="42" s="1"/>
  <c r="DF100" i="42"/>
  <c r="BK100" i="42"/>
  <c r="DD52" i="42"/>
  <c r="BN52" i="42"/>
  <c r="BU29" i="42"/>
  <c r="BO29" i="42"/>
  <c r="BS29" i="42"/>
  <c r="BS53" i="42"/>
  <c r="BU53" i="42"/>
  <c r="BO53" i="42"/>
  <c r="DD46" i="42"/>
  <c r="BN46" i="42"/>
  <c r="DF121" i="42"/>
  <c r="BK121" i="42"/>
  <c r="BO57" i="42"/>
  <c r="BU57" i="42"/>
  <c r="BS57" i="42"/>
  <c r="BU108" i="42"/>
  <c r="BO108" i="42"/>
  <c r="BS108" i="42"/>
  <c r="DD79" i="42"/>
  <c r="BN79" i="42"/>
  <c r="BS43" i="42"/>
  <c r="BU43" i="42"/>
  <c r="BO43" i="42"/>
  <c r="BU24" i="42"/>
  <c r="BO24" i="42"/>
  <c r="BS24" i="42"/>
  <c r="DJ54" i="42"/>
  <c r="DJ60" i="42"/>
  <c r="DF28" i="42"/>
  <c r="BK28" i="42"/>
  <c r="BO20" i="42"/>
  <c r="BU20" i="42"/>
  <c r="BS20" i="42"/>
  <c r="DD28" i="42"/>
  <c r="BN28" i="42"/>
  <c r="DD91" i="42"/>
  <c r="BN91" i="42"/>
  <c r="DD92" i="42"/>
  <c r="BN92" i="42"/>
  <c r="DD98" i="42"/>
  <c r="BN98" i="42"/>
  <c r="DD40" i="42"/>
  <c r="BN40" i="42"/>
  <c r="DF52" i="42"/>
  <c r="BK52" i="42"/>
  <c r="BO75" i="42"/>
  <c r="BU75" i="42"/>
  <c r="BS75" i="42"/>
  <c r="DJ43" i="42"/>
  <c r="BU18" i="42"/>
  <c r="BO18" i="42"/>
  <c r="BS18" i="42"/>
  <c r="BK79" i="42"/>
  <c r="DF79" i="42"/>
  <c r="BU63" i="42"/>
  <c r="BO63" i="42"/>
  <c r="BS63" i="42"/>
  <c r="BU64" i="42"/>
  <c r="BS64" i="42"/>
  <c r="BO64" i="42"/>
  <c r="BO86" i="42"/>
  <c r="BS86" i="42"/>
  <c r="BU86" i="42"/>
  <c r="BO59" i="42"/>
  <c r="BU59" i="42"/>
  <c r="BS59" i="42"/>
  <c r="BO107" i="42"/>
  <c r="BU107" i="42"/>
  <c r="BS107" i="42"/>
  <c r="DF17" i="42"/>
  <c r="BK17" i="42"/>
  <c r="BO19" i="42"/>
  <c r="BS19" i="42"/>
  <c r="BU19" i="42"/>
  <c r="BO22" i="42"/>
  <c r="BS22" i="42"/>
  <c r="BU22" i="42"/>
  <c r="DD17" i="42"/>
  <c r="BN17" i="42"/>
  <c r="CZ46" i="42"/>
  <c r="DA46" i="42" s="1"/>
  <c r="DK46" i="42"/>
  <c r="CY46" i="42"/>
  <c r="DL46" i="42" s="1"/>
  <c r="DI28" i="42"/>
  <c r="DF49" i="42"/>
  <c r="BK49" i="42"/>
  <c r="DD99" i="42"/>
  <c r="BN99" i="42"/>
  <c r="DI40" i="42"/>
  <c r="BU51" i="42"/>
  <c r="BO51" i="42"/>
  <c r="BS51" i="42"/>
  <c r="BU35" i="42"/>
  <c r="BS35" i="42"/>
  <c r="BO35" i="42"/>
  <c r="BS102" i="42"/>
  <c r="BO102" i="42"/>
  <c r="BU102" i="42"/>
  <c r="BS23" i="42"/>
  <c r="BU23" i="42"/>
  <c r="BO23" i="42"/>
  <c r="BS74" i="42"/>
  <c r="BU74" i="42"/>
  <c r="BO74" i="42"/>
  <c r="BU68" i="42"/>
  <c r="BO68" i="42"/>
  <c r="BS68" i="42"/>
  <c r="DD118" i="42"/>
  <c r="BN118" i="42"/>
  <c r="BU67" i="42"/>
  <c r="BS67" i="42"/>
  <c r="BO67" i="42"/>
  <c r="DD62" i="42"/>
  <c r="BN62" i="42"/>
  <c r="DJ19" i="42"/>
  <c r="DF62" i="42"/>
  <c r="BK62" i="42"/>
  <c r="BO84" i="42"/>
  <c r="BS84" i="42"/>
  <c r="BU84" i="42"/>
  <c r="BU104" i="42"/>
  <c r="BO104" i="42"/>
  <c r="BS104" i="42"/>
  <c r="BU97" i="42"/>
  <c r="BS97" i="42"/>
  <c r="BO97" i="42"/>
  <c r="BO111" i="42"/>
  <c r="BU111" i="42"/>
  <c r="BS111" i="42"/>
  <c r="DD72" i="42"/>
  <c r="BN72" i="42"/>
  <c r="DF98" i="42"/>
  <c r="BK98" i="42"/>
  <c r="DD34" i="42"/>
  <c r="BN34" i="42"/>
  <c r="CZ87" i="42"/>
  <c r="DA87" i="42" s="1"/>
  <c r="DK87" i="42"/>
  <c r="CY30" i="42"/>
  <c r="DL30" i="42" s="1"/>
  <c r="DK30" i="42"/>
  <c r="CW10" i="42"/>
  <c r="CV10" i="42" s="1"/>
  <c r="CZ29" i="42"/>
  <c r="DA29" i="42" s="1"/>
  <c r="CY29" i="42"/>
  <c r="DL29" i="42" s="1"/>
  <c r="DK29" i="42"/>
  <c r="DK64" i="42"/>
  <c r="CY64" i="42"/>
  <c r="DL64" i="42" s="1"/>
  <c r="CY111" i="42"/>
  <c r="DL111" i="42" s="1"/>
  <c r="DK111" i="42"/>
  <c r="CZ64" i="42"/>
  <c r="DA64" i="42" s="1"/>
  <c r="CY108" i="42"/>
  <c r="DK108" i="42"/>
  <c r="CY69" i="42"/>
  <c r="DK69" i="42"/>
  <c r="CY85" i="42"/>
  <c r="DL85" i="42" s="1"/>
  <c r="DK85" i="42"/>
  <c r="CY80" i="42"/>
  <c r="DL80" i="42" s="1"/>
  <c r="DK80" i="42"/>
  <c r="CY103" i="42"/>
  <c r="DL103" i="42" s="1"/>
  <c r="DK103" i="42"/>
  <c r="CY115" i="42"/>
  <c r="DL115" i="42" s="1"/>
  <c r="DK115" i="42"/>
  <c r="CZ85" i="42"/>
  <c r="DA85" i="42" s="1"/>
  <c r="CY90" i="42"/>
  <c r="DK90" i="42"/>
  <c r="CY39" i="42"/>
  <c r="DL39" i="42" s="1"/>
  <c r="DK39" i="42"/>
  <c r="CY44" i="42"/>
  <c r="DL44" i="42" s="1"/>
  <c r="DK44" i="42"/>
  <c r="CY22" i="42"/>
  <c r="DK22" i="42"/>
  <c r="CY65" i="42"/>
  <c r="DL65" i="42" s="1"/>
  <c r="DK65" i="42"/>
  <c r="CY101" i="42"/>
  <c r="DL101" i="42" s="1"/>
  <c r="DK101" i="42"/>
  <c r="CY75" i="42"/>
  <c r="DL75" i="42" s="1"/>
  <c r="DK75" i="42"/>
  <c r="DK20" i="42"/>
  <c r="CY20" i="42"/>
  <c r="DL20" i="42" s="1"/>
  <c r="DK89" i="42"/>
  <c r="CY89" i="42"/>
  <c r="DL89" i="42" s="1"/>
  <c r="CY68" i="42"/>
  <c r="DL68" i="42" s="1"/>
  <c r="DK68" i="42"/>
  <c r="DK71" i="42"/>
  <c r="CY71" i="42"/>
  <c r="DL71" i="42" s="1"/>
  <c r="CY82" i="42"/>
  <c r="DL82" i="42" s="1"/>
  <c r="DK82" i="42"/>
  <c r="DK31" i="42"/>
  <c r="CY31" i="42"/>
  <c r="DL31" i="42" s="1"/>
  <c r="CY93" i="42"/>
  <c r="DL93" i="42" s="1"/>
  <c r="DK93" i="42"/>
  <c r="DK24" i="42"/>
  <c r="CY24" i="42"/>
  <c r="DL24" i="42" s="1"/>
  <c r="W22" i="39" l="1"/>
  <c r="V22" i="39" s="1"/>
  <c r="W24" i="39"/>
  <c r="V24" i="39" s="1"/>
  <c r="C9" i="39"/>
  <c r="W28" i="39"/>
  <c r="V28" i="39" s="1"/>
  <c r="W25" i="39"/>
  <c r="V25" i="39" s="1"/>
  <c r="W26" i="39"/>
  <c r="V26" i="39" s="1"/>
  <c r="W21" i="39"/>
  <c r="V21" i="39" s="1"/>
  <c r="W23" i="39"/>
  <c r="V23" i="39" s="1"/>
  <c r="W27" i="39"/>
  <c r="V27" i="39" s="1"/>
  <c r="U25" i="39"/>
  <c r="T25" i="39" s="1"/>
  <c r="B5" i="39"/>
  <c r="B9" i="39" s="1"/>
  <c r="S27" i="39"/>
  <c r="R27" i="39" s="1"/>
  <c r="U27" i="39"/>
  <c r="T27" i="39" s="1"/>
  <c r="DL108" i="42"/>
  <c r="U23" i="39" s="1"/>
  <c r="T23" i="39" s="1"/>
  <c r="S23" i="39"/>
  <c r="R23" i="39" s="1"/>
  <c r="DL69" i="42"/>
  <c r="U28" i="39" s="1"/>
  <c r="T28" i="39" s="1"/>
  <c r="S28" i="39"/>
  <c r="R28" i="39" s="1"/>
  <c r="S25" i="39"/>
  <c r="R25" i="39" s="1"/>
  <c r="DL90" i="42"/>
  <c r="U26" i="39" s="1"/>
  <c r="T26" i="39" s="1"/>
  <c r="S26" i="39"/>
  <c r="R26" i="39" s="1"/>
  <c r="DL22" i="42"/>
  <c r="U22" i="39" s="1"/>
  <c r="T22" i="39" s="1"/>
  <c r="S22" i="39"/>
  <c r="R22" i="39" s="1"/>
  <c r="S21" i="39"/>
  <c r="DJ36" i="42"/>
  <c r="DJ46" i="42"/>
  <c r="DJ61" i="42"/>
  <c r="DJ76" i="42"/>
  <c r="DJ92" i="42"/>
  <c r="DJ34" i="42"/>
  <c r="DJ40" i="42"/>
  <c r="DJ91" i="42"/>
  <c r="DJ118" i="42"/>
  <c r="DJ72" i="42"/>
  <c r="DJ17" i="42"/>
  <c r="DJ100" i="42"/>
  <c r="DD10" i="42"/>
  <c r="DJ62" i="42"/>
  <c r="DJ79" i="42"/>
  <c r="DJ52" i="42"/>
  <c r="DJ49" i="42"/>
  <c r="DJ56" i="42"/>
  <c r="DJ99" i="42"/>
  <c r="DF10" i="42"/>
  <c r="BV104" i="42"/>
  <c r="BW104" i="42"/>
  <c r="BR104" i="42"/>
  <c r="BP104" i="42"/>
  <c r="BQ104" i="42" s="1"/>
  <c r="BY104" i="42" s="1"/>
  <c r="BU118" i="42"/>
  <c r="BO118" i="42"/>
  <c r="BS118" i="42"/>
  <c r="BW68" i="42"/>
  <c r="BR68" i="42"/>
  <c r="BP68" i="42"/>
  <c r="BQ68" i="42" s="1"/>
  <c r="BY68" i="42" s="1"/>
  <c r="BV68" i="42"/>
  <c r="BW23" i="42"/>
  <c r="BV23" i="42"/>
  <c r="BR23" i="42"/>
  <c r="BP23" i="42"/>
  <c r="BQ23" i="42" s="1"/>
  <c r="BY23" i="42" s="1"/>
  <c r="BP86" i="42"/>
  <c r="BQ86" i="42" s="1"/>
  <c r="BY86" i="42" s="1"/>
  <c r="BW86" i="42"/>
  <c r="BV86" i="42"/>
  <c r="BR86" i="42"/>
  <c r="BR29" i="42"/>
  <c r="BV29" i="42"/>
  <c r="BP29" i="42"/>
  <c r="BQ29" i="42" s="1"/>
  <c r="BY29" i="42" s="1"/>
  <c r="BW29" i="42"/>
  <c r="BO61" i="42"/>
  <c r="BS61" i="42"/>
  <c r="BU61" i="42"/>
  <c r="BP26" i="42"/>
  <c r="BQ26" i="42" s="1"/>
  <c r="BY26" i="42" s="1"/>
  <c r="BR26" i="42"/>
  <c r="BV26" i="42"/>
  <c r="BW26" i="42"/>
  <c r="BS109" i="42"/>
  <c r="BU109" i="42"/>
  <c r="BO109" i="42"/>
  <c r="BS21" i="42"/>
  <c r="BU21" i="42"/>
  <c r="BO21" i="42"/>
  <c r="DJ114" i="42"/>
  <c r="BV33" i="42"/>
  <c r="BR33" i="42"/>
  <c r="BP33" i="42"/>
  <c r="BQ33" i="42" s="1"/>
  <c r="BY33" i="42" s="1"/>
  <c r="BW33" i="42"/>
  <c r="BS36" i="42"/>
  <c r="BU36" i="42"/>
  <c r="BO36" i="42"/>
  <c r="BO62" i="42"/>
  <c r="BS62" i="42"/>
  <c r="BU62" i="42"/>
  <c r="BR97" i="42"/>
  <c r="BP97" i="42"/>
  <c r="BQ97" i="42" s="1"/>
  <c r="BY97" i="42" s="1"/>
  <c r="BV97" i="42"/>
  <c r="BW97" i="42"/>
  <c r="BW67" i="42"/>
  <c r="BV67" i="42"/>
  <c r="BR67" i="42"/>
  <c r="BP67" i="42"/>
  <c r="BQ67" i="42" s="1"/>
  <c r="BY67" i="42" s="1"/>
  <c r="BP22" i="42"/>
  <c r="BQ22" i="42" s="1"/>
  <c r="BY22" i="42" s="1"/>
  <c r="BW22" i="42"/>
  <c r="BV22" i="42"/>
  <c r="BR22" i="42"/>
  <c r="BR107" i="42"/>
  <c r="BW107" i="42"/>
  <c r="BV107" i="42"/>
  <c r="BP107" i="42"/>
  <c r="BQ107" i="42" s="1"/>
  <c r="BY107" i="42" s="1"/>
  <c r="BU98" i="42"/>
  <c r="BS98" i="42"/>
  <c r="BO98" i="42"/>
  <c r="BW20" i="42"/>
  <c r="BV20" i="42"/>
  <c r="BR20" i="42"/>
  <c r="BP20" i="42"/>
  <c r="BQ20" i="42" s="1"/>
  <c r="BY20" i="42" s="1"/>
  <c r="BS52" i="42"/>
  <c r="BU52" i="42"/>
  <c r="BO52" i="42"/>
  <c r="BW55" i="42"/>
  <c r="BP55" i="42"/>
  <c r="BQ55" i="42" s="1"/>
  <c r="BY55" i="42" s="1"/>
  <c r="BV55" i="42"/>
  <c r="BR55" i="42"/>
  <c r="BP120" i="42"/>
  <c r="BQ120" i="42" s="1"/>
  <c r="BY120" i="42" s="1"/>
  <c r="BW120" i="42"/>
  <c r="BR120" i="42"/>
  <c r="BV120" i="42"/>
  <c r="BR25" i="42"/>
  <c r="BV25" i="42"/>
  <c r="BP25" i="42"/>
  <c r="BQ25" i="42" s="1"/>
  <c r="BY25" i="42" s="1"/>
  <c r="BW25" i="42"/>
  <c r="BP115" i="42"/>
  <c r="BQ115" i="42" s="1"/>
  <c r="BY115" i="42" s="1"/>
  <c r="BW115" i="42"/>
  <c r="BR115" i="42"/>
  <c r="BV115" i="42"/>
  <c r="BR38" i="42"/>
  <c r="BV38" i="42"/>
  <c r="BW38" i="42"/>
  <c r="BP38" i="42"/>
  <c r="BQ38" i="42" s="1"/>
  <c r="BY38" i="42" s="1"/>
  <c r="BR27" i="42"/>
  <c r="BW27" i="42"/>
  <c r="BV27" i="42"/>
  <c r="BP27" i="42"/>
  <c r="BQ27" i="42" s="1"/>
  <c r="BY27" i="42" s="1"/>
  <c r="BP110" i="42"/>
  <c r="BQ110" i="42" s="1"/>
  <c r="BY110" i="42" s="1"/>
  <c r="BW110" i="42"/>
  <c r="BR110" i="42"/>
  <c r="BV110" i="42"/>
  <c r="BP116" i="42"/>
  <c r="BQ116" i="42" s="1"/>
  <c r="BY116" i="42" s="1"/>
  <c r="BV116" i="42"/>
  <c r="BR116" i="42"/>
  <c r="BW116" i="42"/>
  <c r="DJ21" i="42"/>
  <c r="BR48" i="42"/>
  <c r="BP48" i="42"/>
  <c r="BQ48" i="42" s="1"/>
  <c r="BY48" i="42" s="1"/>
  <c r="BW48" i="42"/>
  <c r="BV48" i="42"/>
  <c r="BO34" i="42"/>
  <c r="BS34" i="42"/>
  <c r="BU34" i="42"/>
  <c r="BU17" i="42"/>
  <c r="BS17" i="42"/>
  <c r="BO17" i="42"/>
  <c r="BW63" i="42"/>
  <c r="BR63" i="42"/>
  <c r="BV63" i="42"/>
  <c r="BP63" i="42"/>
  <c r="BQ63" i="42" s="1"/>
  <c r="BY63" i="42" s="1"/>
  <c r="DJ98" i="42"/>
  <c r="BU91" i="42"/>
  <c r="BS91" i="42"/>
  <c r="BO91" i="42"/>
  <c r="BV24" i="42"/>
  <c r="BP24" i="42"/>
  <c r="BQ24" i="42" s="1"/>
  <c r="BY24" i="42" s="1"/>
  <c r="BR24" i="42"/>
  <c r="BW24" i="42"/>
  <c r="BS79" i="42"/>
  <c r="BU79" i="42"/>
  <c r="BO79" i="42"/>
  <c r="BP57" i="42"/>
  <c r="BQ57" i="42" s="1"/>
  <c r="BY57" i="42" s="1"/>
  <c r="BW57" i="42"/>
  <c r="BV57" i="42"/>
  <c r="BR57" i="42"/>
  <c r="BV60" i="42"/>
  <c r="BR60" i="42"/>
  <c r="BP60" i="42"/>
  <c r="BQ60" i="42" s="1"/>
  <c r="BY60" i="42" s="1"/>
  <c r="BW60" i="42"/>
  <c r="BP80" i="42"/>
  <c r="BQ80" i="42" s="1"/>
  <c r="BY80" i="42" s="1"/>
  <c r="BV80" i="42"/>
  <c r="BW80" i="42"/>
  <c r="BR80" i="42"/>
  <c r="BW50" i="42"/>
  <c r="BV50" i="42"/>
  <c r="BP50" i="42"/>
  <c r="BQ50" i="42" s="1"/>
  <c r="BY50" i="42" s="1"/>
  <c r="BR50" i="42"/>
  <c r="BP112" i="42"/>
  <c r="BQ112" i="42" s="1"/>
  <c r="BY112" i="42" s="1"/>
  <c r="BR112" i="42"/>
  <c r="BW112" i="42"/>
  <c r="BV112" i="42"/>
  <c r="BR119" i="42"/>
  <c r="BP119" i="42"/>
  <c r="BQ119" i="42" s="1"/>
  <c r="BY119" i="42" s="1"/>
  <c r="BW119" i="42"/>
  <c r="BV119" i="42"/>
  <c r="BR95" i="42"/>
  <c r="BP95" i="42"/>
  <c r="BQ95" i="42" s="1"/>
  <c r="BY95" i="42" s="1"/>
  <c r="BW95" i="42"/>
  <c r="BV95" i="42"/>
  <c r="BR70" i="42"/>
  <c r="BW70" i="42"/>
  <c r="BP70" i="42"/>
  <c r="BQ70" i="42" s="1"/>
  <c r="BY70" i="42" s="1"/>
  <c r="BV70" i="42"/>
  <c r="BR44" i="42"/>
  <c r="BP44" i="42"/>
  <c r="BQ44" i="42" s="1"/>
  <c r="BY44" i="42" s="1"/>
  <c r="BW44" i="42"/>
  <c r="BV44" i="42"/>
  <c r="BP73" i="42"/>
  <c r="BQ73" i="42" s="1"/>
  <c r="BY73" i="42" s="1"/>
  <c r="BV73" i="42"/>
  <c r="BR73" i="42"/>
  <c r="BW73" i="42"/>
  <c r="BV103" i="42"/>
  <c r="BP103" i="42"/>
  <c r="BQ103" i="42" s="1"/>
  <c r="BY103" i="42" s="1"/>
  <c r="BR103" i="42"/>
  <c r="BW103" i="42"/>
  <c r="BW94" i="42"/>
  <c r="BV94" i="42"/>
  <c r="BP94" i="42"/>
  <c r="BQ94" i="42" s="1"/>
  <c r="BY94" i="42" s="1"/>
  <c r="BR94" i="42"/>
  <c r="BW37" i="42"/>
  <c r="BR37" i="42"/>
  <c r="BP37" i="42"/>
  <c r="BQ37" i="42" s="1"/>
  <c r="BY37" i="42" s="1"/>
  <c r="BV37" i="42"/>
  <c r="BR77" i="42"/>
  <c r="BW77" i="42"/>
  <c r="BP77" i="42"/>
  <c r="BQ77" i="42" s="1"/>
  <c r="BY77" i="42" s="1"/>
  <c r="BV77" i="42"/>
  <c r="BW39" i="42"/>
  <c r="BV39" i="42"/>
  <c r="BR39" i="42"/>
  <c r="BP39" i="42"/>
  <c r="BQ39" i="42" s="1"/>
  <c r="BY39" i="42" s="1"/>
  <c r="BP105" i="42"/>
  <c r="BQ105" i="42" s="1"/>
  <c r="BY105" i="42" s="1"/>
  <c r="BW105" i="42"/>
  <c r="BR105" i="42"/>
  <c r="BV105" i="42"/>
  <c r="BO56" i="42"/>
  <c r="BS56" i="42"/>
  <c r="BU56" i="42"/>
  <c r="BW90" i="42"/>
  <c r="BP90" i="42"/>
  <c r="BQ90" i="42" s="1"/>
  <c r="BY90" i="42" s="1"/>
  <c r="BV90" i="42"/>
  <c r="BR90" i="42"/>
  <c r="BS72" i="42"/>
  <c r="BO72" i="42"/>
  <c r="BU72" i="42"/>
  <c r="BV84" i="42"/>
  <c r="BR84" i="42"/>
  <c r="BP84" i="42"/>
  <c r="BQ84" i="42" s="1"/>
  <c r="BY84" i="42" s="1"/>
  <c r="BW84" i="42"/>
  <c r="BR51" i="42"/>
  <c r="BP51" i="42"/>
  <c r="BQ51" i="42" s="1"/>
  <c r="BY51" i="42" s="1"/>
  <c r="BW51" i="42"/>
  <c r="BV51" i="42"/>
  <c r="BR59" i="42"/>
  <c r="BP59" i="42"/>
  <c r="BQ59" i="42" s="1"/>
  <c r="BY59" i="42" s="1"/>
  <c r="BW59" i="42"/>
  <c r="BV59" i="42"/>
  <c r="BP43" i="42"/>
  <c r="BQ43" i="42" s="1"/>
  <c r="BY43" i="42" s="1"/>
  <c r="BR43" i="42"/>
  <c r="BW43" i="42"/>
  <c r="BV43" i="42"/>
  <c r="BV108" i="42"/>
  <c r="BP108" i="42"/>
  <c r="BQ108" i="42" s="1"/>
  <c r="BY108" i="42" s="1"/>
  <c r="BW108" i="42"/>
  <c r="BR108" i="42"/>
  <c r="BP53" i="42"/>
  <c r="BQ53" i="42" s="1"/>
  <c r="BY53" i="42" s="1"/>
  <c r="BR53" i="42"/>
  <c r="BV53" i="42"/>
  <c r="BW53" i="42"/>
  <c r="BS76" i="42"/>
  <c r="BU76" i="42"/>
  <c r="BO76" i="42"/>
  <c r="BV93" i="42"/>
  <c r="BR93" i="42"/>
  <c r="BP93" i="42"/>
  <c r="BQ93" i="42" s="1"/>
  <c r="BY93" i="42" s="1"/>
  <c r="BW93" i="42"/>
  <c r="BU81" i="42"/>
  <c r="BS81" i="42"/>
  <c r="BO81" i="42"/>
  <c r="BW30" i="42"/>
  <c r="BR30" i="42"/>
  <c r="BP30" i="42"/>
  <c r="BQ30" i="42" s="1"/>
  <c r="BY30" i="42" s="1"/>
  <c r="BV30" i="42"/>
  <c r="BW111" i="42"/>
  <c r="BR111" i="42"/>
  <c r="BP111" i="42"/>
  <c r="BQ111" i="42" s="1"/>
  <c r="BY111" i="42" s="1"/>
  <c r="BV111" i="42"/>
  <c r="BW19" i="42"/>
  <c r="BV19" i="42"/>
  <c r="BR19" i="42"/>
  <c r="BP19" i="42"/>
  <c r="BQ19" i="42" s="1"/>
  <c r="BY19" i="42" s="1"/>
  <c r="BV102" i="42"/>
  <c r="BW102" i="42"/>
  <c r="BR102" i="42"/>
  <c r="BP102" i="42"/>
  <c r="BQ102" i="42" s="1"/>
  <c r="BY102" i="42" s="1"/>
  <c r="BR64" i="42"/>
  <c r="BP64" i="42"/>
  <c r="BQ64" i="42" s="1"/>
  <c r="BY64" i="42" s="1"/>
  <c r="BW64" i="42"/>
  <c r="BV64" i="42"/>
  <c r="BW75" i="42"/>
  <c r="BP75" i="42"/>
  <c r="BQ75" i="42" s="1"/>
  <c r="BY75" i="42" s="1"/>
  <c r="BV75" i="42"/>
  <c r="BR75" i="42"/>
  <c r="BU28" i="42"/>
  <c r="BO28" i="42"/>
  <c r="BS28" i="42"/>
  <c r="BP54" i="42"/>
  <c r="BQ54" i="42" s="1"/>
  <c r="BY54" i="42" s="1"/>
  <c r="BV54" i="42"/>
  <c r="BR54" i="42"/>
  <c r="BW54" i="42"/>
  <c r="BP88" i="42"/>
  <c r="BQ88" i="42" s="1"/>
  <c r="BY88" i="42" s="1"/>
  <c r="BV88" i="42"/>
  <c r="BW88" i="42"/>
  <c r="BR88" i="42"/>
  <c r="DJ121" i="42"/>
  <c r="BW113" i="42"/>
  <c r="BR113" i="42"/>
  <c r="BV113" i="42"/>
  <c r="BP113" i="42"/>
  <c r="BQ113" i="42" s="1"/>
  <c r="BY113" i="42" s="1"/>
  <c r="BR106" i="42"/>
  <c r="BW106" i="42"/>
  <c r="BP106" i="42"/>
  <c r="BQ106" i="42" s="1"/>
  <c r="BY106" i="42" s="1"/>
  <c r="BV106" i="42"/>
  <c r="BR117" i="42"/>
  <c r="BP117" i="42"/>
  <c r="BQ117" i="42" s="1"/>
  <c r="BY117" i="42" s="1"/>
  <c r="BW117" i="42"/>
  <c r="BV117" i="42"/>
  <c r="BS49" i="42"/>
  <c r="BO49" i="42"/>
  <c r="BU49" i="42"/>
  <c r="DJ81" i="42"/>
  <c r="BV82" i="42"/>
  <c r="BW82" i="42"/>
  <c r="BR82" i="42"/>
  <c r="BP82" i="42"/>
  <c r="BQ82" i="42" s="1"/>
  <c r="BY82" i="42" s="1"/>
  <c r="BW85" i="42"/>
  <c r="BR85" i="42"/>
  <c r="BP85" i="42"/>
  <c r="BQ85" i="42" s="1"/>
  <c r="BY85" i="42" s="1"/>
  <c r="BV85" i="42"/>
  <c r="BV96" i="42"/>
  <c r="BP96" i="42"/>
  <c r="BQ96" i="42" s="1"/>
  <c r="BY96" i="42" s="1"/>
  <c r="BR96" i="42"/>
  <c r="BW96" i="42"/>
  <c r="BV74" i="42"/>
  <c r="BP74" i="42"/>
  <c r="BQ74" i="42" s="1"/>
  <c r="BY74" i="42" s="1"/>
  <c r="BR74" i="42"/>
  <c r="BW74" i="42"/>
  <c r="BO99" i="42"/>
  <c r="BS99" i="42"/>
  <c r="BU99" i="42"/>
  <c r="BW18" i="42"/>
  <c r="BV18" i="42"/>
  <c r="BR18" i="42"/>
  <c r="BP18" i="42"/>
  <c r="BQ18" i="42" s="1"/>
  <c r="BY18" i="42" s="1"/>
  <c r="BU92" i="42"/>
  <c r="BS92" i="42"/>
  <c r="BO92" i="42"/>
  <c r="DJ28" i="42"/>
  <c r="BO46" i="42"/>
  <c r="BU46" i="42"/>
  <c r="BS46" i="42"/>
  <c r="BP101" i="42"/>
  <c r="BQ101" i="42" s="1"/>
  <c r="BY101" i="42" s="1"/>
  <c r="BV101" i="42"/>
  <c r="BW101" i="42"/>
  <c r="BR101" i="42"/>
  <c r="BW41" i="42"/>
  <c r="BR41" i="42"/>
  <c r="BV41" i="42"/>
  <c r="BP41" i="42"/>
  <c r="BQ41" i="42" s="1"/>
  <c r="BY41" i="42" s="1"/>
  <c r="BW87" i="42"/>
  <c r="BP87" i="42"/>
  <c r="BQ87" i="42" s="1"/>
  <c r="BY87" i="42" s="1"/>
  <c r="BR87" i="42"/>
  <c r="BV87" i="42"/>
  <c r="BO121" i="42"/>
  <c r="BS121" i="42"/>
  <c r="BU121" i="42"/>
  <c r="BR66" i="42"/>
  <c r="BW66" i="42"/>
  <c r="BV66" i="42"/>
  <c r="BP66" i="42"/>
  <c r="BQ66" i="42" s="1"/>
  <c r="BY66" i="42" s="1"/>
  <c r="BV47" i="42"/>
  <c r="BR47" i="42"/>
  <c r="BP47" i="42"/>
  <c r="BQ47" i="42" s="1"/>
  <c r="BY47" i="42" s="1"/>
  <c r="BW47" i="42"/>
  <c r="BV31" i="42"/>
  <c r="BW31" i="42"/>
  <c r="BR31" i="42"/>
  <c r="BP31" i="42"/>
  <c r="BQ31" i="42" s="1"/>
  <c r="BY31" i="42" s="1"/>
  <c r="BP89" i="42"/>
  <c r="BQ89" i="42" s="1"/>
  <c r="BY89" i="42" s="1"/>
  <c r="BR89" i="42"/>
  <c r="BW89" i="42"/>
  <c r="BV89" i="42"/>
  <c r="BV58" i="42"/>
  <c r="BR58" i="42"/>
  <c r="BP58" i="42"/>
  <c r="BQ58" i="42" s="1"/>
  <c r="BY58" i="42" s="1"/>
  <c r="BW58" i="42"/>
  <c r="BO83" i="42"/>
  <c r="BU83" i="42"/>
  <c r="BS83" i="42"/>
  <c r="BV69" i="42"/>
  <c r="BW69" i="42"/>
  <c r="BP69" i="42"/>
  <c r="BQ69" i="42" s="1"/>
  <c r="BY69" i="42" s="1"/>
  <c r="BR69" i="42"/>
  <c r="BW42" i="42"/>
  <c r="BV42" i="42"/>
  <c r="BR42" i="42"/>
  <c r="BP42" i="42"/>
  <c r="BQ42" i="42" s="1"/>
  <c r="BY42" i="42" s="1"/>
  <c r="BR35" i="42"/>
  <c r="BW35" i="42"/>
  <c r="BV35" i="42"/>
  <c r="BP35" i="42"/>
  <c r="BQ35" i="42" s="1"/>
  <c r="BY35" i="42" s="1"/>
  <c r="BU40" i="42"/>
  <c r="BS40" i="42"/>
  <c r="BO40" i="42"/>
  <c r="BR65" i="42"/>
  <c r="BP65" i="42"/>
  <c r="BQ65" i="42" s="1"/>
  <c r="BY65" i="42" s="1"/>
  <c r="BW65" i="42"/>
  <c r="BV65" i="42"/>
  <c r="BW78" i="42"/>
  <c r="BR78" i="42"/>
  <c r="BP78" i="42"/>
  <c r="BQ78" i="42" s="1"/>
  <c r="BY78" i="42" s="1"/>
  <c r="BV78" i="42"/>
  <c r="BR32" i="42"/>
  <c r="BW32" i="42"/>
  <c r="BP32" i="42"/>
  <c r="BQ32" i="42" s="1"/>
  <c r="BY32" i="42" s="1"/>
  <c r="BV32" i="42"/>
  <c r="BO100" i="42"/>
  <c r="BU100" i="42"/>
  <c r="BS100" i="42"/>
  <c r="DJ109" i="42"/>
  <c r="DJ83" i="42"/>
  <c r="BR71" i="42"/>
  <c r="BV71" i="42"/>
  <c r="BW71" i="42"/>
  <c r="BP71" i="42"/>
  <c r="BQ71" i="42" s="1"/>
  <c r="BY71" i="42" s="1"/>
  <c r="BU114" i="42"/>
  <c r="BS114" i="42"/>
  <c r="BO114" i="42"/>
  <c r="CY10" i="42"/>
  <c r="CX10" i="42" s="1"/>
  <c r="X23" i="39" l="1"/>
  <c r="X21" i="39"/>
  <c r="X79" i="39" s="1"/>
  <c r="X26" i="39"/>
  <c r="X24" i="39"/>
  <c r="X25" i="39"/>
  <c r="X28" i="39"/>
  <c r="W79" i="39"/>
  <c r="V79" i="39" s="1"/>
  <c r="X22" i="39"/>
  <c r="O23" i="39"/>
  <c r="N23" i="39" s="1"/>
  <c r="O24" i="39"/>
  <c r="N24" i="39" s="1"/>
  <c r="X27" i="39"/>
  <c r="O28" i="39"/>
  <c r="N28" i="39" s="1"/>
  <c r="DL10" i="42"/>
  <c r="O26" i="39"/>
  <c r="N26" i="39" s="1"/>
  <c r="O22" i="39"/>
  <c r="N22" i="39" s="1"/>
  <c r="O21" i="39"/>
  <c r="O79" i="39" s="1"/>
  <c r="N79" i="39" s="1"/>
  <c r="O25" i="39"/>
  <c r="N25" i="39" s="1"/>
  <c r="R21" i="39"/>
  <c r="S79" i="39"/>
  <c r="O27" i="39"/>
  <c r="N27" i="39" s="1"/>
  <c r="U21" i="39"/>
  <c r="DJ10" i="42"/>
  <c r="BP56" i="42"/>
  <c r="BQ56" i="42" s="1"/>
  <c r="BY56" i="42" s="1"/>
  <c r="BV56" i="42"/>
  <c r="BW56" i="42"/>
  <c r="BR56" i="42"/>
  <c r="BP34" i="42"/>
  <c r="BQ34" i="42" s="1"/>
  <c r="BY34" i="42" s="1"/>
  <c r="BV34" i="42"/>
  <c r="BR34" i="42"/>
  <c r="BW34" i="42"/>
  <c r="BW61" i="42"/>
  <c r="BV61" i="42"/>
  <c r="BP61" i="42"/>
  <c r="BQ61" i="42" s="1"/>
  <c r="BY61" i="42" s="1"/>
  <c r="BR61" i="42"/>
  <c r="BR49" i="42"/>
  <c r="BV49" i="42"/>
  <c r="BP49" i="42"/>
  <c r="BQ49" i="42" s="1"/>
  <c r="BY49" i="42" s="1"/>
  <c r="BW49" i="42"/>
  <c r="BV72" i="42"/>
  <c r="BP72" i="42"/>
  <c r="BQ72" i="42" s="1"/>
  <c r="BY72" i="42" s="1"/>
  <c r="BR72" i="42"/>
  <c r="BW72" i="42"/>
  <c r="BV98" i="42"/>
  <c r="BR98" i="42"/>
  <c r="BP98" i="42"/>
  <c r="BQ98" i="42" s="1"/>
  <c r="BY98" i="42" s="1"/>
  <c r="BW98" i="42"/>
  <c r="BW109" i="42"/>
  <c r="BV109" i="42"/>
  <c r="BP109" i="42"/>
  <c r="BQ109" i="42" s="1"/>
  <c r="BY109" i="42" s="1"/>
  <c r="BR109" i="42"/>
  <c r="BW28" i="42"/>
  <c r="BR28" i="42"/>
  <c r="BV28" i="42"/>
  <c r="BP28" i="42"/>
  <c r="BQ28" i="42" s="1"/>
  <c r="BY28" i="42" s="1"/>
  <c r="BP40" i="42"/>
  <c r="BQ40" i="42" s="1"/>
  <c r="BY40" i="42" s="1"/>
  <c r="BV40" i="42"/>
  <c r="BW40" i="42"/>
  <c r="BR40" i="42"/>
  <c r="BR121" i="42"/>
  <c r="BW121" i="42"/>
  <c r="BV121" i="42"/>
  <c r="BP121" i="42"/>
  <c r="BQ121" i="42" s="1"/>
  <c r="BY121" i="42" s="1"/>
  <c r="BP91" i="42"/>
  <c r="BQ91" i="42" s="1"/>
  <c r="BY91" i="42" s="1"/>
  <c r="BR91" i="42"/>
  <c r="BW91" i="42"/>
  <c r="BV91" i="42"/>
  <c r="BP83" i="42"/>
  <c r="BQ83" i="42" s="1"/>
  <c r="BY83" i="42" s="1"/>
  <c r="BV83" i="42"/>
  <c r="BR83" i="42"/>
  <c r="BW83" i="42"/>
  <c r="BP46" i="42"/>
  <c r="BQ46" i="42" s="1"/>
  <c r="BY46" i="42" s="1"/>
  <c r="BV46" i="42"/>
  <c r="BR46" i="42"/>
  <c r="BW46" i="42"/>
  <c r="BW81" i="42"/>
  <c r="BV81" i="42"/>
  <c r="BP81" i="42"/>
  <c r="BQ81" i="42" s="1"/>
  <c r="BY81" i="42" s="1"/>
  <c r="BR81" i="42"/>
  <c r="BP17" i="42"/>
  <c r="BQ17" i="42" s="1"/>
  <c r="BY17" i="42" s="1"/>
  <c r="BR17" i="42"/>
  <c r="BW17" i="42"/>
  <c r="BV17" i="42"/>
  <c r="BP99" i="42"/>
  <c r="BQ99" i="42" s="1"/>
  <c r="BY99" i="42" s="1"/>
  <c r="BV99" i="42"/>
  <c r="BW99" i="42"/>
  <c r="BR99" i="42"/>
  <c r="BV79" i="42"/>
  <c r="BW79" i="42"/>
  <c r="BR79" i="42"/>
  <c r="BP79" i="42"/>
  <c r="BQ79" i="42" s="1"/>
  <c r="BY79" i="42" s="1"/>
  <c r="BR52" i="42"/>
  <c r="BV52" i="42"/>
  <c r="BP52" i="42"/>
  <c r="BQ52" i="42" s="1"/>
  <c r="BY52" i="42" s="1"/>
  <c r="BW52" i="42"/>
  <c r="BW21" i="42"/>
  <c r="BV21" i="42"/>
  <c r="BP21" i="42"/>
  <c r="BQ21" i="42" s="1"/>
  <c r="BY21" i="42" s="1"/>
  <c r="BR21" i="42"/>
  <c r="BP114" i="42"/>
  <c r="BQ114" i="42" s="1"/>
  <c r="BY114" i="42" s="1"/>
  <c r="BW114" i="42"/>
  <c r="BV114" i="42"/>
  <c r="BR114" i="42"/>
  <c r="BW100" i="42"/>
  <c r="BR100" i="42"/>
  <c r="BP100" i="42"/>
  <c r="BQ100" i="42" s="1"/>
  <c r="BY100" i="42" s="1"/>
  <c r="BV100" i="42"/>
  <c r="BP92" i="42"/>
  <c r="BQ92" i="42" s="1"/>
  <c r="BY92" i="42" s="1"/>
  <c r="BV92" i="42"/>
  <c r="BW92" i="42"/>
  <c r="BR92" i="42"/>
  <c r="BW76" i="42"/>
  <c r="BP76" i="42"/>
  <c r="BQ76" i="42" s="1"/>
  <c r="BY76" i="42" s="1"/>
  <c r="BR76" i="42"/>
  <c r="BV76" i="42"/>
  <c r="BP62" i="42"/>
  <c r="BQ62" i="42" s="1"/>
  <c r="BY62" i="42" s="1"/>
  <c r="BV62" i="42"/>
  <c r="BR62" i="42"/>
  <c r="BW62" i="42"/>
  <c r="BR36" i="42"/>
  <c r="BV36" i="42"/>
  <c r="BW36" i="42"/>
  <c r="BP36" i="42"/>
  <c r="BQ36" i="42" s="1"/>
  <c r="BY36" i="42" s="1"/>
  <c r="BP118" i="42"/>
  <c r="BQ118" i="42" s="1"/>
  <c r="BY118" i="42" s="1"/>
  <c r="BV118" i="42"/>
  <c r="BW118" i="42"/>
  <c r="BR118" i="42"/>
  <c r="Y23" i="39" l="1"/>
  <c r="Y22" i="39"/>
  <c r="Y24" i="39"/>
  <c r="Y25" i="39"/>
  <c r="Y21" i="39"/>
  <c r="Y79" i="39" s="1"/>
  <c r="Y28" i="39"/>
  <c r="Y26" i="39"/>
  <c r="Y27" i="39"/>
  <c r="N21" i="39"/>
  <c r="T21" i="39"/>
  <c r="U79" i="39"/>
  <c r="T79" i="39" s="1"/>
  <c r="R79" i="39"/>
  <c r="E5" i="39"/>
  <c r="BV10" i="42"/>
  <c r="CP10" i="42"/>
  <c r="D5" i="39" l="1"/>
  <c r="D9" i="39" s="1"/>
  <c r="E9" i="39"/>
  <c r="C31" i="44"/>
  <c r="C34" i="44" l="1"/>
  <c r="C33" i="44"/>
  <c r="C32" i="44"/>
  <c r="C29" i="44"/>
  <c r="C28" i="44"/>
  <c r="C27" i="44"/>
  <c r="C26" i="44"/>
  <c r="C24" i="44"/>
  <c r="C23" i="44"/>
  <c r="C22" i="44"/>
  <c r="C21" i="44"/>
  <c r="C20" i="44"/>
  <c r="C19" i="44"/>
  <c r="C18" i="44"/>
  <c r="C17" i="44"/>
  <c r="C16" i="44"/>
  <c r="C15" i="44"/>
  <c r="C5" i="44"/>
  <c r="C6" i="44"/>
  <c r="C7" i="44"/>
  <c r="C8" i="44"/>
  <c r="C9" i="44"/>
  <c r="C10" i="44"/>
  <c r="C11" i="44"/>
  <c r="C12" i="44"/>
  <c r="C13" i="44"/>
  <c r="C4" i="44"/>
  <c r="DE10" i="42" l="1"/>
  <c r="BE11" i="42" l="1"/>
  <c r="CT10" i="42" l="1"/>
  <c r="BJ8" i="42" l="1"/>
  <c r="BI8" i="42"/>
  <c r="CR10" i="42"/>
  <c r="BF8" i="42" l="1"/>
  <c r="BE8" i="42"/>
  <c r="BF9" i="42" l="1"/>
  <c r="DK10" i="42" l="1"/>
  <c r="BJ9" i="42" l="1"/>
  <c r="BJ13" i="42" l="1"/>
  <c r="DC10" i="42"/>
  <c r="BF10" i="42" l="1"/>
  <c r="BE10" i="42"/>
  <c r="BF11" i="42" l="1"/>
  <c r="BN10" i="42" l="1"/>
  <c r="BM10" i="42" s="1"/>
  <c r="BO10" i="42" l="1"/>
  <c r="DG10" i="42" l="1"/>
  <c r="BE12" i="42" l="1"/>
  <c r="BF12" i="42"/>
  <c r="BF13" i="42" s="1"/>
  <c r="CL10" i="42"/>
  <c r="BE9" i="42" l="1"/>
  <c r="BE13" i="42" s="1"/>
  <c r="BI9" i="42"/>
  <c r="BI13" i="42" s="1"/>
  <c r="DI10" i="42"/>
</calcChain>
</file>

<file path=xl/sharedStrings.xml><?xml version="1.0" encoding="utf-8"?>
<sst xmlns="http://schemas.openxmlformats.org/spreadsheetml/2006/main" count="4564" uniqueCount="1384">
  <si>
    <t>One Off Payment</t>
  </si>
  <si>
    <t>Mission</t>
  </si>
  <si>
    <t>Disability Services</t>
  </si>
  <si>
    <t>FTE
38hpw</t>
  </si>
  <si>
    <t>Governance</t>
  </si>
  <si>
    <t>Business Unit/ Function</t>
  </si>
  <si>
    <t>Business Partnering</t>
  </si>
  <si>
    <t>Retirement Living</t>
  </si>
  <si>
    <t>Property</t>
  </si>
  <si>
    <t>Digital &amp; Technology</t>
  </si>
  <si>
    <t>Award Comparison</t>
  </si>
  <si>
    <t>VLOOKUP for Main S/S</t>
  </si>
  <si>
    <t>Enterprise Agreement/ Award Level</t>
  </si>
  <si>
    <t>Hourly Rate eff 01/07/2022 
$</t>
  </si>
  <si>
    <t>Annual 38hpw</t>
  </si>
  <si>
    <t>Level 3</t>
  </si>
  <si>
    <t>Level 4</t>
  </si>
  <si>
    <t>Level 5</t>
  </si>
  <si>
    <t>Level 1 - Year 1</t>
  </si>
  <si>
    <t>Level 1 - Year 2</t>
  </si>
  <si>
    <t>Level 1 - Year 3</t>
  </si>
  <si>
    <t>Level 2 - Year 1</t>
  </si>
  <si>
    <t>Level 2 - Year 2</t>
  </si>
  <si>
    <t>Yes</t>
  </si>
  <si>
    <t>Function</t>
  </si>
  <si>
    <t>Remuneration Comments</t>
  </si>
  <si>
    <t>Manager Name</t>
  </si>
  <si>
    <t>First Name</t>
  </si>
  <si>
    <t>Surname</t>
  </si>
  <si>
    <t>David</t>
  </si>
  <si>
    <t>Workforce Experience</t>
  </si>
  <si>
    <t>Employee ID</t>
  </si>
  <si>
    <t>Gender</t>
  </si>
  <si>
    <t>Hire Date</t>
  </si>
  <si>
    <t>Entity</t>
  </si>
  <si>
    <t>Position Number</t>
  </si>
  <si>
    <t>Internal Position Code</t>
  </si>
  <si>
    <t>Contract End Date
(for fixed term contracts only)</t>
  </si>
  <si>
    <t>Hours Worked per Week
(Average for casuals)</t>
  </si>
  <si>
    <t>Leave Group</t>
  </si>
  <si>
    <t>Additional Annual Leave Days</t>
  </si>
  <si>
    <t>Job Level</t>
  </si>
  <si>
    <t>Min</t>
  </si>
  <si>
    <t>Midpoint</t>
  </si>
  <si>
    <t>Max</t>
  </si>
  <si>
    <t>Business Unit</t>
  </si>
  <si>
    <t>Manager Position Title</t>
  </si>
  <si>
    <t>2023  Performance Rating</t>
  </si>
  <si>
    <t>Position Title (Nominal)</t>
  </si>
  <si>
    <t>Salaried Headcount TOTAL</t>
  </si>
  <si>
    <t>Hospitals</t>
  </si>
  <si>
    <t>The Wesley Hospital</t>
  </si>
  <si>
    <t>Eligible Salaried Headcount TOTAL</t>
  </si>
  <si>
    <t>Additional Annual Leave</t>
  </si>
  <si>
    <t>Leave Loading</t>
  </si>
  <si>
    <t xml:space="preserve"> Leave Loading</t>
  </si>
  <si>
    <t>TOTAL - ANNUAL EA + ADD LVE DAYS + A/L LOADING</t>
  </si>
  <si>
    <t>Hourly rate incl. A/L Loading</t>
  </si>
  <si>
    <t>ANNUAL EA +  ADD LVE DAYS + A/L LOADING
(ROUND UP $100)</t>
  </si>
  <si>
    <t>2022 BUFFER APPLIED:
EA rate + A/L LOADING + BUFFER (Assumption:
X hrs OT @ 1.5x)</t>
  </si>
  <si>
    <t>Buffer $ difference</t>
  </si>
  <si>
    <t>OPTION 2: 
Extra O/T included for role classificiation, add in reguar O/T hours  
(EA rate + A/L LOADING + Buffer (Assumption: 1 hrs OT @ 1.5x each wks) + Extra O/T Hours</t>
  </si>
  <si>
    <t>UCC EA 2012 - 2014 Profesional and Administrative Workers</t>
  </si>
  <si>
    <t>hrs OT @ 1.5x</t>
  </si>
  <si>
    <t>Add OT hrs regularly worked - leave blank if none</t>
  </si>
  <si>
    <t>hrs OT @ 1.5x per week</t>
  </si>
  <si>
    <t>Social &amp; Community Services Employee 5.14</t>
  </si>
  <si>
    <t>PA1.1</t>
  </si>
  <si>
    <t>Social &amp; Community Services Employee 5.13</t>
  </si>
  <si>
    <t>PA1.2</t>
  </si>
  <si>
    <t>Social &amp; Community Services Employee 5.12</t>
  </si>
  <si>
    <t>PA1.3</t>
  </si>
  <si>
    <t>Social &amp; Community Services Employee 5.11</t>
  </si>
  <si>
    <t>PA2.1</t>
  </si>
  <si>
    <t>Social &amp; Community Services Employee 5.10</t>
  </si>
  <si>
    <t>PA2.2</t>
  </si>
  <si>
    <t>Social &amp; Community Services Employee 5.9</t>
  </si>
  <si>
    <t>PA2.3</t>
  </si>
  <si>
    <t>Social &amp; Community Services Employee 5.8</t>
  </si>
  <si>
    <t>PA2.4</t>
  </si>
  <si>
    <t>Social &amp; Community Services Employee 5.7</t>
  </si>
  <si>
    <t>PA3.1</t>
  </si>
  <si>
    <t>Social &amp; Community Services Employee 5.6</t>
  </si>
  <si>
    <t>PA3.2</t>
  </si>
  <si>
    <t>Social &amp; Community Services Employee 5.5</t>
  </si>
  <si>
    <t>PA3.3</t>
  </si>
  <si>
    <t>Social &amp; Community Services Employee 5.4</t>
  </si>
  <si>
    <t>PA3.4</t>
  </si>
  <si>
    <t>Social &amp; Community Services Employee 5.3</t>
  </si>
  <si>
    <t>PA4.1</t>
  </si>
  <si>
    <t>Social &amp; Community Services Employee 5.2</t>
  </si>
  <si>
    <t>PA4.2</t>
  </si>
  <si>
    <t>Social &amp; Community Services Employee 5.1</t>
  </si>
  <si>
    <t>PA4.3</t>
  </si>
  <si>
    <t>Social &amp; Community Services Employee 5.0</t>
  </si>
  <si>
    <t>PA4.4</t>
  </si>
  <si>
    <t>PA5.1</t>
  </si>
  <si>
    <t>PA5.2</t>
  </si>
  <si>
    <t>PA5.3</t>
  </si>
  <si>
    <t>Social &amp; Community Services Employee 6.1</t>
  </si>
  <si>
    <t>PA6.1</t>
  </si>
  <si>
    <t>Social &amp; Community Services Employee 6.2</t>
  </si>
  <si>
    <t>PA6.2</t>
  </si>
  <si>
    <t>Social &amp; Community Services Employee 6.3</t>
  </si>
  <si>
    <t>PA6.3</t>
  </si>
  <si>
    <t>Social &amp; Community Services Employee 7.1</t>
  </si>
  <si>
    <t>PA7.1</t>
  </si>
  <si>
    <t>Social &amp; Community Services Employee 7.2</t>
  </si>
  <si>
    <t>PA7.2</t>
  </si>
  <si>
    <t>Social &amp; Community Services Employee7.3</t>
  </si>
  <si>
    <t>PA7.3</t>
  </si>
  <si>
    <t>Social &amp; Community Services Employee 8.1</t>
  </si>
  <si>
    <t>PA8.1</t>
  </si>
  <si>
    <t>Social &amp; Community Services Employee 8.2</t>
  </si>
  <si>
    <t>PA8.2</t>
  </si>
  <si>
    <t>Social &amp; Community Services Employee 8.3</t>
  </si>
  <si>
    <t>PA8.3</t>
  </si>
  <si>
    <t>UCC EA 2015 - 2018 Retail Workers</t>
  </si>
  <si>
    <t>Retail Employee Level 1</t>
  </si>
  <si>
    <t>RE1</t>
  </si>
  <si>
    <t>Retail Employee Level 2</t>
  </si>
  <si>
    <t>RE2</t>
  </si>
  <si>
    <t>Retail Employee Level 3</t>
  </si>
  <si>
    <t>RE3</t>
  </si>
  <si>
    <t>Retail Employee Level 4</t>
  </si>
  <si>
    <t>RE4</t>
  </si>
  <si>
    <t>Retail Employee Level 8</t>
  </si>
  <si>
    <t>RE8</t>
  </si>
  <si>
    <t>Retail Level 4 Year 1</t>
  </si>
  <si>
    <t>CE2</t>
  </si>
  <si>
    <t>Retail Level 6</t>
  </si>
  <si>
    <t>CE3</t>
  </si>
  <si>
    <t>Retail Level 7</t>
  </si>
  <si>
    <t>CE4</t>
  </si>
  <si>
    <t>Retail Level 8</t>
  </si>
  <si>
    <t>CE5</t>
  </si>
  <si>
    <t>UCC EA 2012 - 2014 - Disability Workers</t>
  </si>
  <si>
    <t>Social &amp; Community Services Employee 3.4</t>
  </si>
  <si>
    <t>DIS44</t>
  </si>
  <si>
    <t>UCC EA 2015 - 2018 Transport and Distribution</t>
  </si>
  <si>
    <t>Transport Worker Grade 1</t>
  </si>
  <si>
    <t>TW1</t>
  </si>
  <si>
    <t>Transport Worker Grade 2</t>
  </si>
  <si>
    <t>TW2</t>
  </si>
  <si>
    <t>Transport Worker Grade 3</t>
  </si>
  <si>
    <t>TW31</t>
  </si>
  <si>
    <t>TW32</t>
  </si>
  <si>
    <t>TW33</t>
  </si>
  <si>
    <t>TW34</t>
  </si>
  <si>
    <t>Transport Worker Grade 4</t>
  </si>
  <si>
    <t>TW41</t>
  </si>
  <si>
    <t>TW42</t>
  </si>
  <si>
    <t>TW43</t>
  </si>
  <si>
    <t>TW44</t>
  </si>
  <si>
    <t>DW2</t>
  </si>
  <si>
    <t>Blue Care - Care and Support Employees</t>
  </si>
  <si>
    <t>Level 2</t>
  </si>
  <si>
    <t>SPT021</t>
  </si>
  <si>
    <t>SPT022</t>
  </si>
  <si>
    <t xml:space="preserve">Level 2 </t>
  </si>
  <si>
    <t>SPT023</t>
  </si>
  <si>
    <t>SPT02S</t>
  </si>
  <si>
    <t>SPT031</t>
  </si>
  <si>
    <t>SPT032</t>
  </si>
  <si>
    <t>SPT033</t>
  </si>
  <si>
    <t>SPT03S</t>
  </si>
  <si>
    <t>SPT041</t>
  </si>
  <si>
    <t>SPT042</t>
  </si>
  <si>
    <t>SPT043</t>
  </si>
  <si>
    <t>SPT051</t>
  </si>
  <si>
    <t>SPT052</t>
  </si>
  <si>
    <t>SPT053</t>
  </si>
  <si>
    <t>Level 6</t>
  </si>
  <si>
    <t>SPT061</t>
  </si>
  <si>
    <t>SPT062</t>
  </si>
  <si>
    <t>SPT063</t>
  </si>
  <si>
    <t>Blue Care Nursing EA 2013 - 2016</t>
  </si>
  <si>
    <t>Registered Nurse - L1.1</t>
  </si>
  <si>
    <t>QRN11</t>
  </si>
  <si>
    <t>Registered Nurse - L1.2</t>
  </si>
  <si>
    <t>QRN12</t>
  </si>
  <si>
    <t>Registered Nurse - L1.3</t>
  </si>
  <si>
    <t>QRN13</t>
  </si>
  <si>
    <t>Registered Nurse - L1.4</t>
  </si>
  <si>
    <t>QRN14</t>
  </si>
  <si>
    <t>Registered Nurse - L2.1</t>
  </si>
  <si>
    <t>QRN21</t>
  </si>
  <si>
    <t>Registered Nurse - L2.2</t>
  </si>
  <si>
    <t>QRN22</t>
  </si>
  <si>
    <t>Registered Nurse - L3.1</t>
  </si>
  <si>
    <t>QRN31</t>
  </si>
  <si>
    <t>Registered Nurse - L3.2</t>
  </si>
  <si>
    <t>QRN32</t>
  </si>
  <si>
    <t>Registered Nurse - L4.1</t>
  </si>
  <si>
    <t>QRN41</t>
  </si>
  <si>
    <t>Registered Nurse - L4.2</t>
  </si>
  <si>
    <t>QRN42</t>
  </si>
  <si>
    <t>Registered Nurse - L4.3</t>
  </si>
  <si>
    <t>QRN43</t>
  </si>
  <si>
    <t>Registered Nurse - L5.1</t>
  </si>
  <si>
    <t>QRN51A</t>
  </si>
  <si>
    <t>QRN51B</t>
  </si>
  <si>
    <t>QRN51C</t>
  </si>
  <si>
    <t>Registered Nurse - L5.2</t>
  </si>
  <si>
    <t>QRN52</t>
  </si>
  <si>
    <t>Registered Nurse - L5.3</t>
  </si>
  <si>
    <t>QRN53</t>
  </si>
  <si>
    <t>Registered Nurse - L5.4</t>
  </si>
  <si>
    <t>QRN54</t>
  </si>
  <si>
    <t>Blue Care Allied Health &amp; Community Service Stream EA</t>
  </si>
  <si>
    <t>SACSE Level 3.1</t>
  </si>
  <si>
    <t>CSS31</t>
  </si>
  <si>
    <t>SACSE Level 3.2</t>
  </si>
  <si>
    <t>CSS32</t>
  </si>
  <si>
    <t>SACSE Level 3.3</t>
  </si>
  <si>
    <t>CSS33</t>
  </si>
  <si>
    <t>SACSE Level 3.4</t>
  </si>
  <si>
    <t>CSS34</t>
  </si>
  <si>
    <t>SACSE Level 4.1</t>
  </si>
  <si>
    <t>CSS41</t>
  </si>
  <si>
    <t>SACSE Level 4.2</t>
  </si>
  <si>
    <t>CSS42</t>
  </si>
  <si>
    <t>SACSE Level 4.3</t>
  </si>
  <si>
    <t>CSS43</t>
  </si>
  <si>
    <t>SACSE Level 4.4</t>
  </si>
  <si>
    <t>CSS44</t>
  </si>
  <si>
    <t>SACSE Level 5.1</t>
  </si>
  <si>
    <t>CSS51</t>
  </si>
  <si>
    <t>SACSE Level 5.2</t>
  </si>
  <si>
    <t>CSS52</t>
  </si>
  <si>
    <t>SACSE Level 5.3</t>
  </si>
  <si>
    <t>CSS53</t>
  </si>
  <si>
    <t>SACSE Level 6.1</t>
  </si>
  <si>
    <t>CSS61</t>
  </si>
  <si>
    <t>SACSE Level 6.2</t>
  </si>
  <si>
    <t>CSS62</t>
  </si>
  <si>
    <t>SACSE Level 6.3</t>
  </si>
  <si>
    <t>CSS63</t>
  </si>
  <si>
    <t>PO5.2</t>
  </si>
  <si>
    <t>Blue Care - Administration Employees EA</t>
  </si>
  <si>
    <t>Level 2 - year 1</t>
  </si>
  <si>
    <t>AO21</t>
  </si>
  <si>
    <t>Level 2 - year 2</t>
  </si>
  <si>
    <t>AO22</t>
  </si>
  <si>
    <t>not available</t>
  </si>
  <si>
    <t>AO23</t>
  </si>
  <si>
    <t xml:space="preserve">Level 3 </t>
  </si>
  <si>
    <t>AO31</t>
  </si>
  <si>
    <t>AO32</t>
  </si>
  <si>
    <t>AO41</t>
  </si>
  <si>
    <t>AO42</t>
  </si>
  <si>
    <t>AO51</t>
  </si>
  <si>
    <t>AO52</t>
  </si>
  <si>
    <t xml:space="preserve">Call Centre Technical Associate </t>
  </si>
  <si>
    <t>AO61</t>
  </si>
  <si>
    <t>UCH Nurses and Midwives EA</t>
  </si>
  <si>
    <t>No award classification as UCH created this level</t>
  </si>
  <si>
    <t>RN3.5</t>
  </si>
  <si>
    <t>UCH Clerical/Admin EA</t>
  </si>
  <si>
    <t>Support Services Employee Level 2</t>
  </si>
  <si>
    <t>CL2.1</t>
  </si>
  <si>
    <t>CL2.2</t>
  </si>
  <si>
    <t>CL2.3</t>
  </si>
  <si>
    <t>CL2.4</t>
  </si>
  <si>
    <t>Support Services Employee Level 3</t>
  </si>
  <si>
    <t>CL3.1</t>
  </si>
  <si>
    <t>CL3.2</t>
  </si>
  <si>
    <t>Support Services Employee Level 4</t>
  </si>
  <si>
    <t>CL4.1</t>
  </si>
  <si>
    <t>CL4.2</t>
  </si>
  <si>
    <t>Support Services Employee Level 5</t>
  </si>
  <si>
    <t>CL5.1</t>
  </si>
  <si>
    <t>CL5.2</t>
  </si>
  <si>
    <t>Support Services Employee Level 6</t>
  </si>
  <si>
    <t>CL6.1</t>
  </si>
  <si>
    <t>CLC3</t>
  </si>
  <si>
    <t>CLC4</t>
  </si>
  <si>
    <t>CLC5</t>
  </si>
  <si>
    <t>CLC6</t>
  </si>
  <si>
    <t>EM1</t>
  </si>
  <si>
    <t>EM2</t>
  </si>
  <si>
    <t>EM3</t>
  </si>
  <si>
    <t>EM5.1</t>
  </si>
  <si>
    <t>EM5.2</t>
  </si>
  <si>
    <t>EM5.3</t>
  </si>
  <si>
    <t>Support Services Employee Level 7</t>
  </si>
  <si>
    <t>EM6.1</t>
  </si>
  <si>
    <t>Support Services Employee Level 8</t>
  </si>
  <si>
    <t>EM6.2</t>
  </si>
  <si>
    <t>Support Services Employee Level 9</t>
  </si>
  <si>
    <t>EM6.3</t>
  </si>
  <si>
    <t>Support Services Employee Level 10</t>
  </si>
  <si>
    <t>EM7.1</t>
  </si>
  <si>
    <t>Support Services Employee Level 11</t>
  </si>
  <si>
    <t>EM7.2</t>
  </si>
  <si>
    <t>Support Services Employee Level 12</t>
  </si>
  <si>
    <t>EM7.3</t>
  </si>
  <si>
    <t>SS2.5</t>
  </si>
  <si>
    <t>Health Professional and Support Services Award 2022 (Allied Health)</t>
  </si>
  <si>
    <t>NES applies/Shiftworkers get extra 5 days</t>
  </si>
  <si>
    <t>Health Professionals Level 3 (3.1)</t>
  </si>
  <si>
    <t>Level 3 PP1</t>
  </si>
  <si>
    <t>Health Professionals Level 3 (3.2)</t>
  </si>
  <si>
    <t>Level 3 PP2</t>
  </si>
  <si>
    <t>Health Professionals Level 3 (3.3)</t>
  </si>
  <si>
    <t>Level 3 PP3</t>
  </si>
  <si>
    <t>Health Professionals Level 3 (3.4)</t>
  </si>
  <si>
    <t xml:space="preserve"> Level 3 PP4</t>
  </si>
  <si>
    <t>Health Professionals Level 3 (3.5)</t>
  </si>
  <si>
    <t xml:space="preserve"> Level 3 PP5</t>
  </si>
  <si>
    <t>Health Professionals Level 4 (4.1)</t>
  </si>
  <si>
    <t xml:space="preserve"> Level 4 PP1</t>
  </si>
  <si>
    <t>Health Professionals Level 4 (4.2)</t>
  </si>
  <si>
    <t xml:space="preserve"> Level 4 PP2</t>
  </si>
  <si>
    <t>Health Professionals Level 4 (4.3)</t>
  </si>
  <si>
    <t xml:space="preserve"> Level 4 PP3</t>
  </si>
  <si>
    <t>Health Professionals Level 4 (4.4)</t>
  </si>
  <si>
    <t xml:space="preserve"> Level 4 PP4</t>
  </si>
  <si>
    <t>Clerks Private Sector Award 2020</t>
  </si>
  <si>
    <t>General Retail Industry Award 2020</t>
  </si>
  <si>
    <t xml:space="preserve">Level 1 </t>
  </si>
  <si>
    <t>Retail Employee Level 5</t>
  </si>
  <si>
    <t>Retail Employee Level 6</t>
  </si>
  <si>
    <t>Retail Employee Level 7</t>
  </si>
  <si>
    <t>Level 7</t>
  </si>
  <si>
    <t>Level 8</t>
  </si>
  <si>
    <t>UCC Prof &amp; Admin EA 2012 - 2014 - PA1.1</t>
  </si>
  <si>
    <t>UCC Prof &amp; Admin EA 2012 - 2014 - PA1.2</t>
  </si>
  <si>
    <t>UCC Prof &amp; Admin EA 2012 - 2014 - PA1.3</t>
  </si>
  <si>
    <t>UCC Prof &amp; Admin EA 2012 - 2014 - PA2.1</t>
  </si>
  <si>
    <t>UCC Prof &amp; Admin EA 2012 - 2014 - PA2.2</t>
  </si>
  <si>
    <t>UCC Prof &amp; Admin EA 2012 - 2014 - PA2.3</t>
  </si>
  <si>
    <t>UCC Prof &amp; Admin EA 2012 - 2014 - PA2.4</t>
  </si>
  <si>
    <t>UCC Prof &amp; Admin EA 2012 - 2014 - PA3.1</t>
  </si>
  <si>
    <t>UCC Prof &amp; Admin EA 2012 - 2014 - PA3.2</t>
  </si>
  <si>
    <t>UCC Prof &amp; Admin EA 2012 - 2014 - PA3.3</t>
  </si>
  <si>
    <t>UCC Prof &amp; Admin EA 2012 - 2014 - PA3.4</t>
  </si>
  <si>
    <t>UCC Prof &amp; Admin EA 2012 - 2014 - PA4.1</t>
  </si>
  <si>
    <t>UCC Prof &amp; Admin EA 2012 - 2014 - PA4.2</t>
  </si>
  <si>
    <t>UCC Prof &amp; Admin EA 2012 - 2014 - PA4.3</t>
  </si>
  <si>
    <t>UCC Prof &amp; Admin EA 2012 - 2014 - PA4.4</t>
  </si>
  <si>
    <t>UCC Prof &amp; Admin EA 2012 - 2014 - PA5.1</t>
  </si>
  <si>
    <t>UCC Prof &amp; Admin EA 2012 - 2014 - PA5.2</t>
  </si>
  <si>
    <t>UCC Prof &amp; Admin EA 2012 - 2014 - PA5.3</t>
  </si>
  <si>
    <t>UCC Prof &amp; Admin EA 2012 - 2014 - PA6.1</t>
  </si>
  <si>
    <t>UCC Prof &amp; Admin EA 2012 - 2014 - PA6.2</t>
  </si>
  <si>
    <t>UCC Prof &amp; Admin EA 2012 - 2014 - PA6.3</t>
  </si>
  <si>
    <t>UCC Prof &amp; Admin EA 2012 - 2014 - PA7.1</t>
  </si>
  <si>
    <t>UCC Prof &amp; Admin EA 2012 - 2014 - PA7.2</t>
  </si>
  <si>
    <t>UCC Prof &amp; Admin EA 2012 - 2014 - PA7.3</t>
  </si>
  <si>
    <t>UCC Prof &amp; Admin EA 2012 - 2014 - PA8.1</t>
  </si>
  <si>
    <t>UCC Prof &amp; Admin EA 2012 - 2014 - PA8.2</t>
  </si>
  <si>
    <t>UCC Prof &amp; Admin EA 2012 - 2014 - PA8.3</t>
  </si>
  <si>
    <t>UCC Retail Workers EA 2015 - 2018 - RE1</t>
  </si>
  <si>
    <t>UCC Retail Workers EA 2015 - 2018 - RE2</t>
  </si>
  <si>
    <t>UCC Retail Workers EA 2015 - 2018 - RE3</t>
  </si>
  <si>
    <t>UCC Retail Workers EA 2015 - 2018 - RE4</t>
  </si>
  <si>
    <t>UCC Retail Workers EA 2015 - 2018 - RE8</t>
  </si>
  <si>
    <t>UCC Retail Workers EA 2015 - 2018 - CE2</t>
  </si>
  <si>
    <t>UCC Retail Workers EA 2015 - 2018 - CE3</t>
  </si>
  <si>
    <t>UCC Retail Workers EA 2015 - 2018 - CE4</t>
  </si>
  <si>
    <t>UCC Retail Workers EA 2015 - 2018 - CE5</t>
  </si>
  <si>
    <t>UCC Transport and Distribution EA 2015 - 2018 - TW1</t>
  </si>
  <si>
    <t>UCC Transport and Distribution EA 2015 - 2018 - TW2</t>
  </si>
  <si>
    <t>UCC Transport and Distribution EA 2015 - 2018 - TW31</t>
  </si>
  <si>
    <t>UCC Transport and Distribution EA 2015 - 2018 - TW32</t>
  </si>
  <si>
    <t>UCC Transport and Distribution EA 2015 - 2018 - TW33</t>
  </si>
  <si>
    <t>UCC Transport and Distribution EA 2015 - 2018 - TW34</t>
  </si>
  <si>
    <t>UCC Transport and Distribution EA 2015 - 2018 - TW41</t>
  </si>
  <si>
    <t>UCC Transport and Distribution EA 2015 - 2018 - TW42</t>
  </si>
  <si>
    <t>UCC Transport and Distribution EA 2015 - 2018 - TW43</t>
  </si>
  <si>
    <t>UCC Transport and Distribution EA 2015 - 2018 - TW44</t>
  </si>
  <si>
    <t>UCC Transport and Distribution EA 2015 - 2018 - DW2</t>
  </si>
  <si>
    <t>Blue Care - Care and Support Employees EA - SPT021</t>
  </si>
  <si>
    <t>Blue Care - Care and Support Employees EA - SPT022</t>
  </si>
  <si>
    <t>Blue Care - Care and Support Employees EA - SPT023</t>
  </si>
  <si>
    <t>Blue Care - Care and Support Employees EA - SPT02S</t>
  </si>
  <si>
    <t>Blue Care - Care and Support Employees EA - SPT031</t>
  </si>
  <si>
    <t>Blue Care - Care and Support Employees EA - SPT032</t>
  </si>
  <si>
    <t>Blue Care - Care and Support Employees EA - SPT033</t>
  </si>
  <si>
    <t>Blue Care - Care and Support Employees EA - SPT03S</t>
  </si>
  <si>
    <t>Blue Care - Care and Support Employees EA - SPT041</t>
  </si>
  <si>
    <t>Blue Care - Care and Support Employees EA - SPT042</t>
  </si>
  <si>
    <t>Blue Care - Care and Support Employees EA - SPT043</t>
  </si>
  <si>
    <t>Blue Care - Care and Support Employees EA - SPT051</t>
  </si>
  <si>
    <t>Blue Care - Care and Support Employees EA - SPT052</t>
  </si>
  <si>
    <t>Blue Care - Care and Support Employees EA - SPT053</t>
  </si>
  <si>
    <t>Blue Care - Care and Support Employees EA - SPT061</t>
  </si>
  <si>
    <t>Blue Care - Care and Support Employees EA - SPT062</t>
  </si>
  <si>
    <t>Blue Care - Care and Support Employees EA - SPT063</t>
  </si>
  <si>
    <t>Blue Care Nursing EA - QRN11</t>
  </si>
  <si>
    <t>Blue Care Nursing EA - QRN12</t>
  </si>
  <si>
    <t>Blue Care Nursing EA - QRN13</t>
  </si>
  <si>
    <t>Blue Care Nursing EA - QRN14</t>
  </si>
  <si>
    <t>Blue Care Nursing EA - QRN21</t>
  </si>
  <si>
    <t>Blue Care Nursing EA - QRN22</t>
  </si>
  <si>
    <t>Blue Care Nursing EA - QRN31</t>
  </si>
  <si>
    <t>Blue Care Nursing EA - QRN32</t>
  </si>
  <si>
    <t>Blue Care Nursing EA - QRN41</t>
  </si>
  <si>
    <t>Blue Care Nursing EA - QRN42</t>
  </si>
  <si>
    <t>Blue Care Nursing EA - QRN43</t>
  </si>
  <si>
    <t>Blue Care Nursing EA - QRN51A</t>
  </si>
  <si>
    <t>Blue Care Nursing EA - QRN51B</t>
  </si>
  <si>
    <t>Blue Care Nursing EA - QRN51C</t>
  </si>
  <si>
    <t>Blue Care Nursing EA - QRN52</t>
  </si>
  <si>
    <t>Blue Care Nursing EA - QRN53</t>
  </si>
  <si>
    <t>Blue Care Nursing EA - QRN54</t>
  </si>
  <si>
    <t>Blue Care Allied Health &amp; Community Service Stream EA - CSS31</t>
  </si>
  <si>
    <t>Blue Care Allied Health &amp; Community Service Stream EA - CSS32</t>
  </si>
  <si>
    <t>Blue Care Allied Health &amp; Community Service Stream EA - CSS33</t>
  </si>
  <si>
    <t>Blue Care Allied Health &amp; Community Service Stream EA - CSS34</t>
  </si>
  <si>
    <t>Blue Care Allied Health &amp; Community Service Stream EA - CSS41</t>
  </si>
  <si>
    <t>Blue Care Allied Health &amp; Community Service Stream EA - CSS42</t>
  </si>
  <si>
    <t>Blue Care Allied Health &amp; Community Service Stream EA - CSS43</t>
  </si>
  <si>
    <t>Blue Care Allied Health &amp; Community Service Stream EA - CSS44</t>
  </si>
  <si>
    <t>Blue Care Allied Health &amp; Community Service Stream EA - CSS51</t>
  </si>
  <si>
    <t>Blue Care Allied Health &amp; Community Service Stream EA - CSS52</t>
  </si>
  <si>
    <t>Blue Care Allied Health &amp; Community Service Stream EA - CSS53</t>
  </si>
  <si>
    <t>Blue Care Allied Health &amp; Community Service Stream EA - CSS61</t>
  </si>
  <si>
    <t>Blue Care Allied Health &amp; Community Service Stream EA - CSS62</t>
  </si>
  <si>
    <t>Blue Care Allied Health &amp; Community Service Stream EA - CSS63</t>
  </si>
  <si>
    <t>Blue Care Allied Health &amp; Community Service Stream EA - PO5.2</t>
  </si>
  <si>
    <t>Blue Care Administration EA 2013 - AO21</t>
  </si>
  <si>
    <t>Blue Care Administration EA 2013 - AO22</t>
  </si>
  <si>
    <t>Blue Care Administration EA 2013 - AO23</t>
  </si>
  <si>
    <t>Blue Care Administration EA 2013 - AO31</t>
  </si>
  <si>
    <t>Blue Care Administration EA 2013 - AO32</t>
  </si>
  <si>
    <t>Blue Care Administration EA 2013 - AO41</t>
  </si>
  <si>
    <t>Blue Care Administration EA 2013 - AO42</t>
  </si>
  <si>
    <t>Blue Care Administration EA 2013 - AO51</t>
  </si>
  <si>
    <t>Blue Care Administration EA 2013 - AO52</t>
  </si>
  <si>
    <t>Blue Care Administration EA 2013 - AO61</t>
  </si>
  <si>
    <t>UCH Nurses and Midwives EA - RN3.5</t>
  </si>
  <si>
    <t>UCH Clerical/Admin EA - CL2.1</t>
  </si>
  <si>
    <t>UCH Clerical/Admin EA - CL2.2</t>
  </si>
  <si>
    <t>UCH Clerical/Admin EA - CL2.3</t>
  </si>
  <si>
    <t>UCH Clerical/Admin EA - CL2.4</t>
  </si>
  <si>
    <t>UCH Clerical/Admin EA - CL3.1</t>
  </si>
  <si>
    <t>UCH Clerical/Admin EA - CL3.2</t>
  </si>
  <si>
    <t>UCH Clerical/Admin EA - CL4.1</t>
  </si>
  <si>
    <t>UCH Clerical/Admin EA - CL4.2</t>
  </si>
  <si>
    <t>UCH Clerical/Admin EA - CL5.1</t>
  </si>
  <si>
    <t>UCH Clerical/Admin EA - CL5.2</t>
  </si>
  <si>
    <t>UCH Clerical/Admin EA - CL6.1</t>
  </si>
  <si>
    <t>UCH Clerical/Admin EA - CLC3</t>
  </si>
  <si>
    <t>UCH Clerical/Admin EA - CLC4</t>
  </si>
  <si>
    <t>UCH Clerical/Admin EA - CLC5</t>
  </si>
  <si>
    <t>UCH Clerical/Admin EA - CLC6</t>
  </si>
  <si>
    <t>UCH Clerical/Admin EA - EM1</t>
  </si>
  <si>
    <t>UCH Clerical/Admin EA - EM2</t>
  </si>
  <si>
    <t>UCH Clerical/Admin EA - EM3</t>
  </si>
  <si>
    <t>UCH Clerical/Admin EA - EM5.1</t>
  </si>
  <si>
    <t>UCH Clerical/Admin EA - EM5.2</t>
  </si>
  <si>
    <t>UCH Clerical/Admin EA - EM5.3</t>
  </si>
  <si>
    <t>UCH Clerical/Admin EA - EM6.1</t>
  </si>
  <si>
    <t>UCH Clerical/Admin EA - EM6.2</t>
  </si>
  <si>
    <t>UCH Clerical/Admin EA - EM6.3</t>
  </si>
  <si>
    <t>UCH Clerical/Admin EA - EM7.1</t>
  </si>
  <si>
    <t>UCH Clerical/Admin EA - EM7.2</t>
  </si>
  <si>
    <t>UCH Clerical/Admin EA - EM7.3</t>
  </si>
  <si>
    <t>UCH Clerical/Admin EA - SS2.5</t>
  </si>
  <si>
    <t>Allied Health Award - Level 3 PP1</t>
  </si>
  <si>
    <t>Allied Health Award - Level 3 PP2</t>
  </si>
  <si>
    <t>Allied Health Award - Level 3 PP3</t>
  </si>
  <si>
    <t>Allied Health Award -  Level 3 PP4</t>
  </si>
  <si>
    <t>Allied Health Award -  Level 3 PP5</t>
  </si>
  <si>
    <t>Allied Health Award -  Level 4 PP1</t>
  </si>
  <si>
    <t>Allied Health Award -  Level 4 PP2</t>
  </si>
  <si>
    <t>Allied Health Award -  Level 4 PP3</t>
  </si>
  <si>
    <t>Allied Health Award -  Level 4 PP4</t>
  </si>
  <si>
    <t>Clerks - Private Sector Award 2010 - Level 1 - Year 1</t>
  </si>
  <si>
    <t>Clerks - Private Sector Award 2010 - Level 1 - Year 2</t>
  </si>
  <si>
    <t>Clerks - Private Sector Award 2010 - Level 1 - Year 3</t>
  </si>
  <si>
    <t>Clerks - Private Sector Award 2010 - Level 2 - Year 1</t>
  </si>
  <si>
    <t>Clerks - Private Sector Award 2010 - Level 2 - Year 2</t>
  </si>
  <si>
    <t>Clerks - Private Sector Award 2010 - Level 3</t>
  </si>
  <si>
    <t>Clerks - Private Sector Award 2010 - Level 4</t>
  </si>
  <si>
    <t>Clerks - Private Sector Award 2010 - Level 5</t>
  </si>
  <si>
    <t xml:space="preserve">General Retail Industry Award 2020 - Level 1 </t>
  </si>
  <si>
    <t>General Retail Industry Award 2020 - Level 2</t>
  </si>
  <si>
    <t>General Retail Industry Award 2020 - Level 3</t>
  </si>
  <si>
    <t>General Retail Industry Award 2020 - Level 4</t>
  </si>
  <si>
    <t>General Retail Industry Award 2020 - Level 5</t>
  </si>
  <si>
    <t>General Retail Industry Award 2020 - Level 6</t>
  </si>
  <si>
    <t>General Retail Industry Award 2020 - Level 7</t>
  </si>
  <si>
    <t>General Retail Industry Award 2020 - Level 8</t>
  </si>
  <si>
    <t>GI</t>
  </si>
  <si>
    <t>CASS</t>
  </si>
  <si>
    <t>Market Comparison</t>
  </si>
  <si>
    <t>Market Midpoint</t>
  </si>
  <si>
    <t>UCC</t>
  </si>
  <si>
    <t>Entity and Employee ID</t>
  </si>
  <si>
    <t>Joanne</t>
  </si>
  <si>
    <t>Rebecca</t>
  </si>
  <si>
    <t>Shaw</t>
  </si>
  <si>
    <t>Simone</t>
  </si>
  <si>
    <t>Harding</t>
  </si>
  <si>
    <t>Stewart</t>
  </si>
  <si>
    <t>Tracey</t>
  </si>
  <si>
    <t>Nadia</t>
  </si>
  <si>
    <t>Jodie</t>
  </si>
  <si>
    <t>Colleen</t>
  </si>
  <si>
    <t>Lisa</t>
  </si>
  <si>
    <t>Corinne</t>
  </si>
  <si>
    <t>Thomas</t>
  </si>
  <si>
    <t>Bailey</t>
  </si>
  <si>
    <t>Kylie</t>
  </si>
  <si>
    <t>Karen</t>
  </si>
  <si>
    <t>Jo-Anne</t>
  </si>
  <si>
    <t>Singh</t>
  </si>
  <si>
    <t>Brett</t>
  </si>
  <si>
    <t>Mark</t>
  </si>
  <si>
    <t>Jones</t>
  </si>
  <si>
    <t>Jennifer</t>
  </si>
  <si>
    <t>John</t>
  </si>
  <si>
    <t>Michael</t>
  </si>
  <si>
    <t>Craig</t>
  </si>
  <si>
    <t>Warren</t>
  </si>
  <si>
    <t>Dale</t>
  </si>
  <si>
    <t>Jamie</t>
  </si>
  <si>
    <t>Norris</t>
  </si>
  <si>
    <t>Wendy</t>
  </si>
  <si>
    <t>Deborah</t>
  </si>
  <si>
    <t>Angela</t>
  </si>
  <si>
    <t>Clark</t>
  </si>
  <si>
    <t>Luke</t>
  </si>
  <si>
    <t>Scott</t>
  </si>
  <si>
    <t>Adams</t>
  </si>
  <si>
    <t>Wayne</t>
  </si>
  <si>
    <t>Susan</t>
  </si>
  <si>
    <t>Zhang</t>
  </si>
  <si>
    <t>Bell</t>
  </si>
  <si>
    <t>Simon</t>
  </si>
  <si>
    <t>Business Performance Analyst</t>
  </si>
  <si>
    <t>Change Business Partner</t>
  </si>
  <si>
    <t>Position Start Date</t>
  </si>
  <si>
    <t>WGEA Category</t>
  </si>
  <si>
    <t>FEMALE</t>
  </si>
  <si>
    <t>MALE</t>
  </si>
  <si>
    <t>FULL</t>
  </si>
  <si>
    <t>PART</t>
  </si>
  <si>
    <t>CASUAL</t>
  </si>
  <si>
    <t>Aged Care &amp; Community Services</t>
  </si>
  <si>
    <t>Family &amp; Disability Services</t>
  </si>
  <si>
    <t>Lifeline Retail</t>
  </si>
  <si>
    <t>Practice Improvement &amp; Development</t>
  </si>
  <si>
    <t>People &amp; Culture</t>
  </si>
  <si>
    <t>Office of the CEO</t>
  </si>
  <si>
    <t>St Andrews War Memorial Hospital</t>
  </si>
  <si>
    <t>Buderim Private Hospital</t>
  </si>
  <si>
    <t>St Stephens Hervey Bay</t>
  </si>
  <si>
    <t>Julia Kroll</t>
  </si>
  <si>
    <t>Service Delivery</t>
  </si>
  <si>
    <t>Sales</t>
  </si>
  <si>
    <t>Finance Reporting and Services</t>
  </si>
  <si>
    <t>Health Safety and Wellbeing</t>
  </si>
  <si>
    <t>Employee Relations</t>
  </si>
  <si>
    <t>Residential</t>
  </si>
  <si>
    <t>Brand &amp; Marketing</t>
  </si>
  <si>
    <t>Corporate Communications</t>
  </si>
  <si>
    <t>Community</t>
  </si>
  <si>
    <t>Organisational Capability</t>
  </si>
  <si>
    <t>Marketing and Corporate Affairs</t>
  </si>
  <si>
    <t>Digital Marketing</t>
  </si>
  <si>
    <t>Finance Strategy and Analysis</t>
  </si>
  <si>
    <t>Talent Acquisition</t>
  </si>
  <si>
    <t>Lifeline and Wellbeing Service</t>
  </si>
  <si>
    <t>Child Family &amp; Individual Support</t>
  </si>
  <si>
    <t>Procurement Transformation</t>
  </si>
  <si>
    <t>Digital Platforms</t>
  </si>
  <si>
    <t>2030 Transformation</t>
  </si>
  <si>
    <t>Corporate Finance</t>
  </si>
  <si>
    <t>Risk and Assurance</t>
  </si>
  <si>
    <t>Cyber Security</t>
  </si>
  <si>
    <t>Customer Experience &amp; Insights</t>
  </si>
  <si>
    <t>Digital &amp; Technology Transformation</t>
  </si>
  <si>
    <t>Board Support &amp; Policy</t>
  </si>
  <si>
    <t>TO BE UPDATED FOR 2023</t>
  </si>
  <si>
    <t>Business Partner Name</t>
  </si>
  <si>
    <t>Manager Employee No.</t>
  </si>
  <si>
    <t>Business Partner Email</t>
  </si>
  <si>
    <t>julia.kroll@ucareqld.com.au</t>
  </si>
  <si>
    <t>Katrina Wright</t>
  </si>
  <si>
    <t>katrina.wright@ucareqld.com.au</t>
  </si>
  <si>
    <t>Michelle Miller</t>
  </si>
  <si>
    <t>michelle.miller@ucareqld.com.au</t>
  </si>
  <si>
    <t>Belinda Harry</t>
  </si>
  <si>
    <t>belinda.harry@ucareqld.com.au</t>
  </si>
  <si>
    <t>Placeholder</t>
  </si>
  <si>
    <t>Employment Type</t>
  </si>
  <si>
    <t>Manager Position No.</t>
  </si>
  <si>
    <t>P&amp;C BP Data Validation Comments</t>
  </si>
  <si>
    <t>P&amp;C Contact who will be sent the Rem Spreadsheet 
(CC EMAIL ONLY)</t>
  </si>
  <si>
    <t>P&amp;C BP Contact who will be sent the Rem Spreadsheet 
(EMAIL ADDRESS)</t>
  </si>
  <si>
    <t>Market Comparison
(GI; CASS; 
HOS-CLIN; HOS-MED)</t>
  </si>
  <si>
    <t>Additional Ann Lve Days</t>
  </si>
  <si>
    <t>Additional Ann Lve Value FTE 
$</t>
  </si>
  <si>
    <t xml:space="preserve">EA/Award Underpinning Role </t>
  </si>
  <si>
    <t>EA/Award Min. Salary 
$</t>
  </si>
  <si>
    <t>Acting/ Seconded  (Yes/No)</t>
  </si>
  <si>
    <t>Acting/ Seconded Position Number</t>
  </si>
  <si>
    <t>Acting/ Seconded Job Classification Level</t>
  </si>
  <si>
    <t>Acting/ Seconded Position Start Date</t>
  </si>
  <si>
    <t>Acting/ Seconded Position End Date</t>
  </si>
  <si>
    <t>Acting/ Second Current Base Salary Annual FTE
(38 hrs)
$</t>
  </si>
  <si>
    <t xml:space="preserve">Acting/ Seconded Increase 
%
</t>
  </si>
  <si>
    <t>Acting/ Seconded Increase 
$</t>
  </si>
  <si>
    <t>Acting/ Seconded New Base Salary Annual FTE
(38 hrs)
$</t>
  </si>
  <si>
    <t xml:space="preserve"> Acting / Seconded Super
(FY24 CAP = $27398.80)</t>
  </si>
  <si>
    <t>ELT/GGM Name</t>
  </si>
  <si>
    <t>ELT /GGM Email</t>
  </si>
  <si>
    <t>GM  Name</t>
  </si>
  <si>
    <t>Total Reward (including FY 23 STI Outcome) 
$</t>
  </si>
  <si>
    <t>Professionals</t>
  </si>
  <si>
    <t>Senior Managers</t>
  </si>
  <si>
    <t>Clerical &amp; Admin</t>
  </si>
  <si>
    <t>Other Exec / Gen Mgrs</t>
  </si>
  <si>
    <t>Other Managers</t>
  </si>
  <si>
    <t>Care &amp; Clinical Governance</t>
  </si>
  <si>
    <t>Community Pivot Alliance</t>
  </si>
  <si>
    <t>Clerical &amp; admin</t>
  </si>
  <si>
    <t>Finance Moderisation</t>
  </si>
  <si>
    <t>20C (4 Wks)</t>
  </si>
  <si>
    <t>Corporate Digital and  Technology</t>
  </si>
  <si>
    <t>Digital Backbone and Service Management</t>
  </si>
  <si>
    <t>Hospitals &amp; FADS</t>
  </si>
  <si>
    <t>Business Performance &amp; Enablement</t>
  </si>
  <si>
    <t>NIL (Nil)</t>
  </si>
  <si>
    <t>Patient Revenue &amp; Health Fund Relatlions</t>
  </si>
  <si>
    <t>Advocacy &amp; Government Relations</t>
  </si>
  <si>
    <t>P&amp;C BP Contact - Data validation</t>
  </si>
  <si>
    <t>P&amp;C BP Contact email - Data validation</t>
  </si>
  <si>
    <t>Market Min</t>
  </si>
  <si>
    <t>Market Max</t>
  </si>
  <si>
    <t>TOTAL</t>
  </si>
  <si>
    <t>Current Base Salary Actual (Pro-rata)
$</t>
  </si>
  <si>
    <t>New  Base Salary Actual 
(Pro-rata)
$</t>
  </si>
  <si>
    <t>add data</t>
  </si>
  <si>
    <t>New Hourly Rate
$</t>
  </si>
  <si>
    <t xml:space="preserve">2023 UnitingCare Non-Executive Annual Remuneration Review (FY24) </t>
  </si>
  <si>
    <t xml:space="preserve">Acting/ Seconded Position </t>
  </si>
  <si>
    <t>General Industry</t>
  </si>
  <si>
    <t>Community, Advocacy and Social Services</t>
  </si>
  <si>
    <t>Hospital - Clinical</t>
  </si>
  <si>
    <t>Hospital - Medical</t>
  </si>
  <si>
    <t xml:space="preserve">Current Base Salary FTE  </t>
  </si>
  <si>
    <t>Additional Benefits (eg. MV/Housing)</t>
  </si>
  <si>
    <t>FY23 STI Outcome (SLT) including super
$</t>
  </si>
  <si>
    <t>Market Comparison/Job Level Code</t>
  </si>
  <si>
    <t>ARR
Increase 
$</t>
  </si>
  <si>
    <t>Outcome Letters</t>
  </si>
  <si>
    <t>Letter Template Type</t>
  </si>
  <si>
    <t>Current Base Salary FTE  
$</t>
  </si>
  <si>
    <t>New Rem Framework Min.  Increase
$</t>
  </si>
  <si>
    <t>ARR Increase</t>
  </si>
  <si>
    <t>TOTAL ARR Spend
%</t>
  </si>
  <si>
    <t>TOTAL ARR Spend
$</t>
  </si>
  <si>
    <t>FY24 TOTAL ARR Spend</t>
  </si>
  <si>
    <t xml:space="preserve"> One Off Payment
 (Lump Sum) - FTE
%</t>
  </si>
  <si>
    <t>One Off Payment  (Lump Sum) - FTE
$</t>
  </si>
  <si>
    <t>2022 Rem Increase %</t>
  </si>
  <si>
    <t>FY24 TOTAL ARR SPEND</t>
  </si>
  <si>
    <t>New Rem Framework 
Job Level</t>
  </si>
  <si>
    <t xml:space="preserve"> New Rem Framework Compa-ratio 
%</t>
  </si>
  <si>
    <t>For Payroll</t>
  </si>
  <si>
    <t>FINAL New Base Salary FTE
(38 hrs)
$</t>
  </si>
  <si>
    <t>FINAL TOTAL ARR Increase  %</t>
  </si>
  <si>
    <t>FINAL TOTAL ARR Increase $</t>
  </si>
  <si>
    <t>FINAL NEW FY24 SALARY</t>
  </si>
  <si>
    <t>FY24 ANNUAL REMUNERATION REVIEW PROCESS - Increase/One Off Payment</t>
  </si>
  <si>
    <t>SECONDMENT</t>
  </si>
  <si>
    <t>SALARY</t>
  </si>
  <si>
    <t>New Rem Framework Min. Increase
%</t>
  </si>
  <si>
    <t xml:space="preserve">New Rem Framework Min Increase </t>
  </si>
  <si>
    <t>EA/Award Compliance Increase</t>
  </si>
  <si>
    <t>Total Min Spend (EA/Award + Job Level Min)</t>
  </si>
  <si>
    <t>EA/Compliance Spend (Within Budget)
%</t>
  </si>
  <si>
    <t>EA/Compliance Spend (Within Budget)
$</t>
  </si>
  <si>
    <t>New Rem Framework Min Spend (Within Budget)
%</t>
  </si>
  <si>
    <t>New Rem Framework Min Spend (Within Budget)
$</t>
  </si>
  <si>
    <t>New Rem Framework Min Over Budget
%</t>
  </si>
  <si>
    <t>New Rem Framework Min Over Budget
$</t>
  </si>
  <si>
    <t>Check %</t>
  </si>
  <si>
    <t>ARR Increase Within Budget
%</t>
  </si>
  <si>
    <t>ARR Increase Within Budget
$</t>
  </si>
  <si>
    <t>One Off Payment Within Budget
%</t>
  </si>
  <si>
    <t>One Off Payment Within Budget
$</t>
  </si>
  <si>
    <t>No</t>
  </si>
  <si>
    <t>ARR Budget Spent
%</t>
  </si>
  <si>
    <t>Transformation</t>
  </si>
  <si>
    <t>Business, Finance &amp; Strategy</t>
  </si>
  <si>
    <t>Aged Care Funding</t>
  </si>
  <si>
    <t>SLT &amp; Support</t>
  </si>
  <si>
    <t>Clinical Education</t>
  </si>
  <si>
    <t>Customer Service Centre</t>
  </si>
  <si>
    <t xml:space="preserve">Community </t>
  </si>
  <si>
    <t>ACCS Digitial and Technology</t>
  </si>
  <si>
    <t>Corporate Affairs &amp; Marketing</t>
  </si>
  <si>
    <t>Legal</t>
  </si>
  <si>
    <t>HOS-CLIN</t>
  </si>
  <si>
    <t>HOS-MED</t>
  </si>
  <si>
    <t/>
  </si>
  <si>
    <t>EA/Award  Increase 
@ July 2023
$</t>
  </si>
  <si>
    <t>Out Cycle  Increase 
FY22-23
%</t>
  </si>
  <si>
    <t xml:space="preserve"> Base Salary FTE
 June'23 
$</t>
  </si>
  <si>
    <t>ARR
Increase 
%</t>
  </si>
  <si>
    <t>Extra Spend (Outside ARR Budget)</t>
  </si>
  <si>
    <t>New Rem Framework Job Level Min</t>
  </si>
  <si>
    <t>UCQ 2023 SALARIED ANNUAL REMUNERATION INCREASES</t>
  </si>
  <si>
    <t>Additional Increase
 $</t>
  </si>
  <si>
    <t>Additional Increase 
%</t>
  </si>
  <si>
    <t>Additional Increase 
$</t>
  </si>
  <si>
    <t>Total ARR Spend
%</t>
  </si>
  <si>
    <t>Additional Increase $</t>
  </si>
  <si>
    <t>Total ARR Spend 
$</t>
  </si>
  <si>
    <t>Total Spend Over Budget
%</t>
  </si>
  <si>
    <t>Total Spend Over Budget $</t>
  </si>
  <si>
    <t>Total ARR Spent
$</t>
  </si>
  <si>
    <t>Total ARR Spent
%</t>
  </si>
  <si>
    <t>Total ARR Spent 
$</t>
  </si>
  <si>
    <t xml:space="preserve">Total Budget
%
</t>
  </si>
  <si>
    <t xml:space="preserve">Total Budget
$
</t>
  </si>
  <si>
    <t>Row Labels</t>
  </si>
  <si>
    <t>Grand Total</t>
  </si>
  <si>
    <t>Date:</t>
  </si>
  <si>
    <t xml:space="preserve">TOTAL ARR BUDGET
</t>
  </si>
  <si>
    <t>ARR Budget Spent
$</t>
  </si>
  <si>
    <t>FINAL TOTAL ARR Increase 
$</t>
  </si>
  <si>
    <t xml:space="preserve">TOTAL Extra Spend (Outside ARR Budget)
%
</t>
  </si>
  <si>
    <t>TOTAL Extra Spend (Outside ARR Budget)
$</t>
  </si>
  <si>
    <t>ARR  BUDGET SPENT</t>
  </si>
  <si>
    <t>EXTRA SPEND (OUTISDE ARR BUDGET)</t>
  </si>
  <si>
    <t>EA/Award Over Budget
%</t>
  </si>
  <si>
    <t>EA/Award Over Budget
$</t>
  </si>
  <si>
    <t>`</t>
  </si>
  <si>
    <t>Current Base Salary FTE (Eligible Employees)
$</t>
  </si>
  <si>
    <t>Total Budget
$</t>
  </si>
  <si>
    <t>Total Budget
%</t>
  </si>
  <si>
    <t>Manager Comments</t>
  </si>
  <si>
    <t>Data/Formula</t>
  </si>
  <si>
    <t>Data</t>
  </si>
  <si>
    <t xml:space="preserve">Formula
</t>
  </si>
  <si>
    <t>Formula Lookup to Hidden Rem Ranges tab</t>
  </si>
  <si>
    <t>Formula</t>
  </si>
  <si>
    <t>Rem Team Input (pre ELT Approval)</t>
  </si>
  <si>
    <t>Leader Input</t>
  </si>
  <si>
    <t>Data Source</t>
  </si>
  <si>
    <t>SSOT</t>
  </si>
  <si>
    <t>Rem Framework S/S</t>
  </si>
  <si>
    <t>Rem Framework S/S; Manual Update</t>
  </si>
  <si>
    <t>Rem Team</t>
  </si>
  <si>
    <t>Other Report</t>
  </si>
  <si>
    <t>Rem team auto populate</t>
  </si>
  <si>
    <t>2022 Rem Review S/S</t>
  </si>
  <si>
    <t>Rem team</t>
  </si>
  <si>
    <t>Plus Rem team to update</t>
  </si>
  <si>
    <t>Manual Update by Rem Team as required</t>
  </si>
  <si>
    <t>NO WRAPPING OF CELL</t>
  </si>
  <si>
    <t>Manual update by Rem Team as required</t>
  </si>
  <si>
    <t>Report</t>
  </si>
  <si>
    <t>GM View Columns</t>
  </si>
  <si>
    <t>Hidden</t>
  </si>
  <si>
    <t>Visible</t>
  </si>
  <si>
    <t>Locked or Editable</t>
  </si>
  <si>
    <t>Locked</t>
  </si>
  <si>
    <t>Editable</t>
  </si>
  <si>
    <t>Heading</t>
  </si>
  <si>
    <t>STIP &amp; Total Reward</t>
  </si>
  <si>
    <t>BUDGET CALCULATIONS</t>
  </si>
  <si>
    <t>Additonal ELT Increase 
%</t>
  </si>
  <si>
    <t>Additional ELT Increase
 $</t>
  </si>
  <si>
    <t>FINAL TOTAL ARR Increase
  %</t>
  </si>
  <si>
    <t>FINAL TOTAL ARR Increase  
%</t>
  </si>
  <si>
    <r>
      <t xml:space="preserve">ONE-OFF TRANSITION  PAYMENT 
</t>
    </r>
    <r>
      <rPr>
        <sz val="8"/>
        <color rgb="FFFFFFFF"/>
        <rFont val="Calibri"/>
        <family val="2"/>
      </rPr>
      <t xml:space="preserve">(Due to change Jul to Sept) </t>
    </r>
    <r>
      <rPr>
        <b/>
        <sz val="8"/>
        <color rgb="FFFFFFFF"/>
        <rFont val="Calibri"/>
        <family val="2"/>
      </rPr>
      <t xml:space="preserve">
</t>
    </r>
  </si>
  <si>
    <t>New Rem Framework
Compa-Ratio 
%</t>
  </si>
  <si>
    <t>Extra Spend (Outside ARR Budget) %</t>
  </si>
  <si>
    <t>Extra Spend (Outside ARR Budget) $</t>
  </si>
  <si>
    <r>
      <t xml:space="preserve">FINAL Total Rem FTE </t>
    </r>
    <r>
      <rPr>
        <sz val="9"/>
        <color theme="0"/>
        <rFont val="Calibri"/>
        <family val="2"/>
      </rPr>
      <t>(Annual Base Salary + Super</t>
    </r>
    <r>
      <rPr>
        <b/>
        <sz val="9"/>
        <color theme="0"/>
        <rFont val="Calibri"/>
        <family val="2"/>
      </rPr>
      <t>)
$</t>
    </r>
  </si>
  <si>
    <r>
      <t xml:space="preserve">Super FTE
</t>
    </r>
    <r>
      <rPr>
        <sz val="9"/>
        <color theme="0"/>
        <rFont val="Calibri"/>
        <family val="2"/>
      </rPr>
      <t>(FY24 CAP = $27398.80)</t>
    </r>
    <r>
      <rPr>
        <b/>
        <sz val="9"/>
        <color theme="0"/>
        <rFont val="Calibri"/>
        <family val="2"/>
      </rPr>
      <t xml:space="preserve">
$</t>
    </r>
  </si>
  <si>
    <r>
      <t xml:space="preserve">FINAL New Base Salary FTE
</t>
    </r>
    <r>
      <rPr>
        <sz val="9"/>
        <color theme="0"/>
        <rFont val="Calibri"/>
        <family val="2"/>
      </rPr>
      <t>(38 hrs)</t>
    </r>
    <r>
      <rPr>
        <b/>
        <sz val="9"/>
        <color theme="0"/>
        <rFont val="Calibri"/>
        <family val="2"/>
      </rPr>
      <t xml:space="preserve">
$</t>
    </r>
  </si>
  <si>
    <r>
      <t xml:space="preserve">Manager Comments
</t>
    </r>
    <r>
      <rPr>
        <sz val="9"/>
        <color theme="0"/>
        <rFont val="Calibri"/>
        <family val="2"/>
      </rPr>
      <t>(Req'd if increase &gt;3.25% and/or One-Off Payment)</t>
    </r>
  </si>
  <si>
    <t>EA/Award  Increase 
@ July '23
$</t>
  </si>
  <si>
    <t>Base Salary FTE (38 hrs) 
@ July '23
$</t>
  </si>
  <si>
    <t>EA/Award  Increase 
@ July '23
%</t>
  </si>
  <si>
    <t>EA/Award  Increase</t>
  </si>
  <si>
    <t>FINAL NEW FY24 SALARY - effective September 2023</t>
  </si>
  <si>
    <t xml:space="preserve">New Rem Framework Min. Increase </t>
  </si>
  <si>
    <t>Additional ELT Increase</t>
  </si>
  <si>
    <t>One Off Payment  (Pro-rata  P/T)
$</t>
  </si>
  <si>
    <t xml:space="preserve">Fixed term contract; </t>
  </si>
  <si>
    <t>N/A</t>
  </si>
  <si>
    <t>Brenda</t>
  </si>
  <si>
    <t xml:space="preserve">On Secondment/Acting-increase applies to nominal role, also review secondment salary; </t>
  </si>
  <si>
    <t>Emma</t>
  </si>
  <si>
    <t>Wilson</t>
  </si>
  <si>
    <t>Community &amp; Persnal Svcs</t>
  </si>
  <si>
    <t>M&amp;CA - SLT &amp; Support</t>
  </si>
  <si>
    <t>Daniel</t>
  </si>
  <si>
    <t>Andrea</t>
  </si>
  <si>
    <t>Patricia</t>
  </si>
  <si>
    <t>Local Service Manager</t>
  </si>
  <si>
    <t>General Manager</t>
  </si>
  <si>
    <t>ACCS - SLT &amp; Support</t>
  </si>
  <si>
    <t>Amanda</t>
  </si>
  <si>
    <t>Nicole</t>
  </si>
  <si>
    <t>Stephen</t>
  </si>
  <si>
    <t>Kelly</t>
  </si>
  <si>
    <t>Williams</t>
  </si>
  <si>
    <t>Donna</t>
  </si>
  <si>
    <t>Brooke</t>
  </si>
  <si>
    <t>Sonia</t>
  </si>
  <si>
    <t>Anne</t>
  </si>
  <si>
    <t>Bhattarai</t>
  </si>
  <si>
    <t>Diana</t>
  </si>
  <si>
    <t>Cheryl</t>
  </si>
  <si>
    <t>UCC017258</t>
  </si>
  <si>
    <t>Krystal</t>
  </si>
  <si>
    <t>Beazley</t>
  </si>
  <si>
    <t>FAD26</t>
  </si>
  <si>
    <t>P05712</t>
  </si>
  <si>
    <t>ATSI Partnership and Engagement Coordinator</t>
  </si>
  <si>
    <t>Joanne Moses</t>
  </si>
  <si>
    <t>P06446</t>
  </si>
  <si>
    <t>Donna Revellac-Skhalla</t>
  </si>
  <si>
    <t>Donna.Shkalla@uccommunity.org.au</t>
  </si>
  <si>
    <t>Neuza Fernandes-Green</t>
  </si>
  <si>
    <t>neuza.fernandes-green@uccommunity.org.au</t>
  </si>
  <si>
    <t xml:space="preserve">Not eligible-moving to EA; </t>
  </si>
  <si>
    <t>UCC017756</t>
  </si>
  <si>
    <t>Dylan</t>
  </si>
  <si>
    <t>Hormann</t>
  </si>
  <si>
    <t>FAD47</t>
  </si>
  <si>
    <t>P06642</t>
  </si>
  <si>
    <t>BI Data Analyst</t>
  </si>
  <si>
    <t>Werner Martincich</t>
  </si>
  <si>
    <t>P06187</t>
  </si>
  <si>
    <t>Senior Business Performance Analyst</t>
  </si>
  <si>
    <t>Jamie MacKay</t>
  </si>
  <si>
    <t>Mitchell</t>
  </si>
  <si>
    <t>Hospitals - SLT &amp; Support</t>
  </si>
  <si>
    <t>UCC019129</t>
  </si>
  <si>
    <t>FAD14</t>
  </si>
  <si>
    <t>P00852</t>
  </si>
  <si>
    <t>Business Manager</t>
  </si>
  <si>
    <t>P06452</t>
  </si>
  <si>
    <t>General Manager Lifeline Retail</t>
  </si>
  <si>
    <t>UCC005140</t>
  </si>
  <si>
    <t>Roy</t>
  </si>
  <si>
    <t>Frith</t>
  </si>
  <si>
    <t>P00285</t>
  </si>
  <si>
    <t>UCC005267</t>
  </si>
  <si>
    <t>Belinda</t>
  </si>
  <si>
    <t>Bath</t>
  </si>
  <si>
    <t>P00280</t>
  </si>
  <si>
    <t>UCC014167</t>
  </si>
  <si>
    <t>Brogden</t>
  </si>
  <si>
    <t>P05738</t>
  </si>
  <si>
    <t>Business Manager Bundaberg and Fraser Coast</t>
  </si>
  <si>
    <t>UCC019012</t>
  </si>
  <si>
    <t>Rand</t>
  </si>
  <si>
    <t>Asmaro</t>
  </si>
  <si>
    <t>FAD22</t>
  </si>
  <si>
    <t>P06726</t>
  </si>
  <si>
    <t>Anthony Nunn</t>
  </si>
  <si>
    <t>P07507</t>
  </si>
  <si>
    <t>Business Performance Lead</t>
  </si>
  <si>
    <t>Xue Zhang</t>
  </si>
  <si>
    <t>UCC019860</t>
  </si>
  <si>
    <t>Michayla</t>
  </si>
  <si>
    <t>Parsons</t>
  </si>
  <si>
    <t>P06920</t>
  </si>
  <si>
    <t>UCC021062</t>
  </si>
  <si>
    <t>Anthony</t>
  </si>
  <si>
    <t>Nunn</t>
  </si>
  <si>
    <t>FAD15</t>
  </si>
  <si>
    <t>P06466</t>
  </si>
  <si>
    <t>Senior Manager Business Performance and Enablement</t>
  </si>
  <si>
    <t>UCC008450</t>
  </si>
  <si>
    <t>Pfeifle</t>
  </si>
  <si>
    <t>FAD32</t>
  </si>
  <si>
    <t>P07231</t>
  </si>
  <si>
    <t>Business Service Coordinator</t>
  </si>
  <si>
    <t xml:space="preserve">Not eligible-moving to EA - Consider seconded/Acting role; </t>
  </si>
  <si>
    <t>P06280</t>
  </si>
  <si>
    <t xml:space="preserve">Support Officer NDIS </t>
  </si>
  <si>
    <t>UCC020185</t>
  </si>
  <si>
    <t>P07167</t>
  </si>
  <si>
    <t>Business Services Coordinator</t>
  </si>
  <si>
    <t>Chelbi Walton</t>
  </si>
  <si>
    <t>P05798</t>
  </si>
  <si>
    <t>Disability Services Manager</t>
  </si>
  <si>
    <t>Martin Woolaston</t>
  </si>
  <si>
    <t>UCC020190</t>
  </si>
  <si>
    <t>Nigel</t>
  </si>
  <si>
    <t>Tappenden</t>
  </si>
  <si>
    <t>P07168</t>
  </si>
  <si>
    <t>Jodie Gorrel</t>
  </si>
  <si>
    <t>P05848</t>
  </si>
  <si>
    <t>Disability Service Manager SEQ Integrated</t>
  </si>
  <si>
    <t>UCC021411</t>
  </si>
  <si>
    <t>FAD16</t>
  </si>
  <si>
    <t>P07847</t>
  </si>
  <si>
    <t>Business Systems Analyst</t>
  </si>
  <si>
    <t>Powell</t>
  </si>
  <si>
    <t>UCC010317</t>
  </si>
  <si>
    <t>Windle</t>
  </si>
  <si>
    <t>FAD08</t>
  </si>
  <si>
    <t>P04616</t>
  </si>
  <si>
    <t>Client Safety Manager</t>
  </si>
  <si>
    <t>Carolyn</t>
  </si>
  <si>
    <t>Andrew</t>
  </si>
  <si>
    <t>UCC021991</t>
  </si>
  <si>
    <t>Martin</t>
  </si>
  <si>
    <t>Woollaston</t>
  </si>
  <si>
    <t>FAD02</t>
  </si>
  <si>
    <t>P06451</t>
  </si>
  <si>
    <t>General Manager Disability Services</t>
  </si>
  <si>
    <t>Donna Reveillac-Shkalla</t>
  </si>
  <si>
    <t>P06450</t>
  </si>
  <si>
    <t>Group Executive Family And Disability Services</t>
  </si>
  <si>
    <t>FADS - SLT &amp; Support</t>
  </si>
  <si>
    <t>UCC016308</t>
  </si>
  <si>
    <t>Vivien</t>
  </si>
  <si>
    <t>Bull</t>
  </si>
  <si>
    <t>FAD03</t>
  </si>
  <si>
    <t>P07388</t>
  </si>
  <si>
    <t>General Manager Family Child and Individual Support</t>
  </si>
  <si>
    <t>P&amp;C - SLT &amp; Support</t>
  </si>
  <si>
    <t>UCC019124</t>
  </si>
  <si>
    <t>Lindsay</t>
  </si>
  <si>
    <t>FAD05</t>
  </si>
  <si>
    <t>P07389</t>
  </si>
  <si>
    <t>General Manager Lifeline and Wellbeing Service</t>
  </si>
  <si>
    <t>UCC017956</t>
  </si>
  <si>
    <t>Mackay</t>
  </si>
  <si>
    <t>FAD06</t>
  </si>
  <si>
    <t>Xue</t>
  </si>
  <si>
    <t>BFS - SLT &amp; Support</t>
  </si>
  <si>
    <t>Gray</t>
  </si>
  <si>
    <t>UCC017552</t>
  </si>
  <si>
    <t>Mohr</t>
  </si>
  <si>
    <t>FAD33</t>
  </si>
  <si>
    <t>P06145</t>
  </si>
  <si>
    <t>Data Migration Stream Lead</t>
  </si>
  <si>
    <t>Sean Gilbert</t>
  </si>
  <si>
    <t>P07842</t>
  </si>
  <si>
    <t>Manager Client Data Integrity Reporting and Support</t>
  </si>
  <si>
    <t xml:space="preserve">General Manager </t>
  </si>
  <si>
    <t>UCC013369</t>
  </si>
  <si>
    <t>Kathy</t>
  </si>
  <si>
    <t>Rayner</t>
  </si>
  <si>
    <t>FAD09</t>
  </si>
  <si>
    <t>P06480</t>
  </si>
  <si>
    <t>Disability Service Manager</t>
  </si>
  <si>
    <t>Martin Woollaston</t>
  </si>
  <si>
    <t>UCC007326</t>
  </si>
  <si>
    <t>Gorrel</t>
  </si>
  <si>
    <t>UCC005120</t>
  </si>
  <si>
    <t>coling</t>
  </si>
  <si>
    <t>FAD48</t>
  </si>
  <si>
    <t>P00226</t>
  </si>
  <si>
    <t>Distribution Manager</t>
  </si>
  <si>
    <t>David Gale</t>
  </si>
  <si>
    <t>P06608</t>
  </si>
  <si>
    <t>State Merchandise and Logistics Manager</t>
  </si>
  <si>
    <t>20A (4 Wks)</t>
  </si>
  <si>
    <t>UCC022015</t>
  </si>
  <si>
    <t>Wallace</t>
  </si>
  <si>
    <t>FAD63</t>
  </si>
  <si>
    <t>P08108</t>
  </si>
  <si>
    <t>Distribution Supervisor</t>
  </si>
  <si>
    <t>Kylie Brogden</t>
  </si>
  <si>
    <t>UCC018323</t>
  </si>
  <si>
    <t>Kirstie</t>
  </si>
  <si>
    <t>Sharp</t>
  </si>
  <si>
    <t>FAD51</t>
  </si>
  <si>
    <t>P06261</t>
  </si>
  <si>
    <t>ECEI Paediatric Therapist</t>
  </si>
  <si>
    <t>Rhiannon Hall</t>
  </si>
  <si>
    <t>P06229</t>
  </si>
  <si>
    <t>Service Area Manager</t>
  </si>
  <si>
    <t>Luke Lindsay</t>
  </si>
  <si>
    <t>Samantha</t>
  </si>
  <si>
    <t>UCC015380</t>
  </si>
  <si>
    <t>Felicity</t>
  </si>
  <si>
    <t>Voigt</t>
  </si>
  <si>
    <t>FAD35</t>
  </si>
  <si>
    <t>P04022</t>
  </si>
  <si>
    <t>Enterprise Systems Administrator</t>
  </si>
  <si>
    <t>D&amp;T - SLT &amp; Support</t>
  </si>
  <si>
    <t>Gov - SLT &amp; Support</t>
  </si>
  <si>
    <t>Evans</t>
  </si>
  <si>
    <t>UCC017469</t>
  </si>
  <si>
    <t>FAD49</t>
  </si>
  <si>
    <t>P06170</t>
  </si>
  <si>
    <t>Functional Support Analyst</t>
  </si>
  <si>
    <t>Wood</t>
  </si>
  <si>
    <t>Pamela</t>
  </si>
  <si>
    <t>UCC017456</t>
  </si>
  <si>
    <t>Blundell</t>
  </si>
  <si>
    <t>FAD50</t>
  </si>
  <si>
    <t>P06890</t>
  </si>
  <si>
    <t>Inventory Coordinator</t>
  </si>
  <si>
    <t>Sean</t>
  </si>
  <si>
    <t>UCC005546</t>
  </si>
  <si>
    <t>Jadranka</t>
  </si>
  <si>
    <t>Spriggs</t>
  </si>
  <si>
    <t>FAD18</t>
  </si>
  <si>
    <t>P00313</t>
  </si>
  <si>
    <t>Juan Du Buisson</t>
  </si>
  <si>
    <t>P07385</t>
  </si>
  <si>
    <t>Statewide Manager Community Mental Health</t>
  </si>
  <si>
    <t>UCC017292</t>
  </si>
  <si>
    <t>Gilbert</t>
  </si>
  <si>
    <t>FAD10</t>
  </si>
  <si>
    <t>UCC008681</t>
  </si>
  <si>
    <t>Mcphee</t>
  </si>
  <si>
    <t>FAD19</t>
  </si>
  <si>
    <t>P05419</t>
  </si>
  <si>
    <t>Manager Employment Services</t>
  </si>
  <si>
    <t>UCC018816</t>
  </si>
  <si>
    <t>Horwood</t>
  </si>
  <si>
    <t>FAD20</t>
  </si>
  <si>
    <t>P06526</t>
  </si>
  <si>
    <t>Manager Performance Management and Reporting</t>
  </si>
  <si>
    <t>Lorraine</t>
  </si>
  <si>
    <t>UCC021403</t>
  </si>
  <si>
    <t>Sonja</t>
  </si>
  <si>
    <t>Urban</t>
  </si>
  <si>
    <t>FAD21</t>
  </si>
  <si>
    <t>P07826</t>
  </si>
  <si>
    <t>Merchandise Planner</t>
  </si>
  <si>
    <t>UCC021671</t>
  </si>
  <si>
    <t>Sanesie</t>
  </si>
  <si>
    <t>Dukuly</t>
  </si>
  <si>
    <t>FAD36</t>
  </si>
  <si>
    <t>P00812</t>
  </si>
  <si>
    <t>Multicultural Partnership and Engagement Advisor</t>
  </si>
  <si>
    <t>Phillips</t>
  </si>
  <si>
    <t>Green</t>
  </si>
  <si>
    <t>UCC007728</t>
  </si>
  <si>
    <t>Reside</t>
  </si>
  <si>
    <t>FAD34</t>
  </si>
  <si>
    <t>P00613</t>
  </si>
  <si>
    <t>Office Coordinator</t>
  </si>
  <si>
    <t>Cheryl Shaw</t>
  </si>
  <si>
    <t>P06440</t>
  </si>
  <si>
    <t>Regional Business Manager</t>
  </si>
  <si>
    <t>UCC005136</t>
  </si>
  <si>
    <t>Laird</t>
  </si>
  <si>
    <t>FAD56</t>
  </si>
  <si>
    <t>P06892</t>
  </si>
  <si>
    <t>Online Shop Supervisor</t>
  </si>
  <si>
    <t>UCC019721</t>
  </si>
  <si>
    <t>P05526</t>
  </si>
  <si>
    <t>Paediatric Therapist Early Childhood Early Intervention</t>
  </si>
  <si>
    <t>UCC020064</t>
  </si>
  <si>
    <t>Pascall</t>
  </si>
  <si>
    <t>P05527</t>
  </si>
  <si>
    <t>Samantha Silver</t>
  </si>
  <si>
    <t>P06426</t>
  </si>
  <si>
    <t>UCC021035</t>
  </si>
  <si>
    <t>Bale</t>
  </si>
  <si>
    <t>FAD37</t>
  </si>
  <si>
    <t>P05606</t>
  </si>
  <si>
    <t>Performance Analyst</t>
  </si>
  <si>
    <t>UCC020270</t>
  </si>
  <si>
    <t>P05607</t>
  </si>
  <si>
    <t>UCC008939</t>
  </si>
  <si>
    <t>Moses</t>
  </si>
  <si>
    <t>FAD04</t>
  </si>
  <si>
    <t>P03882</t>
  </si>
  <si>
    <t>Practice &amp; Quality Manager</t>
  </si>
  <si>
    <t>UCC020095</t>
  </si>
  <si>
    <t>Stutee</t>
  </si>
  <si>
    <t>FAD38</t>
  </si>
  <si>
    <t>P06053</t>
  </si>
  <si>
    <t>Practice Improvement Advisor</t>
  </si>
  <si>
    <t>Nikhia Itzkovich</t>
  </si>
  <si>
    <t>P07447</t>
  </si>
  <si>
    <t>Practice Lead</t>
  </si>
  <si>
    <t>UCC021083</t>
  </si>
  <si>
    <t>Vuong</t>
  </si>
  <si>
    <t>P07448</t>
  </si>
  <si>
    <t>Carolyn Robinson</t>
  </si>
  <si>
    <t>P06410</t>
  </si>
  <si>
    <t>UCC016358</t>
  </si>
  <si>
    <t>Larni</t>
  </si>
  <si>
    <t>Casini</t>
  </si>
  <si>
    <t>P06886</t>
  </si>
  <si>
    <t>UCC015418</t>
  </si>
  <si>
    <t>P06435</t>
  </si>
  <si>
    <t>UCC015307</t>
  </si>
  <si>
    <t>Jarvis</t>
  </si>
  <si>
    <t>UCC022197</t>
  </si>
  <si>
    <t>P08297</t>
  </si>
  <si>
    <t>Not eligible new hire after 1 June; Fixed Term Contract; Not eligible - moving to EA;</t>
  </si>
  <si>
    <t>UCC018659</t>
  </si>
  <si>
    <t>ACC35</t>
  </si>
  <si>
    <t>UCC020760</t>
  </si>
  <si>
    <t>Nikhia</t>
  </si>
  <si>
    <t>Itzkovich</t>
  </si>
  <si>
    <t>UCC020790</t>
  </si>
  <si>
    <t>Robinson</t>
  </si>
  <si>
    <t>UCC015814</t>
  </si>
  <si>
    <t>Jaine</t>
  </si>
  <si>
    <t>Smiley</t>
  </si>
  <si>
    <t>P07409</t>
  </si>
  <si>
    <t>Practice Lead - Stregthening Practice</t>
  </si>
  <si>
    <t>Jonathan Turk</t>
  </si>
  <si>
    <t>P03273</t>
  </si>
  <si>
    <t>StateWide Manager</t>
  </si>
  <si>
    <t>UCC004754</t>
  </si>
  <si>
    <t>FAD39</t>
  </si>
  <si>
    <t>P05833</t>
  </si>
  <si>
    <t>Practice Training and Development Advisor</t>
  </si>
  <si>
    <t>UCC014381</t>
  </si>
  <si>
    <t>Wilcock</t>
  </si>
  <si>
    <t>P04091</t>
  </si>
  <si>
    <t>UCC015179</t>
  </si>
  <si>
    <t>Raymond</t>
  </si>
  <si>
    <t>FAD40</t>
  </si>
  <si>
    <t>P04615</t>
  </si>
  <si>
    <t>Principal Advisor Client Safety</t>
  </si>
  <si>
    <t>Rebecca Windle</t>
  </si>
  <si>
    <t>UCC014380</t>
  </si>
  <si>
    <t>Balwinder</t>
  </si>
  <si>
    <t>FAD41</t>
  </si>
  <si>
    <t>P06431</t>
  </si>
  <si>
    <t>Principal Practice and Compliance Advisor</t>
  </si>
  <si>
    <t>UCC021375</t>
  </si>
  <si>
    <t>FAD52</t>
  </si>
  <si>
    <t>P07511</t>
  </si>
  <si>
    <t>Program Planning Lead</t>
  </si>
  <si>
    <t>Nickola Zeeuwen</t>
  </si>
  <si>
    <t>P06099</t>
  </si>
  <si>
    <t>Service Coordinator Holidays</t>
  </si>
  <si>
    <t>UCC017817</t>
  </si>
  <si>
    <t>Nyomie</t>
  </si>
  <si>
    <t>Sherrington</t>
  </si>
  <si>
    <t>FAD12</t>
  </si>
  <si>
    <t>P06411</t>
  </si>
  <si>
    <t>Project and Service Planning Leader</t>
  </si>
  <si>
    <t>Stacey</t>
  </si>
  <si>
    <t xml:space="preserve">Fixed Term Contract; </t>
  </si>
  <si>
    <t>UCC005088</t>
  </si>
  <si>
    <t>Viola</t>
  </si>
  <si>
    <t>FAD57</t>
  </si>
  <si>
    <t>P00235</t>
  </si>
  <si>
    <t>Recycling Supervisor</t>
  </si>
  <si>
    <t>Andrea Coling</t>
  </si>
  <si>
    <t>UCC004212</t>
  </si>
  <si>
    <t>UCC018959</t>
  </si>
  <si>
    <t>P06510</t>
  </si>
  <si>
    <t>Regional Business Manager Cairns and Townsville</t>
  </si>
  <si>
    <t>UCC018794</t>
  </si>
  <si>
    <t>Rebis</t>
  </si>
  <si>
    <t>P06472</t>
  </si>
  <si>
    <t>Regional Manager Brisbane South</t>
  </si>
  <si>
    <t>UCC021170</t>
  </si>
  <si>
    <t>Morales Obando</t>
  </si>
  <si>
    <t>FAD58</t>
  </si>
  <si>
    <t>P07641</t>
  </si>
  <si>
    <t>Regional Team Coordinator</t>
  </si>
  <si>
    <t>Angela Clark</t>
  </si>
  <si>
    <t>P00237</t>
  </si>
  <si>
    <t>Retail Operations Manager</t>
  </si>
  <si>
    <t>UCC015317</t>
  </si>
  <si>
    <t>Chez</t>
  </si>
  <si>
    <t>Leggatt-Cook</t>
  </si>
  <si>
    <t>FAD11</t>
  </si>
  <si>
    <t>P03152</t>
  </si>
  <si>
    <t>Research and Knowledge Translation Manager</t>
  </si>
  <si>
    <t>UCC011634</t>
  </si>
  <si>
    <t>FAD62</t>
  </si>
  <si>
    <t>P01904</t>
  </si>
  <si>
    <t>Retail Coordinator</t>
  </si>
  <si>
    <t>Donna Green</t>
  </si>
  <si>
    <t>UCC018797</t>
  </si>
  <si>
    <t>FAD44</t>
  </si>
  <si>
    <t>UCC013066</t>
  </si>
  <si>
    <t>Trudi</t>
  </si>
  <si>
    <t>Maxwell</t>
  </si>
  <si>
    <t>FAD53</t>
  </si>
  <si>
    <t>P02448</t>
  </si>
  <si>
    <t>Retail Services Manager</t>
  </si>
  <si>
    <t>Scott Adams</t>
  </si>
  <si>
    <t>UCC018243</t>
  </si>
  <si>
    <t>Werner</t>
  </si>
  <si>
    <t>Martincich</t>
  </si>
  <si>
    <t>FAD25</t>
  </si>
  <si>
    <t>O'Connor</t>
  </si>
  <si>
    <t>Bryant</t>
  </si>
  <si>
    <t>UCC020741</t>
  </si>
  <si>
    <t>FAD07</t>
  </si>
  <si>
    <t>UCC014689</t>
  </si>
  <si>
    <t>Silver</t>
  </si>
  <si>
    <t>FAD27</t>
  </si>
  <si>
    <t>Jessica Taylor</t>
  </si>
  <si>
    <t>P07843</t>
  </si>
  <si>
    <t>Operations Manager Early Childhood Approach</t>
  </si>
  <si>
    <t>UCC018319</t>
  </si>
  <si>
    <t>Rhiannon</t>
  </si>
  <si>
    <t>Smythe</t>
  </si>
  <si>
    <t>T06229</t>
  </si>
  <si>
    <t>UCC016654</t>
  </si>
  <si>
    <t>Derbyshire</t>
  </si>
  <si>
    <t>P05532</t>
  </si>
  <si>
    <t>UCC018409</t>
  </si>
  <si>
    <t>Platt</t>
  </si>
  <si>
    <t>P05533</t>
  </si>
  <si>
    <t>UCC019890</t>
  </si>
  <si>
    <t>Chelbi</t>
  </si>
  <si>
    <t>Walton</t>
  </si>
  <si>
    <t>FAD28</t>
  </si>
  <si>
    <t>P07067</t>
  </si>
  <si>
    <t>Service Coordinator</t>
  </si>
  <si>
    <t>Kathy Rayner</t>
  </si>
  <si>
    <t>UCC010642</t>
  </si>
  <si>
    <t>Hegarty</t>
  </si>
  <si>
    <t>P07234</t>
  </si>
  <si>
    <t>Service Coordinator Capacity Building</t>
  </si>
  <si>
    <t>UCC014296</t>
  </si>
  <si>
    <t>Rolph</t>
  </si>
  <si>
    <t>P05808</t>
  </si>
  <si>
    <t>UCC019885</t>
  </si>
  <si>
    <t>Ranjit</t>
  </si>
  <si>
    <t>P07064</t>
  </si>
  <si>
    <t>Service Coordinator Core Support</t>
  </si>
  <si>
    <t>UCC015553</t>
  </si>
  <si>
    <t>Spelling</t>
  </si>
  <si>
    <t>T05984</t>
  </si>
  <si>
    <t>Service Coordinator Core Supports</t>
  </si>
  <si>
    <t>UCC007077</t>
  </si>
  <si>
    <t>P06509</t>
  </si>
  <si>
    <t>UCC015833</t>
  </si>
  <si>
    <t>Chontay</t>
  </si>
  <si>
    <t>Gustowski</t>
  </si>
  <si>
    <t>P06685</t>
  </si>
  <si>
    <t>UCC017933</t>
  </si>
  <si>
    <t>Nickola</t>
  </si>
  <si>
    <t>Zeeuwen</t>
  </si>
  <si>
    <t>UCC004221</t>
  </si>
  <si>
    <t>Raelene</t>
  </si>
  <si>
    <t>P06607</t>
  </si>
  <si>
    <t>Service Coordinator South West</t>
  </si>
  <si>
    <t>UCC008128</t>
  </si>
  <si>
    <t>Negrello</t>
  </si>
  <si>
    <t>FAD24</t>
  </si>
  <si>
    <t>P05870</t>
  </si>
  <si>
    <t>Service Design and Quality Coordinator</t>
  </si>
  <si>
    <t>UCC005079</t>
  </si>
  <si>
    <t>Dante</t>
  </si>
  <si>
    <t>Gilvonio</t>
  </si>
  <si>
    <t>FAD43</t>
  </si>
  <si>
    <t>P00212</t>
  </si>
  <si>
    <t>Sorter</t>
  </si>
  <si>
    <t>Labourers</t>
  </si>
  <si>
    <t>Viola Stewart</t>
  </si>
  <si>
    <t>UCC018151</t>
  </si>
  <si>
    <t>Gale</t>
  </si>
  <si>
    <t>FAD29</t>
  </si>
  <si>
    <t>UCC018779</t>
  </si>
  <si>
    <t>FAD45</t>
  </si>
  <si>
    <t>P06471</t>
  </si>
  <si>
    <t>State Retail Operations Coordinator</t>
  </si>
  <si>
    <t>UCC018750</t>
  </si>
  <si>
    <t>Canfyn</t>
  </si>
  <si>
    <t>FAD46</t>
  </si>
  <si>
    <t>P06470</t>
  </si>
  <si>
    <t>State Visual Merchandising Manager</t>
  </si>
  <si>
    <t>UCC020132</t>
  </si>
  <si>
    <t>Jonathan</t>
  </si>
  <si>
    <t>Turk</t>
  </si>
  <si>
    <t>FAD13</t>
  </si>
  <si>
    <t>UCC020556</t>
  </si>
  <si>
    <t>Geoffrey</t>
  </si>
  <si>
    <t>Norman</t>
  </si>
  <si>
    <t>P00899</t>
  </si>
  <si>
    <t>Statewide Manager</t>
  </si>
  <si>
    <t>Has EAs reporting to this role at PA8.3 (new rate is ~$127K) - recommend difference of 10% which equates to $140,000;</t>
  </si>
  <si>
    <t>UCC020165</t>
  </si>
  <si>
    <t>Juan</t>
  </si>
  <si>
    <t>Du Buisson</t>
  </si>
  <si>
    <t>UCC018584</t>
  </si>
  <si>
    <t>Nanditha</t>
  </si>
  <si>
    <t>Hettitantri</t>
  </si>
  <si>
    <t>P07384</t>
  </si>
  <si>
    <t>Statewide Manager Early Childhood Early Intervention</t>
  </si>
  <si>
    <t>UCC013839</t>
  </si>
  <si>
    <t>Chamberlain</t>
  </si>
  <si>
    <t>P07383</t>
  </si>
  <si>
    <t>Statewide Manager Family Law</t>
  </si>
  <si>
    <t>Vivien Bull</t>
  </si>
  <si>
    <t>UCC006389</t>
  </si>
  <si>
    <t>Bearman</t>
  </si>
  <si>
    <t>FAD61</t>
  </si>
  <si>
    <t>P07382</t>
  </si>
  <si>
    <t>Statewide Manager Family Protection and Men's Programs</t>
  </si>
  <si>
    <t>UCC014970</t>
  </si>
  <si>
    <t>Clissold</t>
  </si>
  <si>
    <t>P07381</t>
  </si>
  <si>
    <t>Statewide Manager Family Support</t>
  </si>
  <si>
    <t>UCC007015</t>
  </si>
  <si>
    <t>Moormann</t>
  </si>
  <si>
    <t>P07380</t>
  </si>
  <si>
    <t>Statewide Manager Foster and Kinship Care</t>
  </si>
  <si>
    <t>UCC008229</t>
  </si>
  <si>
    <t>Jody-Ann</t>
  </si>
  <si>
    <t>Willoughby</t>
  </si>
  <si>
    <t>P07379</t>
  </si>
  <si>
    <t>Statewide Manager Homelessness and Domestic Violence</t>
  </si>
  <si>
    <t>UCC015536</t>
  </si>
  <si>
    <t>P07378</t>
  </si>
  <si>
    <t>Statewide Manager Out of Home Care North and West</t>
  </si>
  <si>
    <t>UCC008518</t>
  </si>
  <si>
    <t>P07377</t>
  </si>
  <si>
    <t>Statewide Manager Out of Home Care South East</t>
  </si>
  <si>
    <t>UCC021404</t>
  </si>
  <si>
    <t>Whitehead</t>
  </si>
  <si>
    <t>FAD59</t>
  </si>
  <si>
    <t>P07827</t>
  </si>
  <si>
    <t>Store Experience Coordinator</t>
  </si>
  <si>
    <t>UCC018450</t>
  </si>
  <si>
    <t>Bingley</t>
  </si>
  <si>
    <t>FAD54</t>
  </si>
  <si>
    <t>Support Officer NDIS</t>
  </si>
  <si>
    <t>P08107</t>
  </si>
  <si>
    <t>UCC020135</t>
  </si>
  <si>
    <t>Vermeer</t>
  </si>
  <si>
    <t>FAD60</t>
  </si>
  <si>
    <t>P07139</t>
  </si>
  <si>
    <t>Transport Supervisor</t>
  </si>
  <si>
    <t>UCC016745</t>
  </si>
  <si>
    <t>P00412</t>
  </si>
  <si>
    <t>Roy Frith</t>
  </si>
  <si>
    <t>UCC015882</t>
  </si>
  <si>
    <t>P01917</t>
  </si>
  <si>
    <t>UCC013959</t>
  </si>
  <si>
    <t>Ohlsen</t>
  </si>
  <si>
    <t>P00159</t>
  </si>
  <si>
    <t>Michael Powell</t>
  </si>
  <si>
    <t>UCC021109</t>
  </si>
  <si>
    <t>Anne-Maree</t>
  </si>
  <si>
    <t>P07138</t>
  </si>
  <si>
    <t>UCC017947</t>
  </si>
  <si>
    <t>Girardi</t>
  </si>
  <si>
    <t>FAD42</t>
  </si>
  <si>
    <t>P03798</t>
  </si>
  <si>
    <t>Truck Driver</t>
  </si>
  <si>
    <t>Machine Operator &amp; Driver</t>
  </si>
  <si>
    <t>UCC021455</t>
  </si>
  <si>
    <t>Leonard</t>
  </si>
  <si>
    <t>Bucklar</t>
  </si>
  <si>
    <t>FAD55</t>
  </si>
  <si>
    <t>P07828</t>
  </si>
  <si>
    <t>Visual Merchandise Coordinator</t>
  </si>
  <si>
    <t>Wendy Canfyn</t>
  </si>
  <si>
    <t xml:space="preserve">Received increase with position change; </t>
  </si>
  <si>
    <t>Not eligible-moving to EA,however if decided to remain on salary will need increase to new min. of job level;</t>
  </si>
  <si>
    <t>Eligibility</t>
  </si>
  <si>
    <t>Hospitals - Clinical Education</t>
  </si>
  <si>
    <t>Approved by Group Executive - Famility and Disability Services: Donna Revellac-Skhalla</t>
  </si>
  <si>
    <t>GM Position Title</t>
  </si>
  <si>
    <t>GM Email</t>
  </si>
  <si>
    <t>Group Executive - Family and Disability Services</t>
  </si>
  <si>
    <t>jamie.mackay@uccommunity.org.au</t>
  </si>
  <si>
    <t>Joanne.Trentin@uccommunity.org.au</t>
  </si>
  <si>
    <t>luke.lindsay@uccommunity.org.au</t>
  </si>
  <si>
    <t>Martin.Woollaston@uccommunity.org.au</t>
  </si>
  <si>
    <t>vivien.bull@uccommunity.org.au</t>
  </si>
  <si>
    <t>Susan Zhang</t>
  </si>
  <si>
    <t>Susan.Zhang@uccommunity.org.au</t>
  </si>
  <si>
    <t>5. TEMPLATE_No Rem Increase</t>
  </si>
  <si>
    <t>4. TEMPLATE_Casual hourly rate</t>
  </si>
  <si>
    <t>3. TEMPLATE_One off payment only</t>
  </si>
  <si>
    <t>2. TEMPLATE_Rem Increase with one off payment</t>
  </si>
  <si>
    <t>1. TEMPLATE_Rem Increase only</t>
  </si>
  <si>
    <t>Signatures_Position_Title</t>
  </si>
  <si>
    <t>XXX</t>
  </si>
  <si>
    <t>YYYT</t>
  </si>
  <si>
    <t>ZZSAZ</t>
  </si>
  <si>
    <t>AD</t>
  </si>
  <si>
    <t>PPP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</si>
</sst>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5" formatCode="&quot;$&quot;#,##0;\-&quot;$&quot;#,##0"/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000"/>
    <numFmt numFmtId="165" formatCode="_-&quot;$&quot;* #,##0_-;\-&quot;$&quot;* #,##0_-;_-&quot;$&quot;* &quot;-&quot;??_-;_-@_-"/>
    <numFmt numFmtId="166" formatCode="0.0%"/>
    <numFmt numFmtId="167" formatCode="0.0"/>
    <numFmt numFmtId="168" formatCode="_(&quot;$&quot;#,##0.0_);\(&quot;$&quot;#,##0.0\);_(&quot;-&quot;_)"/>
    <numFmt numFmtId="169" formatCode="_(#,##0.0\x_);\(#,##0.0\x\);_(&quot;-&quot;_)"/>
    <numFmt numFmtId="170" formatCode="_(#,##0.0_);\(#,##0.0\);_(&quot;-&quot;_)"/>
    <numFmt numFmtId="171" formatCode="_(#,##0.0%_);\(#,##0.0%\);_(&quot;-&quot;_)"/>
    <numFmt numFmtId="172" formatCode="_(###0_);\(###0\);_(###0_)"/>
    <numFmt numFmtId="173" formatCode="_)d\-mmm\-yy_)"/>
    <numFmt numFmtId="174" formatCode="_(* #,##0.00_);_(* \(#,##0.00\);_(* &quot;-&quot;??_);_(@_)"/>
    <numFmt numFmtId="175" formatCode="_(&quot;$&quot;* #,##0.00_);_(&quot;$&quot;* \(#,##0.00\);_(&quot;$&quot;* &quot;-&quot;??_);_(@_)"/>
    <numFmt numFmtId="176" formatCode="_(#,##0_);\(#,##0\);_(&quot;-&quot;_)"/>
    <numFmt numFmtId="177" formatCode="General_)"/>
    <numFmt numFmtId="178" formatCode="[$-409]d\-mmm\-yy;@"/>
    <numFmt numFmtId="179" formatCode="&quot;$&quot;#,##0"/>
    <numFmt numFmtId="180" formatCode="#,###,##0;\(#,###,##0\)"/>
    <numFmt numFmtId="181" formatCode="#,###,##0.00;\(#,###,##0.00\)"/>
    <numFmt numFmtId="182" formatCode="&quot;$&quot;#,###,##0;\(&quot;$&quot;#,###,##0\)"/>
    <numFmt numFmtId="183" formatCode="#,##0.00%;\(#,##0.00%\)"/>
    <numFmt numFmtId="184" formatCode="&quot;$&quot;#,##0.000000;[Red]\-&quot;$&quot;#,##0.000000"/>
    <numFmt numFmtId="185" formatCode="0.000%"/>
    <numFmt numFmtId="186" formatCode="&quot;$&quot;#,##0.00"/>
    <numFmt numFmtId="187" formatCode="_-[$$-C09]* #,##0_-;\-[$$-C09]* #,##0_-;_-[$$-C09]* &quot;-&quot;??_-;_-@_-"/>
  </numFmts>
  <fonts count="176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</font>
    <font>
      <sz val="10"/>
      <name val="Arial"/>
      <family val="2"/>
    </font>
    <font>
      <sz val="9"/>
      <color theme="1"/>
      <name val="Calibri"/>
      <family val="2"/>
    </font>
    <font>
      <b/>
      <sz val="13"/>
      <color theme="1" tint="0.24994659260841701"/>
      <name val="Calibri Light"/>
      <family val="2"/>
      <scheme val="major"/>
    </font>
    <font>
      <sz val="8"/>
      <name val="Arial"/>
      <family val="2"/>
    </font>
    <font>
      <sz val="9"/>
      <color rgb="FF9C0006"/>
      <name val="Calibri"/>
      <family val="2"/>
    </font>
    <font>
      <sz val="10"/>
      <name val="Geneva"/>
      <family val="2"/>
    </font>
    <font>
      <b/>
      <sz val="9"/>
      <color rgb="FFFA7D00"/>
      <name val="Calibri"/>
      <family val="2"/>
    </font>
    <font>
      <b/>
      <sz val="9"/>
      <color theme="0"/>
      <name val="Calibri"/>
      <family val="2"/>
    </font>
    <font>
      <sz val="11"/>
      <color indexed="8"/>
      <name val="Trebuchet MS"/>
      <family val="2"/>
    </font>
    <font>
      <sz val="10"/>
      <color indexed="64"/>
      <name val="Arial"/>
      <family val="2"/>
    </font>
    <font>
      <sz val="12"/>
      <name val="Comic Sans MS"/>
      <family val="4"/>
    </font>
    <font>
      <i/>
      <sz val="9"/>
      <color rgb="FF7F7F7F"/>
      <name val="Calibri"/>
      <family val="2"/>
    </font>
    <font>
      <sz val="9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10"/>
      <color indexed="12"/>
      <name val="Verdana"/>
      <family val="2"/>
    </font>
    <font>
      <b/>
      <sz val="10"/>
      <color indexed="56"/>
      <name val="Wingdings"/>
      <charset val="2"/>
    </font>
    <font>
      <b/>
      <u/>
      <sz val="8"/>
      <color indexed="56"/>
      <name val="Arial"/>
      <family val="2"/>
    </font>
    <font>
      <sz val="9"/>
      <color rgb="FF3F3F76"/>
      <name val="Calibri"/>
      <family val="2"/>
    </font>
    <font>
      <sz val="9"/>
      <color rgb="FFFA7D00"/>
      <name val="Calibri"/>
      <family val="2"/>
    </font>
    <font>
      <b/>
      <sz val="8"/>
      <name val="Arial"/>
      <family val="2"/>
    </font>
    <font>
      <b/>
      <sz val="12"/>
      <name val="Arial"/>
      <family val="2"/>
    </font>
    <font>
      <sz val="9"/>
      <color rgb="FF9C6500"/>
      <name val="Calibri"/>
      <family val="2"/>
    </font>
    <font>
      <sz val="12"/>
      <name val="Courier"/>
      <family val="3"/>
    </font>
    <font>
      <sz val="11"/>
      <color theme="1"/>
      <name val="Trebuchet MS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9"/>
      <color rgb="FF3F3F3F"/>
      <name val="Calibri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8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b/>
      <u/>
      <sz val="8"/>
      <color indexed="56"/>
      <name val="Tahoma"/>
      <family val="2"/>
    </font>
    <font>
      <b/>
      <sz val="12"/>
      <name val="Tahoma"/>
      <family val="2"/>
    </font>
    <font>
      <b/>
      <sz val="13"/>
      <name val="Tahoma"/>
      <family val="2"/>
    </font>
    <font>
      <b/>
      <sz val="14"/>
      <name val="Tahoma"/>
      <family val="2"/>
    </font>
    <font>
      <b/>
      <sz val="13"/>
      <name val="Arial"/>
      <family val="2"/>
    </font>
    <font>
      <b/>
      <sz val="14"/>
      <name val="Arial"/>
      <family val="2"/>
    </font>
    <font>
      <sz val="10"/>
      <name val="Helv"/>
    </font>
    <font>
      <sz val="9"/>
      <name val="Arial"/>
      <family val="2"/>
    </font>
    <font>
      <b/>
      <u/>
      <sz val="9.5"/>
      <color indexed="56"/>
      <name val="Arial"/>
      <family val="2"/>
    </font>
    <font>
      <b/>
      <u/>
      <sz val="9"/>
      <color indexed="56"/>
      <name val="Arial"/>
      <family val="2"/>
    </font>
    <font>
      <u/>
      <sz val="8"/>
      <color indexed="56"/>
      <name val="Arial"/>
      <family val="2"/>
    </font>
    <font>
      <u/>
      <sz val="7.5"/>
      <color indexed="56"/>
      <name val="Arial"/>
      <family val="2"/>
    </font>
    <font>
      <b/>
      <sz val="9"/>
      <color theme="1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  <scheme val="min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color indexed="0"/>
      <name val="Arial"/>
      <family val="2"/>
    </font>
    <font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indexed="0"/>
      <name val="Arial"/>
      <family val="2"/>
    </font>
    <font>
      <b/>
      <sz val="12"/>
      <color indexed="0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0"/>
      <name val="Arial"/>
      <family val="2"/>
    </font>
    <font>
      <b/>
      <sz val="9"/>
      <color indexed="8"/>
      <name val="Arial"/>
      <family val="2"/>
    </font>
    <font>
      <b/>
      <sz val="9"/>
      <color indexed="0"/>
      <name val="Arial"/>
      <family val="2"/>
    </font>
    <font>
      <i/>
      <sz val="10"/>
      <color indexed="0"/>
      <name val="Arial"/>
      <family val="2"/>
    </font>
    <font>
      <b/>
      <i/>
      <sz val="10"/>
      <color indexed="0"/>
      <name val="Arial"/>
      <family val="2"/>
    </font>
    <font>
      <b/>
      <i/>
      <sz val="12"/>
      <color indexed="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theme="0"/>
      <name val="Arial"/>
      <family val="2"/>
    </font>
    <font>
      <sz val="11"/>
      <color indexed="20"/>
      <name val="Calibri"/>
      <family val="2"/>
    </font>
    <font>
      <sz val="10"/>
      <color rgb="FF9C0006"/>
      <name val="Calibri"/>
      <family val="2"/>
      <scheme val="minor"/>
    </font>
    <font>
      <b/>
      <sz val="11"/>
      <color indexed="10"/>
      <name val="Calibri"/>
      <family val="2"/>
    </font>
    <font>
      <b/>
      <sz val="10"/>
      <color rgb="FFFA7D00"/>
      <name val="Arial"/>
      <family val="2"/>
    </font>
    <font>
      <b/>
      <sz val="11"/>
      <color indexed="9"/>
      <name val="Calibri"/>
      <family val="2"/>
    </font>
    <font>
      <b/>
      <sz val="10"/>
      <color theme="0"/>
      <name val="Arial"/>
      <family val="2"/>
    </font>
    <font>
      <sz val="1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color indexed="23"/>
      <name val="Calibri"/>
      <family val="2"/>
    </font>
    <font>
      <i/>
      <sz val="10"/>
      <color rgb="FF7F7F7F"/>
      <name val="Arial"/>
      <family val="2"/>
    </font>
    <font>
      <sz val="11"/>
      <color indexed="17"/>
      <name val="Calibri"/>
      <family val="2"/>
    </font>
    <font>
      <sz val="10"/>
      <color rgb="FF006100"/>
      <name val="Arial"/>
      <family val="2"/>
    </font>
    <font>
      <b/>
      <sz val="15"/>
      <color indexed="62"/>
      <name val="Calibri"/>
      <family val="2"/>
    </font>
    <font>
      <b/>
      <sz val="15"/>
      <color theme="3"/>
      <name val="Arial"/>
      <family val="2"/>
    </font>
    <font>
      <b/>
      <sz val="13"/>
      <color indexed="62"/>
      <name val="Calibri"/>
      <family val="2"/>
    </font>
    <font>
      <b/>
      <sz val="13"/>
      <color theme="3"/>
      <name val="Arial"/>
      <family val="2"/>
    </font>
    <font>
      <b/>
      <sz val="11"/>
      <color indexed="62"/>
      <name val="Calibri"/>
      <family val="2"/>
    </font>
    <font>
      <b/>
      <sz val="11"/>
      <color theme="3"/>
      <name val="Arial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indexed="62"/>
      <name val="Calibri"/>
      <family val="2"/>
    </font>
    <font>
      <sz val="10"/>
      <color rgb="FF3F3F76"/>
      <name val="Arial"/>
      <family val="2"/>
    </font>
    <font>
      <sz val="11"/>
      <color indexed="10"/>
      <name val="Calibri"/>
      <family val="2"/>
    </font>
    <font>
      <sz val="10"/>
      <color rgb="FFFA7D00"/>
      <name val="Arial"/>
      <family val="2"/>
    </font>
    <font>
      <sz val="11"/>
      <color indexed="19"/>
      <name val="Calibri"/>
      <family val="2"/>
    </font>
    <font>
      <sz val="12"/>
      <name val="Arial Narrow"/>
      <family val="2"/>
    </font>
    <font>
      <b/>
      <sz val="11"/>
      <color indexed="63"/>
      <name val="Calibri"/>
      <family val="2"/>
    </font>
    <font>
      <b/>
      <sz val="10"/>
      <color rgb="FF3F3F3F"/>
      <name val="Arial"/>
      <family val="2"/>
    </font>
    <font>
      <b/>
      <sz val="18"/>
      <color indexed="62"/>
      <name val="Cambria"/>
      <family val="2"/>
    </font>
    <font>
      <b/>
      <sz val="18"/>
      <color rgb="FFC00000"/>
      <name val="Arial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10"/>
      <color indexed="20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u/>
      <sz val="11"/>
      <color indexed="12"/>
      <name val="Calibri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1"/>
      <color indexed="60"/>
      <name val="Calibri"/>
      <family val="2"/>
    </font>
    <font>
      <b/>
      <sz val="10"/>
      <color indexed="63"/>
      <name val="Arial"/>
      <family val="2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</font>
    <font>
      <b/>
      <sz val="11"/>
      <color rgb="FF800000"/>
      <name val="Calibri"/>
      <family val="2"/>
    </font>
    <font>
      <u/>
      <sz val="11"/>
      <name val="Calibri"/>
      <family val="2"/>
      <scheme val="minor"/>
    </font>
    <font>
      <b/>
      <sz val="9"/>
      <color rgb="FFFF0000"/>
      <name val="Calibri"/>
      <family val="2"/>
    </font>
    <font>
      <sz val="9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4"/>
      <name val="Calibri"/>
      <family val="2"/>
    </font>
    <font>
      <b/>
      <sz val="8"/>
      <color rgb="FFFFFFFF"/>
      <name val="Calibri"/>
      <family val="2"/>
    </font>
    <font>
      <sz val="8"/>
      <color rgb="FFFFFFFF"/>
      <name val="Calibri"/>
      <family val="2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8"/>
      <name val="Calibri"/>
      <family val="2"/>
    </font>
    <font>
      <sz val="8"/>
      <name val="Calibri"/>
      <family val="2"/>
      <scheme val="minor"/>
    </font>
    <font>
      <sz val="8"/>
      <color theme="0"/>
      <name val="Calibri"/>
      <family val="2"/>
    </font>
    <font>
      <b/>
      <sz val="8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5BD5F"/>
        <bgColor indexed="64"/>
      </patternFill>
    </fill>
    <fill>
      <patternFill patternType="solid">
        <fgColor rgb="FF71AE4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706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2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2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2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2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2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25" fillId="33" borderId="0" applyNumberFormat="0" applyBorder="0" applyAlignment="0" applyProtection="0"/>
    <xf numFmtId="0" fontId="5" fillId="33" borderId="0" applyNumberFormat="0" applyBorder="0" applyAlignment="0" applyProtection="0"/>
    <xf numFmtId="0" fontId="24" fillId="0" borderId="0"/>
    <xf numFmtId="0" fontId="24" fillId="0" borderId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2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2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2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2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2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25" fillId="34" borderId="0" applyNumberFormat="0" applyBorder="0" applyAlignment="0" applyProtection="0"/>
    <xf numFmtId="0" fontId="5" fillId="34" borderId="0" applyNumberFormat="0" applyBorder="0" applyAlignment="0" applyProtection="0"/>
    <xf numFmtId="0" fontId="21" fillId="15" borderId="0" applyNumberFormat="0" applyBorder="0" applyAlignment="0" applyProtection="0"/>
    <xf numFmtId="0" fontId="23" fillId="15" borderId="0" applyNumberFormat="0" applyBorder="0" applyAlignment="0" applyProtection="0"/>
    <xf numFmtId="0" fontId="21" fillId="19" borderId="0" applyNumberFormat="0" applyBorder="0" applyAlignment="0" applyProtection="0"/>
    <xf numFmtId="0" fontId="23" fillId="19" borderId="0" applyNumberFormat="0" applyBorder="0" applyAlignment="0" applyProtection="0"/>
    <xf numFmtId="0" fontId="21" fillId="23" borderId="0" applyNumberFormat="0" applyBorder="0" applyAlignment="0" applyProtection="0"/>
    <xf numFmtId="0" fontId="23" fillId="23" borderId="0" applyNumberFormat="0" applyBorder="0" applyAlignment="0" applyProtection="0"/>
    <xf numFmtId="0" fontId="21" fillId="27" borderId="0" applyNumberFormat="0" applyBorder="0" applyAlignment="0" applyProtection="0"/>
    <xf numFmtId="0" fontId="23" fillId="27" borderId="0" applyNumberFormat="0" applyBorder="0" applyAlignment="0" applyProtection="0"/>
    <xf numFmtId="0" fontId="21" fillId="31" borderId="0" applyNumberFormat="0" applyBorder="0" applyAlignment="0" applyProtection="0"/>
    <xf numFmtId="0" fontId="23" fillId="31" borderId="0" applyNumberFormat="0" applyBorder="0" applyAlignment="0" applyProtection="0"/>
    <xf numFmtId="0" fontId="21" fillId="35" borderId="0" applyNumberFormat="0" applyBorder="0" applyAlignment="0" applyProtection="0"/>
    <xf numFmtId="0" fontId="23" fillId="35" borderId="0" applyNumberFormat="0" applyBorder="0" applyAlignment="0" applyProtection="0"/>
    <xf numFmtId="0" fontId="21" fillId="12" borderId="0" applyNumberFormat="0" applyBorder="0" applyAlignment="0" applyProtection="0"/>
    <xf numFmtId="0" fontId="23" fillId="12" borderId="0" applyNumberFormat="0" applyBorder="0" applyAlignment="0" applyProtection="0"/>
    <xf numFmtId="0" fontId="21" fillId="16" borderId="0" applyNumberFormat="0" applyBorder="0" applyAlignment="0" applyProtection="0"/>
    <xf numFmtId="0" fontId="23" fillId="16" borderId="0" applyNumberFormat="0" applyBorder="0" applyAlignment="0" applyProtection="0"/>
    <xf numFmtId="0" fontId="21" fillId="20" borderId="0" applyNumberFormat="0" applyBorder="0" applyAlignment="0" applyProtection="0"/>
    <xf numFmtId="0" fontId="23" fillId="20" borderId="0" applyNumberFormat="0" applyBorder="0" applyAlignment="0" applyProtection="0"/>
    <xf numFmtId="0" fontId="21" fillId="24" borderId="0" applyNumberFormat="0" applyBorder="0" applyAlignment="0" applyProtection="0"/>
    <xf numFmtId="0" fontId="23" fillId="24" borderId="0" applyNumberFormat="0" applyBorder="0" applyAlignment="0" applyProtection="0"/>
    <xf numFmtId="0" fontId="21" fillId="28" borderId="0" applyNumberFormat="0" applyBorder="0" applyAlignment="0" applyProtection="0"/>
    <xf numFmtId="0" fontId="23" fillId="28" borderId="0" applyNumberFormat="0" applyBorder="0" applyAlignment="0" applyProtection="0"/>
    <xf numFmtId="0" fontId="21" fillId="32" borderId="0" applyNumberFormat="0" applyBorder="0" applyAlignment="0" applyProtection="0"/>
    <xf numFmtId="0" fontId="23" fillId="32" borderId="0" applyNumberFormat="0" applyBorder="0" applyAlignment="0" applyProtection="0"/>
    <xf numFmtId="0" fontId="26" fillId="0" borderId="0" applyFill="0" applyBorder="0" applyProtection="0">
      <alignment horizontal="left"/>
    </xf>
    <xf numFmtId="168" fontId="27" fillId="0" borderId="10">
      <alignment horizontal="center" vertical="center"/>
      <protection locked="0"/>
    </xf>
    <xf numFmtId="168" fontId="27" fillId="0" borderId="10">
      <alignment horizontal="center" vertical="center"/>
      <protection locked="0"/>
    </xf>
    <xf numFmtId="168" fontId="27" fillId="0" borderId="10">
      <alignment horizontal="center" vertical="center"/>
      <protection locked="0"/>
    </xf>
    <xf numFmtId="15" fontId="27" fillId="0" borderId="10">
      <alignment horizontal="center" vertical="center"/>
      <protection locked="0"/>
    </xf>
    <xf numFmtId="15" fontId="27" fillId="0" borderId="10">
      <alignment horizontal="center" vertical="center"/>
      <protection locked="0"/>
    </xf>
    <xf numFmtId="15" fontId="27" fillId="0" borderId="10">
      <alignment horizontal="center" vertical="center"/>
      <protection locked="0"/>
    </xf>
    <xf numFmtId="169" fontId="27" fillId="0" borderId="10">
      <alignment horizontal="center" vertical="center"/>
      <protection locked="0"/>
    </xf>
    <xf numFmtId="169" fontId="27" fillId="0" borderId="10">
      <alignment horizontal="center" vertical="center"/>
      <protection locked="0"/>
    </xf>
    <xf numFmtId="169" fontId="27" fillId="0" borderId="10">
      <alignment horizontal="center" vertical="center"/>
      <protection locked="0"/>
    </xf>
    <xf numFmtId="170" fontId="27" fillId="0" borderId="10">
      <alignment horizontal="center" vertical="center"/>
      <protection locked="0"/>
    </xf>
    <xf numFmtId="170" fontId="27" fillId="0" borderId="10">
      <alignment horizontal="center" vertical="center"/>
      <protection locked="0"/>
    </xf>
    <xf numFmtId="170" fontId="27" fillId="0" borderId="10">
      <alignment horizontal="center" vertical="center"/>
      <protection locked="0"/>
    </xf>
    <xf numFmtId="171" fontId="27" fillId="0" borderId="10">
      <alignment horizontal="center" vertical="center"/>
      <protection locked="0"/>
    </xf>
    <xf numFmtId="171" fontId="27" fillId="0" borderId="10">
      <alignment horizontal="center" vertical="center"/>
      <protection locked="0"/>
    </xf>
    <xf numFmtId="171" fontId="27" fillId="0" borderId="10">
      <alignment horizontal="center" vertical="center"/>
      <protection locked="0"/>
    </xf>
    <xf numFmtId="172" fontId="27" fillId="0" borderId="10">
      <alignment horizontal="center" vertical="center"/>
      <protection locked="0"/>
    </xf>
    <xf numFmtId="172" fontId="27" fillId="0" borderId="10">
      <alignment horizontal="center" vertical="center"/>
      <protection locked="0"/>
    </xf>
    <xf numFmtId="172" fontId="27" fillId="0" borderId="10">
      <alignment horizontal="center" vertical="center"/>
      <protection locked="0"/>
    </xf>
    <xf numFmtId="0" fontId="27" fillId="0" borderId="10">
      <alignment vertical="center"/>
      <protection locked="0"/>
    </xf>
    <xf numFmtId="0" fontId="27" fillId="0" borderId="10">
      <alignment vertical="center"/>
      <protection locked="0"/>
    </xf>
    <xf numFmtId="0" fontId="27" fillId="0" borderId="10">
      <alignment vertical="center"/>
      <protection locked="0"/>
    </xf>
    <xf numFmtId="168" fontId="27" fillId="0" borderId="10">
      <alignment horizontal="right" vertical="center"/>
      <protection locked="0"/>
    </xf>
    <xf numFmtId="168" fontId="27" fillId="0" borderId="10">
      <alignment horizontal="right" vertical="center"/>
      <protection locked="0"/>
    </xf>
    <xf numFmtId="168" fontId="27" fillId="0" borderId="10">
      <alignment horizontal="right" vertical="center"/>
      <protection locked="0"/>
    </xf>
    <xf numFmtId="173" fontId="27" fillId="0" borderId="10">
      <alignment horizontal="right" vertical="center"/>
      <protection locked="0"/>
    </xf>
    <xf numFmtId="173" fontId="27" fillId="0" borderId="10">
      <alignment horizontal="right" vertical="center"/>
      <protection locked="0"/>
    </xf>
    <xf numFmtId="173" fontId="27" fillId="0" borderId="10">
      <alignment horizontal="right" vertical="center"/>
      <protection locked="0"/>
    </xf>
    <xf numFmtId="169" fontId="27" fillId="0" borderId="10">
      <alignment horizontal="right" vertical="center"/>
      <protection locked="0"/>
    </xf>
    <xf numFmtId="169" fontId="27" fillId="0" borderId="10">
      <alignment horizontal="right" vertical="center"/>
      <protection locked="0"/>
    </xf>
    <xf numFmtId="169" fontId="27" fillId="0" borderId="10">
      <alignment horizontal="right" vertical="center"/>
      <protection locked="0"/>
    </xf>
    <xf numFmtId="170" fontId="27" fillId="0" borderId="10">
      <alignment horizontal="right" vertical="center"/>
      <protection locked="0"/>
    </xf>
    <xf numFmtId="170" fontId="27" fillId="0" borderId="10">
      <alignment horizontal="right" vertical="center"/>
      <protection locked="0"/>
    </xf>
    <xf numFmtId="170" fontId="27" fillId="0" borderId="10">
      <alignment horizontal="right" vertical="center"/>
      <protection locked="0"/>
    </xf>
    <xf numFmtId="171" fontId="27" fillId="0" borderId="10">
      <alignment horizontal="right" vertical="center"/>
      <protection locked="0"/>
    </xf>
    <xf numFmtId="171" fontId="27" fillId="0" borderId="10">
      <alignment horizontal="right" vertical="center"/>
      <protection locked="0"/>
    </xf>
    <xf numFmtId="171" fontId="27" fillId="0" borderId="10">
      <alignment horizontal="right" vertical="center"/>
      <protection locked="0"/>
    </xf>
    <xf numFmtId="172" fontId="27" fillId="0" borderId="10">
      <alignment horizontal="right" vertical="center"/>
      <protection locked="0"/>
    </xf>
    <xf numFmtId="172" fontId="27" fillId="0" borderId="10">
      <alignment horizontal="right" vertical="center"/>
      <protection locked="0"/>
    </xf>
    <xf numFmtId="172" fontId="27" fillId="0" borderId="10">
      <alignment horizontal="right" vertical="center"/>
      <protection locked="0"/>
    </xf>
    <xf numFmtId="0" fontId="11" fillId="6" borderId="0" applyNumberFormat="0" applyBorder="0" applyAlignment="0" applyProtection="0"/>
    <xf numFmtId="0" fontId="28" fillId="6" borderId="0" applyNumberFormat="0" applyBorder="0" applyAlignment="0" applyProtection="0"/>
    <xf numFmtId="0" fontId="29" fillId="0" borderId="0"/>
    <xf numFmtId="0" fontId="15" fillId="9" borderId="4" applyNumberFormat="0" applyAlignment="0" applyProtection="0"/>
    <xf numFmtId="0" fontId="30" fillId="9" borderId="4" applyNumberFormat="0" applyAlignment="0" applyProtection="0"/>
    <xf numFmtId="0" fontId="27" fillId="0" borderId="0" applyNumberFormat="0" applyFont="0" applyFill="0" applyBorder="0">
      <alignment horizontal="center" vertical="center"/>
      <protection locked="0"/>
    </xf>
    <xf numFmtId="168" fontId="27" fillId="0" borderId="0" applyFill="0" applyBorder="0">
      <alignment horizontal="center" vertical="center"/>
    </xf>
    <xf numFmtId="15" fontId="27" fillId="0" borderId="0" applyFill="0" applyBorder="0">
      <alignment horizontal="center" vertical="center"/>
    </xf>
    <xf numFmtId="169" fontId="27" fillId="0" borderId="0" applyFill="0" applyBorder="0">
      <alignment horizontal="center" vertical="center"/>
    </xf>
    <xf numFmtId="170" fontId="27" fillId="0" borderId="0" applyFill="0" applyBorder="0">
      <alignment horizontal="center" vertical="center"/>
    </xf>
    <xf numFmtId="171" fontId="27" fillId="0" borderId="0" applyFill="0" applyBorder="0">
      <alignment horizontal="center" vertical="center"/>
    </xf>
    <xf numFmtId="172" fontId="27" fillId="0" borderId="0" applyFill="0" applyBorder="0">
      <alignment horizontal="center" vertical="center"/>
    </xf>
    <xf numFmtId="0" fontId="17" fillId="10" borderId="7" applyNumberFormat="0" applyAlignment="0" applyProtection="0"/>
    <xf numFmtId="0" fontId="31" fillId="10" borderId="7" applyNumberFormat="0" applyAlignment="0" applyProtection="0"/>
    <xf numFmtId="174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3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175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36" fillId="5" borderId="0" applyNumberFormat="0" applyBorder="0" applyAlignment="0" applyProtection="0"/>
    <xf numFmtId="0" fontId="7" fillId="0" borderId="1" applyNumberFormat="0" applyFill="0" applyAlignment="0" applyProtection="0"/>
    <xf numFmtId="0" fontId="37" fillId="0" borderId="1" applyNumberFormat="0" applyFill="0" applyAlignment="0" applyProtection="0"/>
    <xf numFmtId="0" fontId="8" fillId="0" borderId="2" applyNumberFormat="0" applyFill="0" applyAlignment="0" applyProtection="0"/>
    <xf numFmtId="0" fontId="38" fillId="0" borderId="2" applyNumberFormat="0" applyFill="0" applyAlignment="0" applyProtection="0"/>
    <xf numFmtId="0" fontId="9" fillId="0" borderId="3" applyNumberFormat="0" applyFill="0" applyAlignment="0" applyProtection="0"/>
    <xf numFmtId="0" fontId="3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43" fillId="0" borderId="0" applyFill="0" applyBorder="0">
      <alignment horizontal="center" vertical="center"/>
      <protection locked="0"/>
    </xf>
    <xf numFmtId="0" fontId="43" fillId="0" borderId="0" applyFill="0" applyBorder="0">
      <alignment horizontal="center" vertical="center"/>
      <protection locked="0"/>
    </xf>
    <xf numFmtId="0" fontId="44" fillId="0" borderId="0" applyFill="0" applyBorder="0">
      <alignment horizontal="left" vertical="center"/>
      <protection locked="0"/>
    </xf>
    <xf numFmtId="0" fontId="13" fillId="8" borderId="4" applyNumberFormat="0" applyAlignment="0" applyProtection="0"/>
    <xf numFmtId="0" fontId="45" fillId="8" borderId="4" applyNumberFormat="0" applyAlignment="0" applyProtection="0"/>
    <xf numFmtId="0" fontId="16" fillId="0" borderId="6" applyNumberFormat="0" applyFill="0" applyAlignment="0" applyProtection="0"/>
    <xf numFmtId="0" fontId="46" fillId="0" borderId="6" applyNumberFormat="0" applyFill="0" applyAlignment="0" applyProtection="0"/>
    <xf numFmtId="0" fontId="47" fillId="0" borderId="11" applyFill="0">
      <alignment horizontal="center" vertical="center"/>
    </xf>
    <xf numFmtId="0" fontId="27" fillId="0" borderId="11" applyFill="0">
      <alignment horizontal="center" vertical="center"/>
    </xf>
    <xf numFmtId="176" fontId="27" fillId="0" borderId="11" applyFill="0">
      <alignment horizontal="center" vertical="center"/>
    </xf>
    <xf numFmtId="0" fontId="48" fillId="0" borderId="0" applyFill="0" applyBorder="0">
      <alignment horizontal="left" vertical="center"/>
    </xf>
    <xf numFmtId="0" fontId="12" fillId="7" borderId="0" applyNumberFormat="0" applyBorder="0" applyAlignment="0" applyProtection="0"/>
    <xf numFmtId="0" fontId="49" fillId="7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3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77" fontId="5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24" fillId="0" borderId="0"/>
    <xf numFmtId="0" fontId="24" fillId="0" borderId="0"/>
    <xf numFmtId="0" fontId="24" fillId="0" borderId="0"/>
    <xf numFmtId="0" fontId="3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24" fillId="0" borderId="0"/>
    <xf numFmtId="0" fontId="4" fillId="0" borderId="0"/>
    <xf numFmtId="0" fontId="24" fillId="0" borderId="0"/>
    <xf numFmtId="0" fontId="4" fillId="0" borderId="0"/>
    <xf numFmtId="178" fontId="51" fillId="0" borderId="0"/>
    <xf numFmtId="0" fontId="5" fillId="0" borderId="0"/>
    <xf numFmtId="0" fontId="5" fillId="0" borderId="0"/>
    <xf numFmtId="0" fontId="5" fillId="0" borderId="0"/>
    <xf numFmtId="0" fontId="5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5" fillId="11" borderId="8" applyNumberFormat="0" applyFont="0" applyAlignment="0" applyProtection="0"/>
    <xf numFmtId="0" fontId="24" fillId="36" borderId="12" applyNumberFormat="0" applyFont="0" applyAlignment="0" applyProtection="0"/>
    <xf numFmtId="0" fontId="24" fillId="36" borderId="12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14" fillId="9" borderId="5" applyNumberFormat="0" applyAlignment="0" applyProtection="0"/>
    <xf numFmtId="0" fontId="54" fillId="9" borderId="5" applyNumberFormat="0" applyAlignment="0" applyProtection="0"/>
    <xf numFmtId="40" fontId="55" fillId="37" borderId="0">
      <alignment horizontal="right"/>
    </xf>
    <xf numFmtId="0" fontId="56" fillId="37" borderId="0">
      <alignment horizontal="right"/>
    </xf>
    <xf numFmtId="0" fontId="57" fillId="37" borderId="13"/>
    <xf numFmtId="0" fontId="57" fillId="0" borderId="0" applyBorder="0">
      <alignment horizontal="centerContinuous"/>
    </xf>
    <xf numFmtId="0" fontId="58" fillId="0" borderId="0" applyBorder="0">
      <alignment horizontal="centerContinuous"/>
    </xf>
    <xf numFmtId="9" fontId="24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7" fillId="0" borderId="0" applyFill="0" applyBorder="0">
      <alignment vertical="center"/>
    </xf>
    <xf numFmtId="168" fontId="59" fillId="0" borderId="0" applyFill="0" applyBorder="0">
      <alignment horizontal="right" vertical="center"/>
    </xf>
    <xf numFmtId="173" fontId="59" fillId="0" borderId="0" applyFill="0" applyBorder="0">
      <alignment horizontal="right" vertical="center"/>
    </xf>
    <xf numFmtId="0" fontId="60" fillId="0" borderId="0" applyFill="0" applyBorder="0">
      <alignment vertical="center"/>
    </xf>
    <xf numFmtId="0" fontId="61" fillId="0" borderId="0" applyFill="0" applyBorder="0">
      <alignment vertical="center"/>
    </xf>
    <xf numFmtId="0" fontId="62" fillId="0" borderId="0" applyFill="0" applyBorder="0">
      <alignment vertical="center"/>
    </xf>
    <xf numFmtId="0" fontId="59" fillId="0" borderId="0" applyFill="0" applyBorder="0">
      <alignment vertical="center"/>
    </xf>
    <xf numFmtId="0" fontId="43" fillId="0" borderId="0" applyFill="0" applyBorder="0">
      <alignment horizontal="center" vertical="center"/>
      <protection locked="0"/>
    </xf>
    <xf numFmtId="0" fontId="43" fillId="0" borderId="0" applyFill="0" applyBorder="0">
      <alignment horizontal="center" vertical="center"/>
      <protection locked="0"/>
    </xf>
    <xf numFmtId="0" fontId="63" fillId="0" borderId="0" applyFill="0" applyBorder="0">
      <alignment horizontal="left" vertical="center"/>
      <protection locked="0"/>
    </xf>
    <xf numFmtId="0" fontId="64" fillId="0" borderId="0" applyFill="0" applyBorder="0">
      <alignment horizontal="left" vertical="center"/>
    </xf>
    <xf numFmtId="169" fontId="59" fillId="0" borderId="0" applyFill="0" applyBorder="0">
      <alignment horizontal="right" vertical="center"/>
    </xf>
    <xf numFmtId="0" fontId="59" fillId="0" borderId="0" applyFill="0" applyBorder="0">
      <alignment vertical="center"/>
    </xf>
    <xf numFmtId="170" fontId="59" fillId="0" borderId="0" applyFill="0" applyBorder="0">
      <alignment horizontal="right" vertical="center"/>
    </xf>
    <xf numFmtId="171" fontId="59" fillId="0" borderId="0" applyFill="0" applyBorder="0">
      <alignment horizontal="right" vertical="center"/>
    </xf>
    <xf numFmtId="0" fontId="62" fillId="0" borderId="0" applyFill="0" applyBorder="0">
      <alignment vertical="center"/>
    </xf>
    <xf numFmtId="170" fontId="65" fillId="0" borderId="0" applyFill="0" applyBorder="0">
      <alignment horizontal="left" vertical="center"/>
    </xf>
    <xf numFmtId="0" fontId="66" fillId="0" borderId="0" applyFill="0" applyBorder="0">
      <alignment horizontal="left" vertical="center"/>
    </xf>
    <xf numFmtId="172" fontId="59" fillId="0" borderId="0" applyFill="0" applyBorder="0">
      <alignment horizontal="right" vertical="center"/>
    </xf>
    <xf numFmtId="168" fontId="27" fillId="0" borderId="0" applyFill="0" applyBorder="0">
      <alignment horizontal="right" vertical="center"/>
    </xf>
    <xf numFmtId="173" fontId="27" fillId="0" borderId="0" applyFill="0" applyBorder="0">
      <alignment horizontal="right" vertical="center"/>
    </xf>
    <xf numFmtId="169" fontId="27" fillId="0" borderId="0" applyFill="0" applyBorder="0">
      <alignment horizontal="right" vertical="center"/>
    </xf>
    <xf numFmtId="170" fontId="27" fillId="0" borderId="0" applyFill="0" applyBorder="0">
      <alignment horizontal="right" vertical="center"/>
    </xf>
    <xf numFmtId="171" fontId="27" fillId="0" borderId="0" applyFill="0" applyBorder="0">
      <alignment horizontal="right" vertical="center"/>
    </xf>
    <xf numFmtId="172" fontId="27" fillId="0" borderId="0" applyFill="0" applyBorder="0">
      <alignment horizontal="right" vertical="center"/>
    </xf>
    <xf numFmtId="0" fontId="67" fillId="0" borderId="0" applyFill="0" applyBorder="0">
      <alignment horizontal="left" vertical="center"/>
    </xf>
    <xf numFmtId="0" fontId="68" fillId="0" borderId="0" applyFill="0" applyBorder="0">
      <alignment horizontal="left" vertical="center"/>
    </xf>
    <xf numFmtId="0" fontId="24" fillId="0" borderId="0"/>
    <xf numFmtId="0" fontId="69" fillId="0" borderId="0"/>
    <xf numFmtId="49" fontId="70" fillId="0" borderId="0">
      <alignment horizontal="left" vertical="top" wrapText="1"/>
    </xf>
    <xf numFmtId="49" fontId="70" fillId="0" borderId="14">
      <alignment horizontal="left" vertical="top" wrapText="1"/>
    </xf>
    <xf numFmtId="0" fontId="6" fillId="0" borderId="0" applyNumberFormat="0" applyFill="0" applyBorder="0" applyAlignment="0" applyProtection="0"/>
    <xf numFmtId="0" fontId="71" fillId="0" borderId="0" applyFill="0" applyBorder="0">
      <alignment horizontal="left" vertical="center"/>
      <protection locked="0"/>
    </xf>
    <xf numFmtId="0" fontId="72" fillId="0" borderId="0" applyFill="0" applyBorder="0">
      <alignment horizontal="left" vertical="center"/>
      <protection locked="0"/>
    </xf>
    <xf numFmtId="0" fontId="73" fillId="0" borderId="0" applyFill="0" applyBorder="0">
      <alignment horizontal="left" vertical="center"/>
      <protection locked="0"/>
    </xf>
    <xf numFmtId="0" fontId="74" fillId="0" borderId="0" applyFill="0" applyBorder="0">
      <alignment horizontal="left" vertical="center"/>
      <protection locked="0"/>
    </xf>
    <xf numFmtId="0" fontId="20" fillId="0" borderId="9" applyNumberFormat="0" applyFill="0" applyAlignment="0" applyProtection="0"/>
    <xf numFmtId="0" fontId="75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17" fillId="10" borderId="7" applyNumberFormat="0" applyAlignment="0" applyProtection="0"/>
    <xf numFmtId="0" fontId="18" fillId="0" borderId="0" applyNumberFormat="0" applyFill="0" applyBorder="0" applyAlignment="0" applyProtection="0"/>
    <xf numFmtId="0" fontId="5" fillId="11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21" fillId="19" borderId="0" applyNumberFormat="0" applyBorder="0" applyAlignment="0" applyProtection="0"/>
    <xf numFmtId="0" fontId="21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21" fillId="23" borderId="0" applyNumberFormat="0" applyBorder="0" applyAlignment="0" applyProtection="0"/>
    <xf numFmtId="0" fontId="21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21" fillId="35" borderId="0" applyNumberFormat="0" applyBorder="0" applyAlignment="0" applyProtection="0"/>
    <xf numFmtId="0" fontId="53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3" fillId="0" borderId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80" fontId="80" fillId="0" borderId="0"/>
    <xf numFmtId="180" fontId="80" fillId="0" borderId="0"/>
    <xf numFmtId="181" fontId="80" fillId="0" borderId="0"/>
    <xf numFmtId="180" fontId="80" fillId="0" borderId="0"/>
    <xf numFmtId="181" fontId="80" fillId="0" borderId="0"/>
    <xf numFmtId="182" fontId="80" fillId="0" borderId="0"/>
    <xf numFmtId="182" fontId="80" fillId="0" borderId="0"/>
    <xf numFmtId="183" fontId="80" fillId="0" borderId="0"/>
    <xf numFmtId="0" fontId="5" fillId="0" borderId="0"/>
    <xf numFmtId="0" fontId="80" fillId="0" borderId="0"/>
    <xf numFmtId="0" fontId="5" fillId="0" borderId="0"/>
    <xf numFmtId="0" fontId="53" fillId="0" borderId="0"/>
    <xf numFmtId="0" fontId="53" fillId="0" borderId="0"/>
    <xf numFmtId="0" fontId="81" fillId="0" borderId="0" applyNumberFormat="0" applyBorder="0" applyAlignment="0"/>
    <xf numFmtId="0" fontId="80" fillId="0" borderId="0"/>
    <xf numFmtId="0" fontId="81" fillId="0" borderId="0" applyNumberFormat="0" applyBorder="0" applyAlignment="0"/>
    <xf numFmtId="0" fontId="82" fillId="0" borderId="0" applyNumberFormat="0" applyBorder="0" applyAlignment="0"/>
    <xf numFmtId="0" fontId="83" fillId="0" borderId="0"/>
    <xf numFmtId="0" fontId="83" fillId="0" borderId="0"/>
    <xf numFmtId="0" fontId="82" fillId="0" borderId="0" applyNumberFormat="0" applyBorder="0" applyAlignment="0"/>
    <xf numFmtId="0" fontId="83" fillId="0" borderId="0"/>
    <xf numFmtId="0" fontId="84" fillId="0" borderId="0"/>
    <xf numFmtId="0" fontId="85" fillId="0" borderId="0" applyNumberFormat="0" applyBorder="0" applyAlignment="0"/>
    <xf numFmtId="0" fontId="86" fillId="0" borderId="0" applyNumberFormat="0" applyBorder="0" applyAlignment="0"/>
    <xf numFmtId="0" fontId="87" fillId="0" borderId="0"/>
    <xf numFmtId="0" fontId="87" fillId="0" borderId="0"/>
    <xf numFmtId="0" fontId="82" fillId="0" borderId="0" applyNumberFormat="0" applyBorder="0" applyAlignment="0"/>
    <xf numFmtId="0" fontId="88" fillId="0" borderId="0" applyNumberFormat="0" applyBorder="0" applyAlignment="0"/>
    <xf numFmtId="0" fontId="87" fillId="0" borderId="0"/>
    <xf numFmtId="0" fontId="89" fillId="0" borderId="0"/>
    <xf numFmtId="0" fontId="90" fillId="0" borderId="0"/>
    <xf numFmtId="0" fontId="91" fillId="0" borderId="0"/>
    <xf numFmtId="0" fontId="92" fillId="0" borderId="0"/>
    <xf numFmtId="0" fontId="89" fillId="0" borderId="0"/>
    <xf numFmtId="0" fontId="80" fillId="0" borderId="0"/>
    <xf numFmtId="0" fontId="80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3" fillId="0" borderId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44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44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44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53" fillId="13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53" fillId="17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53" fillId="2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53" fillId="25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53" fillId="29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53" fillId="33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53" fillId="14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53" fillId="18" borderId="0" applyNumberFormat="0" applyBorder="0" applyAlignment="0" applyProtection="0"/>
    <xf numFmtId="0" fontId="95" fillId="43" borderId="0" applyNumberFormat="0" applyBorder="0" applyAlignment="0" applyProtection="0"/>
    <xf numFmtId="0" fontId="95" fillId="43" borderId="0" applyNumberFormat="0" applyBorder="0" applyAlignment="0" applyProtection="0"/>
    <xf numFmtId="0" fontId="53" fillId="22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53" fillId="26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53" fillId="30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53" fillId="34" borderId="0" applyNumberFormat="0" applyBorder="0" applyAlignment="0" applyProtection="0"/>
    <xf numFmtId="0" fontId="96" fillId="42" borderId="0" applyNumberFormat="0" applyBorder="0" applyAlignment="0" applyProtection="0"/>
    <xf numFmtId="0" fontId="96" fillId="42" borderId="0" applyNumberFormat="0" applyBorder="0" applyAlignment="0" applyProtection="0"/>
    <xf numFmtId="0" fontId="97" fillId="15" borderId="0" applyNumberFormat="0" applyBorder="0" applyAlignment="0" applyProtection="0"/>
    <xf numFmtId="0" fontId="96" fillId="45" borderId="0" applyNumberFormat="0" applyBorder="0" applyAlignment="0" applyProtection="0"/>
    <xf numFmtId="0" fontId="96" fillId="45" borderId="0" applyNumberFormat="0" applyBorder="0" applyAlignment="0" applyProtection="0"/>
    <xf numFmtId="0" fontId="97" fillId="19" borderId="0" applyNumberFormat="0" applyBorder="0" applyAlignment="0" applyProtection="0"/>
    <xf numFmtId="0" fontId="96" fillId="46" borderId="0" applyNumberFormat="0" applyBorder="0" applyAlignment="0" applyProtection="0"/>
    <xf numFmtId="0" fontId="96" fillId="46" borderId="0" applyNumberFormat="0" applyBorder="0" applyAlignment="0" applyProtection="0"/>
    <xf numFmtId="0" fontId="97" fillId="23" borderId="0" applyNumberFormat="0" applyBorder="0" applyAlignment="0" applyProtection="0"/>
    <xf numFmtId="0" fontId="96" fillId="44" borderId="0" applyNumberFormat="0" applyBorder="0" applyAlignment="0" applyProtection="0"/>
    <xf numFmtId="0" fontId="96" fillId="44" borderId="0" applyNumberFormat="0" applyBorder="0" applyAlignment="0" applyProtection="0"/>
    <xf numFmtId="0" fontId="97" fillId="27" borderId="0" applyNumberFormat="0" applyBorder="0" applyAlignment="0" applyProtection="0"/>
    <xf numFmtId="0" fontId="96" fillId="42" borderId="0" applyNumberFormat="0" applyBorder="0" applyAlignment="0" applyProtection="0"/>
    <xf numFmtId="0" fontId="96" fillId="42" borderId="0" applyNumberFormat="0" applyBorder="0" applyAlignment="0" applyProtection="0"/>
    <xf numFmtId="0" fontId="97" fillId="31" borderId="0" applyNumberFormat="0" applyBorder="0" applyAlignment="0" applyProtection="0"/>
    <xf numFmtId="0" fontId="96" fillId="40" borderId="0" applyNumberFormat="0" applyBorder="0" applyAlignment="0" applyProtection="0"/>
    <xf numFmtId="0" fontId="96" fillId="40" borderId="0" applyNumberFormat="0" applyBorder="0" applyAlignment="0" applyProtection="0"/>
    <xf numFmtId="0" fontId="97" fillId="35" borderId="0" applyNumberFormat="0" applyBorder="0" applyAlignment="0" applyProtection="0"/>
    <xf numFmtId="0" fontId="96" fillId="47" borderId="0" applyNumberFormat="0" applyBorder="0" applyAlignment="0" applyProtection="0"/>
    <xf numFmtId="0" fontId="96" fillId="47" borderId="0" applyNumberFormat="0" applyBorder="0" applyAlignment="0" applyProtection="0"/>
    <xf numFmtId="0" fontId="97" fillId="12" borderId="0" applyNumberFormat="0" applyBorder="0" applyAlignment="0" applyProtection="0"/>
    <xf numFmtId="0" fontId="96" fillId="45" borderId="0" applyNumberFormat="0" applyBorder="0" applyAlignment="0" applyProtection="0"/>
    <xf numFmtId="0" fontId="96" fillId="45" borderId="0" applyNumberFormat="0" applyBorder="0" applyAlignment="0" applyProtection="0"/>
    <xf numFmtId="0" fontId="97" fillId="16" borderId="0" applyNumberFormat="0" applyBorder="0" applyAlignment="0" applyProtection="0"/>
    <xf numFmtId="0" fontId="96" fillId="46" borderId="0" applyNumberFormat="0" applyBorder="0" applyAlignment="0" applyProtection="0"/>
    <xf numFmtId="0" fontId="96" fillId="46" borderId="0" applyNumberFormat="0" applyBorder="0" applyAlignment="0" applyProtection="0"/>
    <xf numFmtId="0" fontId="97" fillId="20" borderId="0" applyNumberFormat="0" applyBorder="0" applyAlignment="0" applyProtection="0"/>
    <xf numFmtId="0" fontId="96" fillId="48" borderId="0" applyNumberFormat="0" applyBorder="0" applyAlignment="0" applyProtection="0"/>
    <xf numFmtId="0" fontId="96" fillId="48" borderId="0" applyNumberFormat="0" applyBorder="0" applyAlignment="0" applyProtection="0"/>
    <xf numFmtId="0" fontId="97" fillId="24" borderId="0" applyNumberFormat="0" applyBorder="0" applyAlignment="0" applyProtection="0"/>
    <xf numFmtId="0" fontId="96" fillId="49" borderId="0" applyNumberFormat="0" applyBorder="0" applyAlignment="0" applyProtection="0"/>
    <xf numFmtId="0" fontId="96" fillId="49" borderId="0" applyNumberFormat="0" applyBorder="0" applyAlignment="0" applyProtection="0"/>
    <xf numFmtId="0" fontId="97" fillId="28" borderId="0" applyNumberFormat="0" applyBorder="0" applyAlignment="0" applyProtection="0"/>
    <xf numFmtId="0" fontId="96" fillId="50" borderId="0" applyNumberFormat="0" applyBorder="0" applyAlignment="0" applyProtection="0"/>
    <xf numFmtId="0" fontId="96" fillId="50" borderId="0" applyNumberFormat="0" applyBorder="0" applyAlignment="0" applyProtection="0"/>
    <xf numFmtId="0" fontId="97" fillId="32" borderId="0" applyNumberFormat="0" applyBorder="0" applyAlignment="0" applyProtection="0"/>
    <xf numFmtId="0" fontId="20" fillId="0" borderId="0"/>
    <xf numFmtId="0" fontId="98" fillId="51" borderId="0" applyNumberFormat="0" applyBorder="0" applyAlignment="0" applyProtection="0"/>
    <xf numFmtId="0" fontId="98" fillId="51" borderId="0" applyNumberFormat="0" applyBorder="0" applyAlignment="0" applyProtection="0"/>
    <xf numFmtId="0" fontId="99" fillId="6" borderId="0" applyNumberFormat="0" applyBorder="0" applyAlignment="0" applyProtection="0"/>
    <xf numFmtId="0" fontId="93" fillId="6" borderId="0" applyNumberFormat="0" applyBorder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0" fillId="52" borderId="16" applyNumberFormat="0" applyAlignment="0" applyProtection="0"/>
    <xf numFmtId="0" fontId="101" fillId="9" borderId="4" applyNumberFormat="0" applyAlignment="0" applyProtection="0"/>
    <xf numFmtId="0" fontId="101" fillId="9" borderId="4" applyNumberFormat="0" applyAlignment="0" applyProtection="0"/>
    <xf numFmtId="0" fontId="101" fillId="9" borderId="4" applyNumberFormat="0" applyAlignment="0" applyProtection="0"/>
    <xf numFmtId="0" fontId="102" fillId="53" borderId="17" applyNumberFormat="0" applyAlignment="0" applyProtection="0"/>
    <xf numFmtId="0" fontId="102" fillId="53" borderId="17" applyNumberFormat="0" applyAlignment="0" applyProtection="0"/>
    <xf numFmtId="0" fontId="103" fillId="10" borderId="7" applyNumberFormat="0" applyAlignment="0" applyProtection="0"/>
    <xf numFmtId="43" fontId="104" fillId="0" borderId="0" applyFont="0" applyFill="0" applyBorder="0" applyAlignment="0" applyProtection="0"/>
    <xf numFmtId="43" fontId="10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9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175" fontId="81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0" fontId="106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8" fillId="42" borderId="0" applyNumberFormat="0" applyBorder="0" applyAlignment="0" applyProtection="0"/>
    <xf numFmtId="0" fontId="108" fillId="42" borderId="0" applyNumberFormat="0" applyBorder="0" applyAlignment="0" applyProtection="0"/>
    <xf numFmtId="0" fontId="109" fillId="5" borderId="0" applyNumberFormat="0" applyBorder="0" applyAlignment="0" applyProtection="0"/>
    <xf numFmtId="0" fontId="110" fillId="0" borderId="18" applyNumberFormat="0" applyFill="0" applyAlignment="0" applyProtection="0"/>
    <xf numFmtId="0" fontId="111" fillId="0" borderId="1" applyNumberFormat="0" applyFill="0" applyAlignment="0" applyProtection="0"/>
    <xf numFmtId="0" fontId="112" fillId="0" borderId="19" applyNumberFormat="0" applyFill="0" applyAlignment="0" applyProtection="0"/>
    <xf numFmtId="0" fontId="8" fillId="0" borderId="2" applyNumberFormat="0" applyFill="0" applyAlignment="0" applyProtection="0"/>
    <xf numFmtId="0" fontId="113" fillId="0" borderId="2" applyNumberFormat="0" applyFill="0" applyAlignment="0" applyProtection="0"/>
    <xf numFmtId="0" fontId="114" fillId="0" borderId="20" applyNumberFormat="0" applyFill="0" applyAlignment="0" applyProtection="0"/>
    <xf numFmtId="0" fontId="9" fillId="0" borderId="3" applyNumberFormat="0" applyFill="0" applyAlignment="0" applyProtection="0"/>
    <xf numFmtId="0" fontId="115" fillId="0" borderId="3" applyNumberFormat="0" applyFill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8" fillId="43" borderId="16" applyNumberFormat="0" applyAlignment="0" applyProtection="0"/>
    <xf numFmtId="0" fontId="119" fillId="8" borderId="4" applyNumberFormat="0" applyAlignment="0" applyProtection="0"/>
    <xf numFmtId="0" fontId="119" fillId="8" borderId="4" applyNumberFormat="0" applyAlignment="0" applyProtection="0"/>
    <xf numFmtId="0" fontId="119" fillId="8" borderId="4" applyNumberFormat="0" applyAlignment="0" applyProtection="0"/>
    <xf numFmtId="0" fontId="120" fillId="0" borderId="21" applyNumberFormat="0" applyFill="0" applyAlignment="0" applyProtection="0"/>
    <xf numFmtId="0" fontId="120" fillId="0" borderId="21" applyNumberFormat="0" applyFill="0" applyAlignment="0" applyProtection="0"/>
    <xf numFmtId="0" fontId="121" fillId="0" borderId="6" applyNumberFormat="0" applyFill="0" applyAlignment="0" applyProtection="0"/>
    <xf numFmtId="0" fontId="122" fillId="43" borderId="0" applyNumberFormat="0" applyBorder="0" applyAlignment="0" applyProtection="0"/>
    <xf numFmtId="0" fontId="12" fillId="7" borderId="0" applyNumberFormat="0" applyBorder="0" applyAlignment="0" applyProtection="0"/>
    <xf numFmtId="0" fontId="94" fillId="7" borderId="0" applyNumberFormat="0" applyBorder="0" applyAlignment="0" applyProtection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2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24" fillId="0" borderId="0"/>
    <xf numFmtId="0" fontId="53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24" fillId="0" borderId="0"/>
    <xf numFmtId="0" fontId="24" fillId="0" borderId="0"/>
    <xf numFmtId="0" fontId="123" fillId="0" borderId="0"/>
    <xf numFmtId="0" fontId="53" fillId="0" borderId="0"/>
    <xf numFmtId="0" fontId="5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24" fillId="0" borderId="0"/>
    <xf numFmtId="0" fontId="53" fillId="0" borderId="0"/>
    <xf numFmtId="0" fontId="53" fillId="0" borderId="0"/>
    <xf numFmtId="0" fontId="53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>
      <alignment wrapText="1"/>
    </xf>
    <xf numFmtId="0" fontId="24" fillId="0" borderId="0">
      <alignment wrapTex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4" fillId="0" borderId="0"/>
    <xf numFmtId="0" fontId="24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3" fillId="0" borderId="0"/>
    <xf numFmtId="0" fontId="105" fillId="0" borderId="0"/>
    <xf numFmtId="0" fontId="105" fillId="0" borderId="0"/>
    <xf numFmtId="0" fontId="10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105" fillId="0" borderId="0"/>
    <xf numFmtId="0" fontId="5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3" fillId="0" borderId="0"/>
    <xf numFmtId="0" fontId="53" fillId="0" borderId="0"/>
    <xf numFmtId="0" fontId="53" fillId="0" borderId="0"/>
    <xf numFmtId="0" fontId="27" fillId="36" borderId="12" applyNumberFormat="0" applyFont="0" applyAlignment="0" applyProtection="0"/>
    <xf numFmtId="0" fontId="27" fillId="36" borderId="12" applyNumberFormat="0" applyFont="0" applyAlignment="0" applyProtection="0"/>
    <xf numFmtId="0" fontId="5" fillId="11" borderId="8" applyNumberFormat="0" applyFont="0" applyAlignment="0" applyProtection="0"/>
    <xf numFmtId="0" fontId="27" fillId="36" borderId="12" applyNumberFormat="0" applyFont="0" applyAlignment="0" applyProtection="0"/>
    <xf numFmtId="0" fontId="5" fillId="11" borderId="8" applyNumberFormat="0" applyFont="0" applyAlignment="0" applyProtection="0"/>
    <xf numFmtId="0" fontId="27" fillId="36" borderId="12" applyNumberFormat="0" applyFont="0" applyAlignment="0" applyProtection="0"/>
    <xf numFmtId="0" fontId="5" fillId="11" borderId="8" applyNumberFormat="0" applyFont="0" applyAlignment="0" applyProtection="0"/>
    <xf numFmtId="0" fontId="27" fillId="36" borderId="12" applyNumberFormat="0" applyFont="0" applyAlignment="0" applyProtection="0"/>
    <xf numFmtId="0" fontId="27" fillId="36" borderId="12" applyNumberFormat="0" applyFont="0" applyAlignment="0" applyProtection="0"/>
    <xf numFmtId="0" fontId="27" fillId="36" borderId="12" applyNumberFormat="0" applyFont="0" applyAlignment="0" applyProtection="0"/>
    <xf numFmtId="0" fontId="5" fillId="11" borderId="8" applyNumberFormat="0" applyFont="0" applyAlignment="0" applyProtection="0"/>
    <xf numFmtId="0" fontId="27" fillId="36" borderId="12" applyNumberFormat="0" applyFont="0" applyAlignment="0" applyProtection="0"/>
    <xf numFmtId="0" fontId="53" fillId="11" borderId="8" applyNumberFormat="0" applyFon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4" fillId="52" borderId="22" applyNumberFormat="0" applyAlignment="0" applyProtection="0"/>
    <xf numFmtId="0" fontId="125" fillId="9" borderId="5" applyNumberFormat="0" applyAlignment="0" applyProtection="0"/>
    <xf numFmtId="0" fontId="125" fillId="9" borderId="5" applyNumberFormat="0" applyAlignment="0" applyProtection="0"/>
    <xf numFmtId="0" fontId="125" fillId="9" borderId="5" applyNumberFormat="0" applyAlignment="0" applyProtection="0"/>
    <xf numFmtId="9" fontId="24" fillId="0" borderId="0" applyFont="0" applyFill="0" applyBorder="0" applyAlignment="0" applyProtection="0"/>
    <xf numFmtId="9" fontId="9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9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95" fillId="0" borderId="0" applyFont="0" applyFill="0" applyBorder="0" applyAlignment="0" applyProtection="0"/>
    <xf numFmtId="9" fontId="95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105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128" fillId="0" borderId="23" applyNumberFormat="0" applyFill="0" applyAlignment="0" applyProtection="0"/>
    <xf numFmtId="0" fontId="78" fillId="0" borderId="9" applyNumberFormat="0" applyFill="0" applyAlignment="0" applyProtection="0"/>
    <xf numFmtId="0" fontId="78" fillId="0" borderId="9" applyNumberFormat="0" applyFill="0" applyAlignment="0" applyProtection="0"/>
    <xf numFmtId="0" fontId="78" fillId="0" borderId="9" applyNumberFormat="0" applyFill="0" applyAlignment="0" applyProtection="0"/>
    <xf numFmtId="0" fontId="120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9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29" borderId="0" applyNumberFormat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174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9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9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14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7" borderId="0" applyNumberFormat="0" applyBorder="0" applyAlignment="0" applyProtection="0"/>
    <xf numFmtId="174" fontId="5" fillId="0" borderId="0" applyFont="0" applyFill="0" applyBorder="0" applyAlignment="0" applyProtection="0"/>
    <xf numFmtId="0" fontId="5" fillId="26" borderId="0" applyNumberFormat="0" applyBorder="0" applyAlignment="0" applyProtection="0"/>
    <xf numFmtId="0" fontId="5" fillId="18" borderId="0" applyNumberFormat="0" applyBorder="0" applyAlignment="0" applyProtection="0"/>
    <xf numFmtId="0" fontId="5" fillId="33" borderId="0" applyNumberFormat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17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25" borderId="0" applyNumberFormat="0" applyBorder="0" applyAlignment="0" applyProtection="0"/>
    <xf numFmtId="174" fontId="5" fillId="0" borderId="0" applyFont="0" applyFill="0" applyBorder="0" applyAlignment="0" applyProtection="0"/>
    <xf numFmtId="0" fontId="5" fillId="30" borderId="0" applyNumberFormat="0" applyBorder="0" applyAlignment="0" applyProtection="0"/>
    <xf numFmtId="0" fontId="5" fillId="21" borderId="0" applyNumberFormat="0" applyBorder="0" applyAlignment="0" applyProtection="0"/>
    <xf numFmtId="43" fontId="5" fillId="0" borderId="0" applyFont="0" applyFill="0" applyBorder="0" applyAlignment="0" applyProtection="0"/>
    <xf numFmtId="0" fontId="5" fillId="29" borderId="0" applyNumberFormat="0" applyBorder="0" applyAlignment="0" applyProtection="0"/>
    <xf numFmtId="174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0" borderId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29" borderId="0" applyNumberFormat="0" applyBorder="0" applyAlignment="0" applyProtection="0"/>
    <xf numFmtId="17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30" borderId="0" applyNumberFormat="0" applyBorder="0" applyAlignment="0" applyProtection="0"/>
    <xf numFmtId="0" fontId="5" fillId="14" borderId="0" applyNumberFormat="0" applyBorder="0" applyAlignment="0" applyProtection="0"/>
    <xf numFmtId="0" fontId="5" fillId="22" borderId="0" applyNumberFormat="0" applyBorder="0" applyAlignment="0" applyProtection="0"/>
    <xf numFmtId="174" fontId="5" fillId="0" borderId="0" applyFont="0" applyFill="0" applyBorder="0" applyAlignment="0" applyProtection="0"/>
    <xf numFmtId="0" fontId="5" fillId="30" borderId="0" applyNumberFormat="0" applyBorder="0" applyAlignment="0" applyProtection="0"/>
    <xf numFmtId="0" fontId="5" fillId="0" borderId="0"/>
    <xf numFmtId="0" fontId="5" fillId="22" borderId="0" applyNumberFormat="0" applyBorder="0" applyAlignment="0" applyProtection="0"/>
    <xf numFmtId="43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21" borderId="0" applyNumberFormat="0" applyBorder="0" applyAlignment="0" applyProtection="0"/>
    <xf numFmtId="43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0" borderId="0"/>
    <xf numFmtId="0" fontId="5" fillId="29" borderId="0" applyNumberFormat="0" applyBorder="0" applyAlignment="0" applyProtection="0"/>
    <xf numFmtId="0" fontId="5" fillId="26" borderId="0" applyNumberFormat="0" applyBorder="0" applyAlignment="0" applyProtection="0"/>
    <xf numFmtId="0" fontId="5" fillId="22" borderId="0" applyNumberFormat="0" applyBorder="0" applyAlignment="0" applyProtection="0"/>
    <xf numFmtId="0" fontId="5" fillId="0" borderId="0"/>
    <xf numFmtId="0" fontId="5" fillId="18" borderId="0" applyNumberFormat="0" applyBorder="0" applyAlignment="0" applyProtection="0"/>
    <xf numFmtId="43" fontId="5" fillId="0" borderId="0" applyFont="0" applyFill="0" applyBorder="0" applyAlignment="0" applyProtection="0"/>
    <xf numFmtId="0" fontId="5" fillId="33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174" fontId="5" fillId="0" borderId="0" applyFont="0" applyFill="0" applyBorder="0" applyAlignment="0" applyProtection="0"/>
    <xf numFmtId="0" fontId="5" fillId="33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26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14" borderId="0" applyNumberFormat="0" applyBorder="0" applyAlignment="0" applyProtection="0"/>
    <xf numFmtId="0" fontId="5" fillId="33" borderId="0" applyNumberFormat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21" borderId="0" applyNumberFormat="0" applyBorder="0" applyAlignment="0" applyProtection="0"/>
    <xf numFmtId="174" fontId="5" fillId="0" borderId="0" applyFont="0" applyFill="0" applyBorder="0" applyAlignment="0" applyProtection="0"/>
    <xf numFmtId="0" fontId="5" fillId="22" borderId="0" applyNumberFormat="0" applyBorder="0" applyAlignment="0" applyProtection="0"/>
    <xf numFmtId="9" fontId="5" fillId="0" borderId="0" applyFont="0" applyFill="0" applyBorder="0" applyAlignment="0" applyProtection="0"/>
    <xf numFmtId="0" fontId="5" fillId="11" borderId="8" applyNumberFormat="0" applyFont="0" applyAlignment="0" applyProtection="0"/>
    <xf numFmtId="174" fontId="5" fillId="0" borderId="0" applyFont="0" applyFill="0" applyBorder="0" applyAlignment="0" applyProtection="0"/>
    <xf numFmtId="0" fontId="5" fillId="33" borderId="0" applyNumberFormat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3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174" fontId="5" fillId="0" borderId="0" applyFont="0" applyFill="0" applyBorder="0" applyAlignment="0" applyProtection="0"/>
    <xf numFmtId="0" fontId="5" fillId="21" borderId="0" applyNumberFormat="0" applyBorder="0" applyAlignment="0" applyProtection="0"/>
    <xf numFmtId="0" fontId="5" fillId="29" borderId="0" applyNumberFormat="0" applyBorder="0" applyAlignment="0" applyProtection="0"/>
    <xf numFmtId="0" fontId="5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29" borderId="0" applyNumberFormat="0" applyBorder="0" applyAlignment="0" applyProtection="0"/>
    <xf numFmtId="0" fontId="5" fillId="11" borderId="8" applyNumberFormat="0" applyFont="0" applyAlignment="0" applyProtection="0"/>
    <xf numFmtId="174" fontId="5" fillId="0" borderId="0" applyFont="0" applyFill="0" applyBorder="0" applyAlignment="0" applyProtection="0"/>
    <xf numFmtId="0" fontId="5" fillId="26" borderId="0" applyNumberFormat="0" applyBorder="0" applyAlignment="0" applyProtection="0"/>
    <xf numFmtId="43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11" borderId="8" applyNumberFormat="0" applyFont="0" applyAlignment="0" applyProtection="0"/>
    <xf numFmtId="0" fontId="5" fillId="21" borderId="0" applyNumberFormat="0" applyBorder="0" applyAlignment="0" applyProtection="0"/>
    <xf numFmtId="0" fontId="5" fillId="30" borderId="0" applyNumberFormat="0" applyBorder="0" applyAlignment="0" applyProtection="0"/>
    <xf numFmtId="0" fontId="5" fillId="17" borderId="0" applyNumberFormat="0" applyBorder="0" applyAlignment="0" applyProtection="0"/>
    <xf numFmtId="0" fontId="5" fillId="0" borderId="0"/>
    <xf numFmtId="0" fontId="5" fillId="34" borderId="0" applyNumberFormat="0" applyBorder="0" applyAlignment="0" applyProtection="0"/>
    <xf numFmtId="0" fontId="5" fillId="30" borderId="0" applyNumberFormat="0" applyBorder="0" applyAlignment="0" applyProtection="0"/>
    <xf numFmtId="174" fontId="5" fillId="0" borderId="0" applyFont="0" applyFill="0" applyBorder="0" applyAlignment="0" applyProtection="0"/>
    <xf numFmtId="0" fontId="5" fillId="26" borderId="0" applyNumberFormat="0" applyBorder="0" applyAlignment="0" applyProtection="0"/>
    <xf numFmtId="0" fontId="5" fillId="21" borderId="0" applyNumberFormat="0" applyBorder="0" applyAlignment="0" applyProtection="0"/>
    <xf numFmtId="0" fontId="5" fillId="26" borderId="0" applyNumberFormat="0" applyBorder="0" applyAlignment="0" applyProtection="0"/>
    <xf numFmtId="0" fontId="5" fillId="0" borderId="0"/>
    <xf numFmtId="0" fontId="5" fillId="33" borderId="0" applyNumberFormat="0" applyBorder="0" applyAlignment="0" applyProtection="0"/>
    <xf numFmtId="0" fontId="5" fillId="17" borderId="0" applyNumberFormat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25" borderId="0" applyNumberFormat="0" applyBorder="0" applyAlignment="0" applyProtection="0"/>
    <xf numFmtId="0" fontId="5" fillId="30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33" borderId="0" applyNumberFormat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11" borderId="8" applyNumberFormat="0" applyFont="0" applyAlignment="0" applyProtection="0"/>
    <xf numFmtId="174" fontId="5" fillId="0" borderId="0" applyFont="0" applyFill="0" applyBorder="0" applyAlignment="0" applyProtection="0"/>
    <xf numFmtId="0" fontId="5" fillId="30" borderId="0" applyNumberFormat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0" fontId="5" fillId="2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5" fillId="26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8" applyNumberFormat="0" applyFont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34" borderId="0" applyNumberFormat="0" applyBorder="0" applyAlignment="0" applyProtection="0"/>
    <xf numFmtId="0" fontId="5" fillId="11" borderId="8" applyNumberFormat="0" applyFont="0" applyAlignment="0" applyProtection="0"/>
    <xf numFmtId="0" fontId="5" fillId="17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4" borderId="0" applyNumberFormat="0" applyBorder="0" applyAlignment="0" applyProtection="0"/>
    <xf numFmtId="0" fontId="5" fillId="14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29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22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13" borderId="0" applyNumberFormat="0" applyBorder="0" applyAlignment="0" applyProtection="0"/>
    <xf numFmtId="0" fontId="5" fillId="26" borderId="0" applyNumberFormat="0" applyBorder="0" applyAlignment="0" applyProtection="0"/>
    <xf numFmtId="0" fontId="5" fillId="34" borderId="0" applyNumberFormat="0" applyBorder="0" applyAlignment="0" applyProtection="0"/>
    <xf numFmtId="0" fontId="5" fillId="22" borderId="0" applyNumberFormat="0" applyBorder="0" applyAlignment="0" applyProtection="0"/>
    <xf numFmtId="0" fontId="5" fillId="11" borderId="8" applyNumberFormat="0" applyFont="0" applyAlignment="0" applyProtection="0"/>
    <xf numFmtId="0" fontId="5" fillId="0" borderId="0"/>
    <xf numFmtId="0" fontId="5" fillId="17" borderId="0" applyNumberFormat="0" applyBorder="0" applyAlignment="0" applyProtection="0"/>
    <xf numFmtId="17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29" borderId="0" applyNumberFormat="0" applyBorder="0" applyAlignment="0" applyProtection="0"/>
    <xf numFmtId="0" fontId="5" fillId="18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18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0" borderId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34" borderId="0" applyNumberFormat="0" applyBorder="0" applyAlignment="0" applyProtection="0"/>
    <xf numFmtId="43" fontId="5" fillId="0" borderId="0" applyFont="0" applyFill="0" applyBorder="0" applyAlignment="0" applyProtection="0"/>
    <xf numFmtId="0" fontId="5" fillId="29" borderId="0" applyNumberFormat="0" applyBorder="0" applyAlignment="0" applyProtection="0"/>
    <xf numFmtId="174" fontId="5" fillId="0" borderId="0" applyFont="0" applyFill="0" applyBorder="0" applyAlignment="0" applyProtection="0"/>
    <xf numFmtId="0" fontId="5" fillId="17" borderId="0" applyNumberFormat="0" applyBorder="0" applyAlignment="0" applyProtection="0"/>
    <xf numFmtId="0" fontId="5" fillId="30" borderId="0" applyNumberFormat="0" applyBorder="0" applyAlignment="0" applyProtection="0"/>
    <xf numFmtId="0" fontId="5" fillId="13" borderId="0" applyNumberFormat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21" borderId="0" applyNumberFormat="0" applyBorder="0" applyAlignment="0" applyProtection="0"/>
    <xf numFmtId="0" fontId="5" fillId="0" borderId="0"/>
    <xf numFmtId="0" fontId="5" fillId="29" borderId="0" applyNumberFormat="0" applyBorder="0" applyAlignment="0" applyProtection="0"/>
    <xf numFmtId="0" fontId="5" fillId="14" borderId="0" applyNumberFormat="0" applyBorder="0" applyAlignment="0" applyProtection="0"/>
    <xf numFmtId="174" fontId="5" fillId="0" borderId="0" applyFont="0" applyFill="0" applyBorder="0" applyAlignment="0" applyProtection="0"/>
    <xf numFmtId="0" fontId="5" fillId="18" borderId="0" applyNumberFormat="0" applyBorder="0" applyAlignment="0" applyProtection="0"/>
    <xf numFmtId="0" fontId="5" fillId="29" borderId="0" applyNumberFormat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25" borderId="0" applyNumberFormat="0" applyBorder="0" applyAlignment="0" applyProtection="0"/>
    <xf numFmtId="43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33" borderId="0" applyNumberFormat="0" applyBorder="0" applyAlignment="0" applyProtection="0"/>
    <xf numFmtId="174" fontId="5" fillId="0" borderId="0" applyFont="0" applyFill="0" applyBorder="0" applyAlignment="0" applyProtection="0"/>
    <xf numFmtId="0" fontId="5" fillId="21" borderId="0" applyNumberFormat="0" applyBorder="0" applyAlignment="0" applyProtection="0"/>
    <xf numFmtId="0" fontId="5" fillId="11" borderId="8" applyNumberFormat="0" applyFont="0" applyAlignment="0" applyProtection="0"/>
    <xf numFmtId="0" fontId="5" fillId="0" borderId="0"/>
    <xf numFmtId="0" fontId="5" fillId="33" borderId="0" applyNumberFormat="0" applyBorder="0" applyAlignment="0" applyProtection="0"/>
    <xf numFmtId="43" fontId="5" fillId="0" borderId="0" applyFont="0" applyFill="0" applyBorder="0" applyAlignment="0" applyProtection="0"/>
    <xf numFmtId="0" fontId="5" fillId="11" borderId="8" applyNumberFormat="0" applyFont="0" applyAlignment="0" applyProtection="0"/>
    <xf numFmtId="0" fontId="5" fillId="25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174" fontId="5" fillId="0" borderId="0" applyFont="0" applyFill="0" applyBorder="0" applyAlignment="0" applyProtection="0"/>
    <xf numFmtId="0" fontId="5" fillId="14" borderId="0" applyNumberFormat="0" applyBorder="0" applyAlignment="0" applyProtection="0"/>
    <xf numFmtId="0" fontId="5" fillId="22" borderId="0" applyNumberFormat="0" applyBorder="0" applyAlignment="0" applyProtection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7" borderId="0" applyNumberFormat="0" applyBorder="0" applyAlignment="0" applyProtection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21" borderId="0" applyNumberFormat="0" applyBorder="0" applyAlignment="0" applyProtection="0"/>
    <xf numFmtId="0" fontId="5" fillId="33" borderId="0" applyNumberFormat="0" applyBorder="0" applyAlignment="0" applyProtection="0"/>
    <xf numFmtId="9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8" borderId="0" applyNumberFormat="0" applyBorder="0" applyAlignment="0" applyProtection="0"/>
    <xf numFmtId="0" fontId="5" fillId="26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25" borderId="0" applyNumberFormat="0" applyBorder="0" applyAlignment="0" applyProtection="0"/>
    <xf numFmtId="0" fontId="5" fillId="33" borderId="0" applyNumberFormat="0" applyBorder="0" applyAlignment="0" applyProtection="0"/>
    <xf numFmtId="43" fontId="5" fillId="0" borderId="0" applyFont="0" applyFill="0" applyBorder="0" applyAlignment="0" applyProtection="0"/>
    <xf numFmtId="0" fontId="5" fillId="34" borderId="0" applyNumberFormat="0" applyBorder="0" applyAlignment="0" applyProtection="0"/>
    <xf numFmtId="0" fontId="5" fillId="14" borderId="0" applyNumberFormat="0" applyBorder="0" applyAlignment="0" applyProtection="0"/>
    <xf numFmtId="0" fontId="5" fillId="0" borderId="0"/>
    <xf numFmtId="17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30" borderId="0" applyNumberFormat="0" applyBorder="0" applyAlignment="0" applyProtection="0"/>
    <xf numFmtId="9" fontId="5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25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43" fontId="5" fillId="0" borderId="0" applyFont="0" applyFill="0" applyBorder="0" applyAlignment="0" applyProtection="0"/>
    <xf numFmtId="0" fontId="5" fillId="29" borderId="0" applyNumberFormat="0" applyBorder="0" applyAlignment="0" applyProtection="0"/>
    <xf numFmtId="0" fontId="5" fillId="13" borderId="0" applyNumberFormat="0" applyBorder="0" applyAlignment="0" applyProtection="0"/>
    <xf numFmtId="174" fontId="5" fillId="0" borderId="0" applyFont="0" applyFill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1" borderId="8" applyNumberFormat="0" applyFont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4" borderId="0" applyNumberFormat="0" applyBorder="0" applyAlignment="0" applyProtection="0"/>
    <xf numFmtId="174" fontId="5" fillId="0" borderId="0" applyFont="0" applyFill="0" applyBorder="0" applyAlignment="0" applyProtection="0"/>
    <xf numFmtId="0" fontId="5" fillId="17" borderId="0" applyNumberFormat="0" applyBorder="0" applyAlignment="0" applyProtection="0"/>
    <xf numFmtId="174" fontId="5" fillId="0" borderId="0" applyFont="0" applyFill="0" applyBorder="0" applyAlignment="0" applyProtection="0"/>
    <xf numFmtId="0" fontId="5" fillId="26" borderId="0" applyNumberFormat="0" applyBorder="0" applyAlignment="0" applyProtection="0"/>
    <xf numFmtId="0" fontId="5" fillId="17" borderId="0" applyNumberFormat="0" applyBorder="0" applyAlignment="0" applyProtection="0"/>
    <xf numFmtId="0" fontId="5" fillId="30" borderId="0" applyNumberFormat="0" applyBorder="0" applyAlignment="0" applyProtection="0"/>
    <xf numFmtId="0" fontId="5" fillId="22" borderId="0" applyNumberFormat="0" applyBorder="0" applyAlignment="0" applyProtection="0"/>
    <xf numFmtId="0" fontId="5" fillId="34" borderId="0" applyNumberFormat="0" applyBorder="0" applyAlignment="0" applyProtection="0"/>
    <xf numFmtId="174" fontId="5" fillId="0" borderId="0" applyFont="0" applyFill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11" borderId="8" applyNumberFormat="0" applyFont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26" borderId="0" applyNumberFormat="0" applyBorder="0" applyAlignment="0" applyProtection="0"/>
    <xf numFmtId="174" fontId="5" fillId="0" borderId="0" applyFont="0" applyFill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17" borderId="0" applyNumberFormat="0" applyBorder="0" applyAlignment="0" applyProtection="0"/>
    <xf numFmtId="0" fontId="5" fillId="30" borderId="0" applyNumberFormat="0" applyBorder="0" applyAlignment="0" applyProtection="0"/>
    <xf numFmtId="0" fontId="5" fillId="14" borderId="0" applyNumberFormat="0" applyBorder="0" applyAlignment="0" applyProtection="0"/>
    <xf numFmtId="0" fontId="5" fillId="33" borderId="0" applyNumberFormat="0" applyBorder="0" applyAlignment="0" applyProtection="0"/>
    <xf numFmtId="9" fontId="5" fillId="0" borderId="0" applyFont="0" applyFill="0" applyBorder="0" applyAlignment="0" applyProtection="0"/>
    <xf numFmtId="0" fontId="5" fillId="34" borderId="0" applyNumberFormat="0" applyBorder="0" applyAlignment="0" applyProtection="0"/>
    <xf numFmtId="0" fontId="5" fillId="17" borderId="0" applyNumberFormat="0" applyBorder="0" applyAlignment="0" applyProtection="0"/>
    <xf numFmtId="0" fontId="5" fillId="29" borderId="0" applyNumberFormat="0" applyBorder="0" applyAlignment="0" applyProtection="0"/>
    <xf numFmtId="0" fontId="5" fillId="25" borderId="0" applyNumberFormat="0" applyBorder="0" applyAlignment="0" applyProtection="0"/>
    <xf numFmtId="9" fontId="5" fillId="0" borderId="0" applyFont="0" applyFill="0" applyBorder="0" applyAlignment="0" applyProtection="0"/>
    <xf numFmtId="0" fontId="5" fillId="25" borderId="0" applyNumberFormat="0" applyBorder="0" applyAlignment="0" applyProtection="0"/>
    <xf numFmtId="0" fontId="5" fillId="13" borderId="0" applyNumberFormat="0" applyBorder="0" applyAlignment="0" applyProtection="0"/>
    <xf numFmtId="0" fontId="2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2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2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5" fillId="25" borderId="0" applyNumberFormat="0" applyBorder="0" applyAlignment="0" applyProtection="0"/>
    <xf numFmtId="0" fontId="2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2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2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2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2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2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2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2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25" fillId="34" borderId="0" applyNumberFormat="0" applyBorder="0" applyAlignment="0" applyProtection="0"/>
    <xf numFmtId="0" fontId="21" fillId="15" borderId="0" applyNumberFormat="0" applyBorder="0" applyAlignment="0" applyProtection="0"/>
    <xf numFmtId="0" fontId="23" fillId="15" borderId="0" applyNumberFormat="0" applyBorder="0" applyAlignment="0" applyProtection="0"/>
    <xf numFmtId="0" fontId="21" fillId="19" borderId="0" applyNumberFormat="0" applyBorder="0" applyAlignment="0" applyProtection="0"/>
    <xf numFmtId="0" fontId="23" fillId="19" borderId="0" applyNumberFormat="0" applyBorder="0" applyAlignment="0" applyProtection="0"/>
    <xf numFmtId="0" fontId="21" fillId="23" borderId="0" applyNumberFormat="0" applyBorder="0" applyAlignment="0" applyProtection="0"/>
    <xf numFmtId="0" fontId="23" fillId="23" borderId="0" applyNumberFormat="0" applyBorder="0" applyAlignment="0" applyProtection="0"/>
    <xf numFmtId="0" fontId="21" fillId="27" borderId="0" applyNumberFormat="0" applyBorder="0" applyAlignment="0" applyProtection="0"/>
    <xf numFmtId="0" fontId="23" fillId="27" borderId="0" applyNumberFormat="0" applyBorder="0" applyAlignment="0" applyProtection="0"/>
    <xf numFmtId="0" fontId="21" fillId="31" borderId="0" applyNumberFormat="0" applyBorder="0" applyAlignment="0" applyProtection="0"/>
    <xf numFmtId="0" fontId="23" fillId="31" borderId="0" applyNumberFormat="0" applyBorder="0" applyAlignment="0" applyProtection="0"/>
    <xf numFmtId="0" fontId="21" fillId="35" borderId="0" applyNumberFormat="0" applyBorder="0" applyAlignment="0" applyProtection="0"/>
    <xf numFmtId="0" fontId="23" fillId="35" borderId="0" applyNumberFormat="0" applyBorder="0" applyAlignment="0" applyProtection="0"/>
    <xf numFmtId="0" fontId="21" fillId="12" borderId="0" applyNumberFormat="0" applyBorder="0" applyAlignment="0" applyProtection="0"/>
    <xf numFmtId="0" fontId="23" fillId="12" borderId="0" applyNumberFormat="0" applyBorder="0" applyAlignment="0" applyProtection="0"/>
    <xf numFmtId="0" fontId="21" fillId="16" borderId="0" applyNumberFormat="0" applyBorder="0" applyAlignment="0" applyProtection="0"/>
    <xf numFmtId="0" fontId="23" fillId="16" borderId="0" applyNumberFormat="0" applyBorder="0" applyAlignment="0" applyProtection="0"/>
    <xf numFmtId="0" fontId="21" fillId="20" borderId="0" applyNumberFormat="0" applyBorder="0" applyAlignment="0" applyProtection="0"/>
    <xf numFmtId="0" fontId="23" fillId="20" borderId="0" applyNumberFormat="0" applyBorder="0" applyAlignment="0" applyProtection="0"/>
    <xf numFmtId="0" fontId="21" fillId="24" borderId="0" applyNumberFormat="0" applyBorder="0" applyAlignment="0" applyProtection="0"/>
    <xf numFmtId="0" fontId="23" fillId="24" borderId="0" applyNumberFormat="0" applyBorder="0" applyAlignment="0" applyProtection="0"/>
    <xf numFmtId="0" fontId="21" fillId="28" borderId="0" applyNumberFormat="0" applyBorder="0" applyAlignment="0" applyProtection="0"/>
    <xf numFmtId="0" fontId="23" fillId="28" borderId="0" applyNumberFormat="0" applyBorder="0" applyAlignment="0" applyProtection="0"/>
    <xf numFmtId="0" fontId="21" fillId="32" borderId="0" applyNumberFormat="0" applyBorder="0" applyAlignment="0" applyProtection="0"/>
    <xf numFmtId="0" fontId="23" fillId="32" borderId="0" applyNumberFormat="0" applyBorder="0" applyAlignment="0" applyProtection="0"/>
    <xf numFmtId="0" fontId="11" fillId="6" borderId="0" applyNumberFormat="0" applyBorder="0" applyAlignment="0" applyProtection="0"/>
    <xf numFmtId="0" fontId="28" fillId="6" borderId="0" applyNumberFormat="0" applyBorder="0" applyAlignment="0" applyProtection="0"/>
    <xf numFmtId="0" fontId="15" fillId="9" borderId="4" applyNumberFormat="0" applyAlignment="0" applyProtection="0"/>
    <xf numFmtId="0" fontId="30" fillId="9" borderId="4" applyNumberFormat="0" applyAlignment="0" applyProtection="0"/>
    <xf numFmtId="0" fontId="17" fillId="10" borderId="7" applyNumberFormat="0" applyAlignment="0" applyProtection="0"/>
    <xf numFmtId="0" fontId="31" fillId="10" borderId="7" applyNumberFormat="0" applyAlignment="0" applyProtection="0"/>
    <xf numFmtId="174" fontId="5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3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4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5" fillId="0" borderId="0" applyFont="0" applyFill="0" applyBorder="0" applyAlignment="0" applyProtection="0"/>
    <xf numFmtId="174" fontId="32" fillId="0" borderId="0" applyFont="0" applyFill="0" applyBorder="0" applyAlignment="0" applyProtection="0"/>
    <xf numFmtId="174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175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175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175" fontId="32" fillId="0" borderId="0" applyFont="0" applyFill="0" applyBorder="0" applyAlignment="0" applyProtection="0"/>
    <xf numFmtId="175" fontId="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36" fillId="5" borderId="0" applyNumberFormat="0" applyBorder="0" applyAlignment="0" applyProtection="0"/>
    <xf numFmtId="0" fontId="7" fillId="0" borderId="1" applyNumberFormat="0" applyFill="0" applyAlignment="0" applyProtection="0"/>
    <xf numFmtId="0" fontId="37" fillId="0" borderId="1" applyNumberFormat="0" applyFill="0" applyAlignment="0" applyProtection="0"/>
    <xf numFmtId="0" fontId="8" fillId="0" borderId="2" applyNumberFormat="0" applyFill="0" applyAlignment="0" applyProtection="0"/>
    <xf numFmtId="0" fontId="38" fillId="0" borderId="2" applyNumberFormat="0" applyFill="0" applyAlignment="0" applyProtection="0"/>
    <xf numFmtId="0" fontId="9" fillId="0" borderId="3" applyNumberFormat="0" applyFill="0" applyAlignment="0" applyProtection="0"/>
    <xf numFmtId="0" fontId="3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13" fillId="8" borderId="4" applyNumberFormat="0" applyAlignment="0" applyProtection="0"/>
    <xf numFmtId="0" fontId="45" fillId="8" borderId="4" applyNumberFormat="0" applyAlignment="0" applyProtection="0"/>
    <xf numFmtId="0" fontId="16" fillId="0" borderId="6" applyNumberFormat="0" applyFill="0" applyAlignment="0" applyProtection="0"/>
    <xf numFmtId="0" fontId="46" fillId="0" borderId="6" applyNumberFormat="0" applyFill="0" applyAlignment="0" applyProtection="0"/>
    <xf numFmtId="0" fontId="12" fillId="7" borderId="0" applyNumberFormat="0" applyBorder="0" applyAlignment="0" applyProtection="0"/>
    <xf numFmtId="0" fontId="49" fillId="7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4" fillId="0" borderId="0"/>
    <xf numFmtId="0" fontId="24" fillId="0" borderId="0"/>
    <xf numFmtId="0" fontId="24" fillId="0" borderId="0"/>
    <xf numFmtId="0" fontId="24" fillId="0" borderId="0"/>
    <xf numFmtId="177" fontId="50" fillId="0" borderId="0"/>
    <xf numFmtId="0" fontId="24" fillId="0" borderId="0"/>
    <xf numFmtId="0" fontId="24" fillId="0" borderId="0"/>
    <xf numFmtId="0" fontId="4" fillId="0" borderId="0"/>
    <xf numFmtId="0" fontId="24" fillId="0" borderId="0"/>
    <xf numFmtId="0" fontId="24" fillId="0" borderId="0"/>
    <xf numFmtId="0" fontId="3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" fillId="0" borderId="0"/>
    <xf numFmtId="0" fontId="4" fillId="0" borderId="0"/>
    <xf numFmtId="178" fontId="51" fillId="0" borderId="0"/>
    <xf numFmtId="0" fontId="5" fillId="0" borderId="0"/>
    <xf numFmtId="0" fontId="52" fillId="0" borderId="0"/>
    <xf numFmtId="0" fontId="5" fillId="0" borderId="0"/>
    <xf numFmtId="0" fontId="5" fillId="0" borderId="0"/>
    <xf numFmtId="0" fontId="53" fillId="0" borderId="0"/>
    <xf numFmtId="0" fontId="24" fillId="0" borderId="0"/>
    <xf numFmtId="0" fontId="24" fillId="0" borderId="0"/>
    <xf numFmtId="0" fontId="5" fillId="0" borderId="0"/>
    <xf numFmtId="0" fontId="2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5" fillId="11" borderId="8" applyNumberFormat="0" applyFont="0" applyAlignment="0" applyProtection="0"/>
    <xf numFmtId="0" fontId="24" fillId="36" borderId="12" applyNumberFormat="0" applyFont="0" applyAlignment="0" applyProtection="0"/>
    <xf numFmtId="0" fontId="24" fillId="36" borderId="12" applyNumberFormat="0" applyFont="0" applyAlignment="0" applyProtection="0"/>
    <xf numFmtId="0" fontId="14" fillId="9" borderId="5" applyNumberFormat="0" applyAlignment="0" applyProtection="0"/>
    <xf numFmtId="0" fontId="54" fillId="9" borderId="5" applyNumberFormat="0" applyAlignment="0" applyProtection="0"/>
    <xf numFmtId="9" fontId="53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75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81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5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81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81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5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81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81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81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41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81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81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40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43" borderId="0" applyNumberFormat="0" applyBorder="0" applyAlignment="0" applyProtection="0"/>
    <xf numFmtId="0" fontId="95" fillId="43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81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6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44" borderId="0" applyNumberFormat="0" applyBorder="0" applyAlignment="0" applyProtection="0"/>
    <xf numFmtId="0" fontId="95" fillId="44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81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51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42" borderId="0" applyNumberFormat="0" applyBorder="0" applyAlignment="0" applyProtection="0"/>
    <xf numFmtId="0" fontId="95" fillId="42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81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39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36" borderId="0" applyNumberFormat="0" applyBorder="0" applyAlignment="0" applyProtection="0"/>
    <xf numFmtId="0" fontId="95" fillId="3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81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95" fillId="46" borderId="0" applyNumberFormat="0" applyBorder="0" applyAlignment="0" applyProtection="0"/>
    <xf numFmtId="0" fontId="129" fillId="57" borderId="0" applyNumberFormat="0" applyBorder="0" applyAlignment="0" applyProtection="0"/>
    <xf numFmtId="0" fontId="129" fillId="40" borderId="0" applyNumberFormat="0" applyBorder="0" applyAlignment="0" applyProtection="0"/>
    <xf numFmtId="0" fontId="129" fillId="56" borderId="0" applyNumberFormat="0" applyBorder="0" applyAlignment="0" applyProtection="0"/>
    <xf numFmtId="0" fontId="129" fillId="58" borderId="0" applyNumberFormat="0" applyBorder="0" applyAlignment="0" applyProtection="0"/>
    <xf numFmtId="0" fontId="129" fillId="49" borderId="0" applyNumberFormat="0" applyBorder="0" applyAlignment="0" applyProtection="0"/>
    <xf numFmtId="0" fontId="129" fillId="59" borderId="0" applyNumberFormat="0" applyBorder="0" applyAlignment="0" applyProtection="0"/>
    <xf numFmtId="0" fontId="129" fillId="60" borderId="0" applyNumberFormat="0" applyBorder="0" applyAlignment="0" applyProtection="0"/>
    <xf numFmtId="0" fontId="129" fillId="50" borderId="0" applyNumberFormat="0" applyBorder="0" applyAlignment="0" applyProtection="0"/>
    <xf numFmtId="0" fontId="129" fillId="61" borderId="0" applyNumberFormat="0" applyBorder="0" applyAlignment="0" applyProtection="0"/>
    <xf numFmtId="0" fontId="129" fillId="58" borderId="0" applyNumberFormat="0" applyBorder="0" applyAlignment="0" applyProtection="0"/>
    <xf numFmtId="0" fontId="129" fillId="49" borderId="0" applyNumberFormat="0" applyBorder="0" applyAlignment="0" applyProtection="0"/>
    <xf numFmtId="0" fontId="129" fillId="45" borderId="0" applyNumberFormat="0" applyBorder="0" applyAlignment="0" applyProtection="0"/>
    <xf numFmtId="0" fontId="130" fillId="44" borderId="0" applyNumberFormat="0" applyBorder="0" applyAlignment="0" applyProtection="0"/>
    <xf numFmtId="0" fontId="131" fillId="62" borderId="16" applyNumberFormat="0" applyAlignment="0" applyProtection="0"/>
    <xf numFmtId="0" fontId="132" fillId="53" borderId="17" applyNumberFormat="0" applyAlignment="0" applyProtection="0"/>
    <xf numFmtId="174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95" fillId="0" borderId="0" applyFont="0" applyFill="0" applyBorder="0" applyAlignment="0" applyProtection="0"/>
    <xf numFmtId="174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95" fillId="0" borderId="0" applyFont="0" applyFill="0" applyBorder="0" applyAlignment="0" applyProtection="0"/>
    <xf numFmtId="174" fontId="24" fillId="0" borderId="0" applyFont="0" applyFill="0" applyBorder="0" applyAlignment="0" applyProtection="0"/>
    <xf numFmtId="174" fontId="24" fillId="0" borderId="0" applyFont="0" applyFill="0" applyBorder="0" applyAlignment="0" applyProtection="0"/>
    <xf numFmtId="174" fontId="95" fillId="0" borderId="0" applyFont="0" applyFill="0" applyBorder="0" applyAlignment="0" applyProtection="0"/>
    <xf numFmtId="174" fontId="95" fillId="0" borderId="0" applyFont="0" applyFill="0" applyBorder="0" applyAlignment="0" applyProtection="0"/>
    <xf numFmtId="174" fontId="95" fillId="0" borderId="0" applyFont="0" applyFill="0" applyBorder="0" applyAlignment="0" applyProtection="0"/>
    <xf numFmtId="174" fontId="95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24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175" fontId="95" fillId="0" borderId="0" applyFont="0" applyFill="0" applyBorder="0" applyAlignment="0" applyProtection="0"/>
    <xf numFmtId="0" fontId="133" fillId="0" borderId="0" applyNumberFormat="0" applyFill="0" applyBorder="0" applyAlignment="0" applyProtection="0"/>
    <xf numFmtId="0" fontId="134" fillId="55" borderId="0" applyNumberFormat="0" applyBorder="0" applyAlignment="0" applyProtection="0"/>
    <xf numFmtId="0" fontId="135" fillId="0" borderId="24" applyNumberFormat="0" applyFill="0" applyAlignment="0" applyProtection="0"/>
    <xf numFmtId="0" fontId="136" fillId="0" borderId="25" applyNumberFormat="0" applyFill="0" applyAlignment="0" applyProtection="0"/>
    <xf numFmtId="0" fontId="137" fillId="0" borderId="26" applyNumberFormat="0" applyFill="0" applyAlignment="0" applyProtection="0"/>
    <xf numFmtId="0" fontId="138" fillId="0" borderId="0" applyNumberFormat="0" applyFill="0" applyBorder="0" applyAlignment="0" applyProtection="0"/>
    <xf numFmtId="0" fontId="1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>
      <alignment vertical="top"/>
      <protection locked="0"/>
    </xf>
    <xf numFmtId="0" fontId="140" fillId="41" borderId="16" applyNumberFormat="0" applyAlignment="0" applyProtection="0"/>
    <xf numFmtId="0" fontId="141" fillId="0" borderId="27" applyNumberFormat="0" applyFill="0" applyAlignment="0" applyProtection="0"/>
    <xf numFmtId="0" fontId="142" fillId="43" borderId="0" applyNumberFormat="0" applyBorder="0" applyAlignment="0" applyProtection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81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81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81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81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95" fillId="0" borderId="0"/>
    <xf numFmtId="0" fontId="24" fillId="0" borderId="0"/>
    <xf numFmtId="0" fontId="95" fillId="0" borderId="0"/>
    <xf numFmtId="0" fontId="24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95" fillId="0" borderId="0"/>
    <xf numFmtId="0" fontId="24" fillId="0" borderId="0"/>
    <xf numFmtId="0" fontId="95" fillId="0" borderId="0"/>
    <xf numFmtId="0" fontId="24" fillId="0" borderId="0"/>
    <xf numFmtId="0" fontId="95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24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81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27" fillId="36" borderId="12" applyNumberFormat="0" applyFont="0" applyAlignment="0" applyProtection="0"/>
    <xf numFmtId="0" fontId="27" fillId="36" borderId="12" applyNumberFormat="0" applyFont="0" applyAlignment="0" applyProtection="0"/>
    <xf numFmtId="0" fontId="95" fillId="36" borderId="12" applyNumberFormat="0" applyFont="0" applyAlignment="0" applyProtection="0"/>
    <xf numFmtId="0" fontId="27" fillId="36" borderId="12" applyNumberFormat="0" applyFont="0" applyAlignment="0" applyProtection="0"/>
    <xf numFmtId="0" fontId="95" fillId="36" borderId="12" applyNumberFormat="0" applyFont="0" applyAlignment="0" applyProtection="0"/>
    <xf numFmtId="0" fontId="27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27" fillId="36" borderId="12" applyNumberFormat="0" applyFont="0" applyAlignment="0" applyProtection="0"/>
    <xf numFmtId="0" fontId="27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95" fillId="36" borderId="12" applyNumberFormat="0" applyFont="0" applyAlignment="0" applyProtection="0"/>
    <xf numFmtId="0" fontId="143" fillId="62" borderId="22" applyNumberFormat="0" applyAlignment="0" applyProtection="0"/>
    <xf numFmtId="0" fontId="86" fillId="0" borderId="28" applyNumberFormat="0" applyFill="0" applyAlignment="0" applyProtection="0"/>
    <xf numFmtId="0" fontId="95" fillId="0" borderId="0"/>
    <xf numFmtId="0" fontId="95" fillId="0" borderId="0"/>
    <xf numFmtId="0" fontId="53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/>
    <xf numFmtId="43" fontId="10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81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/>
    <xf numFmtId="43" fontId="10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04" fillId="0" borderId="0" applyFont="0" applyFill="0" applyBorder="0" applyAlignment="0" applyProtection="0"/>
    <xf numFmtId="43" fontId="10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81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4" fontId="9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32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426">
    <xf numFmtId="0" fontId="0" fillId="0" borderId="0" xfId="0"/>
    <xf numFmtId="164" fontId="25" fillId="0" borderId="11" xfId="0" applyNumberFormat="1" applyFont="1" applyBorder="1" applyAlignment="1">
      <alignment wrapText="1"/>
    </xf>
    <xf numFmtId="0" fontId="25" fillId="0" borderId="11" xfId="0" applyFont="1" applyBorder="1" applyAlignment="1">
      <alignment wrapText="1"/>
    </xf>
    <xf numFmtId="164" fontId="3" fillId="4" borderId="11" xfId="0" applyNumberFormat="1" applyFont="1" applyFill="1" applyBorder="1" applyAlignment="1">
      <alignment horizontal="center" vertical="center" wrapText="1"/>
    </xf>
    <xf numFmtId="164" fontId="22" fillId="0" borderId="11" xfId="6267" applyNumberFormat="1" applyFill="1" applyBorder="1" applyAlignment="1">
      <alignment wrapText="1"/>
    </xf>
    <xf numFmtId="165" fontId="146" fillId="0" borderId="11" xfId="6263" applyNumberFormat="1" applyFont="1" applyFill="1" applyBorder="1" applyAlignment="1" applyProtection="1">
      <alignment horizontal="left" vertical="top" wrapText="1"/>
    </xf>
    <xf numFmtId="165" fontId="146" fillId="0" borderId="0" xfId="6263" applyNumberFormat="1" applyFont="1" applyFill="1" applyBorder="1" applyAlignment="1" applyProtection="1">
      <alignment horizontal="left" vertical="top" wrapText="1"/>
    </xf>
    <xf numFmtId="166" fontId="146" fillId="0" borderId="0" xfId="6263" applyNumberFormat="1" applyFont="1" applyFill="1" applyBorder="1" applyAlignment="1" applyProtection="1">
      <alignment horizontal="center" vertical="top" wrapText="1"/>
    </xf>
    <xf numFmtId="164" fontId="3" fillId="0" borderId="0" xfId="0" applyNumberFormat="1" applyFont="1" applyAlignment="1">
      <alignment horizontal="center" vertical="top" wrapText="1"/>
    </xf>
    <xf numFmtId="179" fontId="146" fillId="0" borderId="0" xfId="6263" applyNumberFormat="1" applyFont="1" applyFill="1" applyBorder="1" applyAlignment="1" applyProtection="1">
      <alignment horizontal="left" vertical="top" wrapText="1"/>
    </xf>
    <xf numFmtId="179" fontId="146" fillId="0" borderId="11" xfId="6263" applyNumberFormat="1" applyFont="1" applyFill="1" applyBorder="1" applyAlignment="1" applyProtection="1">
      <alignment horizontal="right" vertical="top" wrapText="1"/>
    </xf>
    <xf numFmtId="164" fontId="31" fillId="69" borderId="11" xfId="0" applyNumberFormat="1" applyFont="1" applyFill="1" applyBorder="1" applyAlignment="1">
      <alignment horizontal="center" vertical="center" wrapText="1"/>
    </xf>
    <xf numFmtId="165" fontId="146" fillId="0" borderId="0" xfId="6263" applyNumberFormat="1" applyFont="1" applyFill="1" applyBorder="1" applyAlignment="1" applyProtection="1">
      <alignment horizontal="center" vertical="top" wrapText="1"/>
    </xf>
    <xf numFmtId="179" fontId="146" fillId="0" borderId="0" xfId="6263" applyNumberFormat="1" applyFont="1" applyFill="1" applyBorder="1" applyAlignment="1" applyProtection="1">
      <alignment horizontal="center" vertical="top" wrapText="1"/>
    </xf>
    <xf numFmtId="10" fontId="146" fillId="0" borderId="0" xfId="6263" applyNumberFormat="1" applyFont="1" applyFill="1" applyBorder="1" applyAlignment="1" applyProtection="1">
      <alignment horizontal="left" vertical="top" wrapText="1"/>
    </xf>
    <xf numFmtId="165" fontId="146" fillId="0" borderId="0" xfId="6263" applyNumberFormat="1" applyFont="1" applyFill="1" applyBorder="1" applyAlignment="1" applyProtection="1">
      <alignment horizontal="right" vertical="top" wrapText="1"/>
    </xf>
    <xf numFmtId="165" fontId="146" fillId="3" borderId="11" xfId="6263" applyNumberFormat="1" applyFont="1" applyFill="1" applyBorder="1" applyAlignment="1" applyProtection="1">
      <alignment horizontal="center" vertical="top"/>
    </xf>
    <xf numFmtId="165" fontId="3" fillId="0" borderId="0" xfId="6263" applyNumberFormat="1" applyFont="1" applyFill="1" applyBorder="1" applyAlignment="1" applyProtection="1">
      <alignment horizontal="left" vertical="top" wrapText="1"/>
    </xf>
    <xf numFmtId="179" fontId="3" fillId="0" borderId="0" xfId="6263" applyNumberFormat="1" applyFont="1" applyFill="1" applyBorder="1" applyAlignment="1" applyProtection="1">
      <alignment horizontal="left" vertical="top" wrapText="1"/>
    </xf>
    <xf numFmtId="165" fontId="3" fillId="0" borderId="0" xfId="6263" applyNumberFormat="1" applyFont="1" applyFill="1" applyBorder="1" applyAlignment="1" applyProtection="1">
      <alignment horizontal="center" vertical="top" wrapText="1"/>
    </xf>
    <xf numFmtId="166" fontId="3" fillId="0" borderId="0" xfId="6263" applyNumberFormat="1" applyFont="1" applyFill="1" applyBorder="1" applyAlignment="1" applyProtection="1">
      <alignment horizontal="center" vertical="top" wrapText="1"/>
    </xf>
    <xf numFmtId="10" fontId="3" fillId="0" borderId="0" xfId="6263" applyNumberFormat="1" applyFont="1" applyFill="1" applyBorder="1" applyAlignment="1" applyProtection="1">
      <alignment horizontal="left" vertical="top" wrapText="1"/>
    </xf>
    <xf numFmtId="165" fontId="31" fillId="0" borderId="0" xfId="6263" applyNumberFormat="1" applyFont="1" applyFill="1" applyBorder="1" applyAlignment="1" applyProtection="1">
      <alignment horizontal="center" vertical="center" wrapText="1"/>
    </xf>
    <xf numFmtId="10" fontId="23" fillId="0" borderId="0" xfId="6263" applyNumberFormat="1" applyFont="1" applyFill="1" applyBorder="1" applyAlignment="1" applyProtection="1">
      <alignment horizontal="right" vertical="top" wrapText="1"/>
    </xf>
    <xf numFmtId="165" fontId="23" fillId="0" borderId="0" xfId="6263" applyNumberFormat="1" applyFont="1" applyFill="1" applyBorder="1" applyAlignment="1" applyProtection="1">
      <alignment horizontal="right" vertical="top" wrapText="1"/>
    </xf>
    <xf numFmtId="0" fontId="77" fillId="4" borderId="11" xfId="0" applyFont="1" applyFill="1" applyBorder="1" applyAlignment="1" applyProtection="1">
      <alignment horizontal="center" vertical="top" wrapText="1"/>
      <protection locked="0"/>
    </xf>
    <xf numFmtId="164" fontId="77" fillId="0" borderId="11" xfId="0" applyNumberFormat="1" applyFont="1" applyBorder="1" applyAlignment="1" applyProtection="1">
      <alignment horizontal="center" vertical="top" wrapText="1"/>
      <protection locked="0"/>
    </xf>
    <xf numFmtId="164" fontId="77" fillId="77" borderId="11" xfId="0" applyNumberFormat="1" applyFont="1" applyFill="1" applyBorder="1" applyAlignment="1" applyProtection="1">
      <alignment horizontal="center" vertical="top" wrapText="1"/>
      <protection locked="0"/>
    </xf>
    <xf numFmtId="165" fontId="146" fillId="0" borderId="0" xfId="6263" applyNumberFormat="1" applyFont="1" applyFill="1" applyBorder="1" applyAlignment="1" applyProtection="1">
      <alignment horizontal="left" vertical="top" wrapText="1"/>
      <protection locked="0"/>
    </xf>
    <xf numFmtId="164" fontId="77" fillId="4" borderId="11" xfId="0" applyNumberFormat="1" applyFont="1" applyFill="1" applyBorder="1" applyAlignment="1" applyProtection="1">
      <alignment horizontal="center" vertical="top" wrapText="1"/>
      <protection locked="0"/>
    </xf>
    <xf numFmtId="164" fontId="77" fillId="76" borderId="11" xfId="0" applyNumberFormat="1" applyFont="1" applyFill="1" applyBorder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wrapText="1"/>
      <protection locked="0"/>
    </xf>
    <xf numFmtId="0" fontId="25" fillId="0" borderId="0" xfId="0" applyFont="1" applyAlignment="1" applyProtection="1">
      <alignment horizontal="center" wrapText="1"/>
      <protection locked="0"/>
    </xf>
    <xf numFmtId="164" fontId="3" fillId="0" borderId="0" xfId="0" applyNumberFormat="1" applyFont="1" applyAlignment="1" applyProtection="1">
      <alignment horizontal="center" vertical="top" wrapText="1"/>
      <protection locked="0"/>
    </xf>
    <xf numFmtId="0" fontId="31" fillId="66" borderId="31" xfId="0" applyFont="1" applyFill="1" applyBorder="1" applyAlignment="1" applyProtection="1">
      <alignment vertical="center"/>
      <protection locked="0"/>
    </xf>
    <xf numFmtId="0" fontId="31" fillId="66" borderId="15" xfId="0" applyFont="1" applyFill="1" applyBorder="1" applyAlignment="1" applyProtection="1">
      <alignment vertical="center"/>
      <protection locked="0"/>
    </xf>
    <xf numFmtId="0" fontId="31" fillId="66" borderId="30" xfId="0" applyFont="1" applyFill="1" applyBorder="1" applyAlignment="1" applyProtection="1">
      <alignment horizontal="center" vertical="center" wrapText="1"/>
      <protection locked="0"/>
    </xf>
    <xf numFmtId="167" fontId="146" fillId="63" borderId="11" xfId="0" applyNumberFormat="1" applyFont="1" applyFill="1" applyBorder="1" applyAlignment="1" applyProtection="1">
      <alignment horizontal="center" vertical="top" wrapText="1"/>
      <protection locked="0"/>
    </xf>
    <xf numFmtId="0" fontId="146" fillId="63" borderId="11" xfId="0" applyFont="1" applyFill="1" applyBorder="1" applyAlignment="1" applyProtection="1">
      <alignment horizontal="center" vertical="top" wrapText="1"/>
      <protection locked="0"/>
    </xf>
    <xf numFmtId="0" fontId="25" fillId="0" borderId="11" xfId="0" applyFont="1" applyBorder="1" applyAlignment="1" applyProtection="1">
      <alignment wrapText="1"/>
      <protection locked="0"/>
    </xf>
    <xf numFmtId="0" fontId="25" fillId="0" borderId="11" xfId="0" applyFont="1" applyBorder="1" applyAlignment="1" applyProtection="1">
      <alignment horizontal="center" wrapText="1"/>
      <protection locked="0"/>
    </xf>
    <xf numFmtId="165" fontId="146" fillId="0" borderId="0" xfId="6263" applyNumberFormat="1" applyFont="1" applyFill="1" applyBorder="1" applyAlignment="1" applyProtection="1">
      <alignment horizontal="center" vertical="top" wrapText="1"/>
      <protection locked="0"/>
    </xf>
    <xf numFmtId="0" fontId="31" fillId="66" borderId="29" xfId="0" applyFont="1" applyFill="1" applyBorder="1" applyAlignment="1" applyProtection="1">
      <alignment vertical="center"/>
      <protection locked="0"/>
    </xf>
    <xf numFmtId="0" fontId="31" fillId="66" borderId="11" xfId="0" applyFont="1" applyFill="1" applyBorder="1" applyAlignment="1" applyProtection="1">
      <alignment vertical="center"/>
      <protection locked="0"/>
    </xf>
    <xf numFmtId="10" fontId="146" fillId="63" borderId="11" xfId="2" applyNumberFormat="1" applyFont="1" applyFill="1" applyBorder="1" applyAlignment="1" applyProtection="1">
      <alignment horizontal="center" vertical="top" wrapText="1"/>
      <protection locked="0"/>
    </xf>
    <xf numFmtId="166" fontId="77" fillId="4" borderId="11" xfId="0" applyNumberFormat="1" applyFont="1" applyFill="1" applyBorder="1" applyAlignment="1" applyProtection="1">
      <alignment horizontal="center" vertical="top" wrapText="1"/>
      <protection locked="0"/>
    </xf>
    <xf numFmtId="0" fontId="77" fillId="76" borderId="11" xfId="0" applyFont="1" applyFill="1" applyBorder="1" applyAlignment="1" applyProtection="1">
      <alignment horizontal="center" vertical="top" wrapText="1"/>
      <protection locked="0"/>
    </xf>
    <xf numFmtId="179" fontId="25" fillId="0" borderId="0" xfId="6263" applyNumberFormat="1" applyFont="1" applyFill="1" applyBorder="1" applyAlignment="1" applyProtection="1">
      <alignment wrapText="1"/>
    </xf>
    <xf numFmtId="9" fontId="25" fillId="0" borderId="0" xfId="2" applyFont="1" applyFill="1" applyBorder="1" applyAlignment="1" applyProtection="1">
      <alignment horizontal="center" wrapText="1"/>
    </xf>
    <xf numFmtId="166" fontId="25" fillId="0" borderId="0" xfId="2" applyNumberFormat="1" applyFont="1" applyFill="1" applyBorder="1" applyAlignment="1" applyProtection="1">
      <alignment horizontal="center" wrapText="1"/>
    </xf>
    <xf numFmtId="179" fontId="25" fillId="0" borderId="0" xfId="2" applyNumberFormat="1" applyFont="1" applyFill="1" applyBorder="1" applyAlignment="1" applyProtection="1">
      <alignment wrapText="1"/>
    </xf>
    <xf numFmtId="179" fontId="25" fillId="0" borderId="0" xfId="2" applyNumberFormat="1" applyFont="1" applyFill="1" applyBorder="1" applyAlignment="1" applyProtection="1">
      <alignment horizontal="center" wrapText="1"/>
    </xf>
    <xf numFmtId="164" fontId="148" fillId="0" borderId="11" xfId="6267" applyNumberFormat="1" applyFont="1" applyFill="1" applyBorder="1" applyAlignment="1" applyProtection="1">
      <alignment horizontal="left" vertical="top" wrapText="1"/>
    </xf>
    <xf numFmtId="10" fontId="146" fillId="0" borderId="11" xfId="2" applyNumberFormat="1" applyFont="1" applyFill="1" applyBorder="1" applyAlignment="1" applyProtection="1">
      <alignment horizontal="center" vertical="top" wrapText="1"/>
    </xf>
    <xf numFmtId="10" fontId="1" fillId="0" borderId="30" xfId="2" applyNumberFormat="1" applyFont="1" applyFill="1" applyBorder="1" applyAlignment="1" applyProtection="1">
      <alignment horizontal="center" vertical="top"/>
    </xf>
    <xf numFmtId="9" fontId="146" fillId="0" borderId="11" xfId="2" applyFont="1" applyFill="1" applyBorder="1" applyAlignment="1" applyProtection="1">
      <alignment horizontal="center" vertical="top" wrapText="1"/>
    </xf>
    <xf numFmtId="164" fontId="22" fillId="0" borderId="11" xfId="6267" applyNumberFormat="1" applyFill="1" applyBorder="1" applyAlignment="1" applyProtection="1">
      <alignment horizontal="left" vertical="top" wrapText="1"/>
    </xf>
    <xf numFmtId="164" fontId="22" fillId="0" borderId="11" xfId="6267" applyNumberFormat="1" applyBorder="1" applyAlignment="1" applyProtection="1">
      <alignment horizontal="left" vertical="top" wrapText="1"/>
    </xf>
    <xf numFmtId="179" fontId="25" fillId="0" borderId="11" xfId="6263" applyNumberFormat="1" applyFont="1" applyFill="1" applyBorder="1" applyAlignment="1" applyProtection="1">
      <alignment wrapText="1"/>
    </xf>
    <xf numFmtId="9" fontId="25" fillId="0" borderId="11" xfId="2" applyFont="1" applyFill="1" applyBorder="1" applyAlignment="1" applyProtection="1">
      <alignment horizontal="center" wrapText="1"/>
    </xf>
    <xf numFmtId="166" fontId="25" fillId="0" borderId="11" xfId="2" applyNumberFormat="1" applyFont="1" applyFill="1" applyBorder="1" applyAlignment="1" applyProtection="1">
      <alignment horizontal="center" wrapText="1"/>
    </xf>
    <xf numFmtId="179" fontId="25" fillId="0" borderId="11" xfId="2" applyNumberFormat="1" applyFont="1" applyFill="1" applyBorder="1" applyAlignment="1" applyProtection="1">
      <alignment wrapText="1"/>
    </xf>
    <xf numFmtId="179" fontId="25" fillId="0" borderId="11" xfId="2" applyNumberFormat="1" applyFont="1" applyFill="1" applyBorder="1" applyAlignment="1" applyProtection="1">
      <alignment horizontal="center" wrapText="1"/>
    </xf>
    <xf numFmtId="10" fontId="25" fillId="0" borderId="13" xfId="2" applyNumberFormat="1" applyFont="1" applyFill="1" applyBorder="1" applyAlignment="1" applyProtection="1">
      <alignment wrapText="1"/>
    </xf>
    <xf numFmtId="5" fontId="146" fillId="3" borderId="11" xfId="2" applyNumberFormat="1" applyFont="1" applyFill="1" applyBorder="1" applyAlignment="1" applyProtection="1">
      <alignment horizontal="right" vertical="top" wrapText="1"/>
    </xf>
    <xf numFmtId="179" fontId="146" fillId="0" borderId="11" xfId="2" applyNumberFormat="1" applyFont="1" applyFill="1" applyBorder="1" applyAlignment="1" applyProtection="1">
      <alignment horizontal="right" vertical="top" wrapText="1"/>
    </xf>
    <xf numFmtId="0" fontId="77" fillId="65" borderId="11" xfId="0" applyFont="1" applyFill="1" applyBorder="1" applyAlignment="1" applyProtection="1">
      <alignment horizontal="center" vertical="top" wrapText="1"/>
      <protection locked="0"/>
    </xf>
    <xf numFmtId="0" fontId="157" fillId="76" borderId="11" xfId="0" applyFont="1" applyFill="1" applyBorder="1" applyAlignment="1" applyProtection="1">
      <alignment horizontal="center" vertical="top" wrapText="1"/>
      <protection locked="0"/>
    </xf>
    <xf numFmtId="164" fontId="157" fillId="76" borderId="11" xfId="0" applyNumberFormat="1" applyFont="1" applyFill="1" applyBorder="1" applyAlignment="1" applyProtection="1">
      <alignment horizontal="center" vertical="top" wrapText="1"/>
      <protection locked="0"/>
    </xf>
    <xf numFmtId="0" fontId="157" fillId="4" borderId="11" xfId="0" applyFont="1" applyFill="1" applyBorder="1" applyAlignment="1" applyProtection="1">
      <alignment horizontal="center" vertical="top" wrapText="1"/>
      <protection locked="0"/>
    </xf>
    <xf numFmtId="0" fontId="157" fillId="0" borderId="11" xfId="0" applyFont="1" applyBorder="1" applyAlignment="1" applyProtection="1">
      <alignment horizontal="center" vertical="top" wrapText="1"/>
      <protection locked="0"/>
    </xf>
    <xf numFmtId="0" fontId="77" fillId="0" borderId="11" xfId="0" applyFont="1" applyBorder="1" applyAlignment="1" applyProtection="1">
      <alignment horizontal="center" vertical="top" wrapText="1"/>
      <protection locked="0"/>
    </xf>
    <xf numFmtId="164" fontId="157" fillId="0" borderId="11" xfId="0" applyNumberFormat="1" applyFont="1" applyBorder="1" applyAlignment="1" applyProtection="1">
      <alignment horizontal="center" vertical="top" wrapText="1"/>
      <protection locked="0"/>
    </xf>
    <xf numFmtId="164" fontId="157" fillId="77" borderId="11" xfId="0" applyNumberFormat="1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wrapText="1"/>
      <protection locked="0"/>
    </xf>
    <xf numFmtId="9" fontId="1" fillId="0" borderId="0" xfId="2" applyFont="1" applyBorder="1" applyAlignment="1" applyProtection="1">
      <alignment wrapText="1"/>
      <protection locked="0"/>
    </xf>
    <xf numFmtId="0" fontId="158" fillId="0" borderId="0" xfId="0" applyFont="1" applyAlignment="1" applyProtection="1">
      <alignment wrapText="1"/>
      <protection locked="0"/>
    </xf>
    <xf numFmtId="9" fontId="159" fillId="0" borderId="0" xfId="2" applyFont="1" applyFill="1" applyBorder="1" applyAlignment="1" applyProtection="1">
      <alignment wrapText="1"/>
      <protection locked="0"/>
    </xf>
    <xf numFmtId="9" fontId="160" fillId="0" borderId="0" xfId="2" applyFont="1" applyFill="1" applyBorder="1" applyAlignment="1" applyProtection="1">
      <alignment wrapText="1"/>
      <protection locked="0"/>
    </xf>
    <xf numFmtId="164" fontId="154" fillId="0" borderId="0" xfId="0" applyNumberFormat="1" applyFont="1" applyAlignment="1" applyProtection="1">
      <alignment horizontal="left" vertical="center"/>
      <protection locked="0"/>
    </xf>
    <xf numFmtId="0" fontId="1" fillId="0" borderId="34" xfId="0" applyFont="1" applyBorder="1" applyAlignment="1" applyProtection="1">
      <alignment wrapText="1"/>
      <protection locked="0"/>
    </xf>
    <xf numFmtId="0" fontId="1" fillId="0" borderId="30" xfId="0" applyFont="1" applyBorder="1" applyAlignment="1" applyProtection="1">
      <alignment wrapText="1"/>
      <protection locked="0"/>
    </xf>
    <xf numFmtId="165" fontId="160" fillId="0" borderId="0" xfId="6263" applyNumberFormat="1" applyFont="1" applyFill="1" applyBorder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center" vertical="top" wrapText="1"/>
      <protection locked="0"/>
    </xf>
    <xf numFmtId="0" fontId="2" fillId="0" borderId="29" xfId="0" applyFont="1" applyBorder="1" applyAlignment="1" applyProtection="1">
      <alignment horizontal="center" vertical="top" wrapText="1"/>
      <protection locked="0"/>
    </xf>
    <xf numFmtId="0" fontId="2" fillId="0" borderId="11" xfId="0" applyFont="1" applyBorder="1" applyAlignment="1" applyProtection="1">
      <alignment horizontal="center" vertical="top" wrapText="1"/>
      <protection locked="0"/>
    </xf>
    <xf numFmtId="0" fontId="2" fillId="38" borderId="11" xfId="0" applyFont="1" applyFill="1" applyBorder="1" applyAlignment="1" applyProtection="1">
      <alignment horizontal="center" vertical="top" wrapText="1"/>
      <protection locked="0"/>
    </xf>
    <xf numFmtId="164" fontId="161" fillId="70" borderId="30" xfId="0" applyNumberFormat="1" applyFont="1" applyFill="1" applyBorder="1" applyAlignment="1" applyProtection="1">
      <alignment horizontal="center" vertical="center" wrapText="1"/>
      <protection locked="0"/>
    </xf>
    <xf numFmtId="0" fontId="161" fillId="67" borderId="11" xfId="0" applyFont="1" applyFill="1" applyBorder="1" applyAlignment="1" applyProtection="1">
      <alignment horizontal="center" vertical="center" wrapText="1"/>
      <protection locked="0"/>
    </xf>
    <xf numFmtId="0" fontId="161" fillId="68" borderId="11" xfId="0" applyFont="1" applyFill="1" applyBorder="1" applyAlignment="1" applyProtection="1">
      <alignment horizontal="center" vertical="center" wrapText="1"/>
      <protection locked="0"/>
    </xf>
    <xf numFmtId="0" fontId="162" fillId="71" borderId="0" xfId="0" applyFont="1" applyFill="1" applyAlignment="1" applyProtection="1">
      <alignment horizontal="center" vertical="center" wrapText="1"/>
      <protection locked="0"/>
    </xf>
    <xf numFmtId="164" fontId="161" fillId="66" borderId="11" xfId="0" applyNumberFormat="1" applyFont="1" applyFill="1" applyBorder="1" applyAlignment="1" applyProtection="1">
      <alignment horizontal="center" vertical="center" wrapText="1"/>
      <protection locked="0"/>
    </xf>
    <xf numFmtId="10" fontId="160" fillId="0" borderId="11" xfId="6263" applyNumberFormat="1" applyFont="1" applyFill="1" applyBorder="1" applyAlignment="1" applyProtection="1">
      <alignment horizontal="center" vertical="top" wrapText="1"/>
      <protection locked="0"/>
    </xf>
    <xf numFmtId="165" fontId="160" fillId="0" borderId="11" xfId="6263" applyNumberFormat="1" applyFont="1" applyFill="1" applyBorder="1" applyAlignment="1" applyProtection="1">
      <alignment horizontal="right" vertical="top" wrapText="1"/>
      <protection locked="0"/>
    </xf>
    <xf numFmtId="10" fontId="160" fillId="0" borderId="11" xfId="6263" applyNumberFormat="1" applyFont="1" applyFill="1" applyBorder="1" applyAlignment="1" applyProtection="1">
      <alignment horizontal="right" vertical="top" wrapText="1"/>
      <protection locked="0"/>
    </xf>
    <xf numFmtId="10" fontId="160" fillId="71" borderId="0" xfId="6263" applyNumberFormat="1" applyFont="1" applyFill="1" applyBorder="1" applyAlignment="1" applyProtection="1">
      <alignment horizontal="right" vertical="top" wrapText="1"/>
      <protection locked="0"/>
    </xf>
    <xf numFmtId="165" fontId="160" fillId="71" borderId="0" xfId="6263" applyNumberFormat="1" applyFont="1" applyFill="1" applyBorder="1" applyAlignment="1" applyProtection="1">
      <alignment horizontal="right" vertical="top" wrapText="1"/>
      <protection locked="0"/>
    </xf>
    <xf numFmtId="5" fontId="160" fillId="0" borderId="11" xfId="6263" applyNumberFormat="1" applyFont="1" applyFill="1" applyBorder="1" applyAlignment="1" applyProtection="1">
      <alignment horizontal="right" vertical="top" wrapText="1"/>
      <protection locked="0"/>
    </xf>
    <xf numFmtId="164" fontId="162" fillId="0" borderId="0" xfId="0" applyNumberFormat="1" applyFont="1" applyAlignment="1" applyProtection="1">
      <alignment horizontal="center" vertical="top" wrapText="1"/>
      <protection locked="0"/>
    </xf>
    <xf numFmtId="10" fontId="160" fillId="0" borderId="0" xfId="6263" applyNumberFormat="1" applyFont="1" applyFill="1" applyBorder="1" applyAlignment="1" applyProtection="1">
      <alignment horizontal="left" vertical="top" wrapText="1"/>
      <protection locked="0"/>
    </xf>
    <xf numFmtId="165" fontId="162" fillId="0" borderId="0" xfId="6263" applyNumberFormat="1" applyFont="1" applyFill="1" applyBorder="1" applyAlignment="1" applyProtection="1">
      <alignment horizontal="left" vertical="top" wrapText="1"/>
      <protection locked="0"/>
    </xf>
    <xf numFmtId="0" fontId="77" fillId="0" borderId="0" xfId="0" applyFont="1" applyAlignment="1" applyProtection="1">
      <alignment horizontal="center" vertical="top" wrapText="1"/>
      <protection locked="0"/>
    </xf>
    <xf numFmtId="0" fontId="77" fillId="0" borderId="29" xfId="0" applyFont="1" applyBorder="1" applyAlignment="1" applyProtection="1">
      <alignment horizontal="center" vertical="top" wrapText="1"/>
      <protection locked="0"/>
    </xf>
    <xf numFmtId="0" fontId="77" fillId="38" borderId="11" xfId="0" applyFont="1" applyFill="1" applyBorder="1" applyAlignment="1" applyProtection="1">
      <alignment horizontal="center" vertical="top" wrapText="1"/>
      <protection locked="0"/>
    </xf>
    <xf numFmtId="164" fontId="3" fillId="0" borderId="0" xfId="0" applyNumberFormat="1" applyFont="1" applyAlignment="1" applyProtection="1">
      <alignment horizontal="left" vertical="center"/>
      <protection locked="0"/>
    </xf>
    <xf numFmtId="164" fontId="31" fillId="0" borderId="0" xfId="0" applyNumberFormat="1" applyFont="1" applyAlignment="1" applyProtection="1">
      <alignment horizontal="left" vertical="center"/>
      <protection locked="0"/>
    </xf>
    <xf numFmtId="164" fontId="161" fillId="69" borderId="29" xfId="0" applyNumberFormat="1" applyFont="1" applyFill="1" applyBorder="1" applyAlignment="1" applyProtection="1">
      <alignment vertical="center"/>
      <protection locked="0"/>
    </xf>
    <xf numFmtId="164" fontId="161" fillId="69" borderId="15" xfId="0" applyNumberFormat="1" applyFont="1" applyFill="1" applyBorder="1" applyAlignment="1" applyProtection="1">
      <alignment horizontal="left" vertical="center"/>
      <protection locked="0"/>
    </xf>
    <xf numFmtId="165" fontId="164" fillId="0" borderId="0" xfId="6263" applyNumberFormat="1" applyFont="1" applyFill="1" applyBorder="1" applyAlignment="1" applyProtection="1">
      <alignment horizontal="left" vertical="center"/>
      <protection locked="0"/>
    </xf>
    <xf numFmtId="0" fontId="150" fillId="0" borderId="0" xfId="0" applyFont="1" applyAlignment="1" applyProtection="1">
      <alignment horizontal="left" vertical="center"/>
      <protection locked="0"/>
    </xf>
    <xf numFmtId="0" fontId="150" fillId="0" borderId="29" xfId="0" applyFont="1" applyBorder="1" applyAlignment="1" applyProtection="1">
      <alignment horizontal="left" vertical="center"/>
      <protection locked="0"/>
    </xf>
    <xf numFmtId="0" fontId="150" fillId="0" borderId="11" xfId="0" applyFont="1" applyBorder="1" applyAlignment="1" applyProtection="1">
      <alignment horizontal="left" vertical="center"/>
      <protection locked="0"/>
    </xf>
    <xf numFmtId="0" fontId="77" fillId="65" borderId="11" xfId="0" applyFont="1" applyFill="1" applyBorder="1" applyAlignment="1" applyProtection="1">
      <alignment horizontal="center" vertical="center" wrapText="1"/>
      <protection locked="0"/>
    </xf>
    <xf numFmtId="164" fontId="151" fillId="69" borderId="11" xfId="0" applyNumberFormat="1" applyFont="1" applyFill="1" applyBorder="1" applyAlignment="1" applyProtection="1">
      <alignment horizontal="center" vertical="center" wrapText="1"/>
      <protection locked="0"/>
    </xf>
    <xf numFmtId="164" fontId="31" fillId="66" borderId="30" xfId="0" applyNumberFormat="1" applyFont="1" applyFill="1" applyBorder="1" applyAlignment="1" applyProtection="1">
      <alignment horizontal="center" vertical="center" wrapText="1"/>
      <protection locked="0"/>
    </xf>
    <xf numFmtId="164" fontId="165" fillId="66" borderId="30" xfId="0" applyNumberFormat="1" applyFont="1" applyFill="1" applyBorder="1" applyAlignment="1" applyProtection="1">
      <alignment horizontal="center" vertical="center" wrapText="1"/>
      <protection locked="0"/>
    </xf>
    <xf numFmtId="164" fontId="161" fillId="69" borderId="11" xfId="0" applyNumberFormat="1" applyFont="1" applyFill="1" applyBorder="1" applyAlignment="1" applyProtection="1">
      <alignment horizontal="center" vertical="center" wrapText="1"/>
      <protection locked="0"/>
    </xf>
    <xf numFmtId="0" fontId="162" fillId="4" borderId="11" xfId="0" applyFont="1" applyFill="1" applyBorder="1" applyAlignment="1" applyProtection="1">
      <alignment horizontal="center" vertical="center" wrapText="1"/>
      <protection locked="0"/>
    </xf>
    <xf numFmtId="0" fontId="150" fillId="0" borderId="0" xfId="0" applyFont="1" applyAlignment="1" applyProtection="1">
      <alignment horizontal="center" vertical="center" wrapText="1"/>
      <protection locked="0"/>
    </xf>
    <xf numFmtId="0" fontId="150" fillId="0" borderId="29" xfId="0" applyFont="1" applyBorder="1" applyAlignment="1" applyProtection="1">
      <alignment horizontal="center" vertical="center" wrapText="1"/>
      <protection locked="0"/>
    </xf>
    <xf numFmtId="0" fontId="150" fillId="0" borderId="11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left" vertical="top" wrapText="1"/>
      <protection locked="0"/>
    </xf>
    <xf numFmtId="10" fontId="2" fillId="63" borderId="11" xfId="2" applyNumberFormat="1" applyFont="1" applyFill="1" applyBorder="1" applyAlignment="1" applyProtection="1">
      <alignment vertical="top" wrapText="1"/>
      <protection locked="0"/>
    </xf>
    <xf numFmtId="165" fontId="160" fillId="63" borderId="11" xfId="0" applyNumberFormat="1" applyFont="1" applyFill="1" applyBorder="1" applyAlignment="1" applyProtection="1">
      <alignment horizontal="left" vertical="top" wrapText="1"/>
      <protection locked="0"/>
    </xf>
    <xf numFmtId="165" fontId="160" fillId="0" borderId="11" xfId="0" applyNumberFormat="1" applyFont="1" applyBorder="1" applyAlignment="1" applyProtection="1">
      <alignment horizontal="left" vertical="top" wrapText="1"/>
      <protection locked="0"/>
    </xf>
    <xf numFmtId="10" fontId="160" fillId="0" borderId="11" xfId="0" applyNumberFormat="1" applyFont="1" applyBorder="1" applyAlignment="1" applyProtection="1">
      <alignment horizontal="center" vertical="top" wrapText="1"/>
      <protection locked="0"/>
    </xf>
    <xf numFmtId="5" fontId="160" fillId="0" borderId="11" xfId="0" applyNumberFormat="1" applyFont="1" applyBorder="1" applyAlignment="1" applyProtection="1">
      <alignment horizontal="right" vertical="top" wrapText="1"/>
      <protection locked="0"/>
    </xf>
    <xf numFmtId="10" fontId="160" fillId="0" borderId="11" xfId="2" applyNumberFormat="1" applyFont="1" applyFill="1" applyBorder="1" applyAlignment="1" applyProtection="1">
      <alignment horizontal="right" vertical="top" wrapText="1"/>
      <protection locked="0"/>
    </xf>
    <xf numFmtId="179" fontId="160" fillId="0" borderId="11" xfId="2" applyNumberFormat="1" applyFont="1" applyFill="1" applyBorder="1" applyAlignment="1" applyProtection="1">
      <alignment horizontal="right" vertical="top" wrapText="1"/>
      <protection locked="0"/>
    </xf>
    <xf numFmtId="166" fontId="160" fillId="0" borderId="11" xfId="2" applyNumberFormat="1" applyFont="1" applyFill="1" applyBorder="1" applyAlignment="1" applyProtection="1">
      <alignment horizontal="right" vertical="top" wrapText="1"/>
      <protection locked="0"/>
    </xf>
    <xf numFmtId="0" fontId="163" fillId="0" borderId="11" xfId="0" applyFont="1" applyBorder="1" applyAlignment="1" applyProtection="1">
      <alignment horizontal="left" vertical="top" wrapText="1"/>
      <protection locked="0"/>
    </xf>
    <xf numFmtId="0" fontId="158" fillId="0" borderId="11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0" borderId="29" xfId="0" applyFont="1" applyBorder="1" applyAlignment="1" applyProtection="1">
      <alignment vertical="top" wrapText="1"/>
      <protection locked="0"/>
    </xf>
    <xf numFmtId="0" fontId="1" fillId="0" borderId="11" xfId="0" applyFont="1" applyBorder="1" applyAlignment="1" applyProtection="1">
      <alignment vertical="top" wrapText="1"/>
      <protection locked="0"/>
    </xf>
    <xf numFmtId="0" fontId="1" fillId="0" borderId="11" xfId="0" applyFont="1" applyBorder="1" applyAlignment="1" applyProtection="1">
      <alignment wrapText="1"/>
      <protection locked="0"/>
    </xf>
    <xf numFmtId="9" fontId="1" fillId="0" borderId="11" xfId="2" applyFont="1" applyBorder="1" applyAlignment="1" applyProtection="1">
      <alignment wrapText="1"/>
      <protection locked="0"/>
    </xf>
    <xf numFmtId="0" fontId="158" fillId="0" borderId="11" xfId="0" applyFont="1" applyBorder="1" applyAlignment="1" applyProtection="1">
      <alignment wrapText="1"/>
      <protection locked="0"/>
    </xf>
    <xf numFmtId="9" fontId="159" fillId="0" borderId="11" xfId="2" applyFont="1" applyFill="1" applyBorder="1" applyAlignment="1" applyProtection="1">
      <alignment wrapText="1"/>
      <protection locked="0"/>
    </xf>
    <xf numFmtId="9" fontId="160" fillId="0" borderId="11" xfId="2" applyFont="1" applyFill="1" applyBorder="1" applyAlignment="1" applyProtection="1">
      <alignment wrapText="1"/>
      <protection locked="0"/>
    </xf>
    <xf numFmtId="0" fontId="1" fillId="0" borderId="29" xfId="0" applyFont="1" applyBorder="1" applyAlignment="1" applyProtection="1">
      <alignment wrapText="1"/>
      <protection locked="0"/>
    </xf>
    <xf numFmtId="164" fontId="77" fillId="76" borderId="11" xfId="0" applyNumberFormat="1" applyFont="1" applyFill="1" applyBorder="1" applyAlignment="1">
      <alignment horizontal="center" vertical="top" wrapText="1"/>
    </xf>
    <xf numFmtId="164" fontId="77" fillId="4" borderId="11" xfId="0" applyNumberFormat="1" applyFont="1" applyFill="1" applyBorder="1" applyAlignment="1">
      <alignment horizontal="center" vertical="top" wrapText="1"/>
    </xf>
    <xf numFmtId="0" fontId="77" fillId="76" borderId="11" xfId="0" applyFont="1" applyFill="1" applyBorder="1" applyAlignment="1">
      <alignment horizontal="center" vertical="top" wrapText="1"/>
    </xf>
    <xf numFmtId="179" fontId="77" fillId="4" borderId="11" xfId="0" applyNumberFormat="1" applyFont="1" applyFill="1" applyBorder="1" applyAlignment="1">
      <alignment horizontal="center" vertical="top" wrapText="1"/>
    </xf>
    <xf numFmtId="164" fontId="77" fillId="0" borderId="11" xfId="0" applyNumberFormat="1" applyFont="1" applyBorder="1" applyAlignment="1">
      <alignment horizontal="center" vertical="top" wrapText="1"/>
    </xf>
    <xf numFmtId="179" fontId="77" fillId="0" borderId="11" xfId="0" applyNumberFormat="1" applyFont="1" applyBorder="1" applyAlignment="1">
      <alignment horizontal="center" vertical="top" wrapText="1"/>
    </xf>
    <xf numFmtId="0" fontId="25" fillId="0" borderId="0" xfId="0" applyFont="1" applyAlignment="1">
      <alignment wrapText="1"/>
    </xf>
    <xf numFmtId="0" fontId="25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79" fontId="25" fillId="0" borderId="0" xfId="0" applyNumberFormat="1" applyFont="1" applyAlignment="1">
      <alignment horizontal="right" wrapText="1"/>
    </xf>
    <xf numFmtId="179" fontId="25" fillId="0" borderId="0" xfId="0" applyNumberFormat="1" applyFont="1" applyAlignment="1">
      <alignment wrapText="1"/>
    </xf>
    <xf numFmtId="179" fontId="3" fillId="0" borderId="0" xfId="0" applyNumberFormat="1" applyFont="1" applyAlignment="1">
      <alignment horizontal="right" vertical="top" wrapText="1"/>
    </xf>
    <xf numFmtId="164" fontId="31" fillId="69" borderId="30" xfId="0" applyNumberFormat="1" applyFont="1" applyFill="1" applyBorder="1" applyAlignment="1">
      <alignment horizontal="center" vertical="center" wrapText="1"/>
    </xf>
    <xf numFmtId="164" fontId="31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179" fontId="149" fillId="0" borderId="0" xfId="0" applyNumberFormat="1" applyFont="1" applyAlignment="1">
      <alignment horizontal="left" vertical="center"/>
    </xf>
    <xf numFmtId="179" fontId="3" fillId="0" borderId="0" xfId="0" applyNumberFormat="1" applyFont="1" applyAlignment="1">
      <alignment horizontal="left" vertical="center"/>
    </xf>
    <xf numFmtId="179" fontId="31" fillId="0" borderId="0" xfId="0" applyNumberFormat="1" applyFont="1" applyAlignment="1">
      <alignment horizontal="left" vertical="center"/>
    </xf>
    <xf numFmtId="0" fontId="31" fillId="69" borderId="36" xfId="0" applyFont="1" applyFill="1" applyBorder="1" applyAlignment="1">
      <alignment horizontal="left" vertical="center"/>
    </xf>
    <xf numFmtId="0" fontId="31" fillId="69" borderId="35" xfId="0" applyFont="1" applyFill="1" applyBorder="1" applyAlignment="1">
      <alignment horizontal="left" vertical="center"/>
    </xf>
    <xf numFmtId="0" fontId="31" fillId="73" borderId="11" xfId="0" applyFont="1" applyFill="1" applyBorder="1" applyAlignment="1">
      <alignment horizontal="center" vertical="center" wrapText="1"/>
    </xf>
    <xf numFmtId="179" fontId="31" fillId="69" borderId="11" xfId="0" applyNumberFormat="1" applyFont="1" applyFill="1" applyBorder="1" applyAlignment="1">
      <alignment horizontal="center" vertical="center" wrapText="1"/>
    </xf>
    <xf numFmtId="164" fontId="31" fillId="74" borderId="11" xfId="0" applyNumberFormat="1" applyFont="1" applyFill="1" applyBorder="1" applyAlignment="1">
      <alignment horizontal="center" vertical="center" wrapText="1"/>
    </xf>
    <xf numFmtId="0" fontId="31" fillId="69" borderId="11" xfId="0" applyFont="1" applyFill="1" applyBorder="1" applyAlignment="1">
      <alignment horizontal="center" vertical="center" wrapText="1"/>
    </xf>
    <xf numFmtId="164" fontId="31" fillId="73" borderId="30" xfId="0" applyNumberFormat="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wrapText="1"/>
    </xf>
    <xf numFmtId="179" fontId="25" fillId="0" borderId="11" xfId="0" applyNumberFormat="1" applyFont="1" applyBorder="1" applyAlignment="1">
      <alignment horizontal="right" wrapText="1"/>
    </xf>
    <xf numFmtId="179" fontId="25" fillId="0" borderId="11" xfId="0" applyNumberFormat="1" applyFont="1" applyBorder="1" applyAlignment="1">
      <alignment wrapText="1"/>
    </xf>
    <xf numFmtId="10" fontId="77" fillId="4" borderId="11" xfId="2" applyNumberFormat="1" applyFont="1" applyFill="1" applyBorder="1" applyAlignment="1" applyProtection="1">
      <alignment horizontal="center" vertical="top" wrapText="1"/>
    </xf>
    <xf numFmtId="10" fontId="77" fillId="0" borderId="11" xfId="2" applyNumberFormat="1" applyFont="1" applyFill="1" applyBorder="1" applyAlignment="1" applyProtection="1">
      <alignment horizontal="center" vertical="top" wrapText="1"/>
    </xf>
    <xf numFmtId="10" fontId="25" fillId="0" borderId="0" xfId="2" applyNumberFormat="1" applyFont="1" applyFill="1" applyBorder="1" applyAlignment="1" applyProtection="1">
      <alignment wrapText="1"/>
    </xf>
    <xf numFmtId="0" fontId="31" fillId="66" borderId="15" xfId="0" applyFont="1" applyFill="1" applyBorder="1" applyAlignment="1">
      <alignment vertical="center"/>
    </xf>
    <xf numFmtId="0" fontId="31" fillId="66" borderId="30" xfId="0" applyFont="1" applyFill="1" applyBorder="1" applyAlignment="1">
      <alignment horizontal="center" vertical="center" wrapText="1"/>
    </xf>
    <xf numFmtId="10" fontId="31" fillId="66" borderId="30" xfId="2" applyNumberFormat="1" applyFont="1" applyFill="1" applyBorder="1" applyAlignment="1" applyProtection="1">
      <alignment horizontal="center" vertical="center" wrapText="1"/>
    </xf>
    <xf numFmtId="10" fontId="25" fillId="0" borderId="11" xfId="2" applyNumberFormat="1" applyFont="1" applyFill="1" applyBorder="1" applyAlignment="1" applyProtection="1">
      <alignment wrapText="1"/>
    </xf>
    <xf numFmtId="0" fontId="77" fillId="4" borderId="11" xfId="0" applyFont="1" applyFill="1" applyBorder="1" applyAlignment="1">
      <alignment horizontal="center" vertical="top" wrapText="1"/>
    </xf>
    <xf numFmtId="0" fontId="77" fillId="0" borderId="11" xfId="0" applyFont="1" applyBorder="1" applyAlignment="1">
      <alignment horizontal="center" vertical="top" wrapText="1"/>
    </xf>
    <xf numFmtId="5" fontId="146" fillId="0" borderId="11" xfId="2" applyNumberFormat="1" applyFont="1" applyFill="1" applyBorder="1" applyAlignment="1" applyProtection="1">
      <alignment horizontal="right" vertical="top" wrapText="1"/>
    </xf>
    <xf numFmtId="0" fontId="25" fillId="0" borderId="0" xfId="0" applyFont="1" applyAlignment="1">
      <alignment horizontal="right" wrapText="1"/>
    </xf>
    <xf numFmtId="0" fontId="75" fillId="0" borderId="0" xfId="0" applyFont="1" applyAlignment="1">
      <alignment wrapText="1"/>
    </xf>
    <xf numFmtId="0" fontId="25" fillId="0" borderId="0" xfId="0" applyFont="1" applyAlignment="1">
      <alignment horizontal="left" vertical="top" wrapText="1"/>
    </xf>
    <xf numFmtId="165" fontId="25" fillId="0" borderId="0" xfId="0" applyNumberFormat="1" applyFont="1" applyAlignment="1">
      <alignment wrapText="1"/>
    </xf>
    <xf numFmtId="164" fontId="31" fillId="66" borderId="32" xfId="0" applyNumberFormat="1" applyFont="1" applyFill="1" applyBorder="1" applyAlignment="1">
      <alignment vertical="center"/>
    </xf>
    <xf numFmtId="164" fontId="31" fillId="66" borderId="36" xfId="0" applyNumberFormat="1" applyFont="1" applyFill="1" applyBorder="1" applyAlignment="1">
      <alignment vertical="center"/>
    </xf>
    <xf numFmtId="164" fontId="31" fillId="70" borderId="11" xfId="0" applyNumberFormat="1" applyFont="1" applyFill="1" applyBorder="1" applyAlignment="1">
      <alignment horizontal="center" vertical="center" wrapText="1"/>
    </xf>
    <xf numFmtId="0" fontId="155" fillId="70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right" wrapText="1"/>
    </xf>
    <xf numFmtId="0" fontId="75" fillId="0" borderId="11" xfId="0" applyFont="1" applyBorder="1" applyAlignment="1">
      <alignment wrapText="1"/>
    </xf>
    <xf numFmtId="0" fontId="25" fillId="0" borderId="11" xfId="0" applyFont="1" applyBorder="1" applyAlignment="1">
      <alignment horizontal="left" vertical="top" wrapText="1"/>
    </xf>
    <xf numFmtId="165" fontId="25" fillId="0" borderId="11" xfId="0" applyNumberFormat="1" applyFont="1" applyBorder="1" applyAlignment="1">
      <alignment wrapText="1"/>
    </xf>
    <xf numFmtId="0" fontId="2" fillId="0" borderId="11" xfId="0" applyFont="1" applyBorder="1" applyAlignment="1">
      <alignment horizontal="left" vertical="top" wrapText="1"/>
    </xf>
    <xf numFmtId="164" fontId="146" fillId="0" borderId="11" xfId="0" applyNumberFormat="1" applyFont="1" applyBorder="1" applyAlignment="1">
      <alignment horizontal="left" vertical="top" wrapText="1"/>
    </xf>
    <xf numFmtId="14" fontId="2" fillId="0" borderId="11" xfId="0" applyNumberFormat="1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2" fontId="146" fillId="0" borderId="11" xfId="0" applyNumberFormat="1" applyFont="1" applyBorder="1" applyAlignment="1">
      <alignment horizontal="center" vertical="top" wrapText="1"/>
    </xf>
    <xf numFmtId="0" fontId="146" fillId="0" borderId="11" xfId="0" applyFont="1" applyBorder="1" applyAlignment="1">
      <alignment horizontal="center" vertical="top" wrapText="1"/>
    </xf>
    <xf numFmtId="179" fontId="146" fillId="0" borderId="11" xfId="0" applyNumberFormat="1" applyFont="1" applyBorder="1" applyAlignment="1">
      <alignment horizontal="right" vertical="top" wrapText="1"/>
    </xf>
    <xf numFmtId="0" fontId="146" fillId="0" borderId="11" xfId="0" applyFont="1" applyBorder="1" applyAlignment="1">
      <alignment horizontal="left" vertical="top" wrapText="1"/>
    </xf>
    <xf numFmtId="1" fontId="146" fillId="0" borderId="11" xfId="0" applyNumberFormat="1" applyFont="1" applyBorder="1" applyAlignment="1">
      <alignment horizontal="center" vertical="top" wrapText="1"/>
    </xf>
    <xf numFmtId="0" fontId="1" fillId="0" borderId="30" xfId="0" applyFont="1" applyBorder="1" applyAlignment="1">
      <alignment horizontal="left" vertical="top"/>
    </xf>
    <xf numFmtId="10" fontId="146" fillId="63" borderId="11" xfId="0" applyNumberFormat="1" applyFont="1" applyFill="1" applyBorder="1" applyAlignment="1" applyProtection="1">
      <alignment horizontal="left" vertical="top" wrapText="1"/>
      <protection locked="0"/>
    </xf>
    <xf numFmtId="10" fontId="146" fillId="3" borderId="11" xfId="0" applyNumberFormat="1" applyFont="1" applyFill="1" applyBorder="1" applyAlignment="1">
      <alignment horizontal="center" vertical="top" wrapText="1"/>
    </xf>
    <xf numFmtId="179" fontId="146" fillId="3" borderId="11" xfId="0" applyNumberFormat="1" applyFont="1" applyFill="1" applyBorder="1" applyAlignment="1">
      <alignment horizontal="right" vertical="top" wrapText="1"/>
    </xf>
    <xf numFmtId="165" fontId="25" fillId="0" borderId="11" xfId="0" applyNumberFormat="1" applyFont="1" applyBorder="1" applyAlignment="1">
      <alignment vertical="top"/>
    </xf>
    <xf numFmtId="165" fontId="146" fillId="0" borderId="11" xfId="0" applyNumberFormat="1" applyFont="1" applyBorder="1" applyAlignment="1">
      <alignment horizontal="left" vertical="top" wrapText="1"/>
    </xf>
    <xf numFmtId="44" fontId="146" fillId="0" borderId="11" xfId="0" applyNumberFormat="1" applyFont="1" applyBorder="1" applyAlignment="1">
      <alignment horizontal="left" vertical="top" wrapText="1"/>
    </xf>
    <xf numFmtId="165" fontId="146" fillId="0" borderId="11" xfId="0" applyNumberFormat="1" applyFont="1" applyBorder="1" applyAlignment="1">
      <alignment horizontal="center" vertical="top" wrapText="1"/>
    </xf>
    <xf numFmtId="187" fontId="146" fillId="0" borderId="11" xfId="0" applyNumberFormat="1" applyFont="1" applyBorder="1" applyAlignment="1">
      <alignment horizontal="center" vertical="top" wrapText="1"/>
    </xf>
    <xf numFmtId="165" fontId="146" fillId="0" borderId="11" xfId="0" applyNumberFormat="1" applyFont="1" applyBorder="1" applyAlignment="1">
      <alignment vertical="top" wrapText="1"/>
    </xf>
    <xf numFmtId="164" fontId="31" fillId="66" borderId="30" xfId="0" applyNumberFormat="1" applyFont="1" applyFill="1" applyBorder="1" applyAlignment="1">
      <alignment horizontal="center" vertical="center" wrapText="1"/>
    </xf>
    <xf numFmtId="164" fontId="31" fillId="0" borderId="0" xfId="0" applyNumberFormat="1" applyFont="1" applyAlignment="1">
      <alignment horizontal="center" vertical="center" wrapText="1"/>
    </xf>
    <xf numFmtId="166" fontId="23" fillId="0" borderId="0" xfId="6263" applyNumberFormat="1" applyFont="1" applyFill="1" applyBorder="1" applyAlignment="1" applyProtection="1">
      <alignment horizontal="center" vertical="top" wrapText="1"/>
    </xf>
    <xf numFmtId="179" fontId="23" fillId="0" borderId="0" xfId="6263" applyNumberFormat="1" applyFont="1" applyFill="1" applyBorder="1" applyAlignment="1" applyProtection="1">
      <alignment horizontal="right" vertical="top" wrapText="1"/>
    </xf>
    <xf numFmtId="165" fontId="23" fillId="0" borderId="0" xfId="6263" applyNumberFormat="1" applyFont="1" applyFill="1" applyBorder="1" applyAlignment="1" applyProtection="1">
      <alignment horizontal="left" vertical="top" wrapText="1"/>
    </xf>
    <xf numFmtId="10" fontId="23" fillId="0" borderId="0" xfId="6263" applyNumberFormat="1" applyFont="1" applyFill="1" applyBorder="1" applyAlignment="1" applyProtection="1">
      <alignment horizontal="left" vertical="top" wrapText="1"/>
    </xf>
    <xf numFmtId="164" fontId="31" fillId="0" borderId="0" xfId="0" applyNumberFormat="1" applyFont="1" applyAlignment="1">
      <alignment horizontal="center" vertical="top" wrapText="1"/>
    </xf>
    <xf numFmtId="164" fontId="31" fillId="71" borderId="0" xfId="0" applyNumberFormat="1" applyFont="1" applyFill="1" applyAlignment="1">
      <alignment horizontal="center" vertical="center" wrapText="1"/>
    </xf>
    <xf numFmtId="0" fontId="31" fillId="71" borderId="0" xfId="0" applyFont="1" applyFill="1" applyAlignment="1">
      <alignment horizontal="center" vertical="top" wrapText="1"/>
    </xf>
    <xf numFmtId="164" fontId="31" fillId="71" borderId="0" xfId="0" applyNumberFormat="1" applyFont="1" applyFill="1" applyAlignment="1">
      <alignment horizontal="center" vertical="top" wrapText="1"/>
    </xf>
    <xf numFmtId="0" fontId="150" fillId="71" borderId="0" xfId="0" applyFont="1" applyFill="1" applyAlignment="1">
      <alignment horizontal="center" vertical="top" wrapText="1"/>
    </xf>
    <xf numFmtId="179" fontId="31" fillId="71" borderId="0" xfId="0" applyNumberFormat="1" applyFont="1" applyFill="1" applyAlignment="1">
      <alignment horizontal="center" vertical="top" wrapText="1"/>
    </xf>
    <xf numFmtId="0" fontId="153" fillId="71" borderId="0" xfId="0" applyFont="1" applyFill="1" applyAlignment="1">
      <alignment horizontal="center" vertical="center" wrapText="1"/>
    </xf>
    <xf numFmtId="179" fontId="31" fillId="71" borderId="0" xfId="0" applyNumberFormat="1" applyFont="1" applyFill="1" applyAlignment="1">
      <alignment horizontal="center" vertical="center" wrapText="1"/>
    </xf>
    <xf numFmtId="0" fontId="17" fillId="71" borderId="0" xfId="0" applyFont="1" applyFill="1" applyAlignment="1">
      <alignment horizontal="center" vertical="center"/>
    </xf>
    <xf numFmtId="0" fontId="153" fillId="71" borderId="0" xfId="0" applyFont="1" applyFill="1" applyAlignment="1">
      <alignment vertical="top"/>
    </xf>
    <xf numFmtId="0" fontId="150" fillId="71" borderId="0" xfId="0" applyFont="1" applyFill="1" applyAlignment="1">
      <alignment vertical="top"/>
    </xf>
    <xf numFmtId="0" fontId="21" fillId="71" borderId="0" xfId="0" applyFont="1" applyFill="1" applyAlignment="1">
      <alignment vertical="top"/>
    </xf>
    <xf numFmtId="0" fontId="21" fillId="71" borderId="0" xfId="0" applyFont="1" applyFill="1"/>
    <xf numFmtId="0" fontId="21" fillId="71" borderId="0" xfId="0" applyFont="1" applyFill="1" applyAlignment="1">
      <alignment horizontal="center"/>
    </xf>
    <xf numFmtId="0" fontId="17" fillId="71" borderId="0" xfId="0" applyFont="1" applyFill="1" applyAlignment="1">
      <alignment horizontal="left"/>
    </xf>
    <xf numFmtId="0" fontId="17" fillId="71" borderId="0" xfId="0" applyFont="1" applyFill="1" applyAlignment="1">
      <alignment horizontal="center" wrapText="1"/>
    </xf>
    <xf numFmtId="0" fontId="17" fillId="71" borderId="0" xfId="0" applyFont="1" applyFill="1" applyAlignment="1">
      <alignment horizontal="center"/>
    </xf>
    <xf numFmtId="0" fontId="166" fillId="71" borderId="0" xfId="0" applyFont="1" applyFill="1"/>
    <xf numFmtId="1" fontId="152" fillId="71" borderId="0" xfId="0" applyNumberFormat="1" applyFont="1" applyFill="1" applyAlignment="1">
      <alignment vertical="top"/>
    </xf>
    <xf numFmtId="179" fontId="21" fillId="71" borderId="0" xfId="0" applyNumberFormat="1" applyFont="1" applyFill="1" applyAlignment="1">
      <alignment horizontal="center"/>
    </xf>
    <xf numFmtId="0" fontId="21" fillId="71" borderId="0" xfId="0" applyFont="1" applyFill="1" applyAlignment="1">
      <alignment horizontal="left"/>
    </xf>
    <xf numFmtId="0" fontId="21" fillId="71" borderId="0" xfId="0" applyFont="1" applyFill="1" applyAlignment="1">
      <alignment horizontal="left" indent="1"/>
    </xf>
    <xf numFmtId="0" fontId="144" fillId="71" borderId="0" xfId="0" applyFont="1" applyFill="1"/>
    <xf numFmtId="1" fontId="152" fillId="71" borderId="0" xfId="0" applyNumberFormat="1" applyFont="1" applyFill="1" applyAlignment="1">
      <alignment horizontal="center" vertical="center" wrapText="1"/>
    </xf>
    <xf numFmtId="0" fontId="152" fillId="71" borderId="0" xfId="0" applyFont="1" applyFill="1" applyAlignment="1">
      <alignment horizontal="center" vertical="center" wrapText="1"/>
    </xf>
    <xf numFmtId="165" fontId="152" fillId="71" borderId="0" xfId="6263" applyNumberFormat="1" applyFont="1" applyFill="1" applyBorder="1" applyAlignment="1">
      <alignment horizontal="center" vertical="center" wrapText="1"/>
    </xf>
    <xf numFmtId="0" fontId="168" fillId="71" borderId="0" xfId="0" applyFont="1" applyFill="1"/>
    <xf numFmtId="1" fontId="169" fillId="71" borderId="0" xfId="0" applyNumberFormat="1" applyFont="1" applyFill="1" applyAlignment="1">
      <alignment horizontal="center"/>
    </xf>
    <xf numFmtId="8" fontId="169" fillId="71" borderId="0" xfId="0" applyNumberFormat="1" applyFont="1" applyFill="1"/>
    <xf numFmtId="166" fontId="169" fillId="71" borderId="0" xfId="0" applyNumberFormat="1" applyFont="1" applyFill="1" applyAlignment="1">
      <alignment horizontal="center"/>
    </xf>
    <xf numFmtId="184" fontId="169" fillId="71" borderId="0" xfId="0" applyNumberFormat="1" applyFont="1" applyFill="1"/>
    <xf numFmtId="165" fontId="21" fillId="71" borderId="0" xfId="6263" applyNumberFormat="1" applyFont="1" applyFill="1" applyBorder="1" applyAlignment="1">
      <alignment horizontal="center"/>
    </xf>
    <xf numFmtId="1" fontId="144" fillId="71" borderId="0" xfId="0" applyNumberFormat="1" applyFont="1" applyFill="1"/>
    <xf numFmtId="0" fontId="168" fillId="71" borderId="0" xfId="0" applyFont="1" applyFill="1" applyAlignment="1">
      <alignment horizontal="center" wrapText="1"/>
    </xf>
    <xf numFmtId="0" fontId="168" fillId="71" borderId="0" xfId="0" applyFont="1" applyFill="1" applyAlignment="1">
      <alignment horizontal="center"/>
    </xf>
    <xf numFmtId="0" fontId="168" fillId="71" borderId="0" xfId="0" applyFont="1" applyFill="1" applyAlignment="1">
      <alignment wrapText="1"/>
    </xf>
    <xf numFmtId="1" fontId="167" fillId="71" borderId="0" xfId="0" applyNumberFormat="1" applyFont="1" applyFill="1" applyAlignment="1">
      <alignment horizontal="center"/>
    </xf>
    <xf numFmtId="44" fontId="167" fillId="71" borderId="0" xfId="6263" applyFont="1" applyFill="1" applyBorder="1" applyAlignment="1">
      <alignment horizontal="center"/>
    </xf>
    <xf numFmtId="8" fontId="168" fillId="71" borderId="0" xfId="0" applyNumberFormat="1" applyFont="1" applyFill="1"/>
    <xf numFmtId="166" fontId="168" fillId="71" borderId="0" xfId="0" applyNumberFormat="1" applyFont="1" applyFill="1" applyAlignment="1">
      <alignment horizontal="center"/>
    </xf>
    <xf numFmtId="184" fontId="168" fillId="71" borderId="0" xfId="0" applyNumberFormat="1" applyFont="1" applyFill="1"/>
    <xf numFmtId="6" fontId="167" fillId="71" borderId="0" xfId="0" applyNumberFormat="1" applyFont="1" applyFill="1"/>
    <xf numFmtId="6" fontId="168" fillId="71" borderId="0" xfId="0" applyNumberFormat="1" applyFont="1" applyFill="1"/>
    <xf numFmtId="166" fontId="21" fillId="71" borderId="0" xfId="2" applyNumberFormat="1" applyFont="1" applyFill="1" applyBorder="1" applyAlignment="1">
      <alignment horizontal="center"/>
    </xf>
    <xf numFmtId="0" fontId="168" fillId="71" borderId="0" xfId="2" applyNumberFormat="1" applyFont="1" applyFill="1" applyBorder="1" applyAlignment="1">
      <alignment horizontal="center"/>
    </xf>
    <xf numFmtId="166" fontId="168" fillId="71" borderId="0" xfId="2" applyNumberFormat="1" applyFont="1" applyFill="1" applyBorder="1"/>
    <xf numFmtId="1" fontId="168" fillId="71" borderId="0" xfId="0" applyNumberFormat="1" applyFont="1" applyFill="1" applyAlignment="1">
      <alignment horizontal="center"/>
    </xf>
    <xf numFmtId="44" fontId="167" fillId="71" borderId="0" xfId="6263" applyFont="1" applyFill="1" applyBorder="1"/>
    <xf numFmtId="185" fontId="21" fillId="71" borderId="0" xfId="2" applyNumberFormat="1" applyFont="1" applyFill="1" applyBorder="1" applyAlignment="1">
      <alignment horizontal="center"/>
    </xf>
    <xf numFmtId="44" fontId="21" fillId="71" borderId="0" xfId="6263" applyFont="1" applyFill="1" applyBorder="1"/>
    <xf numFmtId="8" fontId="168" fillId="71" borderId="0" xfId="0" applyNumberFormat="1" applyFont="1" applyFill="1" applyAlignment="1">
      <alignment horizontal="center" vertical="center"/>
    </xf>
    <xf numFmtId="0" fontId="167" fillId="71" borderId="0" xfId="0" applyFont="1" applyFill="1" applyAlignment="1">
      <alignment horizontal="center" vertical="center" wrapText="1"/>
    </xf>
    <xf numFmtId="0" fontId="168" fillId="71" borderId="0" xfId="0" applyFont="1" applyFill="1" applyAlignment="1">
      <alignment horizontal="center" vertical="center"/>
    </xf>
    <xf numFmtId="44" fontId="21" fillId="71" borderId="0" xfId="6263" applyFont="1" applyFill="1" applyBorder="1" applyAlignment="1">
      <alignment horizontal="center"/>
    </xf>
    <xf numFmtId="166" fontId="168" fillId="71" borderId="0" xfId="2" applyNumberFormat="1" applyFont="1" applyFill="1" applyBorder="1" applyAlignment="1">
      <alignment horizontal="center"/>
    </xf>
    <xf numFmtId="0" fontId="153" fillId="66" borderId="30" xfId="0" applyFont="1" applyFill="1" applyBorder="1" applyAlignment="1">
      <alignment horizontal="center" vertical="center" wrapText="1"/>
    </xf>
    <xf numFmtId="165" fontId="153" fillId="75" borderId="30" xfId="6263" applyNumberFormat="1" applyFont="1" applyFill="1" applyBorder="1" applyAlignment="1" applyProtection="1">
      <alignment horizontal="center" vertical="top" wrapText="1"/>
    </xf>
    <xf numFmtId="9" fontId="1" fillId="0" borderId="0" xfId="2" applyFont="1" applyBorder="1" applyAlignment="1" applyProtection="1">
      <alignment wrapText="1"/>
    </xf>
    <xf numFmtId="0" fontId="158" fillId="0" borderId="0" xfId="0" applyFont="1" applyAlignment="1">
      <alignment wrapText="1"/>
    </xf>
    <xf numFmtId="164" fontId="31" fillId="72" borderId="31" xfId="0" applyNumberFormat="1" applyFont="1" applyFill="1" applyBorder="1" applyAlignment="1">
      <alignment vertical="center" wrapText="1"/>
    </xf>
    <xf numFmtId="164" fontId="31" fillId="72" borderId="15" xfId="0" applyNumberFormat="1" applyFont="1" applyFill="1" applyBorder="1" applyAlignment="1">
      <alignment vertical="center" wrapText="1"/>
    </xf>
    <xf numFmtId="164" fontId="31" fillId="72" borderId="29" xfId="0" applyNumberFormat="1" applyFont="1" applyFill="1" applyBorder="1" applyAlignment="1">
      <alignment horizontal="right" vertical="center"/>
    </xf>
    <xf numFmtId="10" fontId="146" fillId="63" borderId="29" xfId="6263" applyNumberFormat="1" applyFont="1" applyFill="1" applyBorder="1" applyAlignment="1" applyProtection="1">
      <alignment horizontal="center" vertical="center" wrapText="1"/>
    </xf>
    <xf numFmtId="165" fontId="146" fillId="63" borderId="11" xfId="6263" applyNumberFormat="1" applyFont="1" applyFill="1" applyBorder="1" applyAlignment="1" applyProtection="1">
      <alignment horizontal="center" vertical="center" wrapText="1"/>
    </xf>
    <xf numFmtId="10" fontId="25" fillId="0" borderId="11" xfId="6263" applyNumberFormat="1" applyFont="1" applyFill="1" applyBorder="1" applyAlignment="1" applyProtection="1">
      <alignment horizontal="center" vertical="center" wrapText="1"/>
    </xf>
    <xf numFmtId="165" fontId="25" fillId="0" borderId="11" xfId="6263" applyNumberFormat="1" applyFont="1" applyFill="1" applyBorder="1" applyAlignment="1" applyProtection="1">
      <alignment horizontal="center" vertical="center" wrapText="1"/>
    </xf>
    <xf numFmtId="165" fontId="160" fillId="0" borderId="0" xfId="6263" applyNumberFormat="1" applyFont="1" applyFill="1" applyBorder="1" applyAlignment="1" applyProtection="1">
      <alignment horizontal="left" vertical="top" wrapText="1"/>
    </xf>
    <xf numFmtId="0" fontId="31" fillId="66" borderId="31" xfId="0" applyFont="1" applyFill="1" applyBorder="1" applyAlignment="1">
      <alignment vertical="center"/>
    </xf>
    <xf numFmtId="0" fontId="31" fillId="66" borderId="29" xfId="0" applyFont="1" applyFill="1" applyBorder="1" applyAlignment="1">
      <alignment horizontal="right" vertical="center"/>
    </xf>
    <xf numFmtId="165" fontId="76" fillId="0" borderId="0" xfId="6263" applyNumberFormat="1" applyFont="1" applyFill="1" applyBorder="1" applyAlignment="1" applyProtection="1">
      <alignment horizontal="center" vertical="center" wrapText="1"/>
    </xf>
    <xf numFmtId="10" fontId="146" fillId="63" borderId="11" xfId="6263" applyNumberFormat="1" applyFont="1" applyFill="1" applyBorder="1" applyAlignment="1" applyProtection="1">
      <alignment horizontal="center" vertical="center" wrapText="1"/>
    </xf>
    <xf numFmtId="164" fontId="31" fillId="70" borderId="31" xfId="0" applyNumberFormat="1" applyFont="1" applyFill="1" applyBorder="1" applyAlignment="1">
      <alignment vertical="center"/>
    </xf>
    <xf numFmtId="164" fontId="31" fillId="70" borderId="15" xfId="0" applyNumberFormat="1" applyFont="1" applyFill="1" applyBorder="1" applyAlignment="1">
      <alignment vertical="center"/>
    </xf>
    <xf numFmtId="164" fontId="31" fillId="70" borderId="29" xfId="0" applyNumberFormat="1" applyFont="1" applyFill="1" applyBorder="1" applyAlignment="1">
      <alignment horizontal="right" vertical="center"/>
    </xf>
    <xf numFmtId="10" fontId="3" fillId="64" borderId="11" xfId="6263" applyNumberFormat="1" applyFont="1" applyFill="1" applyBorder="1" applyAlignment="1" applyProtection="1">
      <alignment horizontal="center" vertical="center" wrapText="1"/>
    </xf>
    <xf numFmtId="165" fontId="3" fillId="64" borderId="11" xfId="6263" applyNumberFormat="1" applyFont="1" applyFill="1" applyBorder="1" applyAlignment="1" applyProtection="1">
      <alignment horizontal="center" vertical="center" wrapText="1"/>
    </xf>
    <xf numFmtId="44" fontId="149" fillId="71" borderId="0" xfId="6263" applyFont="1" applyFill="1" applyBorder="1" applyAlignment="1" applyProtection="1">
      <alignment horizontal="center" vertical="center" wrapText="1"/>
    </xf>
    <xf numFmtId="10" fontId="3" fillId="0" borderId="11" xfId="6263" applyNumberFormat="1" applyFont="1" applyFill="1" applyBorder="1" applyAlignment="1" applyProtection="1">
      <alignment horizontal="center" vertical="center" wrapText="1"/>
    </xf>
    <xf numFmtId="165" fontId="3" fillId="0" borderId="11" xfId="6263" applyNumberFormat="1" applyFont="1" applyFill="1" applyBorder="1" applyAlignment="1" applyProtection="1">
      <alignment horizontal="center" vertical="center" wrapText="1"/>
    </xf>
    <xf numFmtId="165" fontId="162" fillId="0" borderId="0" xfId="6263" applyNumberFormat="1" applyFont="1" applyFill="1" applyBorder="1" applyAlignment="1" applyProtection="1">
      <alignment horizontal="left" vertical="top" wrapText="1"/>
    </xf>
    <xf numFmtId="0" fontId="31" fillId="71" borderId="0" xfId="0" applyFont="1" applyFill="1" applyAlignment="1">
      <alignment horizontal="center" vertical="center" wrapText="1"/>
    </xf>
    <xf numFmtId="14" fontId="77" fillId="76" borderId="11" xfId="0" applyNumberFormat="1" applyFont="1" applyFill="1" applyBorder="1" applyAlignment="1">
      <alignment horizontal="center" vertical="top" wrapText="1"/>
    </xf>
    <xf numFmtId="14" fontId="77" fillId="0" borderId="11" xfId="0" applyNumberFormat="1" applyFont="1" applyBorder="1" applyAlignment="1">
      <alignment horizontal="center" vertical="top" wrapText="1"/>
    </xf>
    <xf numFmtId="14" fontId="25" fillId="0" borderId="0" xfId="0" applyNumberFormat="1" applyFont="1" applyAlignment="1">
      <alignment wrapText="1"/>
    </xf>
    <xf numFmtId="14" fontId="146" fillId="0" borderId="0" xfId="6263" applyNumberFormat="1" applyFont="1" applyFill="1" applyBorder="1" applyAlignment="1" applyProtection="1">
      <alignment horizontal="center" vertical="top" wrapText="1"/>
    </xf>
    <xf numFmtId="14" fontId="146" fillId="0" borderId="0" xfId="6263" applyNumberFormat="1" applyFont="1" applyFill="1" applyBorder="1" applyAlignment="1" applyProtection="1">
      <alignment horizontal="left" vertical="top" wrapText="1"/>
    </xf>
    <xf numFmtId="14" fontId="3" fillId="0" borderId="0" xfId="6263" applyNumberFormat="1" applyFont="1" applyFill="1" applyBorder="1" applyAlignment="1" applyProtection="1">
      <alignment horizontal="center" vertical="top" wrapText="1"/>
    </xf>
    <xf numFmtId="14" fontId="3" fillId="0" borderId="0" xfId="6263" applyNumberFormat="1" applyFont="1" applyFill="1" applyBorder="1" applyAlignment="1" applyProtection="1">
      <alignment horizontal="left" vertical="top" wrapText="1"/>
    </xf>
    <xf numFmtId="14" fontId="31" fillId="69" borderId="30" xfId="0" applyNumberFormat="1" applyFont="1" applyFill="1" applyBorder="1" applyAlignment="1">
      <alignment horizontal="center" vertical="center" wrapText="1"/>
    </xf>
    <xf numFmtId="14" fontId="146" fillId="0" borderId="11" xfId="0" applyNumberFormat="1" applyFont="1" applyBorder="1" applyAlignment="1">
      <alignment horizontal="center" vertical="top" wrapText="1"/>
    </xf>
    <xf numFmtId="14" fontId="146" fillId="0" borderId="11" xfId="0" applyNumberFormat="1" applyFont="1" applyBorder="1" applyAlignment="1">
      <alignment vertical="top" wrapText="1"/>
    </xf>
    <xf numFmtId="14" fontId="25" fillId="0" borderId="11" xfId="0" applyNumberFormat="1" applyFont="1" applyBorder="1" applyAlignment="1">
      <alignment wrapText="1"/>
    </xf>
    <xf numFmtId="0" fontId="167" fillId="66" borderId="30" xfId="0" applyFont="1" applyFill="1" applyBorder="1" applyAlignment="1">
      <alignment horizontal="center" vertical="center" wrapText="1"/>
    </xf>
    <xf numFmtId="165" fontId="167" fillId="75" borderId="11" xfId="6263" applyNumberFormat="1" applyFont="1" applyFill="1" applyBorder="1" applyAlignment="1" applyProtection="1">
      <alignment horizontal="center" vertical="top" wrapText="1"/>
    </xf>
    <xf numFmtId="164" fontId="151" fillId="72" borderId="15" xfId="0" applyNumberFormat="1" applyFont="1" applyFill="1" applyBorder="1" applyAlignment="1">
      <alignment horizontal="right" vertical="center"/>
    </xf>
    <xf numFmtId="10" fontId="146" fillId="0" borderId="11" xfId="6263" applyNumberFormat="1" applyFont="1" applyFill="1" applyBorder="1" applyAlignment="1" applyProtection="1">
      <alignment horizontal="center" vertical="center" wrapText="1"/>
    </xf>
    <xf numFmtId="165" fontId="146" fillId="0" borderId="11" xfId="6263" applyNumberFormat="1" applyFont="1" applyFill="1" applyBorder="1" applyAlignment="1" applyProtection="1">
      <alignment horizontal="center" vertical="center" wrapText="1"/>
    </xf>
    <xf numFmtId="0" fontId="151" fillId="66" borderId="15" xfId="0" applyFont="1" applyFill="1" applyBorder="1" applyAlignment="1">
      <alignment horizontal="right" vertical="center"/>
    </xf>
    <xf numFmtId="0" fontId="151" fillId="66" borderId="0" xfId="0" applyFont="1" applyFill="1" applyAlignment="1">
      <alignment horizontal="right" vertical="center"/>
    </xf>
    <xf numFmtId="164" fontId="151" fillId="70" borderId="15" xfId="0" applyNumberFormat="1" applyFont="1" applyFill="1" applyBorder="1" applyAlignment="1">
      <alignment horizontal="right" vertical="center"/>
    </xf>
    <xf numFmtId="165" fontId="3" fillId="0" borderId="0" xfId="6263" applyNumberFormat="1" applyFont="1" applyFill="1" applyBorder="1" applyAlignment="1" applyProtection="1">
      <alignment horizontal="center" vertical="center" wrapText="1"/>
    </xf>
    <xf numFmtId="165" fontId="3" fillId="0" borderId="0" xfId="6263" applyNumberFormat="1" applyFont="1" applyFill="1" applyBorder="1" applyAlignment="1" applyProtection="1">
      <alignment horizontal="left" vertical="center" wrapText="1"/>
    </xf>
    <xf numFmtId="165" fontId="3" fillId="0" borderId="33" xfId="6263" applyNumberFormat="1" applyFont="1" applyFill="1" applyBorder="1" applyAlignment="1" applyProtection="1">
      <alignment vertical="center" wrapText="1"/>
    </xf>
    <xf numFmtId="0" fontId="77" fillId="0" borderId="0" xfId="0" applyFont="1" applyAlignment="1">
      <alignment horizontal="center" vertical="center" wrapText="1"/>
    </xf>
    <xf numFmtId="165" fontId="77" fillId="0" borderId="0" xfId="6263" applyNumberFormat="1" applyFont="1" applyFill="1" applyBorder="1" applyAlignment="1">
      <alignment horizontal="right" vertical="center" wrapText="1"/>
    </xf>
    <xf numFmtId="164" fontId="151" fillId="69" borderId="31" xfId="0" applyNumberFormat="1" applyFont="1" applyFill="1" applyBorder="1" applyAlignment="1" applyProtection="1">
      <alignment horizontal="center" vertical="center" wrapText="1"/>
      <protection locked="0"/>
    </xf>
    <xf numFmtId="164" fontId="151" fillId="69" borderId="11" xfId="0" applyNumberFormat="1" applyFont="1" applyFill="1" applyBorder="1" applyAlignment="1">
      <alignment horizontal="center" vertical="center" wrapText="1"/>
    </xf>
    <xf numFmtId="164" fontId="151" fillId="70" borderId="11" xfId="0" applyNumberFormat="1" applyFont="1" applyFill="1" applyBorder="1" applyAlignment="1">
      <alignment horizontal="center" vertical="center" wrapText="1"/>
    </xf>
    <xf numFmtId="165" fontId="151" fillId="72" borderId="11" xfId="6263" applyNumberFormat="1" applyFont="1" applyFill="1" applyBorder="1" applyAlignment="1" applyProtection="1">
      <alignment horizontal="center" vertical="center" wrapText="1"/>
    </xf>
    <xf numFmtId="165" fontId="167" fillId="66" borderId="11" xfId="6263" applyNumberFormat="1" applyFont="1" applyFill="1" applyBorder="1" applyAlignment="1" applyProtection="1">
      <alignment horizontal="center" vertical="center" wrapText="1"/>
    </xf>
    <xf numFmtId="0" fontId="167" fillId="66" borderId="11" xfId="0" applyFont="1" applyFill="1" applyBorder="1" applyAlignment="1">
      <alignment horizontal="center" vertical="center" wrapText="1"/>
    </xf>
    <xf numFmtId="0" fontId="172" fillId="2" borderId="11" xfId="0" applyFont="1" applyFill="1" applyBorder="1" applyAlignment="1">
      <alignment horizontal="left" vertical="center"/>
    </xf>
    <xf numFmtId="0" fontId="77" fillId="2" borderId="11" xfId="0" applyFont="1" applyFill="1" applyBorder="1" applyAlignment="1">
      <alignment horizontal="center" vertical="center"/>
    </xf>
    <xf numFmtId="165" fontId="77" fillId="2" borderId="11" xfId="6263" applyNumberFormat="1" applyFont="1" applyFill="1" applyBorder="1" applyAlignment="1">
      <alignment horizontal="right" vertical="center"/>
    </xf>
    <xf numFmtId="10" fontId="77" fillId="2" borderId="11" xfId="0" applyNumberFormat="1" applyFont="1" applyFill="1" applyBorder="1" applyAlignment="1">
      <alignment horizontal="center" vertical="center"/>
    </xf>
    <xf numFmtId="10" fontId="77" fillId="2" borderId="11" xfId="0" applyNumberFormat="1" applyFont="1" applyFill="1" applyBorder="1" applyAlignment="1">
      <alignment horizontal="center" vertical="top"/>
    </xf>
    <xf numFmtId="10" fontId="77" fillId="2" borderId="11" xfId="6263" applyNumberFormat="1" applyFont="1" applyFill="1" applyBorder="1" applyAlignment="1">
      <alignment horizontal="center" vertical="center"/>
    </xf>
    <xf numFmtId="0" fontId="173" fillId="0" borderId="11" xfId="0" applyFont="1" applyBorder="1" applyAlignment="1">
      <alignment horizontal="left" vertical="center" indent="1"/>
    </xf>
    <xf numFmtId="0" fontId="2" fillId="0" borderId="11" xfId="0" applyFont="1" applyBorder="1" applyAlignment="1">
      <alignment horizontal="center" vertical="center"/>
    </xf>
    <xf numFmtId="165" fontId="2" fillId="0" borderId="11" xfId="6263" applyNumberFormat="1" applyFont="1" applyFill="1" applyBorder="1" applyAlignment="1">
      <alignment horizontal="right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top"/>
    </xf>
    <xf numFmtId="10" fontId="2" fillId="0" borderId="11" xfId="6263" applyNumberFormat="1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top"/>
    </xf>
    <xf numFmtId="0" fontId="172" fillId="0" borderId="11" xfId="0" applyFont="1" applyBorder="1" applyAlignment="1">
      <alignment horizontal="left" vertical="center"/>
    </xf>
    <xf numFmtId="0" fontId="77" fillId="0" borderId="11" xfId="0" applyFont="1" applyBorder="1" applyAlignment="1">
      <alignment horizontal="center" vertical="center"/>
    </xf>
    <xf numFmtId="165" fontId="77" fillId="0" borderId="11" xfId="6263" applyNumberFormat="1" applyFont="1" applyFill="1" applyBorder="1" applyAlignment="1">
      <alignment horizontal="right" vertical="center"/>
    </xf>
    <xf numFmtId="10" fontId="77" fillId="0" borderId="11" xfId="0" applyNumberFormat="1" applyFont="1" applyBorder="1" applyAlignment="1">
      <alignment horizontal="center" vertical="center"/>
    </xf>
    <xf numFmtId="10" fontId="77" fillId="0" borderId="11" xfId="0" applyNumberFormat="1" applyFont="1" applyBorder="1" applyAlignment="1">
      <alignment horizontal="center" vertical="top"/>
    </xf>
    <xf numFmtId="10" fontId="77" fillId="0" borderId="11" xfId="6263" applyNumberFormat="1" applyFont="1" applyFill="1" applyBorder="1" applyAlignment="1">
      <alignment horizontal="center" vertical="center"/>
    </xf>
    <xf numFmtId="0" fontId="174" fillId="0" borderId="0" xfId="0" applyFont="1" applyAlignment="1">
      <alignment vertical="top"/>
    </xf>
    <xf numFmtId="0" fontId="2" fillId="2" borderId="11" xfId="0" applyFont="1" applyFill="1" applyBorder="1" applyAlignment="1">
      <alignment horizontal="center" vertical="center"/>
    </xf>
    <xf numFmtId="165" fontId="2" fillId="2" borderId="11" xfId="6263" applyNumberFormat="1" applyFont="1" applyFill="1" applyBorder="1" applyAlignment="1">
      <alignment horizontal="right" vertical="center"/>
    </xf>
    <xf numFmtId="10" fontId="2" fillId="2" borderId="11" xfId="0" applyNumberFormat="1" applyFont="1" applyFill="1" applyBorder="1" applyAlignment="1">
      <alignment horizontal="center" vertical="center"/>
    </xf>
    <xf numFmtId="10" fontId="2" fillId="2" borderId="11" xfId="0" applyNumberFormat="1" applyFont="1" applyFill="1" applyBorder="1" applyAlignment="1">
      <alignment horizontal="center" vertical="top"/>
    </xf>
    <xf numFmtId="10" fontId="2" fillId="2" borderId="11" xfId="6263" applyNumberFormat="1" applyFont="1" applyFill="1" applyBorder="1" applyAlignment="1">
      <alignment horizontal="center" vertical="center"/>
    </xf>
    <xf numFmtId="0" fontId="152" fillId="70" borderId="11" xfId="0" applyFont="1" applyFill="1" applyBorder="1" applyAlignment="1">
      <alignment horizontal="left" vertical="center"/>
    </xf>
    <xf numFmtId="0" fontId="152" fillId="70" borderId="11" xfId="0" applyFont="1" applyFill="1" applyBorder="1" applyAlignment="1">
      <alignment horizontal="center" vertical="center"/>
    </xf>
    <xf numFmtId="165" fontId="152" fillId="70" borderId="11" xfId="6263" applyNumberFormat="1" applyFont="1" applyFill="1" applyBorder="1" applyAlignment="1">
      <alignment horizontal="center" vertical="center"/>
    </xf>
    <xf numFmtId="10" fontId="152" fillId="70" borderId="11" xfId="0" applyNumberFormat="1" applyFont="1" applyFill="1" applyBorder="1" applyAlignment="1">
      <alignment horizontal="center" vertical="center"/>
    </xf>
    <xf numFmtId="165" fontId="152" fillId="70" borderId="11" xfId="6263" applyNumberFormat="1" applyFont="1" applyFill="1" applyBorder="1" applyAlignment="1">
      <alignment horizontal="right" vertical="center"/>
    </xf>
    <xf numFmtId="10" fontId="152" fillId="70" borderId="11" xfId="6263" applyNumberFormat="1" applyFont="1" applyFill="1" applyBorder="1" applyAlignment="1">
      <alignment horizontal="center" vertical="center"/>
    </xf>
    <xf numFmtId="0" fontId="174" fillId="0" borderId="0" xfId="0" applyFont="1" applyAlignment="1">
      <alignment horizontal="center" vertical="top"/>
    </xf>
    <xf numFmtId="165" fontId="174" fillId="0" borderId="0" xfId="6263" applyNumberFormat="1" applyFont="1" applyFill="1" applyBorder="1" applyAlignment="1">
      <alignment vertical="top"/>
    </xf>
    <xf numFmtId="0" fontId="175" fillId="0" borderId="0" xfId="0" applyFont="1"/>
    <xf numFmtId="0" fontId="174" fillId="0" borderId="0" xfId="0" applyFont="1"/>
    <xf numFmtId="0" fontId="174" fillId="0" borderId="0" xfId="0" applyFont="1" applyAlignment="1">
      <alignment horizontal="center"/>
    </xf>
    <xf numFmtId="165" fontId="148" fillId="0" borderId="0" xfId="6263" applyNumberFormat="1" applyFont="1" applyFill="1" applyBorder="1"/>
    <xf numFmtId="165" fontId="174" fillId="0" borderId="0" xfId="6263" applyNumberFormat="1" applyFont="1" applyFill="1" applyBorder="1"/>
    <xf numFmtId="165" fontId="174" fillId="0" borderId="0" xfId="6263" applyNumberFormat="1" applyFont="1" applyFill="1" applyBorder="1" applyAlignment="1">
      <alignment horizontal="center"/>
    </xf>
    <xf numFmtId="165" fontId="174" fillId="0" borderId="0" xfId="0" applyNumberFormat="1" applyFont="1"/>
    <xf numFmtId="165" fontId="146" fillId="71" borderId="0" xfId="6263" applyNumberFormat="1" applyFont="1" applyFill="1" applyBorder="1" applyAlignment="1" applyProtection="1">
      <alignment horizontal="left" vertical="top" wrapText="1"/>
    </xf>
    <xf numFmtId="0" fontId="170" fillId="71" borderId="0" xfId="0" applyFont="1" applyFill="1" applyAlignment="1">
      <alignment horizontal="left" vertical="center"/>
    </xf>
    <xf numFmtId="165" fontId="3" fillId="71" borderId="0" xfId="6263" applyNumberFormat="1" applyFont="1" applyFill="1" applyBorder="1" applyAlignment="1">
      <alignment horizontal="right" vertical="top" wrapText="1"/>
    </xf>
    <xf numFmtId="10" fontId="3" fillId="71" borderId="0" xfId="0" applyNumberFormat="1" applyFont="1" applyFill="1" applyAlignment="1">
      <alignment horizontal="center" vertical="top" wrapText="1"/>
    </xf>
    <xf numFmtId="165" fontId="3" fillId="71" borderId="0" xfId="6263" applyNumberFormat="1" applyFont="1" applyFill="1" applyBorder="1" applyAlignment="1">
      <alignment horizontal="center" vertical="top" wrapText="1"/>
    </xf>
    <xf numFmtId="165" fontId="3" fillId="71" borderId="0" xfId="6263" applyNumberFormat="1" applyFont="1" applyFill="1" applyBorder="1" applyAlignment="1">
      <alignment horizontal="right" vertical="center" wrapText="1"/>
    </xf>
    <xf numFmtId="0" fontId="3" fillId="71" borderId="0" xfId="0" applyFont="1" applyFill="1" applyAlignment="1">
      <alignment horizontal="center" vertical="top" wrapText="1"/>
    </xf>
    <xf numFmtId="164" fontId="3" fillId="71" borderId="0" xfId="0" applyNumberFormat="1" applyFont="1" applyFill="1" applyAlignment="1">
      <alignment horizontal="center" vertical="top" wrapText="1"/>
    </xf>
    <xf numFmtId="0" fontId="2" fillId="71" borderId="0" xfId="0" applyFont="1" applyFill="1" applyAlignment="1">
      <alignment horizontal="center" vertical="top" wrapText="1"/>
    </xf>
    <xf numFmtId="186" fontId="3" fillId="71" borderId="0" xfId="0" applyNumberFormat="1" applyFont="1" applyFill="1" applyAlignment="1">
      <alignment horizontal="center" vertical="top" wrapText="1"/>
    </xf>
    <xf numFmtId="0" fontId="77" fillId="71" borderId="0" xfId="0" applyFont="1" applyFill="1" applyAlignment="1">
      <alignment horizontal="center" vertical="center"/>
    </xf>
    <xf numFmtId="0" fontId="170" fillId="71" borderId="0" xfId="0" applyFont="1" applyFill="1" applyAlignment="1">
      <alignment horizontal="center" vertical="center"/>
    </xf>
    <xf numFmtId="179" fontId="3" fillId="71" borderId="0" xfId="0" applyNumberFormat="1" applyFont="1" applyFill="1" applyAlignment="1">
      <alignment horizontal="center" vertical="top" wrapText="1"/>
    </xf>
    <xf numFmtId="10" fontId="3" fillId="71" borderId="0" xfId="6263" applyNumberFormat="1" applyFont="1" applyFill="1" applyBorder="1" applyAlignment="1">
      <alignment horizontal="center" vertical="top" wrapText="1"/>
    </xf>
    <xf numFmtId="0" fontId="77" fillId="71" borderId="0" xfId="0" applyFont="1" applyFill="1" applyAlignment="1">
      <alignment horizontal="center" vertical="center" wrapText="1"/>
    </xf>
    <xf numFmtId="164" fontId="3" fillId="71" borderId="0" xfId="0" applyNumberFormat="1" applyFont="1" applyFill="1" applyAlignment="1">
      <alignment horizontal="center" vertical="center" wrapText="1"/>
    </xf>
    <xf numFmtId="186" fontId="3" fillId="71" borderId="0" xfId="0" applyNumberFormat="1" applyFont="1" applyFill="1" applyAlignment="1">
      <alignment horizontal="center" vertical="center" wrapText="1"/>
    </xf>
    <xf numFmtId="0" fontId="171" fillId="71" borderId="0" xfId="0" applyFont="1" applyFill="1" applyAlignment="1">
      <alignment horizontal="center" vertical="center"/>
    </xf>
    <xf numFmtId="0" fontId="77" fillId="71" borderId="0" xfId="0" applyFont="1" applyFill="1" applyAlignment="1">
      <alignment vertical="top"/>
    </xf>
    <xf numFmtId="0" fontId="2" fillId="71" borderId="0" xfId="0" applyFont="1" applyFill="1" applyAlignment="1">
      <alignment vertical="top"/>
    </xf>
    <xf numFmtId="0" fontId="174" fillId="71" borderId="0" xfId="0" applyFont="1" applyFill="1" applyAlignment="1">
      <alignment vertical="top"/>
    </xf>
    <xf numFmtId="0" fontId="174" fillId="71" borderId="0" xfId="0" applyFont="1" applyFill="1" applyAlignment="1">
      <alignment horizontal="center" vertical="top"/>
    </xf>
    <xf numFmtId="165" fontId="174" fillId="71" borderId="0" xfId="6263" applyNumberFormat="1" applyFont="1" applyFill="1" applyBorder="1" applyAlignment="1">
      <alignment horizontal="right" vertical="top"/>
    </xf>
    <xf numFmtId="10" fontId="174" fillId="71" borderId="0" xfId="0" applyNumberFormat="1" applyFont="1" applyFill="1" applyAlignment="1">
      <alignment vertical="top"/>
    </xf>
    <xf numFmtId="165" fontId="174" fillId="71" borderId="0" xfId="6263" applyNumberFormat="1" applyFont="1" applyFill="1" applyBorder="1" applyAlignment="1">
      <alignment vertical="top"/>
    </xf>
    <xf numFmtId="165" fontId="174" fillId="71" borderId="0" xfId="6263" applyNumberFormat="1" applyFont="1" applyFill="1" applyBorder="1" applyAlignment="1">
      <alignment horizontal="center" vertical="top"/>
    </xf>
    <xf numFmtId="165" fontId="174" fillId="71" borderId="0" xfId="0" applyNumberFormat="1" applyFont="1" applyFill="1" applyAlignment="1">
      <alignment vertical="top"/>
    </xf>
    <xf numFmtId="0" fontId="175" fillId="71" borderId="0" xfId="0" applyFont="1" applyFill="1"/>
    <xf numFmtId="0" fontId="174" fillId="71" borderId="0" xfId="0" applyFont="1" applyFill="1"/>
    <xf numFmtId="0" fontId="174" fillId="71" borderId="0" xfId="0" applyFont="1" applyFill="1" applyAlignment="1">
      <alignment horizontal="center"/>
    </xf>
    <xf numFmtId="0" fontId="148" fillId="71" borderId="0" xfId="0" applyFont="1" applyFill="1"/>
    <xf numFmtId="0" fontId="174" fillId="71" borderId="0" xfId="0" applyFont="1" applyFill="1" applyAlignment="1">
      <alignment horizontal="right"/>
    </xf>
    <xf numFmtId="165" fontId="174" fillId="71" borderId="0" xfId="0" applyNumberFormat="1" applyFont="1" applyFill="1"/>
    <xf numFmtId="14" fontId="174" fillId="71" borderId="0" xfId="0" applyNumberFormat="1" applyFont="1" applyFill="1" applyAlignment="1">
      <alignment horizontal="center"/>
    </xf>
    <xf numFmtId="10" fontId="146" fillId="63" borderId="11" xfId="1" applyNumberFormat="1" applyFont="1" applyFill="1" applyBorder="1" applyAlignment="1" applyProtection="1">
      <alignment horizontal="center" vertical="top" wrapText="1"/>
    </xf>
    <xf numFmtId="5" fontId="146" fillId="63" borderId="11" xfId="2" applyNumberFormat="1" applyFont="1" applyFill="1" applyBorder="1" applyAlignment="1" applyProtection="1">
      <alignment horizontal="right" vertical="top" wrapText="1"/>
    </xf>
    <xf numFmtId="165" fontId="146" fillId="78" borderId="11" xfId="6263" applyNumberFormat="1" applyFont="1" applyFill="1" applyBorder="1" applyAlignment="1" applyProtection="1">
      <alignment horizontal="center" vertical="top" wrapText="1"/>
    </xf>
    <xf numFmtId="164" fontId="151" fillId="70" borderId="11" xfId="0" applyNumberFormat="1" applyFont="1" applyFill="1" applyBorder="1" applyAlignment="1">
      <alignment horizontal="center" vertical="center" wrapText="1"/>
    </xf>
    <xf numFmtId="0" fontId="167" fillId="66" borderId="11" xfId="0" applyFont="1" applyFill="1" applyBorder="1" applyAlignment="1">
      <alignment horizontal="center" vertical="center" wrapText="1"/>
    </xf>
    <xf numFmtId="165" fontId="167" fillId="75" borderId="11" xfId="6263" applyNumberFormat="1" applyFont="1" applyFill="1" applyBorder="1" applyAlignment="1" applyProtection="1">
      <alignment horizontal="center" vertical="center" wrapText="1"/>
    </xf>
    <xf numFmtId="164" fontId="151" fillId="70" borderId="11" xfId="0" applyNumberFormat="1" applyFont="1" applyFill="1" applyBorder="1" applyAlignment="1">
      <alignment horizontal="center" wrapText="1"/>
    </xf>
    <xf numFmtId="165" fontId="146" fillId="2" borderId="11" xfId="6263" applyNumberFormat="1" applyFont="1" applyFill="1" applyBorder="1" applyAlignment="1" applyProtection="1">
      <alignment horizontal="center" vertical="top" wrapText="1"/>
    </xf>
    <xf numFmtId="0" fontId="31" fillId="73" borderId="11" xfId="0" applyFont="1" applyFill="1" applyBorder="1" applyAlignment="1">
      <alignment horizontal="center" vertical="center" wrapText="1"/>
    </xf>
    <xf numFmtId="164" fontId="161" fillId="67" borderId="33" xfId="0" applyNumberFormat="1" applyFont="1" applyFill="1" applyBorder="1" applyAlignment="1" applyProtection="1">
      <alignment horizontal="center" vertical="center"/>
      <protection locked="0"/>
    </xf>
    <xf numFmtId="164" fontId="31" fillId="70" borderId="37" xfId="0" applyNumberFormat="1" applyFont="1" applyFill="1" applyBorder="1" applyAlignment="1">
      <alignment horizontal="center" vertical="center"/>
    </xf>
    <xf numFmtId="164" fontId="31" fillId="70" borderId="32" xfId="0" applyNumberFormat="1" applyFont="1" applyFill="1" applyBorder="1" applyAlignment="1">
      <alignment horizontal="center" vertical="center"/>
    </xf>
    <xf numFmtId="164" fontId="31" fillId="69" borderId="32" xfId="0" applyNumberFormat="1" applyFont="1" applyFill="1" applyBorder="1" applyAlignment="1">
      <alignment horizontal="center" vertical="center"/>
    </xf>
    <xf numFmtId="164" fontId="153" fillId="69" borderId="32" xfId="0" applyNumberFormat="1" applyFont="1" applyFill="1" applyBorder="1" applyAlignment="1">
      <alignment horizontal="center" vertical="center"/>
    </xf>
    <xf numFmtId="0" fontId="31" fillId="73" borderId="31" xfId="0" applyFont="1" applyFill="1" applyBorder="1" applyAlignment="1">
      <alignment horizontal="center" vertical="center" wrapText="1"/>
    </xf>
    <xf numFmtId="0" fontId="31" fillId="73" borderId="29" xfId="0" applyFont="1" applyFill="1" applyBorder="1" applyAlignment="1">
      <alignment horizontal="center" vertical="center" wrapText="1"/>
    </xf>
    <xf numFmtId="164" fontId="31" fillId="66" borderId="31" xfId="0" applyNumberFormat="1" applyFont="1" applyFill="1" applyBorder="1" applyAlignment="1">
      <alignment horizontal="center" vertical="center"/>
    </xf>
    <xf numFmtId="164" fontId="31" fillId="66" borderId="15" xfId="0" applyNumberFormat="1" applyFont="1" applyFill="1" applyBorder="1" applyAlignment="1">
      <alignment horizontal="center" vertical="center"/>
    </xf>
    <xf numFmtId="164" fontId="31" fillId="66" borderId="29" xfId="0" applyNumberFormat="1" applyFont="1" applyFill="1" applyBorder="1" applyAlignment="1">
      <alignment horizontal="center" vertical="center"/>
    </xf>
    <xf numFmtId="164" fontId="31" fillId="69" borderId="31" xfId="0" applyNumberFormat="1" applyFont="1" applyFill="1" applyBorder="1" applyAlignment="1">
      <alignment horizontal="right" vertical="center" wrapText="1"/>
    </xf>
    <xf numFmtId="164" fontId="31" fillId="69" borderId="15" xfId="0" applyNumberFormat="1" applyFont="1" applyFill="1" applyBorder="1" applyAlignment="1">
      <alignment horizontal="right" vertical="center" wrapText="1"/>
    </xf>
    <xf numFmtId="164" fontId="31" fillId="69" borderId="29" xfId="0" applyNumberFormat="1" applyFont="1" applyFill="1" applyBorder="1" applyAlignment="1">
      <alignment horizontal="right" vertical="center" wrapText="1"/>
    </xf>
    <xf numFmtId="0" fontId="152" fillId="71" borderId="0" xfId="0" applyFont="1" applyFill="1" applyAlignment="1">
      <alignment horizontal="center" vertical="center" wrapText="1"/>
    </xf>
    <xf numFmtId="0" fontId="167" fillId="71" borderId="0" xfId="0" applyFont="1" applyFill="1" applyAlignment="1">
      <alignment horizontal="center" vertical="center" wrapText="1"/>
    </xf>
  </cellXfs>
  <cellStyles count="7706">
    <cellStyle name="=C:\WINNT\SYSTEM32\COMMAND.COM" xfId="3" xr:uid="{00000000-0005-0000-0000-000000000000}"/>
    <cellStyle name="=C:\WINNT\SYSTEM32\COMMAND.COM 2" xfId="4" xr:uid="{00000000-0005-0000-0000-000001000000}"/>
    <cellStyle name="=C:\WINNT\SYSTEM32\COMMAND.COM 3" xfId="5" xr:uid="{00000000-0005-0000-0000-000002000000}"/>
    <cellStyle name="=C:\WINNT\SYSTEM32\COMMAND.COM 4" xfId="6" xr:uid="{00000000-0005-0000-0000-000003000000}"/>
    <cellStyle name="=C:\WINNT\SYSTEM32\COMMAND.COM 5" xfId="7" xr:uid="{00000000-0005-0000-0000-000004000000}"/>
    <cellStyle name="=C:\WINNT\SYSTEM32\COMMAND.COM 6" xfId="8" xr:uid="{00000000-0005-0000-0000-000005000000}"/>
    <cellStyle name="=C:\WINNT\SYSTEM32\COMMAND.COM 7" xfId="9" xr:uid="{00000000-0005-0000-0000-000006000000}"/>
    <cellStyle name="=C:\WINNT\SYSTEM32\COMMAND.COM 8" xfId="10" xr:uid="{00000000-0005-0000-0000-000007000000}"/>
    <cellStyle name="20% - Accent1" xfId="1371" builtinId="30" customBuiltin="1"/>
    <cellStyle name="20% - Accent1 10" xfId="1546" xr:uid="{00000000-0005-0000-0000-000009000000}"/>
    <cellStyle name="20% - Accent1 10 2" xfId="4482" xr:uid="{00000000-0005-0000-0000-00000A000000}"/>
    <cellStyle name="20% - Accent1 10_2.DATA" xfId="4747" xr:uid="{00000000-0005-0000-0000-00000B000000}"/>
    <cellStyle name="20% - Accent1 11" xfId="1747" xr:uid="{00000000-0005-0000-0000-00000C000000}"/>
    <cellStyle name="20% - Accent1 11 2" xfId="4395" xr:uid="{00000000-0005-0000-0000-00000D000000}"/>
    <cellStyle name="20% - Accent1 11_2.DATA" xfId="4748" xr:uid="{00000000-0005-0000-0000-00000E000000}"/>
    <cellStyle name="20% - Accent1 12" xfId="3960" xr:uid="{00000000-0005-0000-0000-00000F000000}"/>
    <cellStyle name="20% - Accent1 2" xfId="11" xr:uid="{00000000-0005-0000-0000-000010000000}"/>
    <cellStyle name="20% - Accent1 2 2" xfId="12" xr:uid="{00000000-0005-0000-0000-000011000000}"/>
    <cellStyle name="20% - Accent1 2 2 2" xfId="13" xr:uid="{00000000-0005-0000-0000-000012000000}"/>
    <cellStyle name="20% - Accent1 2 2 2 2" xfId="14" xr:uid="{00000000-0005-0000-0000-000013000000}"/>
    <cellStyle name="20% - Accent1 2 2 2 2 2" xfId="15" xr:uid="{00000000-0005-0000-0000-000014000000}"/>
    <cellStyle name="20% - Accent1 2 2 2 2 3" xfId="4348" xr:uid="{00000000-0005-0000-0000-000015000000}"/>
    <cellStyle name="20% - Accent1 2 2 2 2_2.DATA" xfId="4752" xr:uid="{00000000-0005-0000-0000-000016000000}"/>
    <cellStyle name="20% - Accent1 2 2 2 3" xfId="16" xr:uid="{00000000-0005-0000-0000-000017000000}"/>
    <cellStyle name="20% - Accent1 2 2 2 4" xfId="4090" xr:uid="{00000000-0005-0000-0000-000018000000}"/>
    <cellStyle name="20% - Accent1 2 2 2_2.DATA" xfId="4751" xr:uid="{00000000-0005-0000-0000-000019000000}"/>
    <cellStyle name="20% - Accent1 2 2 3" xfId="17" xr:uid="{00000000-0005-0000-0000-00001A000000}"/>
    <cellStyle name="20% - Accent1 2 2 3 2" xfId="18" xr:uid="{00000000-0005-0000-0000-00001B000000}"/>
    <cellStyle name="20% - Accent1 2 2 3 2 2" xfId="4426" xr:uid="{00000000-0005-0000-0000-00001C000000}"/>
    <cellStyle name="20% - Accent1 2 2 3 2_2.DATA" xfId="4754" xr:uid="{00000000-0005-0000-0000-00001D000000}"/>
    <cellStyle name="20% - Accent1 2 2 3 3" xfId="4213" xr:uid="{00000000-0005-0000-0000-00001E000000}"/>
    <cellStyle name="20% - Accent1 2 2 3_2.DATA" xfId="4753" xr:uid="{00000000-0005-0000-0000-00001F000000}"/>
    <cellStyle name="20% - Accent1 2 2 4" xfId="19" xr:uid="{00000000-0005-0000-0000-000020000000}"/>
    <cellStyle name="20% - Accent1 2 2 4 2" xfId="4494" xr:uid="{00000000-0005-0000-0000-000021000000}"/>
    <cellStyle name="20% - Accent1 2 2 4_2.DATA" xfId="4755" xr:uid="{00000000-0005-0000-0000-000022000000}"/>
    <cellStyle name="20% - Accent1 2 2 5" xfId="20" xr:uid="{00000000-0005-0000-0000-000023000000}"/>
    <cellStyle name="20% - Accent1 2 2 5 2" xfId="3973" xr:uid="{00000000-0005-0000-0000-000024000000}"/>
    <cellStyle name="20% - Accent1 2 2 5 3" xfId="1762" xr:uid="{00000000-0005-0000-0000-000025000000}"/>
    <cellStyle name="20% - Accent1 2 2_2.DATA" xfId="4750" xr:uid="{00000000-0005-0000-0000-000026000000}"/>
    <cellStyle name="20% - Accent1 2 3" xfId="21" xr:uid="{00000000-0005-0000-0000-000027000000}"/>
    <cellStyle name="20% - Accent1 2 3 2" xfId="22" xr:uid="{00000000-0005-0000-0000-000028000000}"/>
    <cellStyle name="20% - Accent1 2 3 2 2" xfId="23" xr:uid="{00000000-0005-0000-0000-000029000000}"/>
    <cellStyle name="20% - Accent1 2 3 2 2 2" xfId="24" xr:uid="{00000000-0005-0000-0000-00002A000000}"/>
    <cellStyle name="20% - Accent1 2 3 2 3" xfId="25" xr:uid="{00000000-0005-0000-0000-00002B000000}"/>
    <cellStyle name="20% - Accent1 2 3 2 4" xfId="4520" xr:uid="{00000000-0005-0000-0000-00002C000000}"/>
    <cellStyle name="20% - Accent1 2 3 2_2.DATA" xfId="4757" xr:uid="{00000000-0005-0000-0000-00002D000000}"/>
    <cellStyle name="20% - Accent1 2 3 3" xfId="26" xr:uid="{00000000-0005-0000-0000-00002E000000}"/>
    <cellStyle name="20% - Accent1 2 3 3 2" xfId="27" xr:uid="{00000000-0005-0000-0000-00002F000000}"/>
    <cellStyle name="20% - Accent1 2 3 4" xfId="28" xr:uid="{00000000-0005-0000-0000-000030000000}"/>
    <cellStyle name="20% - Accent1 2 3 5" xfId="29" xr:uid="{00000000-0005-0000-0000-000031000000}"/>
    <cellStyle name="20% - Accent1 2 3 6" xfId="4057" xr:uid="{00000000-0005-0000-0000-000032000000}"/>
    <cellStyle name="20% - Accent1 2 3_2.DATA" xfId="4756" xr:uid="{00000000-0005-0000-0000-000033000000}"/>
    <cellStyle name="20% - Accent1 2 4" xfId="30" xr:uid="{00000000-0005-0000-0000-000034000000}"/>
    <cellStyle name="20% - Accent1 2 4 2" xfId="31" xr:uid="{00000000-0005-0000-0000-000035000000}"/>
    <cellStyle name="20% - Accent1 2 4 2 2" xfId="32" xr:uid="{00000000-0005-0000-0000-000036000000}"/>
    <cellStyle name="20% - Accent1 2 4 2 3" xfId="4256" xr:uid="{00000000-0005-0000-0000-000037000000}"/>
    <cellStyle name="20% - Accent1 2 4 2_2.DATA" xfId="4759" xr:uid="{00000000-0005-0000-0000-000038000000}"/>
    <cellStyle name="20% - Accent1 2 4 3" xfId="33" xr:uid="{00000000-0005-0000-0000-000039000000}"/>
    <cellStyle name="20% - Accent1 2 4 4" xfId="4184" xr:uid="{00000000-0005-0000-0000-00003A000000}"/>
    <cellStyle name="20% - Accent1 2 4_2.DATA" xfId="4758" xr:uid="{00000000-0005-0000-0000-00003B000000}"/>
    <cellStyle name="20% - Accent1 2 5" xfId="34" xr:uid="{00000000-0005-0000-0000-00003C000000}"/>
    <cellStyle name="20% - Accent1 2 5 2" xfId="35" xr:uid="{00000000-0005-0000-0000-00003D000000}"/>
    <cellStyle name="20% - Accent1 2 5 3" xfId="4465" xr:uid="{00000000-0005-0000-0000-00003E000000}"/>
    <cellStyle name="20% - Accent1 2 5_2.DATA" xfId="4760" xr:uid="{00000000-0005-0000-0000-00003F000000}"/>
    <cellStyle name="20% - Accent1 2 6" xfId="36" xr:uid="{00000000-0005-0000-0000-000040000000}"/>
    <cellStyle name="20% - Accent1 2 6 2" xfId="3972" xr:uid="{00000000-0005-0000-0000-000041000000}"/>
    <cellStyle name="20% - Accent1 2 6 3" xfId="1763" xr:uid="{00000000-0005-0000-0000-000042000000}"/>
    <cellStyle name="20% - Accent1 2 7" xfId="37" xr:uid="{00000000-0005-0000-0000-000043000000}"/>
    <cellStyle name="20% - Accent1 2_2.DATA" xfId="4749" xr:uid="{00000000-0005-0000-0000-000044000000}"/>
    <cellStyle name="20% - Accent1 3" xfId="38" xr:uid="{00000000-0005-0000-0000-000045000000}"/>
    <cellStyle name="20% - Accent1 3 2" xfId="39" xr:uid="{00000000-0005-0000-0000-000046000000}"/>
    <cellStyle name="20% - Accent1 3 2 2" xfId="40" xr:uid="{00000000-0005-0000-0000-000047000000}"/>
    <cellStyle name="20% - Accent1 3 2 2 2" xfId="41" xr:uid="{00000000-0005-0000-0000-000048000000}"/>
    <cellStyle name="20% - Accent1 3 2 2 2 2" xfId="42" xr:uid="{00000000-0005-0000-0000-000049000000}"/>
    <cellStyle name="20% - Accent1 3 2 2 3" xfId="43" xr:uid="{00000000-0005-0000-0000-00004A000000}"/>
    <cellStyle name="20% - Accent1 3 2 2 4" xfId="4040" xr:uid="{00000000-0005-0000-0000-00004B000000}"/>
    <cellStyle name="20% - Accent1 3 2 2_2.DATA" xfId="4763" xr:uid="{00000000-0005-0000-0000-00004C000000}"/>
    <cellStyle name="20% - Accent1 3 2 3" xfId="44" xr:uid="{00000000-0005-0000-0000-00004D000000}"/>
    <cellStyle name="20% - Accent1 3 2 3 2" xfId="45" xr:uid="{00000000-0005-0000-0000-00004E000000}"/>
    <cellStyle name="20% - Accent1 3 2 4" xfId="46" xr:uid="{00000000-0005-0000-0000-00004F000000}"/>
    <cellStyle name="20% - Accent1 3 2 5" xfId="3987" xr:uid="{00000000-0005-0000-0000-000050000000}"/>
    <cellStyle name="20% - Accent1 3 2_2.DATA" xfId="4762" xr:uid="{00000000-0005-0000-0000-000051000000}"/>
    <cellStyle name="20% - Accent1 3 3" xfId="47" xr:uid="{00000000-0005-0000-0000-000052000000}"/>
    <cellStyle name="20% - Accent1 3 3 2" xfId="48" xr:uid="{00000000-0005-0000-0000-000053000000}"/>
    <cellStyle name="20% - Accent1 3 3 2 2" xfId="49" xr:uid="{00000000-0005-0000-0000-000054000000}"/>
    <cellStyle name="20% - Accent1 3 3 2 3" xfId="4469" xr:uid="{00000000-0005-0000-0000-000055000000}"/>
    <cellStyle name="20% - Accent1 3 3 2_2.DATA" xfId="4765" xr:uid="{00000000-0005-0000-0000-000056000000}"/>
    <cellStyle name="20% - Accent1 3 3 3" xfId="50" xr:uid="{00000000-0005-0000-0000-000057000000}"/>
    <cellStyle name="20% - Accent1 3 3 4" xfId="4024" xr:uid="{00000000-0005-0000-0000-000058000000}"/>
    <cellStyle name="20% - Accent1 3 3_2.DATA" xfId="4764" xr:uid="{00000000-0005-0000-0000-000059000000}"/>
    <cellStyle name="20% - Accent1 3 4" xfId="51" xr:uid="{00000000-0005-0000-0000-00005A000000}"/>
    <cellStyle name="20% - Accent1 3 4 2" xfId="52" xr:uid="{00000000-0005-0000-0000-00005B000000}"/>
    <cellStyle name="20% - Accent1 3 4 3" xfId="4488" xr:uid="{00000000-0005-0000-0000-00005C000000}"/>
    <cellStyle name="20% - Accent1 3 4_2.DATA" xfId="4766" xr:uid="{00000000-0005-0000-0000-00005D000000}"/>
    <cellStyle name="20% - Accent1 3 5" xfId="53" xr:uid="{00000000-0005-0000-0000-00005E000000}"/>
    <cellStyle name="20% - Accent1 3 6" xfId="3986" xr:uid="{00000000-0005-0000-0000-00005F000000}"/>
    <cellStyle name="20% - Accent1 3_2.DATA" xfId="4761" xr:uid="{00000000-0005-0000-0000-000060000000}"/>
    <cellStyle name="20% - Accent1 4" xfId="54" xr:uid="{00000000-0005-0000-0000-000061000000}"/>
    <cellStyle name="20% - Accent1 4 2" xfId="55" xr:uid="{00000000-0005-0000-0000-000062000000}"/>
    <cellStyle name="20% - Accent1 4 2 2" xfId="56" xr:uid="{00000000-0005-0000-0000-000063000000}"/>
    <cellStyle name="20% - Accent1 4 2 2 2" xfId="57" xr:uid="{00000000-0005-0000-0000-000064000000}"/>
    <cellStyle name="20% - Accent1 4 2 2_2.DATA" xfId="4769" xr:uid="{00000000-0005-0000-0000-000065000000}"/>
    <cellStyle name="20% - Accent1 4 2 3" xfId="58" xr:uid="{00000000-0005-0000-0000-000066000000}"/>
    <cellStyle name="20% - Accent1 4 2_2.DATA" xfId="4768" xr:uid="{00000000-0005-0000-0000-000067000000}"/>
    <cellStyle name="20% - Accent1 4 3" xfId="59" xr:uid="{00000000-0005-0000-0000-000068000000}"/>
    <cellStyle name="20% - Accent1 4 3 2" xfId="60" xr:uid="{00000000-0005-0000-0000-000069000000}"/>
    <cellStyle name="20% - Accent1 4 3_2.DATA" xfId="4770" xr:uid="{00000000-0005-0000-0000-00006A000000}"/>
    <cellStyle name="20% - Accent1 4 4" xfId="61" xr:uid="{00000000-0005-0000-0000-00006B000000}"/>
    <cellStyle name="20% - Accent1 4_2.DATA" xfId="4767" xr:uid="{00000000-0005-0000-0000-00006C000000}"/>
    <cellStyle name="20% - Accent1 5" xfId="62" xr:uid="{00000000-0005-0000-0000-00006D000000}"/>
    <cellStyle name="20% - Accent1 5 2" xfId="63" xr:uid="{00000000-0005-0000-0000-00006E000000}"/>
    <cellStyle name="20% - Accent1 5 2 2" xfId="64" xr:uid="{00000000-0005-0000-0000-00006F000000}"/>
    <cellStyle name="20% - Accent1 5 2 3" xfId="4128" xr:uid="{00000000-0005-0000-0000-000070000000}"/>
    <cellStyle name="20% - Accent1 5 2_2.DATA" xfId="4772" xr:uid="{00000000-0005-0000-0000-000071000000}"/>
    <cellStyle name="20% - Accent1 5 3" xfId="65" xr:uid="{00000000-0005-0000-0000-000072000000}"/>
    <cellStyle name="20% - Accent1 5 3 2" xfId="4538" xr:uid="{00000000-0005-0000-0000-000073000000}"/>
    <cellStyle name="20% - Accent1 5 3 3" xfId="1764" xr:uid="{00000000-0005-0000-0000-000074000000}"/>
    <cellStyle name="20% - Accent1 5_2.DATA" xfId="4771" xr:uid="{00000000-0005-0000-0000-000075000000}"/>
    <cellStyle name="20% - Accent1 6" xfId="66" xr:uid="{00000000-0005-0000-0000-000076000000}"/>
    <cellStyle name="20% - Accent1 6 2" xfId="67" xr:uid="{00000000-0005-0000-0000-000077000000}"/>
    <cellStyle name="20% - Accent1 6 2 2" xfId="4473" xr:uid="{00000000-0005-0000-0000-000078000000}"/>
    <cellStyle name="20% - Accent1 6 2_2.DATA" xfId="4774" xr:uid="{00000000-0005-0000-0000-000079000000}"/>
    <cellStyle name="20% - Accent1 6 3" xfId="4141" xr:uid="{00000000-0005-0000-0000-00007A000000}"/>
    <cellStyle name="20% - Accent1 6_2.DATA" xfId="4773" xr:uid="{00000000-0005-0000-0000-00007B000000}"/>
    <cellStyle name="20% - Accent1 7" xfId="68" xr:uid="{00000000-0005-0000-0000-00007C000000}"/>
    <cellStyle name="20% - Accent1 7 2" xfId="69" xr:uid="{00000000-0005-0000-0000-00007D000000}"/>
    <cellStyle name="20% - Accent1 7 2 2" xfId="4387" xr:uid="{00000000-0005-0000-0000-00007E000000}"/>
    <cellStyle name="20% - Accent1 7 2_2.DATA" xfId="4776" xr:uid="{00000000-0005-0000-0000-00007F000000}"/>
    <cellStyle name="20% - Accent1 7 3" xfId="4157" xr:uid="{00000000-0005-0000-0000-000080000000}"/>
    <cellStyle name="20% - Accent1 7_2.DATA" xfId="4775" xr:uid="{00000000-0005-0000-0000-000081000000}"/>
    <cellStyle name="20% - Accent1 8" xfId="70" xr:uid="{00000000-0005-0000-0000-000082000000}"/>
    <cellStyle name="20% - Accent1 8 2" xfId="1689" xr:uid="{00000000-0005-0000-0000-000083000000}"/>
    <cellStyle name="20% - Accent1 8 2 2" xfId="4483" xr:uid="{00000000-0005-0000-0000-000084000000}"/>
    <cellStyle name="20% - Accent1 8 2_2.DATA" xfId="4778" xr:uid="{00000000-0005-0000-0000-000085000000}"/>
    <cellStyle name="20% - Accent1 8 3" xfId="4227" xr:uid="{00000000-0005-0000-0000-000086000000}"/>
    <cellStyle name="20% - Accent1 8_2.DATA" xfId="4777" xr:uid="{00000000-0005-0000-0000-000087000000}"/>
    <cellStyle name="20% - Accent1 9" xfId="71" xr:uid="{00000000-0005-0000-0000-000088000000}"/>
    <cellStyle name="20% - Accent1 9 2" xfId="72" xr:uid="{00000000-0005-0000-0000-000089000000}"/>
    <cellStyle name="20% - Accent1 9 2 2" xfId="4539" xr:uid="{00000000-0005-0000-0000-00008A000000}"/>
    <cellStyle name="20% - Accent1 9 2 3" xfId="4472" xr:uid="{00000000-0005-0000-0000-00008B000000}"/>
    <cellStyle name="20% - Accent1 9 2 4" xfId="1706" xr:uid="{00000000-0005-0000-0000-00008C000000}"/>
    <cellStyle name="20% - Accent1 9 2_2.DATA" xfId="4780" xr:uid="{00000000-0005-0000-0000-00008D000000}"/>
    <cellStyle name="20% - Accent1 9 3" xfId="73" xr:uid="{00000000-0005-0000-0000-00008E000000}"/>
    <cellStyle name="20% - Accent1 9 4" xfId="4243" xr:uid="{00000000-0005-0000-0000-00008F000000}"/>
    <cellStyle name="20% - Accent1 9_2.DATA" xfId="4779" xr:uid="{00000000-0005-0000-0000-000090000000}"/>
    <cellStyle name="20% - Accent2" xfId="1375" builtinId="34" customBuiltin="1"/>
    <cellStyle name="20% - Accent2 10" xfId="1548" xr:uid="{00000000-0005-0000-0000-000092000000}"/>
    <cellStyle name="20% - Accent2 10 2" xfId="4527" xr:uid="{00000000-0005-0000-0000-000093000000}"/>
    <cellStyle name="20% - Accent2 10_2.DATA" xfId="4781" xr:uid="{00000000-0005-0000-0000-000094000000}"/>
    <cellStyle name="20% - Accent2 11" xfId="1749" xr:uid="{00000000-0005-0000-0000-000095000000}"/>
    <cellStyle name="20% - Accent2 11 2" xfId="4496" xr:uid="{00000000-0005-0000-0000-000096000000}"/>
    <cellStyle name="20% - Accent2 11_2.DATA" xfId="4782" xr:uid="{00000000-0005-0000-0000-000097000000}"/>
    <cellStyle name="20% - Accent2 12" xfId="3962" xr:uid="{00000000-0005-0000-0000-000098000000}"/>
    <cellStyle name="20% - Accent2 2" xfId="74" xr:uid="{00000000-0005-0000-0000-000099000000}"/>
    <cellStyle name="20% - Accent2 2 2" xfId="75" xr:uid="{00000000-0005-0000-0000-00009A000000}"/>
    <cellStyle name="20% - Accent2 2 2 2" xfId="76" xr:uid="{00000000-0005-0000-0000-00009B000000}"/>
    <cellStyle name="20% - Accent2 2 2 2 2" xfId="77" xr:uid="{00000000-0005-0000-0000-00009C000000}"/>
    <cellStyle name="20% - Accent2 2 2 2 2 2" xfId="78" xr:uid="{00000000-0005-0000-0000-00009D000000}"/>
    <cellStyle name="20% - Accent2 2 2 2 2 3" xfId="4347" xr:uid="{00000000-0005-0000-0000-00009E000000}"/>
    <cellStyle name="20% - Accent2 2 2 2 2_2.DATA" xfId="4786" xr:uid="{00000000-0005-0000-0000-00009F000000}"/>
    <cellStyle name="20% - Accent2 2 2 2 3" xfId="79" xr:uid="{00000000-0005-0000-0000-0000A0000000}"/>
    <cellStyle name="20% - Accent2 2 2 2 4" xfId="4081" xr:uid="{00000000-0005-0000-0000-0000A1000000}"/>
    <cellStyle name="20% - Accent2 2 2 2_2.DATA" xfId="4785" xr:uid="{00000000-0005-0000-0000-0000A2000000}"/>
    <cellStyle name="20% - Accent2 2 2 3" xfId="80" xr:uid="{00000000-0005-0000-0000-0000A3000000}"/>
    <cellStyle name="20% - Accent2 2 2 3 2" xfId="81" xr:uid="{00000000-0005-0000-0000-0000A4000000}"/>
    <cellStyle name="20% - Accent2 2 2 3 2 2" xfId="4424" xr:uid="{00000000-0005-0000-0000-0000A5000000}"/>
    <cellStyle name="20% - Accent2 2 2 3 2_2.DATA" xfId="4788" xr:uid="{00000000-0005-0000-0000-0000A6000000}"/>
    <cellStyle name="20% - Accent2 2 2 3 3" xfId="4215" xr:uid="{00000000-0005-0000-0000-0000A7000000}"/>
    <cellStyle name="20% - Accent2 2 2 3_2.DATA" xfId="4787" xr:uid="{00000000-0005-0000-0000-0000A8000000}"/>
    <cellStyle name="20% - Accent2 2 2 4" xfId="82" xr:uid="{00000000-0005-0000-0000-0000A9000000}"/>
    <cellStyle name="20% - Accent2 2 2 4 2" xfId="4503" xr:uid="{00000000-0005-0000-0000-0000AA000000}"/>
    <cellStyle name="20% - Accent2 2 2 4_2.DATA" xfId="4789" xr:uid="{00000000-0005-0000-0000-0000AB000000}"/>
    <cellStyle name="20% - Accent2 2 2 5" xfId="83" xr:uid="{00000000-0005-0000-0000-0000AC000000}"/>
    <cellStyle name="20% - Accent2 2 2 5 2" xfId="4540" xr:uid="{00000000-0005-0000-0000-0000AD000000}"/>
    <cellStyle name="20% - Accent2 2 2 5 3" xfId="1765" xr:uid="{00000000-0005-0000-0000-0000AE000000}"/>
    <cellStyle name="20% - Accent2 2 2_2.DATA" xfId="4784" xr:uid="{00000000-0005-0000-0000-0000AF000000}"/>
    <cellStyle name="20% - Accent2 2 3" xfId="84" xr:uid="{00000000-0005-0000-0000-0000B0000000}"/>
    <cellStyle name="20% - Accent2 2 3 2" xfId="85" xr:uid="{00000000-0005-0000-0000-0000B1000000}"/>
    <cellStyle name="20% - Accent2 2 3 2 2" xfId="86" xr:uid="{00000000-0005-0000-0000-0000B2000000}"/>
    <cellStyle name="20% - Accent2 2 3 2 2 2" xfId="87" xr:uid="{00000000-0005-0000-0000-0000B3000000}"/>
    <cellStyle name="20% - Accent2 2 3 2 3" xfId="88" xr:uid="{00000000-0005-0000-0000-0000B4000000}"/>
    <cellStyle name="20% - Accent2 2 3 2 4" xfId="4337" xr:uid="{00000000-0005-0000-0000-0000B5000000}"/>
    <cellStyle name="20% - Accent2 2 3 2_2.DATA" xfId="4791" xr:uid="{00000000-0005-0000-0000-0000B6000000}"/>
    <cellStyle name="20% - Accent2 2 3 3" xfId="89" xr:uid="{00000000-0005-0000-0000-0000B7000000}"/>
    <cellStyle name="20% - Accent2 2 3 3 2" xfId="90" xr:uid="{00000000-0005-0000-0000-0000B8000000}"/>
    <cellStyle name="20% - Accent2 2 3 4" xfId="91" xr:uid="{00000000-0005-0000-0000-0000B9000000}"/>
    <cellStyle name="20% - Accent2 2 3 5" xfId="92" xr:uid="{00000000-0005-0000-0000-0000BA000000}"/>
    <cellStyle name="20% - Accent2 2 3 6" xfId="4059" xr:uid="{00000000-0005-0000-0000-0000BB000000}"/>
    <cellStyle name="20% - Accent2 2 3_2.DATA" xfId="4790" xr:uid="{00000000-0005-0000-0000-0000BC000000}"/>
    <cellStyle name="20% - Accent2 2 4" xfId="93" xr:uid="{00000000-0005-0000-0000-0000BD000000}"/>
    <cellStyle name="20% - Accent2 2 4 2" xfId="94" xr:uid="{00000000-0005-0000-0000-0000BE000000}"/>
    <cellStyle name="20% - Accent2 2 4 2 2" xfId="95" xr:uid="{00000000-0005-0000-0000-0000BF000000}"/>
    <cellStyle name="20% - Accent2 2 4 2 3" xfId="4463" xr:uid="{00000000-0005-0000-0000-0000C0000000}"/>
    <cellStyle name="20% - Accent2 2 4 2_2.DATA" xfId="4793" xr:uid="{00000000-0005-0000-0000-0000C1000000}"/>
    <cellStyle name="20% - Accent2 2 4 3" xfId="96" xr:uid="{00000000-0005-0000-0000-0000C2000000}"/>
    <cellStyle name="20% - Accent2 2 4 4" xfId="4186" xr:uid="{00000000-0005-0000-0000-0000C3000000}"/>
    <cellStyle name="20% - Accent2 2 4_2.DATA" xfId="4792" xr:uid="{00000000-0005-0000-0000-0000C4000000}"/>
    <cellStyle name="20% - Accent2 2 5" xfId="97" xr:uid="{00000000-0005-0000-0000-0000C5000000}"/>
    <cellStyle name="20% - Accent2 2 5 2" xfId="98" xr:uid="{00000000-0005-0000-0000-0000C6000000}"/>
    <cellStyle name="20% - Accent2 2 5 3" xfId="4533" xr:uid="{00000000-0005-0000-0000-0000C7000000}"/>
    <cellStyle name="20% - Accent2 2 5_2.DATA" xfId="4794" xr:uid="{00000000-0005-0000-0000-0000C8000000}"/>
    <cellStyle name="20% - Accent2 2 6" xfId="99" xr:uid="{00000000-0005-0000-0000-0000C9000000}"/>
    <cellStyle name="20% - Accent2 2 6 2" xfId="4541" xr:uid="{00000000-0005-0000-0000-0000CA000000}"/>
    <cellStyle name="20% - Accent2 2 6 3" xfId="1766" xr:uid="{00000000-0005-0000-0000-0000CB000000}"/>
    <cellStyle name="20% - Accent2 2 7" xfId="100" xr:uid="{00000000-0005-0000-0000-0000CC000000}"/>
    <cellStyle name="20% - Accent2 2_2.DATA" xfId="4783" xr:uid="{00000000-0005-0000-0000-0000CD000000}"/>
    <cellStyle name="20% - Accent2 3" xfId="101" xr:uid="{00000000-0005-0000-0000-0000CE000000}"/>
    <cellStyle name="20% - Accent2 3 2" xfId="102" xr:uid="{00000000-0005-0000-0000-0000CF000000}"/>
    <cellStyle name="20% - Accent2 3 2 2" xfId="103" xr:uid="{00000000-0005-0000-0000-0000D0000000}"/>
    <cellStyle name="20% - Accent2 3 2 2 2" xfId="104" xr:uid="{00000000-0005-0000-0000-0000D1000000}"/>
    <cellStyle name="20% - Accent2 3 2 2 2 2" xfId="105" xr:uid="{00000000-0005-0000-0000-0000D2000000}"/>
    <cellStyle name="20% - Accent2 3 2 2 3" xfId="106" xr:uid="{00000000-0005-0000-0000-0000D3000000}"/>
    <cellStyle name="20% - Accent2 3 2 2 4" xfId="4041" xr:uid="{00000000-0005-0000-0000-0000D4000000}"/>
    <cellStyle name="20% - Accent2 3 2 2_2.DATA" xfId="4797" xr:uid="{00000000-0005-0000-0000-0000D5000000}"/>
    <cellStyle name="20% - Accent2 3 2 3" xfId="107" xr:uid="{00000000-0005-0000-0000-0000D6000000}"/>
    <cellStyle name="20% - Accent2 3 2 3 2" xfId="108" xr:uid="{00000000-0005-0000-0000-0000D7000000}"/>
    <cellStyle name="20% - Accent2 3 2 4" xfId="109" xr:uid="{00000000-0005-0000-0000-0000D8000000}"/>
    <cellStyle name="20% - Accent2 3 2 5" xfId="3989" xr:uid="{00000000-0005-0000-0000-0000D9000000}"/>
    <cellStyle name="20% - Accent2 3 2_2.DATA" xfId="4796" xr:uid="{00000000-0005-0000-0000-0000DA000000}"/>
    <cellStyle name="20% - Accent2 3 3" xfId="110" xr:uid="{00000000-0005-0000-0000-0000DB000000}"/>
    <cellStyle name="20% - Accent2 3 3 2" xfId="111" xr:uid="{00000000-0005-0000-0000-0000DC000000}"/>
    <cellStyle name="20% - Accent2 3 3 2 2" xfId="112" xr:uid="{00000000-0005-0000-0000-0000DD000000}"/>
    <cellStyle name="20% - Accent2 3 3 2 3" xfId="4377" xr:uid="{00000000-0005-0000-0000-0000DE000000}"/>
    <cellStyle name="20% - Accent2 3 3 2_2.DATA" xfId="4799" xr:uid="{00000000-0005-0000-0000-0000DF000000}"/>
    <cellStyle name="20% - Accent2 3 3 3" xfId="113" xr:uid="{00000000-0005-0000-0000-0000E0000000}"/>
    <cellStyle name="20% - Accent2 3 3 4" xfId="4025" xr:uid="{00000000-0005-0000-0000-0000E1000000}"/>
    <cellStyle name="20% - Accent2 3 3_2.DATA" xfId="4798" xr:uid="{00000000-0005-0000-0000-0000E2000000}"/>
    <cellStyle name="20% - Accent2 3 4" xfId="114" xr:uid="{00000000-0005-0000-0000-0000E3000000}"/>
    <cellStyle name="20% - Accent2 3 4 2" xfId="115" xr:uid="{00000000-0005-0000-0000-0000E4000000}"/>
    <cellStyle name="20% - Accent2 3 4 3" xfId="4506" xr:uid="{00000000-0005-0000-0000-0000E5000000}"/>
    <cellStyle name="20% - Accent2 3 4_2.DATA" xfId="4800" xr:uid="{00000000-0005-0000-0000-0000E6000000}"/>
    <cellStyle name="20% - Accent2 3 5" xfId="116" xr:uid="{00000000-0005-0000-0000-0000E7000000}"/>
    <cellStyle name="20% - Accent2 3 6" xfId="3988" xr:uid="{00000000-0005-0000-0000-0000E8000000}"/>
    <cellStyle name="20% - Accent2 3_2.DATA" xfId="4795" xr:uid="{00000000-0005-0000-0000-0000E9000000}"/>
    <cellStyle name="20% - Accent2 4" xfId="117" xr:uid="{00000000-0005-0000-0000-0000EA000000}"/>
    <cellStyle name="20% - Accent2 4 2" xfId="118" xr:uid="{00000000-0005-0000-0000-0000EB000000}"/>
    <cellStyle name="20% - Accent2 4 2 2" xfId="119" xr:uid="{00000000-0005-0000-0000-0000EC000000}"/>
    <cellStyle name="20% - Accent2 4 2 2 2" xfId="120" xr:uid="{00000000-0005-0000-0000-0000ED000000}"/>
    <cellStyle name="20% - Accent2 4 2 2_2.DATA" xfId="4803" xr:uid="{00000000-0005-0000-0000-0000EE000000}"/>
    <cellStyle name="20% - Accent2 4 2 3" xfId="121" xr:uid="{00000000-0005-0000-0000-0000EF000000}"/>
    <cellStyle name="20% - Accent2 4 2_2.DATA" xfId="4802" xr:uid="{00000000-0005-0000-0000-0000F0000000}"/>
    <cellStyle name="20% - Accent2 4 3" xfId="122" xr:uid="{00000000-0005-0000-0000-0000F1000000}"/>
    <cellStyle name="20% - Accent2 4 3 2" xfId="123" xr:uid="{00000000-0005-0000-0000-0000F2000000}"/>
    <cellStyle name="20% - Accent2 4 3_2.DATA" xfId="4804" xr:uid="{00000000-0005-0000-0000-0000F3000000}"/>
    <cellStyle name="20% - Accent2 4 4" xfId="124" xr:uid="{00000000-0005-0000-0000-0000F4000000}"/>
    <cellStyle name="20% - Accent2 4_2.DATA" xfId="4801" xr:uid="{00000000-0005-0000-0000-0000F5000000}"/>
    <cellStyle name="20% - Accent2 5" xfId="125" xr:uid="{00000000-0005-0000-0000-0000F6000000}"/>
    <cellStyle name="20% - Accent2 5 2" xfId="126" xr:uid="{00000000-0005-0000-0000-0000F7000000}"/>
    <cellStyle name="20% - Accent2 5 2 2" xfId="127" xr:uid="{00000000-0005-0000-0000-0000F8000000}"/>
    <cellStyle name="20% - Accent2 5 2 3" xfId="4130" xr:uid="{00000000-0005-0000-0000-0000F9000000}"/>
    <cellStyle name="20% - Accent2 5 2_2.DATA" xfId="4806" xr:uid="{00000000-0005-0000-0000-0000FA000000}"/>
    <cellStyle name="20% - Accent2 5 3" xfId="128" xr:uid="{00000000-0005-0000-0000-0000FB000000}"/>
    <cellStyle name="20% - Accent2 5 3 2" xfId="4542" xr:uid="{00000000-0005-0000-0000-0000FC000000}"/>
    <cellStyle name="20% - Accent2 5 3 3" xfId="1767" xr:uid="{00000000-0005-0000-0000-0000FD000000}"/>
    <cellStyle name="20% - Accent2 5_2.DATA" xfId="4805" xr:uid="{00000000-0005-0000-0000-0000FE000000}"/>
    <cellStyle name="20% - Accent2 6" xfId="129" xr:uid="{00000000-0005-0000-0000-0000FF000000}"/>
    <cellStyle name="20% - Accent2 6 2" xfId="130" xr:uid="{00000000-0005-0000-0000-000000010000}"/>
    <cellStyle name="20% - Accent2 6 2 2" xfId="4497" xr:uid="{00000000-0005-0000-0000-000001010000}"/>
    <cellStyle name="20% - Accent2 6 2_2.DATA" xfId="4808" xr:uid="{00000000-0005-0000-0000-000002010000}"/>
    <cellStyle name="20% - Accent2 6 3" xfId="4143" xr:uid="{00000000-0005-0000-0000-000003010000}"/>
    <cellStyle name="20% - Accent2 6_2.DATA" xfId="4807" xr:uid="{00000000-0005-0000-0000-000004010000}"/>
    <cellStyle name="20% - Accent2 7" xfId="131" xr:uid="{00000000-0005-0000-0000-000005010000}"/>
    <cellStyle name="20% - Accent2 7 2" xfId="132" xr:uid="{00000000-0005-0000-0000-000006010000}"/>
    <cellStyle name="20% - Accent2 7 2 2" xfId="4260" xr:uid="{00000000-0005-0000-0000-000007010000}"/>
    <cellStyle name="20% - Accent2 7 2_2.DATA" xfId="4810" xr:uid="{00000000-0005-0000-0000-000008010000}"/>
    <cellStyle name="20% - Accent2 7 3" xfId="4159" xr:uid="{00000000-0005-0000-0000-000009010000}"/>
    <cellStyle name="20% - Accent2 7_2.DATA" xfId="4809" xr:uid="{00000000-0005-0000-0000-00000A010000}"/>
    <cellStyle name="20% - Accent2 8" xfId="133" xr:uid="{00000000-0005-0000-0000-00000B010000}"/>
    <cellStyle name="20% - Accent2 8 2" xfId="1691" xr:uid="{00000000-0005-0000-0000-00000C010000}"/>
    <cellStyle name="20% - Accent2 8 2 2" xfId="4290" xr:uid="{00000000-0005-0000-0000-00000D010000}"/>
    <cellStyle name="20% - Accent2 8 2_2.DATA" xfId="4812" xr:uid="{00000000-0005-0000-0000-00000E010000}"/>
    <cellStyle name="20% - Accent2 8 3" xfId="4229" xr:uid="{00000000-0005-0000-0000-00000F010000}"/>
    <cellStyle name="20% - Accent2 8_2.DATA" xfId="4811" xr:uid="{00000000-0005-0000-0000-000010010000}"/>
    <cellStyle name="20% - Accent2 9" xfId="134" xr:uid="{00000000-0005-0000-0000-000011010000}"/>
    <cellStyle name="20% - Accent2 9 2" xfId="135" xr:uid="{00000000-0005-0000-0000-000012010000}"/>
    <cellStyle name="20% - Accent2 9 2 2" xfId="4543" xr:uid="{00000000-0005-0000-0000-000013010000}"/>
    <cellStyle name="20% - Accent2 9 2 3" xfId="4401" xr:uid="{00000000-0005-0000-0000-000014010000}"/>
    <cellStyle name="20% - Accent2 9 2 4" xfId="1708" xr:uid="{00000000-0005-0000-0000-000015010000}"/>
    <cellStyle name="20% - Accent2 9 2_2.DATA" xfId="4814" xr:uid="{00000000-0005-0000-0000-000016010000}"/>
    <cellStyle name="20% - Accent2 9 3" xfId="136" xr:uid="{00000000-0005-0000-0000-000017010000}"/>
    <cellStyle name="20% - Accent2 9 4" xfId="4245" xr:uid="{00000000-0005-0000-0000-000018010000}"/>
    <cellStyle name="20% - Accent2 9_2.DATA" xfId="4813" xr:uid="{00000000-0005-0000-0000-000019010000}"/>
    <cellStyle name="20% - Accent3" xfId="1379" builtinId="38" customBuiltin="1"/>
    <cellStyle name="20% - Accent3 10" xfId="1550" xr:uid="{00000000-0005-0000-0000-00001B010000}"/>
    <cellStyle name="20% - Accent3 10 2" xfId="4466" xr:uid="{00000000-0005-0000-0000-00001C010000}"/>
    <cellStyle name="20% - Accent3 10_2.DATA" xfId="4815" xr:uid="{00000000-0005-0000-0000-00001D010000}"/>
    <cellStyle name="20% - Accent3 11" xfId="1751" xr:uid="{00000000-0005-0000-0000-00001E010000}"/>
    <cellStyle name="20% - Accent3 11 2" xfId="4524" xr:uid="{00000000-0005-0000-0000-00001F010000}"/>
    <cellStyle name="20% - Accent3 11_2.DATA" xfId="4816" xr:uid="{00000000-0005-0000-0000-000020010000}"/>
    <cellStyle name="20% - Accent3 12" xfId="3964" xr:uid="{00000000-0005-0000-0000-000021010000}"/>
    <cellStyle name="20% - Accent3 2" xfId="137" xr:uid="{00000000-0005-0000-0000-000022010000}"/>
    <cellStyle name="20% - Accent3 2 2" xfId="138" xr:uid="{00000000-0005-0000-0000-000023010000}"/>
    <cellStyle name="20% - Accent3 2 2 2" xfId="139" xr:uid="{00000000-0005-0000-0000-000024010000}"/>
    <cellStyle name="20% - Accent3 2 2 2 2" xfId="140" xr:uid="{00000000-0005-0000-0000-000025010000}"/>
    <cellStyle name="20% - Accent3 2 2 2 2 2" xfId="141" xr:uid="{00000000-0005-0000-0000-000026010000}"/>
    <cellStyle name="20% - Accent3 2 2 2 2 3" xfId="4447" xr:uid="{00000000-0005-0000-0000-000027010000}"/>
    <cellStyle name="20% - Accent3 2 2 2 2_2.DATA" xfId="4820" xr:uid="{00000000-0005-0000-0000-000028010000}"/>
    <cellStyle name="20% - Accent3 2 2 2 3" xfId="142" xr:uid="{00000000-0005-0000-0000-000029010000}"/>
    <cellStyle name="20% - Accent3 2 2 2 4" xfId="4100" xr:uid="{00000000-0005-0000-0000-00002A010000}"/>
    <cellStyle name="20% - Accent3 2 2 2_2.DATA" xfId="4819" xr:uid="{00000000-0005-0000-0000-00002B010000}"/>
    <cellStyle name="20% - Accent3 2 2 3" xfId="143" xr:uid="{00000000-0005-0000-0000-00002C010000}"/>
    <cellStyle name="20% - Accent3 2 2 3 2" xfId="144" xr:uid="{00000000-0005-0000-0000-00002D010000}"/>
    <cellStyle name="20% - Accent3 2 2 3 2 2" xfId="4343" xr:uid="{00000000-0005-0000-0000-00002E010000}"/>
    <cellStyle name="20% - Accent3 2 2 3 2_2.DATA" xfId="4822" xr:uid="{00000000-0005-0000-0000-00002F010000}"/>
    <cellStyle name="20% - Accent3 2 2 3 3" xfId="4217" xr:uid="{00000000-0005-0000-0000-000030010000}"/>
    <cellStyle name="20% - Accent3 2 2 3_2.DATA" xfId="4821" xr:uid="{00000000-0005-0000-0000-000031010000}"/>
    <cellStyle name="20% - Accent3 2 2 4" xfId="145" xr:uid="{00000000-0005-0000-0000-000032010000}"/>
    <cellStyle name="20% - Accent3 2 2 4 2" xfId="4523" xr:uid="{00000000-0005-0000-0000-000033010000}"/>
    <cellStyle name="20% - Accent3 2 2 4_2.DATA" xfId="4823" xr:uid="{00000000-0005-0000-0000-000034010000}"/>
    <cellStyle name="20% - Accent3 2 2 5" xfId="146" xr:uid="{00000000-0005-0000-0000-000035010000}"/>
    <cellStyle name="20% - Accent3 2 2 5 2" xfId="4544" xr:uid="{00000000-0005-0000-0000-000036010000}"/>
    <cellStyle name="20% - Accent3 2 2 5 3" xfId="1768" xr:uid="{00000000-0005-0000-0000-000037010000}"/>
    <cellStyle name="20% - Accent3 2 2_2.DATA" xfId="4818" xr:uid="{00000000-0005-0000-0000-000038010000}"/>
    <cellStyle name="20% - Accent3 2 3" xfId="147" xr:uid="{00000000-0005-0000-0000-000039010000}"/>
    <cellStyle name="20% - Accent3 2 3 2" xfId="148" xr:uid="{00000000-0005-0000-0000-00003A010000}"/>
    <cellStyle name="20% - Accent3 2 3 2 2" xfId="149" xr:uid="{00000000-0005-0000-0000-00003B010000}"/>
    <cellStyle name="20% - Accent3 2 3 2 2 2" xfId="150" xr:uid="{00000000-0005-0000-0000-00003C010000}"/>
    <cellStyle name="20% - Accent3 2 3 2 3" xfId="151" xr:uid="{00000000-0005-0000-0000-00003D010000}"/>
    <cellStyle name="20% - Accent3 2 3 2 4" xfId="4308" xr:uid="{00000000-0005-0000-0000-00003E010000}"/>
    <cellStyle name="20% - Accent3 2 3 2_2.DATA" xfId="4825" xr:uid="{00000000-0005-0000-0000-00003F010000}"/>
    <cellStyle name="20% - Accent3 2 3 3" xfId="152" xr:uid="{00000000-0005-0000-0000-000040010000}"/>
    <cellStyle name="20% - Accent3 2 3 3 2" xfId="153" xr:uid="{00000000-0005-0000-0000-000041010000}"/>
    <cellStyle name="20% - Accent3 2 3 4" xfId="154" xr:uid="{00000000-0005-0000-0000-000042010000}"/>
    <cellStyle name="20% - Accent3 2 3 5" xfId="155" xr:uid="{00000000-0005-0000-0000-000043010000}"/>
    <cellStyle name="20% - Accent3 2 3 6" xfId="4061" xr:uid="{00000000-0005-0000-0000-000044010000}"/>
    <cellStyle name="20% - Accent3 2 3_2.DATA" xfId="4824" xr:uid="{00000000-0005-0000-0000-000045010000}"/>
    <cellStyle name="20% - Accent3 2 4" xfId="156" xr:uid="{00000000-0005-0000-0000-000046010000}"/>
    <cellStyle name="20% - Accent3 2 4 2" xfId="157" xr:uid="{00000000-0005-0000-0000-000047010000}"/>
    <cellStyle name="20% - Accent3 2 4 2 2" xfId="158" xr:uid="{00000000-0005-0000-0000-000048010000}"/>
    <cellStyle name="20% - Accent3 2 4 2 3" xfId="4518" xr:uid="{00000000-0005-0000-0000-000049010000}"/>
    <cellStyle name="20% - Accent3 2 4 2_2.DATA" xfId="4827" xr:uid="{00000000-0005-0000-0000-00004A010000}"/>
    <cellStyle name="20% - Accent3 2 4 3" xfId="159" xr:uid="{00000000-0005-0000-0000-00004B010000}"/>
    <cellStyle name="20% - Accent3 2 4 4" xfId="4188" xr:uid="{00000000-0005-0000-0000-00004C010000}"/>
    <cellStyle name="20% - Accent3 2 4_2.DATA" xfId="4826" xr:uid="{00000000-0005-0000-0000-00004D010000}"/>
    <cellStyle name="20% - Accent3 2 5" xfId="160" xr:uid="{00000000-0005-0000-0000-00004E010000}"/>
    <cellStyle name="20% - Accent3 2 5 2" xfId="161" xr:uid="{00000000-0005-0000-0000-00004F010000}"/>
    <cellStyle name="20% - Accent3 2 5 3" xfId="4276" xr:uid="{00000000-0005-0000-0000-000050010000}"/>
    <cellStyle name="20% - Accent3 2 5_2.DATA" xfId="4828" xr:uid="{00000000-0005-0000-0000-000051010000}"/>
    <cellStyle name="20% - Accent3 2 6" xfId="162" xr:uid="{00000000-0005-0000-0000-000052010000}"/>
    <cellStyle name="20% - Accent3 2 6 2" xfId="4545" xr:uid="{00000000-0005-0000-0000-000053010000}"/>
    <cellStyle name="20% - Accent3 2 6 3" xfId="1769" xr:uid="{00000000-0005-0000-0000-000054010000}"/>
    <cellStyle name="20% - Accent3 2 7" xfId="163" xr:uid="{00000000-0005-0000-0000-000055010000}"/>
    <cellStyle name="20% - Accent3 2_2.DATA" xfId="4817" xr:uid="{00000000-0005-0000-0000-000056010000}"/>
    <cellStyle name="20% - Accent3 3" xfId="164" xr:uid="{00000000-0005-0000-0000-000057010000}"/>
    <cellStyle name="20% - Accent3 3 2" xfId="165" xr:uid="{00000000-0005-0000-0000-000058010000}"/>
    <cellStyle name="20% - Accent3 3 2 2" xfId="166" xr:uid="{00000000-0005-0000-0000-000059010000}"/>
    <cellStyle name="20% - Accent3 3 2 2 2" xfId="167" xr:uid="{00000000-0005-0000-0000-00005A010000}"/>
    <cellStyle name="20% - Accent3 3 2 2 2 2" xfId="168" xr:uid="{00000000-0005-0000-0000-00005B010000}"/>
    <cellStyle name="20% - Accent3 3 2 2 3" xfId="169" xr:uid="{00000000-0005-0000-0000-00005C010000}"/>
    <cellStyle name="20% - Accent3 3 2 2 4" xfId="4042" xr:uid="{00000000-0005-0000-0000-00005D010000}"/>
    <cellStyle name="20% - Accent3 3 2 2_2.DATA" xfId="4831" xr:uid="{00000000-0005-0000-0000-00005E010000}"/>
    <cellStyle name="20% - Accent3 3 2 3" xfId="170" xr:uid="{00000000-0005-0000-0000-00005F010000}"/>
    <cellStyle name="20% - Accent3 3 2 3 2" xfId="171" xr:uid="{00000000-0005-0000-0000-000060010000}"/>
    <cellStyle name="20% - Accent3 3 2 4" xfId="172" xr:uid="{00000000-0005-0000-0000-000061010000}"/>
    <cellStyle name="20% - Accent3 3 2 5" xfId="3991" xr:uid="{00000000-0005-0000-0000-000062010000}"/>
    <cellStyle name="20% - Accent3 3 2_2.DATA" xfId="4830" xr:uid="{00000000-0005-0000-0000-000063010000}"/>
    <cellStyle name="20% - Accent3 3 3" xfId="173" xr:uid="{00000000-0005-0000-0000-000064010000}"/>
    <cellStyle name="20% - Accent3 3 3 2" xfId="174" xr:uid="{00000000-0005-0000-0000-000065010000}"/>
    <cellStyle name="20% - Accent3 3 3 2 2" xfId="175" xr:uid="{00000000-0005-0000-0000-000066010000}"/>
    <cellStyle name="20% - Accent3 3 3 2 3" xfId="4432" xr:uid="{00000000-0005-0000-0000-000067010000}"/>
    <cellStyle name="20% - Accent3 3 3 2_2.DATA" xfId="4833" xr:uid="{00000000-0005-0000-0000-000068010000}"/>
    <cellStyle name="20% - Accent3 3 3 3" xfId="176" xr:uid="{00000000-0005-0000-0000-000069010000}"/>
    <cellStyle name="20% - Accent3 3 3 4" xfId="4026" xr:uid="{00000000-0005-0000-0000-00006A010000}"/>
    <cellStyle name="20% - Accent3 3 3_2.DATA" xfId="4832" xr:uid="{00000000-0005-0000-0000-00006B010000}"/>
    <cellStyle name="20% - Accent3 3 4" xfId="177" xr:uid="{00000000-0005-0000-0000-00006C010000}"/>
    <cellStyle name="20% - Accent3 3 4 2" xfId="178" xr:uid="{00000000-0005-0000-0000-00006D010000}"/>
    <cellStyle name="20% - Accent3 3 4 3" xfId="4389" xr:uid="{00000000-0005-0000-0000-00006E010000}"/>
    <cellStyle name="20% - Accent3 3 4_2.DATA" xfId="4834" xr:uid="{00000000-0005-0000-0000-00006F010000}"/>
    <cellStyle name="20% - Accent3 3 5" xfId="179" xr:uid="{00000000-0005-0000-0000-000070010000}"/>
    <cellStyle name="20% - Accent3 3 6" xfId="3990" xr:uid="{00000000-0005-0000-0000-000071010000}"/>
    <cellStyle name="20% - Accent3 3_2.DATA" xfId="4829" xr:uid="{00000000-0005-0000-0000-000072010000}"/>
    <cellStyle name="20% - Accent3 4" xfId="180" xr:uid="{00000000-0005-0000-0000-000073010000}"/>
    <cellStyle name="20% - Accent3 4 2" xfId="181" xr:uid="{00000000-0005-0000-0000-000074010000}"/>
    <cellStyle name="20% - Accent3 4 2 2" xfId="182" xr:uid="{00000000-0005-0000-0000-000075010000}"/>
    <cellStyle name="20% - Accent3 4 2 2 2" xfId="183" xr:uid="{00000000-0005-0000-0000-000076010000}"/>
    <cellStyle name="20% - Accent3 4 2 2_2.DATA" xfId="4837" xr:uid="{00000000-0005-0000-0000-000077010000}"/>
    <cellStyle name="20% - Accent3 4 2 3" xfId="184" xr:uid="{00000000-0005-0000-0000-000078010000}"/>
    <cellStyle name="20% - Accent3 4 2_2.DATA" xfId="4836" xr:uid="{00000000-0005-0000-0000-000079010000}"/>
    <cellStyle name="20% - Accent3 4 3" xfId="185" xr:uid="{00000000-0005-0000-0000-00007A010000}"/>
    <cellStyle name="20% - Accent3 4 3 2" xfId="186" xr:uid="{00000000-0005-0000-0000-00007B010000}"/>
    <cellStyle name="20% - Accent3 4 3_2.DATA" xfId="4838" xr:uid="{00000000-0005-0000-0000-00007C010000}"/>
    <cellStyle name="20% - Accent3 4 4" xfId="187" xr:uid="{00000000-0005-0000-0000-00007D010000}"/>
    <cellStyle name="20% - Accent3 4_2.DATA" xfId="4835" xr:uid="{00000000-0005-0000-0000-00007E010000}"/>
    <cellStyle name="20% - Accent3 5" xfId="188" xr:uid="{00000000-0005-0000-0000-00007F010000}"/>
    <cellStyle name="20% - Accent3 5 2" xfId="189" xr:uid="{00000000-0005-0000-0000-000080010000}"/>
    <cellStyle name="20% - Accent3 5 2 2" xfId="190" xr:uid="{00000000-0005-0000-0000-000081010000}"/>
    <cellStyle name="20% - Accent3 5 2 3" xfId="4132" xr:uid="{00000000-0005-0000-0000-000082010000}"/>
    <cellStyle name="20% - Accent3 5 2_2.DATA" xfId="4840" xr:uid="{00000000-0005-0000-0000-000083010000}"/>
    <cellStyle name="20% - Accent3 5 3" xfId="191" xr:uid="{00000000-0005-0000-0000-000084010000}"/>
    <cellStyle name="20% - Accent3 5 3 2" xfId="4546" xr:uid="{00000000-0005-0000-0000-000085010000}"/>
    <cellStyle name="20% - Accent3 5 3 3" xfId="1770" xr:uid="{00000000-0005-0000-0000-000086010000}"/>
    <cellStyle name="20% - Accent3 5_2.DATA" xfId="4839" xr:uid="{00000000-0005-0000-0000-000087010000}"/>
    <cellStyle name="20% - Accent3 6" xfId="192" xr:uid="{00000000-0005-0000-0000-000088010000}"/>
    <cellStyle name="20% - Accent3 6 2" xfId="193" xr:uid="{00000000-0005-0000-0000-000089010000}"/>
    <cellStyle name="20% - Accent3 6 2 2" xfId="4369" xr:uid="{00000000-0005-0000-0000-00008A010000}"/>
    <cellStyle name="20% - Accent3 6 2_2.DATA" xfId="4842" xr:uid="{00000000-0005-0000-0000-00008B010000}"/>
    <cellStyle name="20% - Accent3 6 3" xfId="4145" xr:uid="{00000000-0005-0000-0000-00008C010000}"/>
    <cellStyle name="20% - Accent3 6_2.DATA" xfId="4841" xr:uid="{00000000-0005-0000-0000-00008D010000}"/>
    <cellStyle name="20% - Accent3 7" xfId="194" xr:uid="{00000000-0005-0000-0000-00008E010000}"/>
    <cellStyle name="20% - Accent3 7 2" xfId="195" xr:uid="{00000000-0005-0000-0000-00008F010000}"/>
    <cellStyle name="20% - Accent3 7 2 2" xfId="4335" xr:uid="{00000000-0005-0000-0000-000090010000}"/>
    <cellStyle name="20% - Accent3 7 2_2.DATA" xfId="4844" xr:uid="{00000000-0005-0000-0000-000091010000}"/>
    <cellStyle name="20% - Accent3 7 3" xfId="4161" xr:uid="{00000000-0005-0000-0000-000092010000}"/>
    <cellStyle name="20% - Accent3 7_2.DATA" xfId="4843" xr:uid="{00000000-0005-0000-0000-000093010000}"/>
    <cellStyle name="20% - Accent3 8" xfId="196" xr:uid="{00000000-0005-0000-0000-000094010000}"/>
    <cellStyle name="20% - Accent3 8 2" xfId="1693" xr:uid="{00000000-0005-0000-0000-000095010000}"/>
    <cellStyle name="20% - Accent3 8 2 2" xfId="4322" xr:uid="{00000000-0005-0000-0000-000096010000}"/>
    <cellStyle name="20% - Accent3 8 2_2.DATA" xfId="4846" xr:uid="{00000000-0005-0000-0000-000097010000}"/>
    <cellStyle name="20% - Accent3 8 3" xfId="4231" xr:uid="{00000000-0005-0000-0000-000098010000}"/>
    <cellStyle name="20% - Accent3 8_2.DATA" xfId="4845" xr:uid="{00000000-0005-0000-0000-000099010000}"/>
    <cellStyle name="20% - Accent3 9" xfId="197" xr:uid="{00000000-0005-0000-0000-00009A010000}"/>
    <cellStyle name="20% - Accent3 9 2" xfId="198" xr:uid="{00000000-0005-0000-0000-00009B010000}"/>
    <cellStyle name="20% - Accent3 9 2 2" xfId="4547" xr:uid="{00000000-0005-0000-0000-00009C010000}"/>
    <cellStyle name="20% - Accent3 9 2 3" xfId="4390" xr:uid="{00000000-0005-0000-0000-00009D010000}"/>
    <cellStyle name="20% - Accent3 9 2 4" xfId="1710" xr:uid="{00000000-0005-0000-0000-00009E010000}"/>
    <cellStyle name="20% - Accent3 9 2_2.DATA" xfId="4848" xr:uid="{00000000-0005-0000-0000-00009F010000}"/>
    <cellStyle name="20% - Accent3 9 3" xfId="199" xr:uid="{00000000-0005-0000-0000-0000A0010000}"/>
    <cellStyle name="20% - Accent3 9 4" xfId="4247" xr:uid="{00000000-0005-0000-0000-0000A1010000}"/>
    <cellStyle name="20% - Accent3 9_2.DATA" xfId="4847" xr:uid="{00000000-0005-0000-0000-0000A2010000}"/>
    <cellStyle name="20% - Accent4" xfId="1383" builtinId="42" customBuiltin="1"/>
    <cellStyle name="20% - Accent4 10" xfId="1552" xr:uid="{00000000-0005-0000-0000-0000A4010000}"/>
    <cellStyle name="20% - Accent4 10 2" xfId="4394" xr:uid="{00000000-0005-0000-0000-0000A5010000}"/>
    <cellStyle name="20% - Accent4 10_2.DATA" xfId="4849" xr:uid="{00000000-0005-0000-0000-0000A6010000}"/>
    <cellStyle name="20% - Accent4 11" xfId="1753" xr:uid="{00000000-0005-0000-0000-0000A7010000}"/>
    <cellStyle name="20% - Accent4 11 2" xfId="4275" xr:uid="{00000000-0005-0000-0000-0000A8010000}"/>
    <cellStyle name="20% - Accent4 11_2.DATA" xfId="4850" xr:uid="{00000000-0005-0000-0000-0000A9010000}"/>
    <cellStyle name="20% - Accent4 12" xfId="3966" xr:uid="{00000000-0005-0000-0000-0000AA010000}"/>
    <cellStyle name="20% - Accent4 2" xfId="200" xr:uid="{00000000-0005-0000-0000-0000AB010000}"/>
    <cellStyle name="20% - Accent4 2 2" xfId="201" xr:uid="{00000000-0005-0000-0000-0000AC010000}"/>
    <cellStyle name="20% - Accent4 2 2 2" xfId="202" xr:uid="{00000000-0005-0000-0000-0000AD010000}"/>
    <cellStyle name="20% - Accent4 2 2 2 2" xfId="203" xr:uid="{00000000-0005-0000-0000-0000AE010000}"/>
    <cellStyle name="20% - Accent4 2 2 2 2 2" xfId="204" xr:uid="{00000000-0005-0000-0000-0000AF010000}"/>
    <cellStyle name="20% - Accent4 2 2 2 2 3" xfId="4453" xr:uid="{00000000-0005-0000-0000-0000B0010000}"/>
    <cellStyle name="20% - Accent4 2 2 2 2_2.DATA" xfId="4854" xr:uid="{00000000-0005-0000-0000-0000B1010000}"/>
    <cellStyle name="20% - Accent4 2 2 2 3" xfId="205" xr:uid="{00000000-0005-0000-0000-0000B2010000}"/>
    <cellStyle name="20% - Accent4 2 2 2 4" xfId="4097" xr:uid="{00000000-0005-0000-0000-0000B3010000}"/>
    <cellStyle name="20% - Accent4 2 2 2_2.DATA" xfId="4853" xr:uid="{00000000-0005-0000-0000-0000B4010000}"/>
    <cellStyle name="20% - Accent4 2 2 3" xfId="206" xr:uid="{00000000-0005-0000-0000-0000B5010000}"/>
    <cellStyle name="20% - Accent4 2 2 3 2" xfId="207" xr:uid="{00000000-0005-0000-0000-0000B6010000}"/>
    <cellStyle name="20% - Accent4 2 2 3 2 2" xfId="4474" xr:uid="{00000000-0005-0000-0000-0000B7010000}"/>
    <cellStyle name="20% - Accent4 2 2 3 2_2.DATA" xfId="4856" xr:uid="{00000000-0005-0000-0000-0000B8010000}"/>
    <cellStyle name="20% - Accent4 2 2 3 3" xfId="4219" xr:uid="{00000000-0005-0000-0000-0000B9010000}"/>
    <cellStyle name="20% - Accent4 2 2 3_2.DATA" xfId="4855" xr:uid="{00000000-0005-0000-0000-0000BA010000}"/>
    <cellStyle name="20% - Accent4 2 2 4" xfId="208" xr:uid="{00000000-0005-0000-0000-0000BB010000}"/>
    <cellStyle name="20% - Accent4 2 2 4 2" xfId="4526" xr:uid="{00000000-0005-0000-0000-0000BC010000}"/>
    <cellStyle name="20% - Accent4 2 2 4_2.DATA" xfId="4857" xr:uid="{00000000-0005-0000-0000-0000BD010000}"/>
    <cellStyle name="20% - Accent4 2 2 5" xfId="209" xr:uid="{00000000-0005-0000-0000-0000BE010000}"/>
    <cellStyle name="20% - Accent4 2 2 5 2" xfId="4548" xr:uid="{00000000-0005-0000-0000-0000BF010000}"/>
    <cellStyle name="20% - Accent4 2 2 5 3" xfId="1771" xr:uid="{00000000-0005-0000-0000-0000C0010000}"/>
    <cellStyle name="20% - Accent4 2 2_2.DATA" xfId="4852" xr:uid="{00000000-0005-0000-0000-0000C1010000}"/>
    <cellStyle name="20% - Accent4 2 3" xfId="210" xr:uid="{00000000-0005-0000-0000-0000C2010000}"/>
    <cellStyle name="20% - Accent4 2 3 2" xfId="211" xr:uid="{00000000-0005-0000-0000-0000C3010000}"/>
    <cellStyle name="20% - Accent4 2 3 2 2" xfId="212" xr:uid="{00000000-0005-0000-0000-0000C4010000}"/>
    <cellStyle name="20% - Accent4 2 3 2 2 2" xfId="213" xr:uid="{00000000-0005-0000-0000-0000C5010000}"/>
    <cellStyle name="20% - Accent4 2 3 2 3" xfId="214" xr:uid="{00000000-0005-0000-0000-0000C6010000}"/>
    <cellStyle name="20% - Accent4 2 3 2 4" xfId="4442" xr:uid="{00000000-0005-0000-0000-0000C7010000}"/>
    <cellStyle name="20% - Accent4 2 3 2_2.DATA" xfId="4859" xr:uid="{00000000-0005-0000-0000-0000C8010000}"/>
    <cellStyle name="20% - Accent4 2 3 3" xfId="215" xr:uid="{00000000-0005-0000-0000-0000C9010000}"/>
    <cellStyle name="20% - Accent4 2 3 3 2" xfId="216" xr:uid="{00000000-0005-0000-0000-0000CA010000}"/>
    <cellStyle name="20% - Accent4 2 3 4" xfId="217" xr:uid="{00000000-0005-0000-0000-0000CB010000}"/>
    <cellStyle name="20% - Accent4 2 3 5" xfId="218" xr:uid="{00000000-0005-0000-0000-0000CC010000}"/>
    <cellStyle name="20% - Accent4 2 3 6" xfId="4063" xr:uid="{00000000-0005-0000-0000-0000CD010000}"/>
    <cellStyle name="20% - Accent4 2 3_2.DATA" xfId="4858" xr:uid="{00000000-0005-0000-0000-0000CE010000}"/>
    <cellStyle name="20% - Accent4 2 4" xfId="219" xr:uid="{00000000-0005-0000-0000-0000CF010000}"/>
    <cellStyle name="20% - Accent4 2 4 2" xfId="220" xr:uid="{00000000-0005-0000-0000-0000D0010000}"/>
    <cellStyle name="20% - Accent4 2 4 2 2" xfId="221" xr:uid="{00000000-0005-0000-0000-0000D1010000}"/>
    <cellStyle name="20% - Accent4 2 4 2 3" xfId="4278" xr:uid="{00000000-0005-0000-0000-0000D2010000}"/>
    <cellStyle name="20% - Accent4 2 4 2_2.DATA" xfId="4861" xr:uid="{00000000-0005-0000-0000-0000D3010000}"/>
    <cellStyle name="20% - Accent4 2 4 3" xfId="222" xr:uid="{00000000-0005-0000-0000-0000D4010000}"/>
    <cellStyle name="20% - Accent4 2 4 4" xfId="4190" xr:uid="{00000000-0005-0000-0000-0000D5010000}"/>
    <cellStyle name="20% - Accent4 2 4_2.DATA" xfId="4860" xr:uid="{00000000-0005-0000-0000-0000D6010000}"/>
    <cellStyle name="20% - Accent4 2 5" xfId="223" xr:uid="{00000000-0005-0000-0000-0000D7010000}"/>
    <cellStyle name="20% - Accent4 2 5 2" xfId="224" xr:uid="{00000000-0005-0000-0000-0000D8010000}"/>
    <cellStyle name="20% - Accent4 2 5 3" xfId="4537" xr:uid="{00000000-0005-0000-0000-0000D9010000}"/>
    <cellStyle name="20% - Accent4 2 5_2.DATA" xfId="4862" xr:uid="{00000000-0005-0000-0000-0000DA010000}"/>
    <cellStyle name="20% - Accent4 2 6" xfId="225" xr:uid="{00000000-0005-0000-0000-0000DB010000}"/>
    <cellStyle name="20% - Accent4 2 6 2" xfId="4549" xr:uid="{00000000-0005-0000-0000-0000DC010000}"/>
    <cellStyle name="20% - Accent4 2 6 3" xfId="1772" xr:uid="{00000000-0005-0000-0000-0000DD010000}"/>
    <cellStyle name="20% - Accent4 2 7" xfId="226" xr:uid="{00000000-0005-0000-0000-0000DE010000}"/>
    <cellStyle name="20% - Accent4 2_2.DATA" xfId="4851" xr:uid="{00000000-0005-0000-0000-0000DF010000}"/>
    <cellStyle name="20% - Accent4 3" xfId="227" xr:uid="{00000000-0005-0000-0000-0000E0010000}"/>
    <cellStyle name="20% - Accent4 3 2" xfId="228" xr:uid="{00000000-0005-0000-0000-0000E1010000}"/>
    <cellStyle name="20% - Accent4 3 2 2" xfId="229" xr:uid="{00000000-0005-0000-0000-0000E2010000}"/>
    <cellStyle name="20% - Accent4 3 2 2 2" xfId="230" xr:uid="{00000000-0005-0000-0000-0000E3010000}"/>
    <cellStyle name="20% - Accent4 3 2 2 2 2" xfId="231" xr:uid="{00000000-0005-0000-0000-0000E4010000}"/>
    <cellStyle name="20% - Accent4 3 2 2 3" xfId="232" xr:uid="{00000000-0005-0000-0000-0000E5010000}"/>
    <cellStyle name="20% - Accent4 3 2 2 4" xfId="4043" xr:uid="{00000000-0005-0000-0000-0000E6010000}"/>
    <cellStyle name="20% - Accent4 3 2 2_2.DATA" xfId="4865" xr:uid="{00000000-0005-0000-0000-0000E7010000}"/>
    <cellStyle name="20% - Accent4 3 2 3" xfId="233" xr:uid="{00000000-0005-0000-0000-0000E8010000}"/>
    <cellStyle name="20% - Accent4 3 2 3 2" xfId="234" xr:uid="{00000000-0005-0000-0000-0000E9010000}"/>
    <cellStyle name="20% - Accent4 3 2 4" xfId="235" xr:uid="{00000000-0005-0000-0000-0000EA010000}"/>
    <cellStyle name="20% - Accent4 3 2 5" xfId="3993" xr:uid="{00000000-0005-0000-0000-0000EB010000}"/>
    <cellStyle name="20% - Accent4 3 2_2.DATA" xfId="4864" xr:uid="{00000000-0005-0000-0000-0000EC010000}"/>
    <cellStyle name="20% - Accent4 3 3" xfId="236" xr:uid="{00000000-0005-0000-0000-0000ED010000}"/>
    <cellStyle name="20% - Accent4 3 3 2" xfId="237" xr:uid="{00000000-0005-0000-0000-0000EE010000}"/>
    <cellStyle name="20% - Accent4 3 3 2 2" xfId="238" xr:uid="{00000000-0005-0000-0000-0000EF010000}"/>
    <cellStyle name="20% - Accent4 3 3 2 3" xfId="4418" xr:uid="{00000000-0005-0000-0000-0000F0010000}"/>
    <cellStyle name="20% - Accent4 3 3 2_2.DATA" xfId="4867" xr:uid="{00000000-0005-0000-0000-0000F1010000}"/>
    <cellStyle name="20% - Accent4 3 3 3" xfId="239" xr:uid="{00000000-0005-0000-0000-0000F2010000}"/>
    <cellStyle name="20% - Accent4 3 3 4" xfId="4027" xr:uid="{00000000-0005-0000-0000-0000F3010000}"/>
    <cellStyle name="20% - Accent4 3 3_2.DATA" xfId="4866" xr:uid="{00000000-0005-0000-0000-0000F4010000}"/>
    <cellStyle name="20% - Accent4 3 4" xfId="240" xr:uid="{00000000-0005-0000-0000-0000F5010000}"/>
    <cellStyle name="20% - Accent4 3 4 2" xfId="241" xr:uid="{00000000-0005-0000-0000-0000F6010000}"/>
    <cellStyle name="20% - Accent4 3 4 3" xfId="4301" xr:uid="{00000000-0005-0000-0000-0000F7010000}"/>
    <cellStyle name="20% - Accent4 3 4_2.DATA" xfId="4868" xr:uid="{00000000-0005-0000-0000-0000F8010000}"/>
    <cellStyle name="20% - Accent4 3 5" xfId="242" xr:uid="{00000000-0005-0000-0000-0000F9010000}"/>
    <cellStyle name="20% - Accent4 3 6" xfId="3992" xr:uid="{00000000-0005-0000-0000-0000FA010000}"/>
    <cellStyle name="20% - Accent4 3_2.DATA" xfId="4863" xr:uid="{00000000-0005-0000-0000-0000FB010000}"/>
    <cellStyle name="20% - Accent4 4" xfId="243" xr:uid="{00000000-0005-0000-0000-0000FC010000}"/>
    <cellStyle name="20% - Accent4 4 2" xfId="244" xr:uid="{00000000-0005-0000-0000-0000FD010000}"/>
    <cellStyle name="20% - Accent4 4 2 2" xfId="245" xr:uid="{00000000-0005-0000-0000-0000FE010000}"/>
    <cellStyle name="20% - Accent4 4 2 2 2" xfId="246" xr:uid="{00000000-0005-0000-0000-0000FF010000}"/>
    <cellStyle name="20% - Accent4 4 2 2_2.DATA" xfId="4871" xr:uid="{00000000-0005-0000-0000-000000020000}"/>
    <cellStyle name="20% - Accent4 4 2 3" xfId="247" xr:uid="{00000000-0005-0000-0000-000001020000}"/>
    <cellStyle name="20% - Accent4 4 2_2.DATA" xfId="4870" xr:uid="{00000000-0005-0000-0000-000002020000}"/>
    <cellStyle name="20% - Accent4 4 3" xfId="248" xr:uid="{00000000-0005-0000-0000-000003020000}"/>
    <cellStyle name="20% - Accent4 4 3 2" xfId="249" xr:uid="{00000000-0005-0000-0000-000004020000}"/>
    <cellStyle name="20% - Accent4 4 3_2.DATA" xfId="4872" xr:uid="{00000000-0005-0000-0000-000005020000}"/>
    <cellStyle name="20% - Accent4 4 4" xfId="250" xr:uid="{00000000-0005-0000-0000-000006020000}"/>
    <cellStyle name="20% - Accent4 4_2.DATA" xfId="4869" xr:uid="{00000000-0005-0000-0000-000007020000}"/>
    <cellStyle name="20% - Accent4 5" xfId="251" xr:uid="{00000000-0005-0000-0000-000008020000}"/>
    <cellStyle name="20% - Accent4 5 2" xfId="252" xr:uid="{00000000-0005-0000-0000-000009020000}"/>
    <cellStyle name="20% - Accent4 5 2 2" xfId="253" xr:uid="{00000000-0005-0000-0000-00000A020000}"/>
    <cellStyle name="20% - Accent4 5 2 3" xfId="4134" xr:uid="{00000000-0005-0000-0000-00000B020000}"/>
    <cellStyle name="20% - Accent4 5 2_2.DATA" xfId="4874" xr:uid="{00000000-0005-0000-0000-00000C020000}"/>
    <cellStyle name="20% - Accent4 5 3" xfId="254" xr:uid="{00000000-0005-0000-0000-00000D020000}"/>
    <cellStyle name="20% - Accent4 5 3 2" xfId="4550" xr:uid="{00000000-0005-0000-0000-00000E020000}"/>
    <cellStyle name="20% - Accent4 5 3 3" xfId="1773" xr:uid="{00000000-0005-0000-0000-00000F020000}"/>
    <cellStyle name="20% - Accent4 5_2.DATA" xfId="4873" xr:uid="{00000000-0005-0000-0000-000010020000}"/>
    <cellStyle name="20% - Accent4 6" xfId="255" xr:uid="{00000000-0005-0000-0000-000011020000}"/>
    <cellStyle name="20% - Accent4 6 2" xfId="256" xr:uid="{00000000-0005-0000-0000-000012020000}"/>
    <cellStyle name="20% - Accent4 6 2 2" xfId="4333" xr:uid="{00000000-0005-0000-0000-000013020000}"/>
    <cellStyle name="20% - Accent4 6 2_2.DATA" xfId="4876" xr:uid="{00000000-0005-0000-0000-000014020000}"/>
    <cellStyle name="20% - Accent4 6 3" xfId="4147" xr:uid="{00000000-0005-0000-0000-000015020000}"/>
    <cellStyle name="20% - Accent4 6_2.DATA" xfId="4875" xr:uid="{00000000-0005-0000-0000-000016020000}"/>
    <cellStyle name="20% - Accent4 7" xfId="257" xr:uid="{00000000-0005-0000-0000-000017020000}"/>
    <cellStyle name="20% - Accent4 7 2" xfId="258" xr:uid="{00000000-0005-0000-0000-000018020000}"/>
    <cellStyle name="20% - Accent4 7 2 2" xfId="4489" xr:uid="{00000000-0005-0000-0000-000019020000}"/>
    <cellStyle name="20% - Accent4 7 2_2.DATA" xfId="4878" xr:uid="{00000000-0005-0000-0000-00001A020000}"/>
    <cellStyle name="20% - Accent4 7 3" xfId="4163" xr:uid="{00000000-0005-0000-0000-00001B020000}"/>
    <cellStyle name="20% - Accent4 7_2.DATA" xfId="4877" xr:uid="{00000000-0005-0000-0000-00001C020000}"/>
    <cellStyle name="20% - Accent4 8" xfId="259" xr:uid="{00000000-0005-0000-0000-00001D020000}"/>
    <cellStyle name="20% - Accent4 8 2" xfId="1695" xr:uid="{00000000-0005-0000-0000-00001E020000}"/>
    <cellStyle name="20% - Accent4 8 2 2" xfId="4535" xr:uid="{00000000-0005-0000-0000-00001F020000}"/>
    <cellStyle name="20% - Accent4 8 2_2.DATA" xfId="4880" xr:uid="{00000000-0005-0000-0000-000020020000}"/>
    <cellStyle name="20% - Accent4 8 3" xfId="4233" xr:uid="{00000000-0005-0000-0000-000021020000}"/>
    <cellStyle name="20% - Accent4 8_2.DATA" xfId="4879" xr:uid="{00000000-0005-0000-0000-000022020000}"/>
    <cellStyle name="20% - Accent4 9" xfId="260" xr:uid="{00000000-0005-0000-0000-000023020000}"/>
    <cellStyle name="20% - Accent4 9 2" xfId="261" xr:uid="{00000000-0005-0000-0000-000024020000}"/>
    <cellStyle name="20% - Accent4 9 2 2" xfId="4551" xr:uid="{00000000-0005-0000-0000-000025020000}"/>
    <cellStyle name="20% - Accent4 9 2 3" xfId="4350" xr:uid="{00000000-0005-0000-0000-000026020000}"/>
    <cellStyle name="20% - Accent4 9 2 4" xfId="1712" xr:uid="{00000000-0005-0000-0000-000027020000}"/>
    <cellStyle name="20% - Accent4 9 2_2.DATA" xfId="4882" xr:uid="{00000000-0005-0000-0000-000028020000}"/>
    <cellStyle name="20% - Accent4 9 3" xfId="262" xr:uid="{00000000-0005-0000-0000-000029020000}"/>
    <cellStyle name="20% - Accent4 9 4" xfId="4249" xr:uid="{00000000-0005-0000-0000-00002A020000}"/>
    <cellStyle name="20% - Accent4 9_2.DATA" xfId="4881" xr:uid="{00000000-0005-0000-0000-00002B020000}"/>
    <cellStyle name="20% - Accent5" xfId="1387" builtinId="46" customBuiltin="1"/>
    <cellStyle name="20% - Accent5 10" xfId="1554" xr:uid="{00000000-0005-0000-0000-00002D020000}"/>
    <cellStyle name="20% - Accent5 10 2" xfId="4323" xr:uid="{00000000-0005-0000-0000-00002E020000}"/>
    <cellStyle name="20% - Accent5 10_2.DATA" xfId="4883" xr:uid="{00000000-0005-0000-0000-00002F020000}"/>
    <cellStyle name="20% - Accent5 11" xfId="1755" xr:uid="{00000000-0005-0000-0000-000030020000}"/>
    <cellStyle name="20% - Accent5 11 2" xfId="4328" xr:uid="{00000000-0005-0000-0000-000031020000}"/>
    <cellStyle name="20% - Accent5 11_2.DATA" xfId="4884" xr:uid="{00000000-0005-0000-0000-000032020000}"/>
    <cellStyle name="20% - Accent5 12" xfId="3968" xr:uid="{00000000-0005-0000-0000-000033020000}"/>
    <cellStyle name="20% - Accent5 2" xfId="263" xr:uid="{00000000-0005-0000-0000-000034020000}"/>
    <cellStyle name="20% - Accent5 2 2" xfId="264" xr:uid="{00000000-0005-0000-0000-000035020000}"/>
    <cellStyle name="20% - Accent5 2 2 2" xfId="265" xr:uid="{00000000-0005-0000-0000-000036020000}"/>
    <cellStyle name="20% - Accent5 2 2 2 2" xfId="266" xr:uid="{00000000-0005-0000-0000-000037020000}"/>
    <cellStyle name="20% - Accent5 2 2 2 2 2" xfId="267" xr:uid="{00000000-0005-0000-0000-000038020000}"/>
    <cellStyle name="20% - Accent5 2 2 2 2 3" xfId="4434" xr:uid="{00000000-0005-0000-0000-000039020000}"/>
    <cellStyle name="20% - Accent5 2 2 2 2_2.DATA" xfId="4888" xr:uid="{00000000-0005-0000-0000-00003A020000}"/>
    <cellStyle name="20% - Accent5 2 2 2 3" xfId="268" xr:uid="{00000000-0005-0000-0000-00003B020000}"/>
    <cellStyle name="20% - Accent5 2 2 2 4" xfId="4102" xr:uid="{00000000-0005-0000-0000-00003C020000}"/>
    <cellStyle name="20% - Accent5 2 2 2_2.DATA" xfId="4887" xr:uid="{00000000-0005-0000-0000-00003D020000}"/>
    <cellStyle name="20% - Accent5 2 2 3" xfId="269" xr:uid="{00000000-0005-0000-0000-00003E020000}"/>
    <cellStyle name="20% - Accent5 2 2 3 2" xfId="270" xr:uid="{00000000-0005-0000-0000-00003F020000}"/>
    <cellStyle name="20% - Accent5 2 2 3 2 2" xfId="4417" xr:uid="{00000000-0005-0000-0000-000040020000}"/>
    <cellStyle name="20% - Accent5 2 2 3 2_2.DATA" xfId="4890" xr:uid="{00000000-0005-0000-0000-000041020000}"/>
    <cellStyle name="20% - Accent5 2 2 3 3" xfId="4221" xr:uid="{00000000-0005-0000-0000-000042020000}"/>
    <cellStyle name="20% - Accent5 2 2 3_2.DATA" xfId="4889" xr:uid="{00000000-0005-0000-0000-000043020000}"/>
    <cellStyle name="20% - Accent5 2 2 4" xfId="271" xr:uid="{00000000-0005-0000-0000-000044020000}"/>
    <cellStyle name="20% - Accent5 2 2 4 2" xfId="4422" xr:uid="{00000000-0005-0000-0000-000045020000}"/>
    <cellStyle name="20% - Accent5 2 2 4_2.DATA" xfId="4891" xr:uid="{00000000-0005-0000-0000-000046020000}"/>
    <cellStyle name="20% - Accent5 2 2 5" xfId="272" xr:uid="{00000000-0005-0000-0000-000047020000}"/>
    <cellStyle name="20% - Accent5 2 2 5 2" xfId="4552" xr:uid="{00000000-0005-0000-0000-000048020000}"/>
    <cellStyle name="20% - Accent5 2 2 5 3" xfId="1774" xr:uid="{00000000-0005-0000-0000-000049020000}"/>
    <cellStyle name="20% - Accent5 2 2_2.DATA" xfId="4886" xr:uid="{00000000-0005-0000-0000-00004A020000}"/>
    <cellStyle name="20% - Accent5 2 3" xfId="273" xr:uid="{00000000-0005-0000-0000-00004B020000}"/>
    <cellStyle name="20% - Accent5 2 3 2" xfId="274" xr:uid="{00000000-0005-0000-0000-00004C020000}"/>
    <cellStyle name="20% - Accent5 2 3 2 2" xfId="275" xr:uid="{00000000-0005-0000-0000-00004D020000}"/>
    <cellStyle name="20% - Accent5 2 3 2 2 2" xfId="276" xr:uid="{00000000-0005-0000-0000-00004E020000}"/>
    <cellStyle name="20% - Accent5 2 3 2 3" xfId="277" xr:uid="{00000000-0005-0000-0000-00004F020000}"/>
    <cellStyle name="20% - Accent5 2 3 2 4" xfId="4385" xr:uid="{00000000-0005-0000-0000-000050020000}"/>
    <cellStyle name="20% - Accent5 2 3 2_2.DATA" xfId="4893" xr:uid="{00000000-0005-0000-0000-000051020000}"/>
    <cellStyle name="20% - Accent5 2 3 3" xfId="278" xr:uid="{00000000-0005-0000-0000-000052020000}"/>
    <cellStyle name="20% - Accent5 2 3 3 2" xfId="279" xr:uid="{00000000-0005-0000-0000-000053020000}"/>
    <cellStyle name="20% - Accent5 2 3 4" xfId="280" xr:uid="{00000000-0005-0000-0000-000054020000}"/>
    <cellStyle name="20% - Accent5 2 3 5" xfId="281" xr:uid="{00000000-0005-0000-0000-000055020000}"/>
    <cellStyle name="20% - Accent5 2 3 6" xfId="4065" xr:uid="{00000000-0005-0000-0000-000056020000}"/>
    <cellStyle name="20% - Accent5 2 3_2.DATA" xfId="4892" xr:uid="{00000000-0005-0000-0000-000057020000}"/>
    <cellStyle name="20% - Accent5 2 4" xfId="282" xr:uid="{00000000-0005-0000-0000-000058020000}"/>
    <cellStyle name="20% - Accent5 2 4 2" xfId="283" xr:uid="{00000000-0005-0000-0000-000059020000}"/>
    <cellStyle name="20% - Accent5 2 4 2 2" xfId="284" xr:uid="{00000000-0005-0000-0000-00005A020000}"/>
    <cellStyle name="20% - Accent5 2 4 2 3" xfId="4279" xr:uid="{00000000-0005-0000-0000-00005B020000}"/>
    <cellStyle name="20% - Accent5 2 4 2_2.DATA" xfId="4895" xr:uid="{00000000-0005-0000-0000-00005C020000}"/>
    <cellStyle name="20% - Accent5 2 4 3" xfId="285" xr:uid="{00000000-0005-0000-0000-00005D020000}"/>
    <cellStyle name="20% - Accent5 2 4 4" xfId="4192" xr:uid="{00000000-0005-0000-0000-00005E020000}"/>
    <cellStyle name="20% - Accent5 2 4_2.DATA" xfId="4894" xr:uid="{00000000-0005-0000-0000-00005F020000}"/>
    <cellStyle name="20% - Accent5 2 5" xfId="286" xr:uid="{00000000-0005-0000-0000-000060020000}"/>
    <cellStyle name="20% - Accent5 2 5 2" xfId="287" xr:uid="{00000000-0005-0000-0000-000061020000}"/>
    <cellStyle name="20% - Accent5 2 5 3" xfId="4405" xr:uid="{00000000-0005-0000-0000-000062020000}"/>
    <cellStyle name="20% - Accent5 2 5_2.DATA" xfId="4896" xr:uid="{00000000-0005-0000-0000-000063020000}"/>
    <cellStyle name="20% - Accent5 2 6" xfId="288" xr:uid="{00000000-0005-0000-0000-000064020000}"/>
    <cellStyle name="20% - Accent5 2 6 2" xfId="4553" xr:uid="{00000000-0005-0000-0000-000065020000}"/>
    <cellStyle name="20% - Accent5 2 6 3" xfId="1775" xr:uid="{00000000-0005-0000-0000-000066020000}"/>
    <cellStyle name="20% - Accent5 2 7" xfId="289" xr:uid="{00000000-0005-0000-0000-000067020000}"/>
    <cellStyle name="20% - Accent5 2_2.DATA" xfId="4885" xr:uid="{00000000-0005-0000-0000-000068020000}"/>
    <cellStyle name="20% - Accent5 3" xfId="290" xr:uid="{00000000-0005-0000-0000-000069020000}"/>
    <cellStyle name="20% - Accent5 3 2" xfId="291" xr:uid="{00000000-0005-0000-0000-00006A020000}"/>
    <cellStyle name="20% - Accent5 3 2 2" xfId="292" xr:uid="{00000000-0005-0000-0000-00006B020000}"/>
    <cellStyle name="20% - Accent5 3 2 2 2" xfId="293" xr:uid="{00000000-0005-0000-0000-00006C020000}"/>
    <cellStyle name="20% - Accent5 3 2 2 2 2" xfId="294" xr:uid="{00000000-0005-0000-0000-00006D020000}"/>
    <cellStyle name="20% - Accent5 3 2 2 3" xfId="295" xr:uid="{00000000-0005-0000-0000-00006E020000}"/>
    <cellStyle name="20% - Accent5 3 2 2 4" xfId="4044" xr:uid="{00000000-0005-0000-0000-00006F020000}"/>
    <cellStyle name="20% - Accent5 3 2 2_2.DATA" xfId="4899" xr:uid="{00000000-0005-0000-0000-000070020000}"/>
    <cellStyle name="20% - Accent5 3 2 3" xfId="296" xr:uid="{00000000-0005-0000-0000-000071020000}"/>
    <cellStyle name="20% - Accent5 3 2 3 2" xfId="297" xr:uid="{00000000-0005-0000-0000-000072020000}"/>
    <cellStyle name="20% - Accent5 3 2 4" xfId="298" xr:uid="{00000000-0005-0000-0000-000073020000}"/>
    <cellStyle name="20% - Accent5 3 2 5" xfId="3995" xr:uid="{00000000-0005-0000-0000-000074020000}"/>
    <cellStyle name="20% - Accent5 3 2_2.DATA" xfId="4898" xr:uid="{00000000-0005-0000-0000-000075020000}"/>
    <cellStyle name="20% - Accent5 3 3" xfId="299" xr:uid="{00000000-0005-0000-0000-000076020000}"/>
    <cellStyle name="20% - Accent5 3 3 2" xfId="300" xr:uid="{00000000-0005-0000-0000-000077020000}"/>
    <cellStyle name="20% - Accent5 3 3 2 2" xfId="301" xr:uid="{00000000-0005-0000-0000-000078020000}"/>
    <cellStyle name="20% - Accent5 3 3 2 3" xfId="3976" xr:uid="{00000000-0005-0000-0000-000079020000}"/>
    <cellStyle name="20% - Accent5 3 3 2_2.DATA" xfId="4901" xr:uid="{00000000-0005-0000-0000-00007A020000}"/>
    <cellStyle name="20% - Accent5 3 3 3" xfId="302" xr:uid="{00000000-0005-0000-0000-00007B020000}"/>
    <cellStyle name="20% - Accent5 3 3 4" xfId="4028" xr:uid="{00000000-0005-0000-0000-00007C020000}"/>
    <cellStyle name="20% - Accent5 3 3_2.DATA" xfId="4900" xr:uid="{00000000-0005-0000-0000-00007D020000}"/>
    <cellStyle name="20% - Accent5 3 4" xfId="303" xr:uid="{00000000-0005-0000-0000-00007E020000}"/>
    <cellStyle name="20% - Accent5 3 4 2" xfId="304" xr:uid="{00000000-0005-0000-0000-00007F020000}"/>
    <cellStyle name="20% - Accent5 3 4 3" xfId="4257" xr:uid="{00000000-0005-0000-0000-000080020000}"/>
    <cellStyle name="20% - Accent5 3 4_2.DATA" xfId="4902" xr:uid="{00000000-0005-0000-0000-000081020000}"/>
    <cellStyle name="20% - Accent5 3 5" xfId="305" xr:uid="{00000000-0005-0000-0000-000082020000}"/>
    <cellStyle name="20% - Accent5 3 6" xfId="3994" xr:uid="{00000000-0005-0000-0000-000083020000}"/>
    <cellStyle name="20% - Accent5 3_2.DATA" xfId="4897" xr:uid="{00000000-0005-0000-0000-000084020000}"/>
    <cellStyle name="20% - Accent5 4" xfId="306" xr:uid="{00000000-0005-0000-0000-000085020000}"/>
    <cellStyle name="20% - Accent5 4 2" xfId="307" xr:uid="{00000000-0005-0000-0000-000086020000}"/>
    <cellStyle name="20% - Accent5 4 2 2" xfId="308" xr:uid="{00000000-0005-0000-0000-000087020000}"/>
    <cellStyle name="20% - Accent5 4 2 2 2" xfId="309" xr:uid="{00000000-0005-0000-0000-000088020000}"/>
    <cellStyle name="20% - Accent5 4 2 2_2.DATA" xfId="4905" xr:uid="{00000000-0005-0000-0000-000089020000}"/>
    <cellStyle name="20% - Accent5 4 2 3" xfId="310" xr:uid="{00000000-0005-0000-0000-00008A020000}"/>
    <cellStyle name="20% - Accent5 4 2_2.DATA" xfId="4904" xr:uid="{00000000-0005-0000-0000-00008B020000}"/>
    <cellStyle name="20% - Accent5 4 3" xfId="311" xr:uid="{00000000-0005-0000-0000-00008C020000}"/>
    <cellStyle name="20% - Accent5 4 3 2" xfId="312" xr:uid="{00000000-0005-0000-0000-00008D020000}"/>
    <cellStyle name="20% - Accent5 4 3_2.DATA" xfId="4906" xr:uid="{00000000-0005-0000-0000-00008E020000}"/>
    <cellStyle name="20% - Accent5 4 4" xfId="313" xr:uid="{00000000-0005-0000-0000-00008F020000}"/>
    <cellStyle name="20% - Accent5 4_2.DATA" xfId="4903" xr:uid="{00000000-0005-0000-0000-000090020000}"/>
    <cellStyle name="20% - Accent5 5" xfId="314" xr:uid="{00000000-0005-0000-0000-000091020000}"/>
    <cellStyle name="20% - Accent5 5 2" xfId="315" xr:uid="{00000000-0005-0000-0000-000092020000}"/>
    <cellStyle name="20% - Accent5 5 2 2" xfId="316" xr:uid="{00000000-0005-0000-0000-000093020000}"/>
    <cellStyle name="20% - Accent5 5 2 3" xfId="4136" xr:uid="{00000000-0005-0000-0000-000094020000}"/>
    <cellStyle name="20% - Accent5 5 2_2.DATA" xfId="4908" xr:uid="{00000000-0005-0000-0000-000095020000}"/>
    <cellStyle name="20% - Accent5 5 3" xfId="317" xr:uid="{00000000-0005-0000-0000-000096020000}"/>
    <cellStyle name="20% - Accent5 5 3 2" xfId="4554" xr:uid="{00000000-0005-0000-0000-000097020000}"/>
    <cellStyle name="20% - Accent5 5 3 3" xfId="1776" xr:uid="{00000000-0005-0000-0000-000098020000}"/>
    <cellStyle name="20% - Accent5 5_2.DATA" xfId="4907" xr:uid="{00000000-0005-0000-0000-000099020000}"/>
    <cellStyle name="20% - Accent5 6" xfId="318" xr:uid="{00000000-0005-0000-0000-00009A020000}"/>
    <cellStyle name="20% - Accent5 6 2" xfId="319" xr:uid="{00000000-0005-0000-0000-00009B020000}"/>
    <cellStyle name="20% - Accent5 6 2 2" xfId="4493" xr:uid="{00000000-0005-0000-0000-00009C020000}"/>
    <cellStyle name="20% - Accent5 6 2_2.DATA" xfId="4910" xr:uid="{00000000-0005-0000-0000-00009D020000}"/>
    <cellStyle name="20% - Accent5 6 3" xfId="4149" xr:uid="{00000000-0005-0000-0000-00009E020000}"/>
    <cellStyle name="20% - Accent5 6_2.DATA" xfId="4909" xr:uid="{00000000-0005-0000-0000-00009F020000}"/>
    <cellStyle name="20% - Accent5 7" xfId="320" xr:uid="{00000000-0005-0000-0000-0000A0020000}"/>
    <cellStyle name="20% - Accent5 7 2" xfId="321" xr:uid="{00000000-0005-0000-0000-0000A1020000}"/>
    <cellStyle name="20% - Accent5 7 2 2" xfId="4438" xr:uid="{00000000-0005-0000-0000-0000A2020000}"/>
    <cellStyle name="20% - Accent5 7 2_2.DATA" xfId="4912" xr:uid="{00000000-0005-0000-0000-0000A3020000}"/>
    <cellStyle name="20% - Accent5 7 3" xfId="4165" xr:uid="{00000000-0005-0000-0000-0000A4020000}"/>
    <cellStyle name="20% - Accent5 7_2.DATA" xfId="4911" xr:uid="{00000000-0005-0000-0000-0000A5020000}"/>
    <cellStyle name="20% - Accent5 8" xfId="322" xr:uid="{00000000-0005-0000-0000-0000A6020000}"/>
    <cellStyle name="20% - Accent5 8 2" xfId="1697" xr:uid="{00000000-0005-0000-0000-0000A7020000}"/>
    <cellStyle name="20% - Accent5 8 2 2" xfId="4534" xr:uid="{00000000-0005-0000-0000-0000A8020000}"/>
    <cellStyle name="20% - Accent5 8 2_2.DATA" xfId="4914" xr:uid="{00000000-0005-0000-0000-0000A9020000}"/>
    <cellStyle name="20% - Accent5 8 3" xfId="4235" xr:uid="{00000000-0005-0000-0000-0000AA020000}"/>
    <cellStyle name="20% - Accent5 8_2.DATA" xfId="4913" xr:uid="{00000000-0005-0000-0000-0000AB020000}"/>
    <cellStyle name="20% - Accent5 9" xfId="323" xr:uid="{00000000-0005-0000-0000-0000AC020000}"/>
    <cellStyle name="20% - Accent5 9 2" xfId="324" xr:uid="{00000000-0005-0000-0000-0000AD020000}"/>
    <cellStyle name="20% - Accent5 9 2 2" xfId="4555" xr:uid="{00000000-0005-0000-0000-0000AE020000}"/>
    <cellStyle name="20% - Accent5 9 2 3" xfId="4281" xr:uid="{00000000-0005-0000-0000-0000AF020000}"/>
    <cellStyle name="20% - Accent5 9 2 4" xfId="1714" xr:uid="{00000000-0005-0000-0000-0000B0020000}"/>
    <cellStyle name="20% - Accent5 9 2_2.DATA" xfId="4916" xr:uid="{00000000-0005-0000-0000-0000B1020000}"/>
    <cellStyle name="20% - Accent5 9 3" xfId="325" xr:uid="{00000000-0005-0000-0000-0000B2020000}"/>
    <cellStyle name="20% - Accent5 9 4" xfId="4251" xr:uid="{00000000-0005-0000-0000-0000B3020000}"/>
    <cellStyle name="20% - Accent5 9_2.DATA" xfId="4915" xr:uid="{00000000-0005-0000-0000-0000B4020000}"/>
    <cellStyle name="20% - Accent6" xfId="1391" builtinId="50" customBuiltin="1"/>
    <cellStyle name="20% - Accent6 10" xfId="1556" xr:uid="{00000000-0005-0000-0000-0000B6020000}"/>
    <cellStyle name="20% - Accent6 10 2" xfId="4294" xr:uid="{00000000-0005-0000-0000-0000B7020000}"/>
    <cellStyle name="20% - Accent6 10_2.DATA" xfId="4917" xr:uid="{00000000-0005-0000-0000-0000B8020000}"/>
    <cellStyle name="20% - Accent6 11" xfId="1757" xr:uid="{00000000-0005-0000-0000-0000B9020000}"/>
    <cellStyle name="20% - Accent6 11 2" xfId="4356" xr:uid="{00000000-0005-0000-0000-0000BA020000}"/>
    <cellStyle name="20% - Accent6 11_2.DATA" xfId="4918" xr:uid="{00000000-0005-0000-0000-0000BB020000}"/>
    <cellStyle name="20% - Accent6 12" xfId="3970" xr:uid="{00000000-0005-0000-0000-0000BC020000}"/>
    <cellStyle name="20% - Accent6 2" xfId="326" xr:uid="{00000000-0005-0000-0000-0000BD020000}"/>
    <cellStyle name="20% - Accent6 2 2" xfId="327" xr:uid="{00000000-0005-0000-0000-0000BE020000}"/>
    <cellStyle name="20% - Accent6 2 2 2" xfId="328" xr:uid="{00000000-0005-0000-0000-0000BF020000}"/>
    <cellStyle name="20% - Accent6 2 2 2 2" xfId="329" xr:uid="{00000000-0005-0000-0000-0000C0020000}"/>
    <cellStyle name="20% - Accent6 2 2 2 2 2" xfId="330" xr:uid="{00000000-0005-0000-0000-0000C1020000}"/>
    <cellStyle name="20% - Accent6 2 2 2 2 3" xfId="4314" xr:uid="{00000000-0005-0000-0000-0000C2020000}"/>
    <cellStyle name="20% - Accent6 2 2 2 2_2.DATA" xfId="4922" xr:uid="{00000000-0005-0000-0000-0000C3020000}"/>
    <cellStyle name="20% - Accent6 2 2 2 3" xfId="331" xr:uid="{00000000-0005-0000-0000-0000C4020000}"/>
    <cellStyle name="20% - Accent6 2 2 2 4" xfId="4085" xr:uid="{00000000-0005-0000-0000-0000C5020000}"/>
    <cellStyle name="20% - Accent6 2 2 2_2.DATA" xfId="4921" xr:uid="{00000000-0005-0000-0000-0000C6020000}"/>
    <cellStyle name="20% - Accent6 2 2 3" xfId="332" xr:uid="{00000000-0005-0000-0000-0000C7020000}"/>
    <cellStyle name="20% - Accent6 2 2 3 2" xfId="333" xr:uid="{00000000-0005-0000-0000-0000C8020000}"/>
    <cellStyle name="20% - Accent6 2 2 3 2 2" xfId="4475" xr:uid="{00000000-0005-0000-0000-0000C9020000}"/>
    <cellStyle name="20% - Accent6 2 2 3 2_2.DATA" xfId="4924" xr:uid="{00000000-0005-0000-0000-0000CA020000}"/>
    <cellStyle name="20% - Accent6 2 2 3 3" xfId="4223" xr:uid="{00000000-0005-0000-0000-0000CB020000}"/>
    <cellStyle name="20% - Accent6 2 2 3_2.DATA" xfId="4923" xr:uid="{00000000-0005-0000-0000-0000CC020000}"/>
    <cellStyle name="20% - Accent6 2 2 4" xfId="334" xr:uid="{00000000-0005-0000-0000-0000CD020000}"/>
    <cellStyle name="20% - Accent6 2 2 4 2" xfId="4467" xr:uid="{00000000-0005-0000-0000-0000CE020000}"/>
    <cellStyle name="20% - Accent6 2 2 4_2.DATA" xfId="4925" xr:uid="{00000000-0005-0000-0000-0000CF020000}"/>
    <cellStyle name="20% - Accent6 2 2 5" xfId="335" xr:uid="{00000000-0005-0000-0000-0000D0020000}"/>
    <cellStyle name="20% - Accent6 2 2 5 2" xfId="4556" xr:uid="{00000000-0005-0000-0000-0000D1020000}"/>
    <cellStyle name="20% - Accent6 2 2 5 3" xfId="1777" xr:uid="{00000000-0005-0000-0000-0000D2020000}"/>
    <cellStyle name="20% - Accent6 2 2_2.DATA" xfId="4920" xr:uid="{00000000-0005-0000-0000-0000D3020000}"/>
    <cellStyle name="20% - Accent6 2 3" xfId="336" xr:uid="{00000000-0005-0000-0000-0000D4020000}"/>
    <cellStyle name="20% - Accent6 2 3 2" xfId="337" xr:uid="{00000000-0005-0000-0000-0000D5020000}"/>
    <cellStyle name="20% - Accent6 2 3 2 2" xfId="338" xr:uid="{00000000-0005-0000-0000-0000D6020000}"/>
    <cellStyle name="20% - Accent6 2 3 2 2 2" xfId="339" xr:uid="{00000000-0005-0000-0000-0000D7020000}"/>
    <cellStyle name="20% - Accent6 2 3 2 3" xfId="340" xr:uid="{00000000-0005-0000-0000-0000D8020000}"/>
    <cellStyle name="20% - Accent6 2 3 2 4" xfId="4287" xr:uid="{00000000-0005-0000-0000-0000D9020000}"/>
    <cellStyle name="20% - Accent6 2 3 2_2.DATA" xfId="4927" xr:uid="{00000000-0005-0000-0000-0000DA020000}"/>
    <cellStyle name="20% - Accent6 2 3 3" xfId="341" xr:uid="{00000000-0005-0000-0000-0000DB020000}"/>
    <cellStyle name="20% - Accent6 2 3 3 2" xfId="342" xr:uid="{00000000-0005-0000-0000-0000DC020000}"/>
    <cellStyle name="20% - Accent6 2 3 4" xfId="343" xr:uid="{00000000-0005-0000-0000-0000DD020000}"/>
    <cellStyle name="20% - Accent6 2 3 5" xfId="344" xr:uid="{00000000-0005-0000-0000-0000DE020000}"/>
    <cellStyle name="20% - Accent6 2 3 6" xfId="4067" xr:uid="{00000000-0005-0000-0000-0000DF020000}"/>
    <cellStyle name="20% - Accent6 2 3_2.DATA" xfId="4926" xr:uid="{00000000-0005-0000-0000-0000E0020000}"/>
    <cellStyle name="20% - Accent6 2 4" xfId="345" xr:uid="{00000000-0005-0000-0000-0000E1020000}"/>
    <cellStyle name="20% - Accent6 2 4 2" xfId="346" xr:uid="{00000000-0005-0000-0000-0000E2020000}"/>
    <cellStyle name="20% - Accent6 2 4 2 2" xfId="347" xr:uid="{00000000-0005-0000-0000-0000E3020000}"/>
    <cellStyle name="20% - Accent6 2 4 2 3" xfId="4445" xr:uid="{00000000-0005-0000-0000-0000E4020000}"/>
    <cellStyle name="20% - Accent6 2 4 2_2.DATA" xfId="4929" xr:uid="{00000000-0005-0000-0000-0000E5020000}"/>
    <cellStyle name="20% - Accent6 2 4 3" xfId="348" xr:uid="{00000000-0005-0000-0000-0000E6020000}"/>
    <cellStyle name="20% - Accent6 2 4 4" xfId="4194" xr:uid="{00000000-0005-0000-0000-0000E7020000}"/>
    <cellStyle name="20% - Accent6 2 4_2.DATA" xfId="4928" xr:uid="{00000000-0005-0000-0000-0000E8020000}"/>
    <cellStyle name="20% - Accent6 2 5" xfId="349" xr:uid="{00000000-0005-0000-0000-0000E9020000}"/>
    <cellStyle name="20% - Accent6 2 5 2" xfId="350" xr:uid="{00000000-0005-0000-0000-0000EA020000}"/>
    <cellStyle name="20% - Accent6 2 5 3" xfId="4391" xr:uid="{00000000-0005-0000-0000-0000EB020000}"/>
    <cellStyle name="20% - Accent6 2 5_2.DATA" xfId="4930" xr:uid="{00000000-0005-0000-0000-0000EC020000}"/>
    <cellStyle name="20% - Accent6 2 6" xfId="351" xr:uid="{00000000-0005-0000-0000-0000ED020000}"/>
    <cellStyle name="20% - Accent6 2 6 2" xfId="4557" xr:uid="{00000000-0005-0000-0000-0000EE020000}"/>
    <cellStyle name="20% - Accent6 2 6 3" xfId="1778" xr:uid="{00000000-0005-0000-0000-0000EF020000}"/>
    <cellStyle name="20% - Accent6 2 7" xfId="352" xr:uid="{00000000-0005-0000-0000-0000F0020000}"/>
    <cellStyle name="20% - Accent6 2_2.DATA" xfId="4919" xr:uid="{00000000-0005-0000-0000-0000F1020000}"/>
    <cellStyle name="20% - Accent6 3" xfId="353" xr:uid="{00000000-0005-0000-0000-0000F2020000}"/>
    <cellStyle name="20% - Accent6 3 2" xfId="354" xr:uid="{00000000-0005-0000-0000-0000F3020000}"/>
    <cellStyle name="20% - Accent6 3 2 2" xfId="355" xr:uid="{00000000-0005-0000-0000-0000F4020000}"/>
    <cellStyle name="20% - Accent6 3 2 2 2" xfId="356" xr:uid="{00000000-0005-0000-0000-0000F5020000}"/>
    <cellStyle name="20% - Accent6 3 2 2 2 2" xfId="357" xr:uid="{00000000-0005-0000-0000-0000F6020000}"/>
    <cellStyle name="20% - Accent6 3 2 2 3" xfId="358" xr:uid="{00000000-0005-0000-0000-0000F7020000}"/>
    <cellStyle name="20% - Accent6 3 2 2 4" xfId="4045" xr:uid="{00000000-0005-0000-0000-0000F8020000}"/>
    <cellStyle name="20% - Accent6 3 2 2_2.DATA" xfId="4933" xr:uid="{00000000-0005-0000-0000-0000F9020000}"/>
    <cellStyle name="20% - Accent6 3 2 3" xfId="359" xr:uid="{00000000-0005-0000-0000-0000FA020000}"/>
    <cellStyle name="20% - Accent6 3 2 3 2" xfId="360" xr:uid="{00000000-0005-0000-0000-0000FB020000}"/>
    <cellStyle name="20% - Accent6 3 2 4" xfId="361" xr:uid="{00000000-0005-0000-0000-0000FC020000}"/>
    <cellStyle name="20% - Accent6 3 2 5" xfId="3997" xr:uid="{00000000-0005-0000-0000-0000FD020000}"/>
    <cellStyle name="20% - Accent6 3 2_2.DATA" xfId="4932" xr:uid="{00000000-0005-0000-0000-0000FE020000}"/>
    <cellStyle name="20% - Accent6 3 3" xfId="362" xr:uid="{00000000-0005-0000-0000-0000FF020000}"/>
    <cellStyle name="20% - Accent6 3 3 2" xfId="363" xr:uid="{00000000-0005-0000-0000-000000030000}"/>
    <cellStyle name="20% - Accent6 3 3 2 2" xfId="364" xr:uid="{00000000-0005-0000-0000-000001030000}"/>
    <cellStyle name="20% - Accent6 3 3 2 3" xfId="4454" xr:uid="{00000000-0005-0000-0000-000002030000}"/>
    <cellStyle name="20% - Accent6 3 3 2_2.DATA" xfId="4935" xr:uid="{00000000-0005-0000-0000-000003030000}"/>
    <cellStyle name="20% - Accent6 3 3 3" xfId="365" xr:uid="{00000000-0005-0000-0000-000004030000}"/>
    <cellStyle name="20% - Accent6 3 3 4" xfId="4029" xr:uid="{00000000-0005-0000-0000-000005030000}"/>
    <cellStyle name="20% - Accent6 3 3_2.DATA" xfId="4934" xr:uid="{00000000-0005-0000-0000-000006030000}"/>
    <cellStyle name="20% - Accent6 3 4" xfId="366" xr:uid="{00000000-0005-0000-0000-000007030000}"/>
    <cellStyle name="20% - Accent6 3 4 2" xfId="367" xr:uid="{00000000-0005-0000-0000-000008030000}"/>
    <cellStyle name="20% - Accent6 3 4 3" xfId="4292" xr:uid="{00000000-0005-0000-0000-000009030000}"/>
    <cellStyle name="20% - Accent6 3 4_2.DATA" xfId="4936" xr:uid="{00000000-0005-0000-0000-00000A030000}"/>
    <cellStyle name="20% - Accent6 3 5" xfId="368" xr:uid="{00000000-0005-0000-0000-00000B030000}"/>
    <cellStyle name="20% - Accent6 3 6" xfId="3996" xr:uid="{00000000-0005-0000-0000-00000C030000}"/>
    <cellStyle name="20% - Accent6 3_2.DATA" xfId="4931" xr:uid="{00000000-0005-0000-0000-00000D030000}"/>
    <cellStyle name="20% - Accent6 4" xfId="369" xr:uid="{00000000-0005-0000-0000-00000E030000}"/>
    <cellStyle name="20% - Accent6 4 2" xfId="370" xr:uid="{00000000-0005-0000-0000-00000F030000}"/>
    <cellStyle name="20% - Accent6 4 2 2" xfId="371" xr:uid="{00000000-0005-0000-0000-000010030000}"/>
    <cellStyle name="20% - Accent6 4 2 2 2" xfId="372" xr:uid="{00000000-0005-0000-0000-000011030000}"/>
    <cellStyle name="20% - Accent6 4 2 2_2.DATA" xfId="4939" xr:uid="{00000000-0005-0000-0000-000012030000}"/>
    <cellStyle name="20% - Accent6 4 2 3" xfId="373" xr:uid="{00000000-0005-0000-0000-000013030000}"/>
    <cellStyle name="20% - Accent6 4 2_2.DATA" xfId="4938" xr:uid="{00000000-0005-0000-0000-000014030000}"/>
    <cellStyle name="20% - Accent6 4 3" xfId="374" xr:uid="{00000000-0005-0000-0000-000015030000}"/>
    <cellStyle name="20% - Accent6 4 3 2" xfId="375" xr:uid="{00000000-0005-0000-0000-000016030000}"/>
    <cellStyle name="20% - Accent6 4 3_2.DATA" xfId="4940" xr:uid="{00000000-0005-0000-0000-000017030000}"/>
    <cellStyle name="20% - Accent6 4 4" xfId="376" xr:uid="{00000000-0005-0000-0000-000018030000}"/>
    <cellStyle name="20% - Accent6 4_2.DATA" xfId="4937" xr:uid="{00000000-0005-0000-0000-000019030000}"/>
    <cellStyle name="20% - Accent6 5" xfId="377" xr:uid="{00000000-0005-0000-0000-00001A030000}"/>
    <cellStyle name="20% - Accent6 5 2" xfId="378" xr:uid="{00000000-0005-0000-0000-00001B030000}"/>
    <cellStyle name="20% - Accent6 5 2 2" xfId="379" xr:uid="{00000000-0005-0000-0000-00001C030000}"/>
    <cellStyle name="20% - Accent6 5 2 3" xfId="4138" xr:uid="{00000000-0005-0000-0000-00001D030000}"/>
    <cellStyle name="20% - Accent6 5 2_2.DATA" xfId="4942" xr:uid="{00000000-0005-0000-0000-00001E030000}"/>
    <cellStyle name="20% - Accent6 5 3" xfId="380" xr:uid="{00000000-0005-0000-0000-00001F030000}"/>
    <cellStyle name="20% - Accent6 5 3 2" xfId="4558" xr:uid="{00000000-0005-0000-0000-000020030000}"/>
    <cellStyle name="20% - Accent6 5 3 3" xfId="1779" xr:uid="{00000000-0005-0000-0000-000021030000}"/>
    <cellStyle name="20% - Accent6 5_2.DATA" xfId="4941" xr:uid="{00000000-0005-0000-0000-000022030000}"/>
    <cellStyle name="20% - Accent6 6" xfId="381" xr:uid="{00000000-0005-0000-0000-000023030000}"/>
    <cellStyle name="20% - Accent6 6 2" xfId="382" xr:uid="{00000000-0005-0000-0000-000024030000}"/>
    <cellStyle name="20% - Accent6 6 2 2" xfId="4346" xr:uid="{00000000-0005-0000-0000-000025030000}"/>
    <cellStyle name="20% - Accent6 6 2_2.DATA" xfId="4944" xr:uid="{00000000-0005-0000-0000-000026030000}"/>
    <cellStyle name="20% - Accent6 6 3" xfId="4151" xr:uid="{00000000-0005-0000-0000-000027030000}"/>
    <cellStyle name="20% - Accent6 6_2.DATA" xfId="4943" xr:uid="{00000000-0005-0000-0000-000028030000}"/>
    <cellStyle name="20% - Accent6 7" xfId="383" xr:uid="{00000000-0005-0000-0000-000029030000}"/>
    <cellStyle name="20% - Accent6 7 2" xfId="384" xr:uid="{00000000-0005-0000-0000-00002A030000}"/>
    <cellStyle name="20% - Accent6 7 2 2" xfId="4303" xr:uid="{00000000-0005-0000-0000-00002B030000}"/>
    <cellStyle name="20% - Accent6 7 2_2.DATA" xfId="4946" xr:uid="{00000000-0005-0000-0000-00002C030000}"/>
    <cellStyle name="20% - Accent6 7 3" xfId="4167" xr:uid="{00000000-0005-0000-0000-00002D030000}"/>
    <cellStyle name="20% - Accent6 7_2.DATA" xfId="4945" xr:uid="{00000000-0005-0000-0000-00002E030000}"/>
    <cellStyle name="20% - Accent6 8" xfId="385" xr:uid="{00000000-0005-0000-0000-00002F030000}"/>
    <cellStyle name="20% - Accent6 8 2" xfId="1699" xr:uid="{00000000-0005-0000-0000-000030030000}"/>
    <cellStyle name="20% - Accent6 8 2 2" xfId="4450" xr:uid="{00000000-0005-0000-0000-000031030000}"/>
    <cellStyle name="20% - Accent6 8 2_2.DATA" xfId="4948" xr:uid="{00000000-0005-0000-0000-000032030000}"/>
    <cellStyle name="20% - Accent6 8 3" xfId="4237" xr:uid="{00000000-0005-0000-0000-000033030000}"/>
    <cellStyle name="20% - Accent6 8_2.DATA" xfId="4947" xr:uid="{00000000-0005-0000-0000-000034030000}"/>
    <cellStyle name="20% - Accent6 9" xfId="386" xr:uid="{00000000-0005-0000-0000-000035030000}"/>
    <cellStyle name="20% - Accent6 9 2" xfId="387" xr:uid="{00000000-0005-0000-0000-000036030000}"/>
    <cellStyle name="20% - Accent6 9 2 2" xfId="4559" xr:uid="{00000000-0005-0000-0000-000037030000}"/>
    <cellStyle name="20% - Accent6 9 2 3" xfId="4530" xr:uid="{00000000-0005-0000-0000-000038030000}"/>
    <cellStyle name="20% - Accent6 9 2 4" xfId="1716" xr:uid="{00000000-0005-0000-0000-000039030000}"/>
    <cellStyle name="20% - Accent6 9 2_2.DATA" xfId="4950" xr:uid="{00000000-0005-0000-0000-00003A030000}"/>
    <cellStyle name="20% - Accent6 9 3" xfId="388" xr:uid="{00000000-0005-0000-0000-00003B030000}"/>
    <cellStyle name="20% - Accent6 9 4" xfId="4253" xr:uid="{00000000-0005-0000-0000-00003C030000}"/>
    <cellStyle name="20% - Accent6 9_2.DATA" xfId="4949" xr:uid="{00000000-0005-0000-0000-00003D030000}"/>
    <cellStyle name="3 V1.00 CORE IMAGE (5200MM3.100 08/01/97)_x000d__x000a__x000d__x000a_[windows]_x000d__x000a_;spooler=yes_x000d__x000a_load=nw" xfId="389" xr:uid="{00000000-0005-0000-0000-00003E030000}"/>
    <cellStyle name="3 V1.00 CORE IMAGE (5200MM3.100 08/01/97)_x000d__x000a__x000d__x000a_[windows]_x000d__x000a_;spooler=yes_x000d__x000a_load=nw 2" xfId="390" xr:uid="{00000000-0005-0000-0000-00003F030000}"/>
    <cellStyle name="40% - Accent1" xfId="1372" builtinId="31" customBuiltin="1"/>
    <cellStyle name="40% - Accent1 10" xfId="1547" xr:uid="{00000000-0005-0000-0000-000041030000}"/>
    <cellStyle name="40% - Accent1 10 2" xfId="4371" xr:uid="{00000000-0005-0000-0000-000042030000}"/>
    <cellStyle name="40% - Accent1 10_2.DATA" xfId="4951" xr:uid="{00000000-0005-0000-0000-000043030000}"/>
    <cellStyle name="40% - Accent1 11" xfId="1748" xr:uid="{00000000-0005-0000-0000-000044030000}"/>
    <cellStyle name="40% - Accent1 11 2" xfId="4501" xr:uid="{00000000-0005-0000-0000-000045030000}"/>
    <cellStyle name="40% - Accent1 11_2.DATA" xfId="4952" xr:uid="{00000000-0005-0000-0000-000046030000}"/>
    <cellStyle name="40% - Accent1 12" xfId="3961" xr:uid="{00000000-0005-0000-0000-000047030000}"/>
    <cellStyle name="40% - Accent1 2" xfId="391" xr:uid="{00000000-0005-0000-0000-000048030000}"/>
    <cellStyle name="40% - Accent1 2 2" xfId="392" xr:uid="{00000000-0005-0000-0000-000049030000}"/>
    <cellStyle name="40% - Accent1 2 2 2" xfId="393" xr:uid="{00000000-0005-0000-0000-00004A030000}"/>
    <cellStyle name="40% - Accent1 2 2 2 2" xfId="394" xr:uid="{00000000-0005-0000-0000-00004B030000}"/>
    <cellStyle name="40% - Accent1 2 2 2 2 2" xfId="395" xr:uid="{00000000-0005-0000-0000-00004C030000}"/>
    <cellStyle name="40% - Accent1 2 2 2 2 3" xfId="4516" xr:uid="{00000000-0005-0000-0000-00004D030000}"/>
    <cellStyle name="40% - Accent1 2 2 2 2_2.DATA" xfId="4956" xr:uid="{00000000-0005-0000-0000-00004E030000}"/>
    <cellStyle name="40% - Accent1 2 2 2 3" xfId="396" xr:uid="{00000000-0005-0000-0000-00004F030000}"/>
    <cellStyle name="40% - Accent1 2 2 2 4" xfId="4077" xr:uid="{00000000-0005-0000-0000-000050030000}"/>
    <cellStyle name="40% - Accent1 2 2 2_2.DATA" xfId="4955" xr:uid="{00000000-0005-0000-0000-000051030000}"/>
    <cellStyle name="40% - Accent1 2 2 3" xfId="397" xr:uid="{00000000-0005-0000-0000-000052030000}"/>
    <cellStyle name="40% - Accent1 2 2 3 2" xfId="398" xr:uid="{00000000-0005-0000-0000-000053030000}"/>
    <cellStyle name="40% - Accent1 2 2 3 2 2" xfId="4478" xr:uid="{00000000-0005-0000-0000-000054030000}"/>
    <cellStyle name="40% - Accent1 2 2 3 2_2.DATA" xfId="4958" xr:uid="{00000000-0005-0000-0000-000055030000}"/>
    <cellStyle name="40% - Accent1 2 2 3 3" xfId="4214" xr:uid="{00000000-0005-0000-0000-000056030000}"/>
    <cellStyle name="40% - Accent1 2 2 3_2.DATA" xfId="4957" xr:uid="{00000000-0005-0000-0000-000057030000}"/>
    <cellStyle name="40% - Accent1 2 2 4" xfId="399" xr:uid="{00000000-0005-0000-0000-000058030000}"/>
    <cellStyle name="40% - Accent1 2 2 4 2" xfId="4268" xr:uid="{00000000-0005-0000-0000-000059030000}"/>
    <cellStyle name="40% - Accent1 2 2 4_2.DATA" xfId="4959" xr:uid="{00000000-0005-0000-0000-00005A030000}"/>
    <cellStyle name="40% - Accent1 2 2 5" xfId="400" xr:uid="{00000000-0005-0000-0000-00005B030000}"/>
    <cellStyle name="40% - Accent1 2 2 5 2" xfId="4560" xr:uid="{00000000-0005-0000-0000-00005C030000}"/>
    <cellStyle name="40% - Accent1 2 2 5 3" xfId="1780" xr:uid="{00000000-0005-0000-0000-00005D030000}"/>
    <cellStyle name="40% - Accent1 2 2_2.DATA" xfId="4954" xr:uid="{00000000-0005-0000-0000-00005E030000}"/>
    <cellStyle name="40% - Accent1 2 3" xfId="401" xr:uid="{00000000-0005-0000-0000-00005F030000}"/>
    <cellStyle name="40% - Accent1 2 3 2" xfId="402" xr:uid="{00000000-0005-0000-0000-000060030000}"/>
    <cellStyle name="40% - Accent1 2 3 2 2" xfId="403" xr:uid="{00000000-0005-0000-0000-000061030000}"/>
    <cellStyle name="40% - Accent1 2 3 2 2 2" xfId="404" xr:uid="{00000000-0005-0000-0000-000062030000}"/>
    <cellStyle name="40% - Accent1 2 3 2 3" xfId="405" xr:uid="{00000000-0005-0000-0000-000063030000}"/>
    <cellStyle name="40% - Accent1 2 3 2 4" xfId="4302" xr:uid="{00000000-0005-0000-0000-000064030000}"/>
    <cellStyle name="40% - Accent1 2 3 2_2.DATA" xfId="4961" xr:uid="{00000000-0005-0000-0000-000065030000}"/>
    <cellStyle name="40% - Accent1 2 3 3" xfId="406" xr:uid="{00000000-0005-0000-0000-000066030000}"/>
    <cellStyle name="40% - Accent1 2 3 3 2" xfId="407" xr:uid="{00000000-0005-0000-0000-000067030000}"/>
    <cellStyle name="40% - Accent1 2 3 4" xfId="408" xr:uid="{00000000-0005-0000-0000-000068030000}"/>
    <cellStyle name="40% - Accent1 2 3 5" xfId="409" xr:uid="{00000000-0005-0000-0000-000069030000}"/>
    <cellStyle name="40% - Accent1 2 3 6" xfId="4058" xr:uid="{00000000-0005-0000-0000-00006A030000}"/>
    <cellStyle name="40% - Accent1 2 3_2.DATA" xfId="4960" xr:uid="{00000000-0005-0000-0000-00006B030000}"/>
    <cellStyle name="40% - Accent1 2 4" xfId="410" xr:uid="{00000000-0005-0000-0000-00006C030000}"/>
    <cellStyle name="40% - Accent1 2 4 2" xfId="411" xr:uid="{00000000-0005-0000-0000-00006D030000}"/>
    <cellStyle name="40% - Accent1 2 4 2 2" xfId="412" xr:uid="{00000000-0005-0000-0000-00006E030000}"/>
    <cellStyle name="40% - Accent1 2 4 2 3" xfId="4319" xr:uid="{00000000-0005-0000-0000-00006F030000}"/>
    <cellStyle name="40% - Accent1 2 4 2_2.DATA" xfId="4963" xr:uid="{00000000-0005-0000-0000-000070030000}"/>
    <cellStyle name="40% - Accent1 2 4 3" xfId="413" xr:uid="{00000000-0005-0000-0000-000071030000}"/>
    <cellStyle name="40% - Accent1 2 4 4" xfId="4185" xr:uid="{00000000-0005-0000-0000-000072030000}"/>
    <cellStyle name="40% - Accent1 2 4_2.DATA" xfId="4962" xr:uid="{00000000-0005-0000-0000-000073030000}"/>
    <cellStyle name="40% - Accent1 2 5" xfId="414" xr:uid="{00000000-0005-0000-0000-000074030000}"/>
    <cellStyle name="40% - Accent1 2 5 2" xfId="415" xr:uid="{00000000-0005-0000-0000-000075030000}"/>
    <cellStyle name="40% - Accent1 2 5 3" xfId="4499" xr:uid="{00000000-0005-0000-0000-000076030000}"/>
    <cellStyle name="40% - Accent1 2 5_2.DATA" xfId="4964" xr:uid="{00000000-0005-0000-0000-000077030000}"/>
    <cellStyle name="40% - Accent1 2 6" xfId="416" xr:uid="{00000000-0005-0000-0000-000078030000}"/>
    <cellStyle name="40% - Accent1 2 6 2" xfId="4561" xr:uid="{00000000-0005-0000-0000-000079030000}"/>
    <cellStyle name="40% - Accent1 2 6 3" xfId="1781" xr:uid="{00000000-0005-0000-0000-00007A030000}"/>
    <cellStyle name="40% - Accent1 2 7" xfId="417" xr:uid="{00000000-0005-0000-0000-00007B030000}"/>
    <cellStyle name="40% - Accent1 2_2.DATA" xfId="4953" xr:uid="{00000000-0005-0000-0000-00007C030000}"/>
    <cellStyle name="40% - Accent1 3" xfId="418" xr:uid="{00000000-0005-0000-0000-00007D030000}"/>
    <cellStyle name="40% - Accent1 3 2" xfId="419" xr:uid="{00000000-0005-0000-0000-00007E030000}"/>
    <cellStyle name="40% - Accent1 3 2 2" xfId="420" xr:uid="{00000000-0005-0000-0000-00007F030000}"/>
    <cellStyle name="40% - Accent1 3 2 2 2" xfId="421" xr:uid="{00000000-0005-0000-0000-000080030000}"/>
    <cellStyle name="40% - Accent1 3 2 2 2 2" xfId="422" xr:uid="{00000000-0005-0000-0000-000081030000}"/>
    <cellStyle name="40% - Accent1 3 2 2 3" xfId="423" xr:uid="{00000000-0005-0000-0000-000082030000}"/>
    <cellStyle name="40% - Accent1 3 2 2 4" xfId="4046" xr:uid="{00000000-0005-0000-0000-000083030000}"/>
    <cellStyle name="40% - Accent1 3 2 2_2.DATA" xfId="4967" xr:uid="{00000000-0005-0000-0000-000084030000}"/>
    <cellStyle name="40% - Accent1 3 2 3" xfId="424" xr:uid="{00000000-0005-0000-0000-000085030000}"/>
    <cellStyle name="40% - Accent1 3 2 3 2" xfId="425" xr:uid="{00000000-0005-0000-0000-000086030000}"/>
    <cellStyle name="40% - Accent1 3 2 4" xfId="426" xr:uid="{00000000-0005-0000-0000-000087030000}"/>
    <cellStyle name="40% - Accent1 3 2 5" xfId="3999" xr:uid="{00000000-0005-0000-0000-000088030000}"/>
    <cellStyle name="40% - Accent1 3 2_2.DATA" xfId="4966" xr:uid="{00000000-0005-0000-0000-000089030000}"/>
    <cellStyle name="40% - Accent1 3 3" xfId="427" xr:uid="{00000000-0005-0000-0000-00008A030000}"/>
    <cellStyle name="40% - Accent1 3 3 2" xfId="428" xr:uid="{00000000-0005-0000-0000-00008B030000}"/>
    <cellStyle name="40% - Accent1 3 3 2 2" xfId="429" xr:uid="{00000000-0005-0000-0000-00008C030000}"/>
    <cellStyle name="40% - Accent1 3 3 2 3" xfId="4458" xr:uid="{00000000-0005-0000-0000-00008D030000}"/>
    <cellStyle name="40% - Accent1 3 3 2_2.DATA" xfId="4969" xr:uid="{00000000-0005-0000-0000-00008E030000}"/>
    <cellStyle name="40% - Accent1 3 3 3" xfId="430" xr:uid="{00000000-0005-0000-0000-00008F030000}"/>
    <cellStyle name="40% - Accent1 3 3 4" xfId="4030" xr:uid="{00000000-0005-0000-0000-000090030000}"/>
    <cellStyle name="40% - Accent1 3 3_2.DATA" xfId="4968" xr:uid="{00000000-0005-0000-0000-000091030000}"/>
    <cellStyle name="40% - Accent1 3 4" xfId="431" xr:uid="{00000000-0005-0000-0000-000092030000}"/>
    <cellStyle name="40% - Accent1 3 4 2" xfId="432" xr:uid="{00000000-0005-0000-0000-000093030000}"/>
    <cellStyle name="40% - Accent1 3 4 3" xfId="4381" xr:uid="{00000000-0005-0000-0000-000094030000}"/>
    <cellStyle name="40% - Accent1 3 4_2.DATA" xfId="4970" xr:uid="{00000000-0005-0000-0000-000095030000}"/>
    <cellStyle name="40% - Accent1 3 5" xfId="433" xr:uid="{00000000-0005-0000-0000-000096030000}"/>
    <cellStyle name="40% - Accent1 3 6" xfId="3998" xr:uid="{00000000-0005-0000-0000-000097030000}"/>
    <cellStyle name="40% - Accent1 3_2.DATA" xfId="4965" xr:uid="{00000000-0005-0000-0000-000098030000}"/>
    <cellStyle name="40% - Accent1 4" xfId="434" xr:uid="{00000000-0005-0000-0000-000099030000}"/>
    <cellStyle name="40% - Accent1 4 2" xfId="435" xr:uid="{00000000-0005-0000-0000-00009A030000}"/>
    <cellStyle name="40% - Accent1 4 2 2" xfId="436" xr:uid="{00000000-0005-0000-0000-00009B030000}"/>
    <cellStyle name="40% - Accent1 4 2 2 2" xfId="437" xr:uid="{00000000-0005-0000-0000-00009C030000}"/>
    <cellStyle name="40% - Accent1 4 2 2_2.DATA" xfId="4973" xr:uid="{00000000-0005-0000-0000-00009D030000}"/>
    <cellStyle name="40% - Accent1 4 2 3" xfId="438" xr:uid="{00000000-0005-0000-0000-00009E030000}"/>
    <cellStyle name="40% - Accent1 4 2_2.DATA" xfId="4972" xr:uid="{00000000-0005-0000-0000-00009F030000}"/>
    <cellStyle name="40% - Accent1 4 3" xfId="439" xr:uid="{00000000-0005-0000-0000-0000A0030000}"/>
    <cellStyle name="40% - Accent1 4 3 2" xfId="440" xr:uid="{00000000-0005-0000-0000-0000A1030000}"/>
    <cellStyle name="40% - Accent1 4 3_2.DATA" xfId="4974" xr:uid="{00000000-0005-0000-0000-0000A2030000}"/>
    <cellStyle name="40% - Accent1 4 4" xfId="441" xr:uid="{00000000-0005-0000-0000-0000A3030000}"/>
    <cellStyle name="40% - Accent1 4_2.DATA" xfId="4971" xr:uid="{00000000-0005-0000-0000-0000A4030000}"/>
    <cellStyle name="40% - Accent1 5" xfId="442" xr:uid="{00000000-0005-0000-0000-0000A5030000}"/>
    <cellStyle name="40% - Accent1 5 2" xfId="443" xr:uid="{00000000-0005-0000-0000-0000A6030000}"/>
    <cellStyle name="40% - Accent1 5 2 2" xfId="444" xr:uid="{00000000-0005-0000-0000-0000A7030000}"/>
    <cellStyle name="40% - Accent1 5 2 3" xfId="4129" xr:uid="{00000000-0005-0000-0000-0000A8030000}"/>
    <cellStyle name="40% - Accent1 5 2_2.DATA" xfId="4976" xr:uid="{00000000-0005-0000-0000-0000A9030000}"/>
    <cellStyle name="40% - Accent1 5 3" xfId="445" xr:uid="{00000000-0005-0000-0000-0000AA030000}"/>
    <cellStyle name="40% - Accent1 5 3 2" xfId="4562" xr:uid="{00000000-0005-0000-0000-0000AB030000}"/>
    <cellStyle name="40% - Accent1 5 3 3" xfId="1782" xr:uid="{00000000-0005-0000-0000-0000AC030000}"/>
    <cellStyle name="40% - Accent1 5_2.DATA" xfId="4975" xr:uid="{00000000-0005-0000-0000-0000AD030000}"/>
    <cellStyle name="40% - Accent1 6" xfId="446" xr:uid="{00000000-0005-0000-0000-0000AE030000}"/>
    <cellStyle name="40% - Accent1 6 2" xfId="447" xr:uid="{00000000-0005-0000-0000-0000AF030000}"/>
    <cellStyle name="40% - Accent1 6 2 2" xfId="4368" xr:uid="{00000000-0005-0000-0000-0000B0030000}"/>
    <cellStyle name="40% - Accent1 6 2_2.DATA" xfId="4978" xr:uid="{00000000-0005-0000-0000-0000B1030000}"/>
    <cellStyle name="40% - Accent1 6 3" xfId="4142" xr:uid="{00000000-0005-0000-0000-0000B2030000}"/>
    <cellStyle name="40% - Accent1 6_2.DATA" xfId="4977" xr:uid="{00000000-0005-0000-0000-0000B3030000}"/>
    <cellStyle name="40% - Accent1 7" xfId="448" xr:uid="{00000000-0005-0000-0000-0000B4030000}"/>
    <cellStyle name="40% - Accent1 7 2" xfId="449" xr:uid="{00000000-0005-0000-0000-0000B5030000}"/>
    <cellStyle name="40% - Accent1 7 2 2" xfId="4320" xr:uid="{00000000-0005-0000-0000-0000B6030000}"/>
    <cellStyle name="40% - Accent1 7 2_2.DATA" xfId="4980" xr:uid="{00000000-0005-0000-0000-0000B7030000}"/>
    <cellStyle name="40% - Accent1 7 3" xfId="4158" xr:uid="{00000000-0005-0000-0000-0000B8030000}"/>
    <cellStyle name="40% - Accent1 7_2.DATA" xfId="4979" xr:uid="{00000000-0005-0000-0000-0000B9030000}"/>
    <cellStyle name="40% - Accent1 8" xfId="450" xr:uid="{00000000-0005-0000-0000-0000BA030000}"/>
    <cellStyle name="40% - Accent1 8 2" xfId="1690" xr:uid="{00000000-0005-0000-0000-0000BB030000}"/>
    <cellStyle name="40% - Accent1 8 2 2" xfId="4435" xr:uid="{00000000-0005-0000-0000-0000BC030000}"/>
    <cellStyle name="40% - Accent1 8 2_2.DATA" xfId="4982" xr:uid="{00000000-0005-0000-0000-0000BD030000}"/>
    <cellStyle name="40% - Accent1 8 3" xfId="4228" xr:uid="{00000000-0005-0000-0000-0000BE030000}"/>
    <cellStyle name="40% - Accent1 8_2.DATA" xfId="4981" xr:uid="{00000000-0005-0000-0000-0000BF030000}"/>
    <cellStyle name="40% - Accent1 9" xfId="451" xr:uid="{00000000-0005-0000-0000-0000C0030000}"/>
    <cellStyle name="40% - Accent1 9 2" xfId="452" xr:uid="{00000000-0005-0000-0000-0000C1030000}"/>
    <cellStyle name="40% - Accent1 9 2 2" xfId="4563" xr:uid="{00000000-0005-0000-0000-0000C2030000}"/>
    <cellStyle name="40% - Accent1 9 2 3" xfId="4529" xr:uid="{00000000-0005-0000-0000-0000C3030000}"/>
    <cellStyle name="40% - Accent1 9 2 4" xfId="1707" xr:uid="{00000000-0005-0000-0000-0000C4030000}"/>
    <cellStyle name="40% - Accent1 9 2_2.DATA" xfId="4984" xr:uid="{00000000-0005-0000-0000-0000C5030000}"/>
    <cellStyle name="40% - Accent1 9 3" xfId="453" xr:uid="{00000000-0005-0000-0000-0000C6030000}"/>
    <cellStyle name="40% - Accent1 9 4" xfId="4244" xr:uid="{00000000-0005-0000-0000-0000C7030000}"/>
    <cellStyle name="40% - Accent1 9_2.DATA" xfId="4983" xr:uid="{00000000-0005-0000-0000-0000C8030000}"/>
    <cellStyle name="40% - Accent2" xfId="1376" builtinId="35" customBuiltin="1"/>
    <cellStyle name="40% - Accent2 10" xfId="1549" xr:uid="{00000000-0005-0000-0000-0000CA030000}"/>
    <cellStyle name="40% - Accent2 10 2" xfId="4288" xr:uid="{00000000-0005-0000-0000-0000CB030000}"/>
    <cellStyle name="40% - Accent2 10_2.DATA" xfId="4985" xr:uid="{00000000-0005-0000-0000-0000CC030000}"/>
    <cellStyle name="40% - Accent2 11" xfId="1750" xr:uid="{00000000-0005-0000-0000-0000CD030000}"/>
    <cellStyle name="40% - Accent2 11 2" xfId="4349" xr:uid="{00000000-0005-0000-0000-0000CE030000}"/>
    <cellStyle name="40% - Accent2 11_2.DATA" xfId="4986" xr:uid="{00000000-0005-0000-0000-0000CF030000}"/>
    <cellStyle name="40% - Accent2 12" xfId="3963" xr:uid="{00000000-0005-0000-0000-0000D0030000}"/>
    <cellStyle name="40% - Accent2 2" xfId="454" xr:uid="{00000000-0005-0000-0000-0000D1030000}"/>
    <cellStyle name="40% - Accent2 2 2" xfId="455" xr:uid="{00000000-0005-0000-0000-0000D2030000}"/>
    <cellStyle name="40% - Accent2 2 2 2" xfId="456" xr:uid="{00000000-0005-0000-0000-0000D3030000}"/>
    <cellStyle name="40% - Accent2 2 2 2 2" xfId="457" xr:uid="{00000000-0005-0000-0000-0000D4030000}"/>
    <cellStyle name="40% - Accent2 2 2 2 2 2" xfId="458" xr:uid="{00000000-0005-0000-0000-0000D5030000}"/>
    <cellStyle name="40% - Accent2 2 2 2 2 3" xfId="4437" xr:uid="{00000000-0005-0000-0000-0000D6030000}"/>
    <cellStyle name="40% - Accent2 2 2 2 2_2.DATA" xfId="4990" xr:uid="{00000000-0005-0000-0000-0000D7030000}"/>
    <cellStyle name="40% - Accent2 2 2 2 3" xfId="459" xr:uid="{00000000-0005-0000-0000-0000D8030000}"/>
    <cellStyle name="40% - Accent2 2 2 2 4" xfId="4084" xr:uid="{00000000-0005-0000-0000-0000D9030000}"/>
    <cellStyle name="40% - Accent2 2 2 2_2.DATA" xfId="4989" xr:uid="{00000000-0005-0000-0000-0000DA030000}"/>
    <cellStyle name="40% - Accent2 2 2 3" xfId="460" xr:uid="{00000000-0005-0000-0000-0000DB030000}"/>
    <cellStyle name="40% - Accent2 2 2 3 2" xfId="461" xr:uid="{00000000-0005-0000-0000-0000DC030000}"/>
    <cellStyle name="40% - Accent2 2 2 3 2 2" xfId="4261" xr:uid="{00000000-0005-0000-0000-0000DD030000}"/>
    <cellStyle name="40% - Accent2 2 2 3 2_2.DATA" xfId="4992" xr:uid="{00000000-0005-0000-0000-0000DE030000}"/>
    <cellStyle name="40% - Accent2 2 2 3 3" xfId="4216" xr:uid="{00000000-0005-0000-0000-0000DF030000}"/>
    <cellStyle name="40% - Accent2 2 2 3_2.DATA" xfId="4991" xr:uid="{00000000-0005-0000-0000-0000E0030000}"/>
    <cellStyle name="40% - Accent2 2 2 4" xfId="462" xr:uid="{00000000-0005-0000-0000-0000E1030000}"/>
    <cellStyle name="40% - Accent2 2 2 4 2" xfId="4470" xr:uid="{00000000-0005-0000-0000-0000E2030000}"/>
    <cellStyle name="40% - Accent2 2 2 4_2.DATA" xfId="4993" xr:uid="{00000000-0005-0000-0000-0000E3030000}"/>
    <cellStyle name="40% - Accent2 2 2 5" xfId="463" xr:uid="{00000000-0005-0000-0000-0000E4030000}"/>
    <cellStyle name="40% - Accent2 2 2 5 2" xfId="4564" xr:uid="{00000000-0005-0000-0000-0000E5030000}"/>
    <cellStyle name="40% - Accent2 2 2 5 3" xfId="1783" xr:uid="{00000000-0005-0000-0000-0000E6030000}"/>
    <cellStyle name="40% - Accent2 2 2_2.DATA" xfId="4988" xr:uid="{00000000-0005-0000-0000-0000E7030000}"/>
    <cellStyle name="40% - Accent2 2 3" xfId="464" xr:uid="{00000000-0005-0000-0000-0000E8030000}"/>
    <cellStyle name="40% - Accent2 2 3 2" xfId="465" xr:uid="{00000000-0005-0000-0000-0000E9030000}"/>
    <cellStyle name="40% - Accent2 2 3 2 2" xfId="466" xr:uid="{00000000-0005-0000-0000-0000EA030000}"/>
    <cellStyle name="40% - Accent2 2 3 2 2 2" xfId="467" xr:uid="{00000000-0005-0000-0000-0000EB030000}"/>
    <cellStyle name="40% - Accent2 2 3 2 3" xfId="468" xr:uid="{00000000-0005-0000-0000-0000EC030000}"/>
    <cellStyle name="40% - Accent2 2 3 2 4" xfId="4285" xr:uid="{00000000-0005-0000-0000-0000ED030000}"/>
    <cellStyle name="40% - Accent2 2 3 2_2.DATA" xfId="4995" xr:uid="{00000000-0005-0000-0000-0000EE030000}"/>
    <cellStyle name="40% - Accent2 2 3 3" xfId="469" xr:uid="{00000000-0005-0000-0000-0000EF030000}"/>
    <cellStyle name="40% - Accent2 2 3 3 2" xfId="470" xr:uid="{00000000-0005-0000-0000-0000F0030000}"/>
    <cellStyle name="40% - Accent2 2 3 4" xfId="471" xr:uid="{00000000-0005-0000-0000-0000F1030000}"/>
    <cellStyle name="40% - Accent2 2 3 5" xfId="472" xr:uid="{00000000-0005-0000-0000-0000F2030000}"/>
    <cellStyle name="40% - Accent2 2 3 6" xfId="4060" xr:uid="{00000000-0005-0000-0000-0000F3030000}"/>
    <cellStyle name="40% - Accent2 2 3_2.DATA" xfId="4994" xr:uid="{00000000-0005-0000-0000-0000F4030000}"/>
    <cellStyle name="40% - Accent2 2 4" xfId="473" xr:uid="{00000000-0005-0000-0000-0000F5030000}"/>
    <cellStyle name="40% - Accent2 2 4 2" xfId="474" xr:uid="{00000000-0005-0000-0000-0000F6030000}"/>
    <cellStyle name="40% - Accent2 2 4 2 2" xfId="475" xr:uid="{00000000-0005-0000-0000-0000F7030000}"/>
    <cellStyle name="40% - Accent2 2 4 2 3" xfId="4406" xr:uid="{00000000-0005-0000-0000-0000F8030000}"/>
    <cellStyle name="40% - Accent2 2 4 2_2.DATA" xfId="4997" xr:uid="{00000000-0005-0000-0000-0000F9030000}"/>
    <cellStyle name="40% - Accent2 2 4 3" xfId="476" xr:uid="{00000000-0005-0000-0000-0000FA030000}"/>
    <cellStyle name="40% - Accent2 2 4 4" xfId="4187" xr:uid="{00000000-0005-0000-0000-0000FB030000}"/>
    <cellStyle name="40% - Accent2 2 4_2.DATA" xfId="4996" xr:uid="{00000000-0005-0000-0000-0000FC030000}"/>
    <cellStyle name="40% - Accent2 2 5" xfId="477" xr:uid="{00000000-0005-0000-0000-0000FD030000}"/>
    <cellStyle name="40% - Accent2 2 5 2" xfId="478" xr:uid="{00000000-0005-0000-0000-0000FE030000}"/>
    <cellStyle name="40% - Accent2 2 5 3" xfId="4411" xr:uid="{00000000-0005-0000-0000-0000FF030000}"/>
    <cellStyle name="40% - Accent2 2 5_2.DATA" xfId="4998" xr:uid="{00000000-0005-0000-0000-000000040000}"/>
    <cellStyle name="40% - Accent2 2 6" xfId="479" xr:uid="{00000000-0005-0000-0000-000001040000}"/>
    <cellStyle name="40% - Accent2 2 6 2" xfId="4565" xr:uid="{00000000-0005-0000-0000-000002040000}"/>
    <cellStyle name="40% - Accent2 2 6 3" xfId="1784" xr:uid="{00000000-0005-0000-0000-000003040000}"/>
    <cellStyle name="40% - Accent2 2 7" xfId="480" xr:uid="{00000000-0005-0000-0000-000004040000}"/>
    <cellStyle name="40% - Accent2 2_2.DATA" xfId="4987" xr:uid="{00000000-0005-0000-0000-000005040000}"/>
    <cellStyle name="40% - Accent2 3" xfId="481" xr:uid="{00000000-0005-0000-0000-000006040000}"/>
    <cellStyle name="40% - Accent2 3 2" xfId="482" xr:uid="{00000000-0005-0000-0000-000007040000}"/>
    <cellStyle name="40% - Accent2 3 2 2" xfId="483" xr:uid="{00000000-0005-0000-0000-000008040000}"/>
    <cellStyle name="40% - Accent2 3 2 2 2" xfId="484" xr:uid="{00000000-0005-0000-0000-000009040000}"/>
    <cellStyle name="40% - Accent2 3 2 2 2 2" xfId="485" xr:uid="{00000000-0005-0000-0000-00000A040000}"/>
    <cellStyle name="40% - Accent2 3 2 2 3" xfId="486" xr:uid="{00000000-0005-0000-0000-00000B040000}"/>
    <cellStyle name="40% - Accent2 3 2 2 4" xfId="4047" xr:uid="{00000000-0005-0000-0000-00000C040000}"/>
    <cellStyle name="40% - Accent2 3 2 2_2.DATA" xfId="5001" xr:uid="{00000000-0005-0000-0000-00000D040000}"/>
    <cellStyle name="40% - Accent2 3 2 3" xfId="487" xr:uid="{00000000-0005-0000-0000-00000E040000}"/>
    <cellStyle name="40% - Accent2 3 2 3 2" xfId="488" xr:uid="{00000000-0005-0000-0000-00000F040000}"/>
    <cellStyle name="40% - Accent2 3 2 4" xfId="489" xr:uid="{00000000-0005-0000-0000-000010040000}"/>
    <cellStyle name="40% - Accent2 3 2 5" xfId="4001" xr:uid="{00000000-0005-0000-0000-000011040000}"/>
    <cellStyle name="40% - Accent2 3 2_2.DATA" xfId="5000" xr:uid="{00000000-0005-0000-0000-000012040000}"/>
    <cellStyle name="40% - Accent2 3 3" xfId="490" xr:uid="{00000000-0005-0000-0000-000013040000}"/>
    <cellStyle name="40% - Accent2 3 3 2" xfId="491" xr:uid="{00000000-0005-0000-0000-000014040000}"/>
    <cellStyle name="40% - Accent2 3 3 2 2" xfId="492" xr:uid="{00000000-0005-0000-0000-000015040000}"/>
    <cellStyle name="40% - Accent2 3 3 2 3" xfId="3975" xr:uid="{00000000-0005-0000-0000-000016040000}"/>
    <cellStyle name="40% - Accent2 3 3 2_2.DATA" xfId="5003" xr:uid="{00000000-0005-0000-0000-000017040000}"/>
    <cellStyle name="40% - Accent2 3 3 3" xfId="493" xr:uid="{00000000-0005-0000-0000-000018040000}"/>
    <cellStyle name="40% - Accent2 3 3 4" xfId="4031" xr:uid="{00000000-0005-0000-0000-000019040000}"/>
    <cellStyle name="40% - Accent2 3 3_2.DATA" xfId="5002" xr:uid="{00000000-0005-0000-0000-00001A040000}"/>
    <cellStyle name="40% - Accent2 3 4" xfId="494" xr:uid="{00000000-0005-0000-0000-00001B040000}"/>
    <cellStyle name="40% - Accent2 3 4 2" xfId="495" xr:uid="{00000000-0005-0000-0000-00001C040000}"/>
    <cellStyle name="40% - Accent2 3 4 3" xfId="4414" xr:uid="{00000000-0005-0000-0000-00001D040000}"/>
    <cellStyle name="40% - Accent2 3 4_2.DATA" xfId="5004" xr:uid="{00000000-0005-0000-0000-00001E040000}"/>
    <cellStyle name="40% - Accent2 3 5" xfId="496" xr:uid="{00000000-0005-0000-0000-00001F040000}"/>
    <cellStyle name="40% - Accent2 3 6" xfId="4000" xr:uid="{00000000-0005-0000-0000-000020040000}"/>
    <cellStyle name="40% - Accent2 3_2.DATA" xfId="4999" xr:uid="{00000000-0005-0000-0000-000021040000}"/>
    <cellStyle name="40% - Accent2 4" xfId="497" xr:uid="{00000000-0005-0000-0000-000022040000}"/>
    <cellStyle name="40% - Accent2 4 2" xfId="498" xr:uid="{00000000-0005-0000-0000-000023040000}"/>
    <cellStyle name="40% - Accent2 4 2 2" xfId="499" xr:uid="{00000000-0005-0000-0000-000024040000}"/>
    <cellStyle name="40% - Accent2 4 2 2 2" xfId="500" xr:uid="{00000000-0005-0000-0000-000025040000}"/>
    <cellStyle name="40% - Accent2 4 2 2_2.DATA" xfId="5007" xr:uid="{00000000-0005-0000-0000-000026040000}"/>
    <cellStyle name="40% - Accent2 4 2 3" xfId="501" xr:uid="{00000000-0005-0000-0000-000027040000}"/>
    <cellStyle name="40% - Accent2 4 2_2.DATA" xfId="5006" xr:uid="{00000000-0005-0000-0000-000028040000}"/>
    <cellStyle name="40% - Accent2 4 3" xfId="502" xr:uid="{00000000-0005-0000-0000-000029040000}"/>
    <cellStyle name="40% - Accent2 4 3 2" xfId="503" xr:uid="{00000000-0005-0000-0000-00002A040000}"/>
    <cellStyle name="40% - Accent2 4 3_2.DATA" xfId="5008" xr:uid="{00000000-0005-0000-0000-00002B040000}"/>
    <cellStyle name="40% - Accent2 4 4" xfId="504" xr:uid="{00000000-0005-0000-0000-00002C040000}"/>
    <cellStyle name="40% - Accent2 4_2.DATA" xfId="5005" xr:uid="{00000000-0005-0000-0000-00002D040000}"/>
    <cellStyle name="40% - Accent2 5" xfId="505" xr:uid="{00000000-0005-0000-0000-00002E040000}"/>
    <cellStyle name="40% - Accent2 5 2" xfId="506" xr:uid="{00000000-0005-0000-0000-00002F040000}"/>
    <cellStyle name="40% - Accent2 5 2 2" xfId="507" xr:uid="{00000000-0005-0000-0000-000030040000}"/>
    <cellStyle name="40% - Accent2 5 2 3" xfId="4131" xr:uid="{00000000-0005-0000-0000-000031040000}"/>
    <cellStyle name="40% - Accent2 5 2_2.DATA" xfId="5010" xr:uid="{00000000-0005-0000-0000-000032040000}"/>
    <cellStyle name="40% - Accent2 5 3" xfId="508" xr:uid="{00000000-0005-0000-0000-000033040000}"/>
    <cellStyle name="40% - Accent2 5 3 2" xfId="4566" xr:uid="{00000000-0005-0000-0000-000034040000}"/>
    <cellStyle name="40% - Accent2 5 3 3" xfId="1785" xr:uid="{00000000-0005-0000-0000-000035040000}"/>
    <cellStyle name="40% - Accent2 5_2.DATA" xfId="5009" xr:uid="{00000000-0005-0000-0000-000036040000}"/>
    <cellStyle name="40% - Accent2 6" xfId="509" xr:uid="{00000000-0005-0000-0000-000037040000}"/>
    <cellStyle name="40% - Accent2 6 2" xfId="510" xr:uid="{00000000-0005-0000-0000-000038040000}"/>
    <cellStyle name="40% - Accent2 6 2 2" xfId="4519" xr:uid="{00000000-0005-0000-0000-000039040000}"/>
    <cellStyle name="40% - Accent2 6 2_2.DATA" xfId="5012" xr:uid="{00000000-0005-0000-0000-00003A040000}"/>
    <cellStyle name="40% - Accent2 6 3" xfId="4144" xr:uid="{00000000-0005-0000-0000-00003B040000}"/>
    <cellStyle name="40% - Accent2 6_2.DATA" xfId="5011" xr:uid="{00000000-0005-0000-0000-00003C040000}"/>
    <cellStyle name="40% - Accent2 7" xfId="511" xr:uid="{00000000-0005-0000-0000-00003D040000}"/>
    <cellStyle name="40% - Accent2 7 2" xfId="512" xr:uid="{00000000-0005-0000-0000-00003E040000}"/>
    <cellStyle name="40% - Accent2 7 2 2" xfId="4289" xr:uid="{00000000-0005-0000-0000-00003F040000}"/>
    <cellStyle name="40% - Accent2 7 2_2.DATA" xfId="5014" xr:uid="{00000000-0005-0000-0000-000040040000}"/>
    <cellStyle name="40% - Accent2 7 3" xfId="4160" xr:uid="{00000000-0005-0000-0000-000041040000}"/>
    <cellStyle name="40% - Accent2 7_2.DATA" xfId="5013" xr:uid="{00000000-0005-0000-0000-000042040000}"/>
    <cellStyle name="40% - Accent2 8" xfId="513" xr:uid="{00000000-0005-0000-0000-000043040000}"/>
    <cellStyle name="40% - Accent2 8 2" xfId="1692" xr:uid="{00000000-0005-0000-0000-000044040000}"/>
    <cellStyle name="40% - Accent2 8 2 2" xfId="4517" xr:uid="{00000000-0005-0000-0000-000045040000}"/>
    <cellStyle name="40% - Accent2 8 2_2.DATA" xfId="5016" xr:uid="{00000000-0005-0000-0000-000046040000}"/>
    <cellStyle name="40% - Accent2 8 3" xfId="4230" xr:uid="{00000000-0005-0000-0000-000047040000}"/>
    <cellStyle name="40% - Accent2 8_2.DATA" xfId="5015" xr:uid="{00000000-0005-0000-0000-000048040000}"/>
    <cellStyle name="40% - Accent2 9" xfId="514" xr:uid="{00000000-0005-0000-0000-000049040000}"/>
    <cellStyle name="40% - Accent2 9 2" xfId="515" xr:uid="{00000000-0005-0000-0000-00004A040000}"/>
    <cellStyle name="40% - Accent2 9 2 2" xfId="4567" xr:uid="{00000000-0005-0000-0000-00004B040000}"/>
    <cellStyle name="40% - Accent2 9 2 3" xfId="4500" xr:uid="{00000000-0005-0000-0000-00004C040000}"/>
    <cellStyle name="40% - Accent2 9 2 4" xfId="1709" xr:uid="{00000000-0005-0000-0000-00004D040000}"/>
    <cellStyle name="40% - Accent2 9 2_2.DATA" xfId="5018" xr:uid="{00000000-0005-0000-0000-00004E040000}"/>
    <cellStyle name="40% - Accent2 9 3" xfId="516" xr:uid="{00000000-0005-0000-0000-00004F040000}"/>
    <cellStyle name="40% - Accent2 9 4" xfId="4246" xr:uid="{00000000-0005-0000-0000-000050040000}"/>
    <cellStyle name="40% - Accent2 9_2.DATA" xfId="5017" xr:uid="{00000000-0005-0000-0000-000051040000}"/>
    <cellStyle name="40% - Accent3" xfId="1380" builtinId="39" customBuiltin="1"/>
    <cellStyle name="40% - Accent3 10" xfId="1551" xr:uid="{00000000-0005-0000-0000-000053040000}"/>
    <cellStyle name="40% - Accent3 10 2" xfId="4269" xr:uid="{00000000-0005-0000-0000-000054040000}"/>
    <cellStyle name="40% - Accent3 10_2.DATA" xfId="5019" xr:uid="{00000000-0005-0000-0000-000055040000}"/>
    <cellStyle name="40% - Accent3 11" xfId="1752" xr:uid="{00000000-0005-0000-0000-000056040000}"/>
    <cellStyle name="40% - Accent3 11 2" xfId="4459" xr:uid="{00000000-0005-0000-0000-000057040000}"/>
    <cellStyle name="40% - Accent3 11_2.DATA" xfId="5020" xr:uid="{00000000-0005-0000-0000-000058040000}"/>
    <cellStyle name="40% - Accent3 12" xfId="3965" xr:uid="{00000000-0005-0000-0000-000059040000}"/>
    <cellStyle name="40% - Accent3 2" xfId="517" xr:uid="{00000000-0005-0000-0000-00005A040000}"/>
    <cellStyle name="40% - Accent3 2 2" xfId="518" xr:uid="{00000000-0005-0000-0000-00005B040000}"/>
    <cellStyle name="40% - Accent3 2 2 2" xfId="519" xr:uid="{00000000-0005-0000-0000-00005C040000}"/>
    <cellStyle name="40% - Accent3 2 2 2 2" xfId="520" xr:uid="{00000000-0005-0000-0000-00005D040000}"/>
    <cellStyle name="40% - Accent3 2 2 2 2 2" xfId="521" xr:uid="{00000000-0005-0000-0000-00005E040000}"/>
    <cellStyle name="40% - Accent3 2 2 2 2 3" xfId="4324" xr:uid="{00000000-0005-0000-0000-00005F040000}"/>
    <cellStyle name="40% - Accent3 2 2 2 2_2.DATA" xfId="5024" xr:uid="{00000000-0005-0000-0000-000060040000}"/>
    <cellStyle name="40% - Accent3 2 2 2 3" xfId="522" xr:uid="{00000000-0005-0000-0000-000061040000}"/>
    <cellStyle name="40% - Accent3 2 2 2 4" xfId="4078" xr:uid="{00000000-0005-0000-0000-000062040000}"/>
    <cellStyle name="40% - Accent3 2 2 2_2.DATA" xfId="5023" xr:uid="{00000000-0005-0000-0000-000063040000}"/>
    <cellStyle name="40% - Accent3 2 2 3" xfId="523" xr:uid="{00000000-0005-0000-0000-000064040000}"/>
    <cellStyle name="40% - Accent3 2 2 3 2" xfId="524" xr:uid="{00000000-0005-0000-0000-000065040000}"/>
    <cellStyle name="40% - Accent3 2 2 3 2 2" xfId="4283" xr:uid="{00000000-0005-0000-0000-000066040000}"/>
    <cellStyle name="40% - Accent3 2 2 3 2_2.DATA" xfId="5026" xr:uid="{00000000-0005-0000-0000-000067040000}"/>
    <cellStyle name="40% - Accent3 2 2 3 3" xfId="4218" xr:uid="{00000000-0005-0000-0000-000068040000}"/>
    <cellStyle name="40% - Accent3 2 2 3_2.DATA" xfId="5025" xr:uid="{00000000-0005-0000-0000-000069040000}"/>
    <cellStyle name="40% - Accent3 2 2 4" xfId="525" xr:uid="{00000000-0005-0000-0000-00006A040000}"/>
    <cellStyle name="40% - Accent3 2 2 4 2" xfId="4352" xr:uid="{00000000-0005-0000-0000-00006B040000}"/>
    <cellStyle name="40% - Accent3 2 2 4_2.DATA" xfId="5027" xr:uid="{00000000-0005-0000-0000-00006C040000}"/>
    <cellStyle name="40% - Accent3 2 2 5" xfId="526" xr:uid="{00000000-0005-0000-0000-00006D040000}"/>
    <cellStyle name="40% - Accent3 2 2 5 2" xfId="4568" xr:uid="{00000000-0005-0000-0000-00006E040000}"/>
    <cellStyle name="40% - Accent3 2 2 5 3" xfId="1786" xr:uid="{00000000-0005-0000-0000-00006F040000}"/>
    <cellStyle name="40% - Accent3 2 2_2.DATA" xfId="5022" xr:uid="{00000000-0005-0000-0000-000070040000}"/>
    <cellStyle name="40% - Accent3 2 3" xfId="527" xr:uid="{00000000-0005-0000-0000-000071040000}"/>
    <cellStyle name="40% - Accent3 2 3 2" xfId="528" xr:uid="{00000000-0005-0000-0000-000072040000}"/>
    <cellStyle name="40% - Accent3 2 3 2 2" xfId="529" xr:uid="{00000000-0005-0000-0000-000073040000}"/>
    <cellStyle name="40% - Accent3 2 3 2 2 2" xfId="530" xr:uid="{00000000-0005-0000-0000-000074040000}"/>
    <cellStyle name="40% - Accent3 2 3 2 3" xfId="531" xr:uid="{00000000-0005-0000-0000-000075040000}"/>
    <cellStyle name="40% - Accent3 2 3 2 4" xfId="4508" xr:uid="{00000000-0005-0000-0000-000076040000}"/>
    <cellStyle name="40% - Accent3 2 3 2_2.DATA" xfId="5029" xr:uid="{00000000-0005-0000-0000-000077040000}"/>
    <cellStyle name="40% - Accent3 2 3 3" xfId="532" xr:uid="{00000000-0005-0000-0000-000078040000}"/>
    <cellStyle name="40% - Accent3 2 3 3 2" xfId="533" xr:uid="{00000000-0005-0000-0000-000079040000}"/>
    <cellStyle name="40% - Accent3 2 3 4" xfId="534" xr:uid="{00000000-0005-0000-0000-00007A040000}"/>
    <cellStyle name="40% - Accent3 2 3 5" xfId="535" xr:uid="{00000000-0005-0000-0000-00007B040000}"/>
    <cellStyle name="40% - Accent3 2 3 6" xfId="4062" xr:uid="{00000000-0005-0000-0000-00007C040000}"/>
    <cellStyle name="40% - Accent3 2 3_2.DATA" xfId="5028" xr:uid="{00000000-0005-0000-0000-00007D040000}"/>
    <cellStyle name="40% - Accent3 2 4" xfId="536" xr:uid="{00000000-0005-0000-0000-00007E040000}"/>
    <cellStyle name="40% - Accent3 2 4 2" xfId="537" xr:uid="{00000000-0005-0000-0000-00007F040000}"/>
    <cellStyle name="40% - Accent3 2 4 2 2" xfId="538" xr:uid="{00000000-0005-0000-0000-000080040000}"/>
    <cellStyle name="40% - Accent3 2 4 2 3" xfId="4364" xr:uid="{00000000-0005-0000-0000-000081040000}"/>
    <cellStyle name="40% - Accent3 2 4 2_2.DATA" xfId="5031" xr:uid="{00000000-0005-0000-0000-000082040000}"/>
    <cellStyle name="40% - Accent3 2 4 3" xfId="539" xr:uid="{00000000-0005-0000-0000-000083040000}"/>
    <cellStyle name="40% - Accent3 2 4 4" xfId="4189" xr:uid="{00000000-0005-0000-0000-000084040000}"/>
    <cellStyle name="40% - Accent3 2 4_2.DATA" xfId="5030" xr:uid="{00000000-0005-0000-0000-000085040000}"/>
    <cellStyle name="40% - Accent3 2 5" xfId="540" xr:uid="{00000000-0005-0000-0000-000086040000}"/>
    <cellStyle name="40% - Accent3 2 5 2" xfId="541" xr:uid="{00000000-0005-0000-0000-000087040000}"/>
    <cellStyle name="40% - Accent3 2 5 3" xfId="4353" xr:uid="{00000000-0005-0000-0000-000088040000}"/>
    <cellStyle name="40% - Accent3 2 5_2.DATA" xfId="5032" xr:uid="{00000000-0005-0000-0000-000089040000}"/>
    <cellStyle name="40% - Accent3 2 6" xfId="542" xr:uid="{00000000-0005-0000-0000-00008A040000}"/>
    <cellStyle name="40% - Accent3 2 6 2" xfId="4569" xr:uid="{00000000-0005-0000-0000-00008B040000}"/>
    <cellStyle name="40% - Accent3 2 6 3" xfId="1787" xr:uid="{00000000-0005-0000-0000-00008C040000}"/>
    <cellStyle name="40% - Accent3 2 7" xfId="543" xr:uid="{00000000-0005-0000-0000-00008D040000}"/>
    <cellStyle name="40% - Accent3 2_2.DATA" xfId="5021" xr:uid="{00000000-0005-0000-0000-00008E040000}"/>
    <cellStyle name="40% - Accent3 3" xfId="544" xr:uid="{00000000-0005-0000-0000-00008F040000}"/>
    <cellStyle name="40% - Accent3 3 2" xfId="545" xr:uid="{00000000-0005-0000-0000-000090040000}"/>
    <cellStyle name="40% - Accent3 3 2 2" xfId="546" xr:uid="{00000000-0005-0000-0000-000091040000}"/>
    <cellStyle name="40% - Accent3 3 2 2 2" xfId="547" xr:uid="{00000000-0005-0000-0000-000092040000}"/>
    <cellStyle name="40% - Accent3 3 2 2 2 2" xfId="548" xr:uid="{00000000-0005-0000-0000-000093040000}"/>
    <cellStyle name="40% - Accent3 3 2 2 3" xfId="549" xr:uid="{00000000-0005-0000-0000-000094040000}"/>
    <cellStyle name="40% - Accent3 3 2 2 4" xfId="4048" xr:uid="{00000000-0005-0000-0000-000095040000}"/>
    <cellStyle name="40% - Accent3 3 2 2_2.DATA" xfId="5035" xr:uid="{00000000-0005-0000-0000-000096040000}"/>
    <cellStyle name="40% - Accent3 3 2 3" xfId="550" xr:uid="{00000000-0005-0000-0000-000097040000}"/>
    <cellStyle name="40% - Accent3 3 2 3 2" xfId="551" xr:uid="{00000000-0005-0000-0000-000098040000}"/>
    <cellStyle name="40% - Accent3 3 2 4" xfId="552" xr:uid="{00000000-0005-0000-0000-000099040000}"/>
    <cellStyle name="40% - Accent3 3 2 5" xfId="4003" xr:uid="{00000000-0005-0000-0000-00009A040000}"/>
    <cellStyle name="40% - Accent3 3 2_2.DATA" xfId="5034" xr:uid="{00000000-0005-0000-0000-00009B040000}"/>
    <cellStyle name="40% - Accent3 3 3" xfId="553" xr:uid="{00000000-0005-0000-0000-00009C040000}"/>
    <cellStyle name="40% - Accent3 3 3 2" xfId="554" xr:uid="{00000000-0005-0000-0000-00009D040000}"/>
    <cellStyle name="40% - Accent3 3 3 2 2" xfId="555" xr:uid="{00000000-0005-0000-0000-00009E040000}"/>
    <cellStyle name="40% - Accent3 3 3 2 3" xfId="4273" xr:uid="{00000000-0005-0000-0000-00009F040000}"/>
    <cellStyle name="40% - Accent3 3 3 2_2.DATA" xfId="5037" xr:uid="{00000000-0005-0000-0000-0000A0040000}"/>
    <cellStyle name="40% - Accent3 3 3 3" xfId="556" xr:uid="{00000000-0005-0000-0000-0000A1040000}"/>
    <cellStyle name="40% - Accent3 3 3 4" xfId="4032" xr:uid="{00000000-0005-0000-0000-0000A2040000}"/>
    <cellStyle name="40% - Accent3 3 3_2.DATA" xfId="5036" xr:uid="{00000000-0005-0000-0000-0000A3040000}"/>
    <cellStyle name="40% - Accent3 3 4" xfId="557" xr:uid="{00000000-0005-0000-0000-0000A4040000}"/>
    <cellStyle name="40% - Accent3 3 4 2" xfId="558" xr:uid="{00000000-0005-0000-0000-0000A5040000}"/>
    <cellStyle name="40% - Accent3 3 4 3" xfId="4310" xr:uid="{00000000-0005-0000-0000-0000A6040000}"/>
    <cellStyle name="40% - Accent3 3 4_2.DATA" xfId="5038" xr:uid="{00000000-0005-0000-0000-0000A7040000}"/>
    <cellStyle name="40% - Accent3 3 5" xfId="559" xr:uid="{00000000-0005-0000-0000-0000A8040000}"/>
    <cellStyle name="40% - Accent3 3 6" xfId="4002" xr:uid="{00000000-0005-0000-0000-0000A9040000}"/>
    <cellStyle name="40% - Accent3 3_2.DATA" xfId="5033" xr:uid="{00000000-0005-0000-0000-0000AA040000}"/>
    <cellStyle name="40% - Accent3 4" xfId="560" xr:uid="{00000000-0005-0000-0000-0000AB040000}"/>
    <cellStyle name="40% - Accent3 4 2" xfId="561" xr:uid="{00000000-0005-0000-0000-0000AC040000}"/>
    <cellStyle name="40% - Accent3 4 2 2" xfId="562" xr:uid="{00000000-0005-0000-0000-0000AD040000}"/>
    <cellStyle name="40% - Accent3 4 2 2 2" xfId="563" xr:uid="{00000000-0005-0000-0000-0000AE040000}"/>
    <cellStyle name="40% - Accent3 4 2 2_2.DATA" xfId="5041" xr:uid="{00000000-0005-0000-0000-0000AF040000}"/>
    <cellStyle name="40% - Accent3 4 2 3" xfId="564" xr:uid="{00000000-0005-0000-0000-0000B0040000}"/>
    <cellStyle name="40% - Accent3 4 2_2.DATA" xfId="5040" xr:uid="{00000000-0005-0000-0000-0000B1040000}"/>
    <cellStyle name="40% - Accent3 4 3" xfId="565" xr:uid="{00000000-0005-0000-0000-0000B2040000}"/>
    <cellStyle name="40% - Accent3 4 3 2" xfId="566" xr:uid="{00000000-0005-0000-0000-0000B3040000}"/>
    <cellStyle name="40% - Accent3 4 3_2.DATA" xfId="5042" xr:uid="{00000000-0005-0000-0000-0000B4040000}"/>
    <cellStyle name="40% - Accent3 4 4" xfId="567" xr:uid="{00000000-0005-0000-0000-0000B5040000}"/>
    <cellStyle name="40% - Accent3 4_2.DATA" xfId="5039" xr:uid="{00000000-0005-0000-0000-0000B6040000}"/>
    <cellStyle name="40% - Accent3 5" xfId="568" xr:uid="{00000000-0005-0000-0000-0000B7040000}"/>
    <cellStyle name="40% - Accent3 5 2" xfId="569" xr:uid="{00000000-0005-0000-0000-0000B8040000}"/>
    <cellStyle name="40% - Accent3 5 2 2" xfId="570" xr:uid="{00000000-0005-0000-0000-0000B9040000}"/>
    <cellStyle name="40% - Accent3 5 2 3" xfId="4133" xr:uid="{00000000-0005-0000-0000-0000BA040000}"/>
    <cellStyle name="40% - Accent3 5 2_2.DATA" xfId="5044" xr:uid="{00000000-0005-0000-0000-0000BB040000}"/>
    <cellStyle name="40% - Accent3 5 3" xfId="571" xr:uid="{00000000-0005-0000-0000-0000BC040000}"/>
    <cellStyle name="40% - Accent3 5 3 2" xfId="4570" xr:uid="{00000000-0005-0000-0000-0000BD040000}"/>
    <cellStyle name="40% - Accent3 5 3 3" xfId="1788" xr:uid="{00000000-0005-0000-0000-0000BE040000}"/>
    <cellStyle name="40% - Accent3 5_2.DATA" xfId="5043" xr:uid="{00000000-0005-0000-0000-0000BF040000}"/>
    <cellStyle name="40% - Accent3 6" xfId="572" xr:uid="{00000000-0005-0000-0000-0000C0040000}"/>
    <cellStyle name="40% - Accent3 6 2" xfId="573" xr:uid="{00000000-0005-0000-0000-0000C1040000}"/>
    <cellStyle name="40% - Accent3 6 2 2" xfId="4388" xr:uid="{00000000-0005-0000-0000-0000C2040000}"/>
    <cellStyle name="40% - Accent3 6 2_2.DATA" xfId="5046" xr:uid="{00000000-0005-0000-0000-0000C3040000}"/>
    <cellStyle name="40% - Accent3 6 3" xfId="4146" xr:uid="{00000000-0005-0000-0000-0000C4040000}"/>
    <cellStyle name="40% - Accent3 6_2.DATA" xfId="5045" xr:uid="{00000000-0005-0000-0000-0000C5040000}"/>
    <cellStyle name="40% - Accent3 7" xfId="574" xr:uid="{00000000-0005-0000-0000-0000C6040000}"/>
    <cellStyle name="40% - Accent3 7 2" xfId="575" xr:uid="{00000000-0005-0000-0000-0000C7040000}"/>
    <cellStyle name="40% - Accent3 7 2 2" xfId="4398" xr:uid="{00000000-0005-0000-0000-0000C8040000}"/>
    <cellStyle name="40% - Accent3 7 2_2.DATA" xfId="5048" xr:uid="{00000000-0005-0000-0000-0000C9040000}"/>
    <cellStyle name="40% - Accent3 7 3" xfId="4162" xr:uid="{00000000-0005-0000-0000-0000CA040000}"/>
    <cellStyle name="40% - Accent3 7_2.DATA" xfId="5047" xr:uid="{00000000-0005-0000-0000-0000CB040000}"/>
    <cellStyle name="40% - Accent3 8" xfId="576" xr:uid="{00000000-0005-0000-0000-0000CC040000}"/>
    <cellStyle name="40% - Accent3 8 2" xfId="1694" xr:uid="{00000000-0005-0000-0000-0000CD040000}"/>
    <cellStyle name="40% - Accent3 8 2 2" xfId="4511" xr:uid="{00000000-0005-0000-0000-0000CE040000}"/>
    <cellStyle name="40% - Accent3 8 2_2.DATA" xfId="5050" xr:uid="{00000000-0005-0000-0000-0000CF040000}"/>
    <cellStyle name="40% - Accent3 8 3" xfId="4232" xr:uid="{00000000-0005-0000-0000-0000D0040000}"/>
    <cellStyle name="40% - Accent3 8_2.DATA" xfId="5049" xr:uid="{00000000-0005-0000-0000-0000D1040000}"/>
    <cellStyle name="40% - Accent3 9" xfId="577" xr:uid="{00000000-0005-0000-0000-0000D2040000}"/>
    <cellStyle name="40% - Accent3 9 2" xfId="578" xr:uid="{00000000-0005-0000-0000-0000D3040000}"/>
    <cellStyle name="40% - Accent3 9 2 2" xfId="4571" xr:uid="{00000000-0005-0000-0000-0000D4040000}"/>
    <cellStyle name="40% - Accent3 9 2 3" xfId="4512" xr:uid="{00000000-0005-0000-0000-0000D5040000}"/>
    <cellStyle name="40% - Accent3 9 2 4" xfId="1711" xr:uid="{00000000-0005-0000-0000-0000D6040000}"/>
    <cellStyle name="40% - Accent3 9 2_2.DATA" xfId="5052" xr:uid="{00000000-0005-0000-0000-0000D7040000}"/>
    <cellStyle name="40% - Accent3 9 3" xfId="579" xr:uid="{00000000-0005-0000-0000-0000D8040000}"/>
    <cellStyle name="40% - Accent3 9 4" xfId="4248" xr:uid="{00000000-0005-0000-0000-0000D9040000}"/>
    <cellStyle name="40% - Accent3 9_2.DATA" xfId="5051" xr:uid="{00000000-0005-0000-0000-0000DA040000}"/>
    <cellStyle name="40% - Accent4" xfId="1384" builtinId="43" customBuiltin="1"/>
    <cellStyle name="40% - Accent4 10" xfId="1553" xr:uid="{00000000-0005-0000-0000-0000DC040000}"/>
    <cellStyle name="40% - Accent4 10 2" xfId="4331" xr:uid="{00000000-0005-0000-0000-0000DD040000}"/>
    <cellStyle name="40% - Accent4 10_2.DATA" xfId="5053" xr:uid="{00000000-0005-0000-0000-0000DE040000}"/>
    <cellStyle name="40% - Accent4 11" xfId="1754" xr:uid="{00000000-0005-0000-0000-0000DF040000}"/>
    <cellStyle name="40% - Accent4 11 2" xfId="4471" xr:uid="{00000000-0005-0000-0000-0000E0040000}"/>
    <cellStyle name="40% - Accent4 11_2.DATA" xfId="5054" xr:uid="{00000000-0005-0000-0000-0000E1040000}"/>
    <cellStyle name="40% - Accent4 12" xfId="3967" xr:uid="{00000000-0005-0000-0000-0000E2040000}"/>
    <cellStyle name="40% - Accent4 2" xfId="580" xr:uid="{00000000-0005-0000-0000-0000E3040000}"/>
    <cellStyle name="40% - Accent4 2 2" xfId="581" xr:uid="{00000000-0005-0000-0000-0000E4040000}"/>
    <cellStyle name="40% - Accent4 2 2 2" xfId="582" xr:uid="{00000000-0005-0000-0000-0000E5040000}"/>
    <cellStyle name="40% - Accent4 2 2 2 2" xfId="583" xr:uid="{00000000-0005-0000-0000-0000E6040000}"/>
    <cellStyle name="40% - Accent4 2 2 2 2 2" xfId="584" xr:uid="{00000000-0005-0000-0000-0000E7040000}"/>
    <cellStyle name="40% - Accent4 2 2 2 2 3" xfId="4378" xr:uid="{00000000-0005-0000-0000-0000E8040000}"/>
    <cellStyle name="40% - Accent4 2 2 2 2_2.DATA" xfId="5058" xr:uid="{00000000-0005-0000-0000-0000E9040000}"/>
    <cellStyle name="40% - Accent4 2 2 2 3" xfId="585" xr:uid="{00000000-0005-0000-0000-0000EA040000}"/>
    <cellStyle name="40% - Accent4 2 2 2 4" xfId="4083" xr:uid="{00000000-0005-0000-0000-0000EB040000}"/>
    <cellStyle name="40% - Accent4 2 2 2_2.DATA" xfId="5057" xr:uid="{00000000-0005-0000-0000-0000EC040000}"/>
    <cellStyle name="40% - Accent4 2 2 3" xfId="586" xr:uid="{00000000-0005-0000-0000-0000ED040000}"/>
    <cellStyle name="40% - Accent4 2 2 3 2" xfId="587" xr:uid="{00000000-0005-0000-0000-0000EE040000}"/>
    <cellStyle name="40% - Accent4 2 2 3 2 2" xfId="4416" xr:uid="{00000000-0005-0000-0000-0000EF040000}"/>
    <cellStyle name="40% - Accent4 2 2 3 2_2.DATA" xfId="5060" xr:uid="{00000000-0005-0000-0000-0000F0040000}"/>
    <cellStyle name="40% - Accent4 2 2 3 3" xfId="4220" xr:uid="{00000000-0005-0000-0000-0000F1040000}"/>
    <cellStyle name="40% - Accent4 2 2 3_2.DATA" xfId="5059" xr:uid="{00000000-0005-0000-0000-0000F2040000}"/>
    <cellStyle name="40% - Accent4 2 2 4" xfId="588" xr:uid="{00000000-0005-0000-0000-0000F3040000}"/>
    <cellStyle name="40% - Accent4 2 2 4 2" xfId="4344" xr:uid="{00000000-0005-0000-0000-0000F4040000}"/>
    <cellStyle name="40% - Accent4 2 2 4_2.DATA" xfId="5061" xr:uid="{00000000-0005-0000-0000-0000F5040000}"/>
    <cellStyle name="40% - Accent4 2 2 5" xfId="589" xr:uid="{00000000-0005-0000-0000-0000F6040000}"/>
    <cellStyle name="40% - Accent4 2 2 5 2" xfId="4572" xr:uid="{00000000-0005-0000-0000-0000F7040000}"/>
    <cellStyle name="40% - Accent4 2 2 5 3" xfId="1789" xr:uid="{00000000-0005-0000-0000-0000F8040000}"/>
    <cellStyle name="40% - Accent4 2 2_2.DATA" xfId="5056" xr:uid="{00000000-0005-0000-0000-0000F9040000}"/>
    <cellStyle name="40% - Accent4 2 3" xfId="590" xr:uid="{00000000-0005-0000-0000-0000FA040000}"/>
    <cellStyle name="40% - Accent4 2 3 2" xfId="591" xr:uid="{00000000-0005-0000-0000-0000FB040000}"/>
    <cellStyle name="40% - Accent4 2 3 2 2" xfId="592" xr:uid="{00000000-0005-0000-0000-0000FC040000}"/>
    <cellStyle name="40% - Accent4 2 3 2 2 2" xfId="593" xr:uid="{00000000-0005-0000-0000-0000FD040000}"/>
    <cellStyle name="40% - Accent4 2 3 2 3" xfId="594" xr:uid="{00000000-0005-0000-0000-0000FE040000}"/>
    <cellStyle name="40% - Accent4 2 3 2 4" xfId="4342" xr:uid="{00000000-0005-0000-0000-0000FF040000}"/>
    <cellStyle name="40% - Accent4 2 3 2_2.DATA" xfId="5063" xr:uid="{00000000-0005-0000-0000-000000050000}"/>
    <cellStyle name="40% - Accent4 2 3 3" xfId="595" xr:uid="{00000000-0005-0000-0000-000001050000}"/>
    <cellStyle name="40% - Accent4 2 3 3 2" xfId="596" xr:uid="{00000000-0005-0000-0000-000002050000}"/>
    <cellStyle name="40% - Accent4 2 3 4" xfId="597" xr:uid="{00000000-0005-0000-0000-000003050000}"/>
    <cellStyle name="40% - Accent4 2 3 5" xfId="598" xr:uid="{00000000-0005-0000-0000-000004050000}"/>
    <cellStyle name="40% - Accent4 2 3 6" xfId="4064" xr:uid="{00000000-0005-0000-0000-000005050000}"/>
    <cellStyle name="40% - Accent4 2 3_2.DATA" xfId="5062" xr:uid="{00000000-0005-0000-0000-000006050000}"/>
    <cellStyle name="40% - Accent4 2 4" xfId="599" xr:uid="{00000000-0005-0000-0000-000007050000}"/>
    <cellStyle name="40% - Accent4 2 4 2" xfId="600" xr:uid="{00000000-0005-0000-0000-000008050000}"/>
    <cellStyle name="40% - Accent4 2 4 2 2" xfId="601" xr:uid="{00000000-0005-0000-0000-000009050000}"/>
    <cellStyle name="40% - Accent4 2 4 2 3" xfId="4295" xr:uid="{00000000-0005-0000-0000-00000A050000}"/>
    <cellStyle name="40% - Accent4 2 4 2_2.DATA" xfId="5065" xr:uid="{00000000-0005-0000-0000-00000B050000}"/>
    <cellStyle name="40% - Accent4 2 4 3" xfId="602" xr:uid="{00000000-0005-0000-0000-00000C050000}"/>
    <cellStyle name="40% - Accent4 2 4 4" xfId="4191" xr:uid="{00000000-0005-0000-0000-00000D050000}"/>
    <cellStyle name="40% - Accent4 2 4_2.DATA" xfId="5064" xr:uid="{00000000-0005-0000-0000-00000E050000}"/>
    <cellStyle name="40% - Accent4 2 5" xfId="603" xr:uid="{00000000-0005-0000-0000-00000F050000}"/>
    <cellStyle name="40% - Accent4 2 5 2" xfId="604" xr:uid="{00000000-0005-0000-0000-000010050000}"/>
    <cellStyle name="40% - Accent4 2 5 3" xfId="4419" xr:uid="{00000000-0005-0000-0000-000011050000}"/>
    <cellStyle name="40% - Accent4 2 5_2.DATA" xfId="5066" xr:uid="{00000000-0005-0000-0000-000012050000}"/>
    <cellStyle name="40% - Accent4 2 6" xfId="605" xr:uid="{00000000-0005-0000-0000-000013050000}"/>
    <cellStyle name="40% - Accent4 2 6 2" xfId="4573" xr:uid="{00000000-0005-0000-0000-000014050000}"/>
    <cellStyle name="40% - Accent4 2 6 3" xfId="1790" xr:uid="{00000000-0005-0000-0000-000015050000}"/>
    <cellStyle name="40% - Accent4 2 7" xfId="606" xr:uid="{00000000-0005-0000-0000-000016050000}"/>
    <cellStyle name="40% - Accent4 2_2.DATA" xfId="5055" xr:uid="{00000000-0005-0000-0000-000017050000}"/>
    <cellStyle name="40% - Accent4 3" xfId="607" xr:uid="{00000000-0005-0000-0000-000018050000}"/>
    <cellStyle name="40% - Accent4 3 2" xfId="608" xr:uid="{00000000-0005-0000-0000-000019050000}"/>
    <cellStyle name="40% - Accent4 3 2 2" xfId="609" xr:uid="{00000000-0005-0000-0000-00001A050000}"/>
    <cellStyle name="40% - Accent4 3 2 2 2" xfId="610" xr:uid="{00000000-0005-0000-0000-00001B050000}"/>
    <cellStyle name="40% - Accent4 3 2 2 2 2" xfId="611" xr:uid="{00000000-0005-0000-0000-00001C050000}"/>
    <cellStyle name="40% - Accent4 3 2 2 3" xfId="612" xr:uid="{00000000-0005-0000-0000-00001D050000}"/>
    <cellStyle name="40% - Accent4 3 2 2 4" xfId="4049" xr:uid="{00000000-0005-0000-0000-00001E050000}"/>
    <cellStyle name="40% - Accent4 3 2 2_2.DATA" xfId="5069" xr:uid="{00000000-0005-0000-0000-00001F050000}"/>
    <cellStyle name="40% - Accent4 3 2 3" xfId="613" xr:uid="{00000000-0005-0000-0000-000020050000}"/>
    <cellStyle name="40% - Accent4 3 2 3 2" xfId="614" xr:uid="{00000000-0005-0000-0000-000021050000}"/>
    <cellStyle name="40% - Accent4 3 2 4" xfId="615" xr:uid="{00000000-0005-0000-0000-000022050000}"/>
    <cellStyle name="40% - Accent4 3 2 5" xfId="4005" xr:uid="{00000000-0005-0000-0000-000023050000}"/>
    <cellStyle name="40% - Accent4 3 2_2.DATA" xfId="5068" xr:uid="{00000000-0005-0000-0000-000024050000}"/>
    <cellStyle name="40% - Accent4 3 3" xfId="616" xr:uid="{00000000-0005-0000-0000-000025050000}"/>
    <cellStyle name="40% - Accent4 3 3 2" xfId="617" xr:uid="{00000000-0005-0000-0000-000026050000}"/>
    <cellStyle name="40% - Accent4 3 3 2 2" xfId="618" xr:uid="{00000000-0005-0000-0000-000027050000}"/>
    <cellStyle name="40% - Accent4 3 3 2 3" xfId="4282" xr:uid="{00000000-0005-0000-0000-000028050000}"/>
    <cellStyle name="40% - Accent4 3 3 2_2.DATA" xfId="5071" xr:uid="{00000000-0005-0000-0000-000029050000}"/>
    <cellStyle name="40% - Accent4 3 3 3" xfId="619" xr:uid="{00000000-0005-0000-0000-00002A050000}"/>
    <cellStyle name="40% - Accent4 3 3 4" xfId="4033" xr:uid="{00000000-0005-0000-0000-00002B050000}"/>
    <cellStyle name="40% - Accent4 3 3_2.DATA" xfId="5070" xr:uid="{00000000-0005-0000-0000-00002C050000}"/>
    <cellStyle name="40% - Accent4 3 4" xfId="620" xr:uid="{00000000-0005-0000-0000-00002D050000}"/>
    <cellStyle name="40% - Accent4 3 4 2" xfId="621" xr:uid="{00000000-0005-0000-0000-00002E050000}"/>
    <cellStyle name="40% - Accent4 3 4 3" xfId="4370" xr:uid="{00000000-0005-0000-0000-00002F050000}"/>
    <cellStyle name="40% - Accent4 3 4_2.DATA" xfId="5072" xr:uid="{00000000-0005-0000-0000-000030050000}"/>
    <cellStyle name="40% - Accent4 3 5" xfId="622" xr:uid="{00000000-0005-0000-0000-000031050000}"/>
    <cellStyle name="40% - Accent4 3 6" xfId="4004" xr:uid="{00000000-0005-0000-0000-000032050000}"/>
    <cellStyle name="40% - Accent4 3_2.DATA" xfId="5067" xr:uid="{00000000-0005-0000-0000-000033050000}"/>
    <cellStyle name="40% - Accent4 4" xfId="623" xr:uid="{00000000-0005-0000-0000-000034050000}"/>
    <cellStyle name="40% - Accent4 4 2" xfId="624" xr:uid="{00000000-0005-0000-0000-000035050000}"/>
    <cellStyle name="40% - Accent4 4 2 2" xfId="625" xr:uid="{00000000-0005-0000-0000-000036050000}"/>
    <cellStyle name="40% - Accent4 4 2 2 2" xfId="626" xr:uid="{00000000-0005-0000-0000-000037050000}"/>
    <cellStyle name="40% - Accent4 4 2 2_2.DATA" xfId="5075" xr:uid="{00000000-0005-0000-0000-000038050000}"/>
    <cellStyle name="40% - Accent4 4 2 3" xfId="627" xr:uid="{00000000-0005-0000-0000-000039050000}"/>
    <cellStyle name="40% - Accent4 4 2_2.DATA" xfId="5074" xr:uid="{00000000-0005-0000-0000-00003A050000}"/>
    <cellStyle name="40% - Accent4 4 3" xfId="628" xr:uid="{00000000-0005-0000-0000-00003B050000}"/>
    <cellStyle name="40% - Accent4 4 3 2" xfId="629" xr:uid="{00000000-0005-0000-0000-00003C050000}"/>
    <cellStyle name="40% - Accent4 4 3_2.DATA" xfId="5076" xr:uid="{00000000-0005-0000-0000-00003D050000}"/>
    <cellStyle name="40% - Accent4 4 4" xfId="630" xr:uid="{00000000-0005-0000-0000-00003E050000}"/>
    <cellStyle name="40% - Accent4 4_2.DATA" xfId="5073" xr:uid="{00000000-0005-0000-0000-00003F050000}"/>
    <cellStyle name="40% - Accent4 5" xfId="631" xr:uid="{00000000-0005-0000-0000-000040050000}"/>
    <cellStyle name="40% - Accent4 5 2" xfId="632" xr:uid="{00000000-0005-0000-0000-000041050000}"/>
    <cellStyle name="40% - Accent4 5 2 2" xfId="633" xr:uid="{00000000-0005-0000-0000-000042050000}"/>
    <cellStyle name="40% - Accent4 5 2 3" xfId="4135" xr:uid="{00000000-0005-0000-0000-000043050000}"/>
    <cellStyle name="40% - Accent4 5 2_2.DATA" xfId="5078" xr:uid="{00000000-0005-0000-0000-000044050000}"/>
    <cellStyle name="40% - Accent4 5 3" xfId="634" xr:uid="{00000000-0005-0000-0000-000045050000}"/>
    <cellStyle name="40% - Accent4 5 3 2" xfId="4574" xr:uid="{00000000-0005-0000-0000-000046050000}"/>
    <cellStyle name="40% - Accent4 5 3 3" xfId="1791" xr:uid="{00000000-0005-0000-0000-000047050000}"/>
    <cellStyle name="40% - Accent4 5_2.DATA" xfId="5077" xr:uid="{00000000-0005-0000-0000-000048050000}"/>
    <cellStyle name="40% - Accent4 6" xfId="635" xr:uid="{00000000-0005-0000-0000-000049050000}"/>
    <cellStyle name="40% - Accent4 6 2" xfId="636" xr:uid="{00000000-0005-0000-0000-00004A050000}"/>
    <cellStyle name="40% - Accent4 6 2 2" xfId="4396" xr:uid="{00000000-0005-0000-0000-00004B050000}"/>
    <cellStyle name="40% - Accent4 6 2_2.DATA" xfId="5080" xr:uid="{00000000-0005-0000-0000-00004C050000}"/>
    <cellStyle name="40% - Accent4 6 3" xfId="4148" xr:uid="{00000000-0005-0000-0000-00004D050000}"/>
    <cellStyle name="40% - Accent4 6_2.DATA" xfId="5079" xr:uid="{00000000-0005-0000-0000-00004E050000}"/>
    <cellStyle name="40% - Accent4 7" xfId="637" xr:uid="{00000000-0005-0000-0000-00004F050000}"/>
    <cellStyle name="40% - Accent4 7 2" xfId="638" xr:uid="{00000000-0005-0000-0000-000050050000}"/>
    <cellStyle name="40% - Accent4 7 2 2" xfId="4521" xr:uid="{00000000-0005-0000-0000-000051050000}"/>
    <cellStyle name="40% - Accent4 7 2_2.DATA" xfId="5082" xr:uid="{00000000-0005-0000-0000-000052050000}"/>
    <cellStyle name="40% - Accent4 7 3" xfId="4164" xr:uid="{00000000-0005-0000-0000-000053050000}"/>
    <cellStyle name="40% - Accent4 7_2.DATA" xfId="5081" xr:uid="{00000000-0005-0000-0000-000054050000}"/>
    <cellStyle name="40% - Accent4 8" xfId="639" xr:uid="{00000000-0005-0000-0000-000055050000}"/>
    <cellStyle name="40% - Accent4 8 2" xfId="1696" xr:uid="{00000000-0005-0000-0000-000056050000}"/>
    <cellStyle name="40% - Accent4 8 2 2" xfId="4505" xr:uid="{00000000-0005-0000-0000-000057050000}"/>
    <cellStyle name="40% - Accent4 8 2_2.DATA" xfId="5084" xr:uid="{00000000-0005-0000-0000-000058050000}"/>
    <cellStyle name="40% - Accent4 8 3" xfId="4234" xr:uid="{00000000-0005-0000-0000-000059050000}"/>
    <cellStyle name="40% - Accent4 8_2.DATA" xfId="5083" xr:uid="{00000000-0005-0000-0000-00005A050000}"/>
    <cellStyle name="40% - Accent4 9" xfId="640" xr:uid="{00000000-0005-0000-0000-00005B050000}"/>
    <cellStyle name="40% - Accent4 9 2" xfId="641" xr:uid="{00000000-0005-0000-0000-00005C050000}"/>
    <cellStyle name="40% - Accent4 9 2 2" xfId="4575" xr:uid="{00000000-0005-0000-0000-00005D050000}"/>
    <cellStyle name="40% - Accent4 9 2 3" xfId="4379" xr:uid="{00000000-0005-0000-0000-00005E050000}"/>
    <cellStyle name="40% - Accent4 9 2 4" xfId="1713" xr:uid="{00000000-0005-0000-0000-00005F050000}"/>
    <cellStyle name="40% - Accent4 9 2_2.DATA" xfId="5086" xr:uid="{00000000-0005-0000-0000-000060050000}"/>
    <cellStyle name="40% - Accent4 9 3" xfId="642" xr:uid="{00000000-0005-0000-0000-000061050000}"/>
    <cellStyle name="40% - Accent4 9 4" xfId="4250" xr:uid="{00000000-0005-0000-0000-000062050000}"/>
    <cellStyle name="40% - Accent4 9_2.DATA" xfId="5085" xr:uid="{00000000-0005-0000-0000-000063050000}"/>
    <cellStyle name="40% - Accent5" xfId="1388" builtinId="47" customBuiltin="1"/>
    <cellStyle name="40% - Accent5 10" xfId="1555" xr:uid="{00000000-0005-0000-0000-000065050000}"/>
    <cellStyle name="40% - Accent5 10 2" xfId="4340" xr:uid="{00000000-0005-0000-0000-000066050000}"/>
    <cellStyle name="40% - Accent5 10_2.DATA" xfId="5087" xr:uid="{00000000-0005-0000-0000-000067050000}"/>
    <cellStyle name="40% - Accent5 11" xfId="1756" xr:uid="{00000000-0005-0000-0000-000068050000}"/>
    <cellStyle name="40% - Accent5 11 2" xfId="4507" xr:uid="{00000000-0005-0000-0000-000069050000}"/>
    <cellStyle name="40% - Accent5 11_2.DATA" xfId="5088" xr:uid="{00000000-0005-0000-0000-00006A050000}"/>
    <cellStyle name="40% - Accent5 12" xfId="3969" xr:uid="{00000000-0005-0000-0000-00006B050000}"/>
    <cellStyle name="40% - Accent5 2" xfId="643" xr:uid="{00000000-0005-0000-0000-00006C050000}"/>
    <cellStyle name="40% - Accent5 2 2" xfId="644" xr:uid="{00000000-0005-0000-0000-00006D050000}"/>
    <cellStyle name="40% - Accent5 2 2 2" xfId="645" xr:uid="{00000000-0005-0000-0000-00006E050000}"/>
    <cellStyle name="40% - Accent5 2 2 2 2" xfId="646" xr:uid="{00000000-0005-0000-0000-00006F050000}"/>
    <cellStyle name="40% - Accent5 2 2 2 2 2" xfId="647" xr:uid="{00000000-0005-0000-0000-000070050000}"/>
    <cellStyle name="40% - Accent5 2 2 2 2 3" xfId="4325" xr:uid="{00000000-0005-0000-0000-000071050000}"/>
    <cellStyle name="40% - Accent5 2 2 2 2_2.DATA" xfId="5092" xr:uid="{00000000-0005-0000-0000-000072050000}"/>
    <cellStyle name="40% - Accent5 2 2 2 3" xfId="648" xr:uid="{00000000-0005-0000-0000-000073050000}"/>
    <cellStyle name="40% - Accent5 2 2 2 4" xfId="4099" xr:uid="{00000000-0005-0000-0000-000074050000}"/>
    <cellStyle name="40% - Accent5 2 2 2_2.DATA" xfId="5091" xr:uid="{00000000-0005-0000-0000-000075050000}"/>
    <cellStyle name="40% - Accent5 2 2 3" xfId="649" xr:uid="{00000000-0005-0000-0000-000076050000}"/>
    <cellStyle name="40% - Accent5 2 2 3 2" xfId="650" xr:uid="{00000000-0005-0000-0000-000077050000}"/>
    <cellStyle name="40% - Accent5 2 2 3 2 2" xfId="4267" xr:uid="{00000000-0005-0000-0000-000078050000}"/>
    <cellStyle name="40% - Accent5 2 2 3 2_2.DATA" xfId="5094" xr:uid="{00000000-0005-0000-0000-000079050000}"/>
    <cellStyle name="40% - Accent5 2 2 3 3" xfId="4222" xr:uid="{00000000-0005-0000-0000-00007A050000}"/>
    <cellStyle name="40% - Accent5 2 2 3_2.DATA" xfId="5093" xr:uid="{00000000-0005-0000-0000-00007B050000}"/>
    <cellStyle name="40% - Accent5 2 2 4" xfId="651" xr:uid="{00000000-0005-0000-0000-00007C050000}"/>
    <cellStyle name="40% - Accent5 2 2 4 2" xfId="4293" xr:uid="{00000000-0005-0000-0000-00007D050000}"/>
    <cellStyle name="40% - Accent5 2 2 4_2.DATA" xfId="5095" xr:uid="{00000000-0005-0000-0000-00007E050000}"/>
    <cellStyle name="40% - Accent5 2 2 5" xfId="652" xr:uid="{00000000-0005-0000-0000-00007F050000}"/>
    <cellStyle name="40% - Accent5 2 2 5 2" xfId="4576" xr:uid="{00000000-0005-0000-0000-000080050000}"/>
    <cellStyle name="40% - Accent5 2 2 5 3" xfId="1792" xr:uid="{00000000-0005-0000-0000-000081050000}"/>
    <cellStyle name="40% - Accent5 2 2_2.DATA" xfId="5090" xr:uid="{00000000-0005-0000-0000-000082050000}"/>
    <cellStyle name="40% - Accent5 2 3" xfId="653" xr:uid="{00000000-0005-0000-0000-000083050000}"/>
    <cellStyle name="40% - Accent5 2 3 2" xfId="654" xr:uid="{00000000-0005-0000-0000-000084050000}"/>
    <cellStyle name="40% - Accent5 2 3 2 2" xfId="655" xr:uid="{00000000-0005-0000-0000-000085050000}"/>
    <cellStyle name="40% - Accent5 2 3 2 2 2" xfId="656" xr:uid="{00000000-0005-0000-0000-000086050000}"/>
    <cellStyle name="40% - Accent5 2 3 2 3" xfId="657" xr:uid="{00000000-0005-0000-0000-000087050000}"/>
    <cellStyle name="40% - Accent5 2 3 2 4" xfId="4491" xr:uid="{00000000-0005-0000-0000-000088050000}"/>
    <cellStyle name="40% - Accent5 2 3 2_2.DATA" xfId="5097" xr:uid="{00000000-0005-0000-0000-000089050000}"/>
    <cellStyle name="40% - Accent5 2 3 3" xfId="658" xr:uid="{00000000-0005-0000-0000-00008A050000}"/>
    <cellStyle name="40% - Accent5 2 3 3 2" xfId="659" xr:uid="{00000000-0005-0000-0000-00008B050000}"/>
    <cellStyle name="40% - Accent5 2 3 4" xfId="660" xr:uid="{00000000-0005-0000-0000-00008C050000}"/>
    <cellStyle name="40% - Accent5 2 3 5" xfId="661" xr:uid="{00000000-0005-0000-0000-00008D050000}"/>
    <cellStyle name="40% - Accent5 2 3 6" xfId="4066" xr:uid="{00000000-0005-0000-0000-00008E050000}"/>
    <cellStyle name="40% - Accent5 2 3_2.DATA" xfId="5096" xr:uid="{00000000-0005-0000-0000-00008F050000}"/>
    <cellStyle name="40% - Accent5 2 4" xfId="662" xr:uid="{00000000-0005-0000-0000-000090050000}"/>
    <cellStyle name="40% - Accent5 2 4 2" xfId="663" xr:uid="{00000000-0005-0000-0000-000091050000}"/>
    <cellStyle name="40% - Accent5 2 4 2 2" xfId="664" xr:uid="{00000000-0005-0000-0000-000092050000}"/>
    <cellStyle name="40% - Accent5 2 4 2 3" xfId="4425" xr:uid="{00000000-0005-0000-0000-000093050000}"/>
    <cellStyle name="40% - Accent5 2 4 2_2.DATA" xfId="5099" xr:uid="{00000000-0005-0000-0000-000094050000}"/>
    <cellStyle name="40% - Accent5 2 4 3" xfId="665" xr:uid="{00000000-0005-0000-0000-000095050000}"/>
    <cellStyle name="40% - Accent5 2 4 4" xfId="4193" xr:uid="{00000000-0005-0000-0000-000096050000}"/>
    <cellStyle name="40% - Accent5 2 4_2.DATA" xfId="5098" xr:uid="{00000000-0005-0000-0000-000097050000}"/>
    <cellStyle name="40% - Accent5 2 5" xfId="666" xr:uid="{00000000-0005-0000-0000-000098050000}"/>
    <cellStyle name="40% - Accent5 2 5 2" xfId="667" xr:uid="{00000000-0005-0000-0000-000099050000}"/>
    <cellStyle name="40% - Accent5 2 5 3" xfId="4490" xr:uid="{00000000-0005-0000-0000-00009A050000}"/>
    <cellStyle name="40% - Accent5 2 5_2.DATA" xfId="5100" xr:uid="{00000000-0005-0000-0000-00009B050000}"/>
    <cellStyle name="40% - Accent5 2 6" xfId="668" xr:uid="{00000000-0005-0000-0000-00009C050000}"/>
    <cellStyle name="40% - Accent5 2 6 2" xfId="4577" xr:uid="{00000000-0005-0000-0000-00009D050000}"/>
    <cellStyle name="40% - Accent5 2 6 3" xfId="1793" xr:uid="{00000000-0005-0000-0000-00009E050000}"/>
    <cellStyle name="40% - Accent5 2 7" xfId="669" xr:uid="{00000000-0005-0000-0000-00009F050000}"/>
    <cellStyle name="40% - Accent5 2_2.DATA" xfId="5089" xr:uid="{00000000-0005-0000-0000-0000A0050000}"/>
    <cellStyle name="40% - Accent5 3" xfId="670" xr:uid="{00000000-0005-0000-0000-0000A1050000}"/>
    <cellStyle name="40% - Accent5 3 2" xfId="671" xr:uid="{00000000-0005-0000-0000-0000A2050000}"/>
    <cellStyle name="40% - Accent5 3 2 2" xfId="672" xr:uid="{00000000-0005-0000-0000-0000A3050000}"/>
    <cellStyle name="40% - Accent5 3 2 2 2" xfId="673" xr:uid="{00000000-0005-0000-0000-0000A4050000}"/>
    <cellStyle name="40% - Accent5 3 2 2 2 2" xfId="674" xr:uid="{00000000-0005-0000-0000-0000A5050000}"/>
    <cellStyle name="40% - Accent5 3 2 2 3" xfId="675" xr:uid="{00000000-0005-0000-0000-0000A6050000}"/>
    <cellStyle name="40% - Accent5 3 2 2 4" xfId="4050" xr:uid="{00000000-0005-0000-0000-0000A7050000}"/>
    <cellStyle name="40% - Accent5 3 2 2_2.DATA" xfId="5103" xr:uid="{00000000-0005-0000-0000-0000A8050000}"/>
    <cellStyle name="40% - Accent5 3 2 3" xfId="676" xr:uid="{00000000-0005-0000-0000-0000A9050000}"/>
    <cellStyle name="40% - Accent5 3 2 3 2" xfId="677" xr:uid="{00000000-0005-0000-0000-0000AA050000}"/>
    <cellStyle name="40% - Accent5 3 2 4" xfId="678" xr:uid="{00000000-0005-0000-0000-0000AB050000}"/>
    <cellStyle name="40% - Accent5 3 2 5" xfId="4007" xr:uid="{00000000-0005-0000-0000-0000AC050000}"/>
    <cellStyle name="40% - Accent5 3 2_2.DATA" xfId="5102" xr:uid="{00000000-0005-0000-0000-0000AD050000}"/>
    <cellStyle name="40% - Accent5 3 3" xfId="679" xr:uid="{00000000-0005-0000-0000-0000AE050000}"/>
    <cellStyle name="40% - Accent5 3 3 2" xfId="680" xr:uid="{00000000-0005-0000-0000-0000AF050000}"/>
    <cellStyle name="40% - Accent5 3 3 2 2" xfId="681" xr:uid="{00000000-0005-0000-0000-0000B0050000}"/>
    <cellStyle name="40% - Accent5 3 3 2 3" xfId="4271" xr:uid="{00000000-0005-0000-0000-0000B1050000}"/>
    <cellStyle name="40% - Accent5 3 3 2_2.DATA" xfId="5105" xr:uid="{00000000-0005-0000-0000-0000B2050000}"/>
    <cellStyle name="40% - Accent5 3 3 3" xfId="682" xr:uid="{00000000-0005-0000-0000-0000B3050000}"/>
    <cellStyle name="40% - Accent5 3 3 4" xfId="4034" xr:uid="{00000000-0005-0000-0000-0000B4050000}"/>
    <cellStyle name="40% - Accent5 3 3_2.DATA" xfId="5104" xr:uid="{00000000-0005-0000-0000-0000B5050000}"/>
    <cellStyle name="40% - Accent5 3 4" xfId="683" xr:uid="{00000000-0005-0000-0000-0000B6050000}"/>
    <cellStyle name="40% - Accent5 3 4 2" xfId="684" xr:uid="{00000000-0005-0000-0000-0000B7050000}"/>
    <cellStyle name="40% - Accent5 3 4 3" xfId="4361" xr:uid="{00000000-0005-0000-0000-0000B8050000}"/>
    <cellStyle name="40% - Accent5 3 4_2.DATA" xfId="5106" xr:uid="{00000000-0005-0000-0000-0000B9050000}"/>
    <cellStyle name="40% - Accent5 3 5" xfId="685" xr:uid="{00000000-0005-0000-0000-0000BA050000}"/>
    <cellStyle name="40% - Accent5 3 6" xfId="4006" xr:uid="{00000000-0005-0000-0000-0000BB050000}"/>
    <cellStyle name="40% - Accent5 3_2.DATA" xfId="5101" xr:uid="{00000000-0005-0000-0000-0000BC050000}"/>
    <cellStyle name="40% - Accent5 4" xfId="686" xr:uid="{00000000-0005-0000-0000-0000BD050000}"/>
    <cellStyle name="40% - Accent5 4 2" xfId="687" xr:uid="{00000000-0005-0000-0000-0000BE050000}"/>
    <cellStyle name="40% - Accent5 4 2 2" xfId="688" xr:uid="{00000000-0005-0000-0000-0000BF050000}"/>
    <cellStyle name="40% - Accent5 4 2 2 2" xfId="689" xr:uid="{00000000-0005-0000-0000-0000C0050000}"/>
    <cellStyle name="40% - Accent5 4 2 2_2.DATA" xfId="5109" xr:uid="{00000000-0005-0000-0000-0000C1050000}"/>
    <cellStyle name="40% - Accent5 4 2 3" xfId="690" xr:uid="{00000000-0005-0000-0000-0000C2050000}"/>
    <cellStyle name="40% - Accent5 4 2_2.DATA" xfId="5108" xr:uid="{00000000-0005-0000-0000-0000C3050000}"/>
    <cellStyle name="40% - Accent5 4 3" xfId="691" xr:uid="{00000000-0005-0000-0000-0000C4050000}"/>
    <cellStyle name="40% - Accent5 4 3 2" xfId="692" xr:uid="{00000000-0005-0000-0000-0000C5050000}"/>
    <cellStyle name="40% - Accent5 4 3_2.DATA" xfId="5110" xr:uid="{00000000-0005-0000-0000-0000C6050000}"/>
    <cellStyle name="40% - Accent5 4 4" xfId="693" xr:uid="{00000000-0005-0000-0000-0000C7050000}"/>
    <cellStyle name="40% - Accent5 4_2.DATA" xfId="5107" xr:uid="{00000000-0005-0000-0000-0000C8050000}"/>
    <cellStyle name="40% - Accent5 5" xfId="694" xr:uid="{00000000-0005-0000-0000-0000C9050000}"/>
    <cellStyle name="40% - Accent5 5 2" xfId="695" xr:uid="{00000000-0005-0000-0000-0000CA050000}"/>
    <cellStyle name="40% - Accent5 5 2 2" xfId="696" xr:uid="{00000000-0005-0000-0000-0000CB050000}"/>
    <cellStyle name="40% - Accent5 5 2 3" xfId="4137" xr:uid="{00000000-0005-0000-0000-0000CC050000}"/>
    <cellStyle name="40% - Accent5 5 2_2.DATA" xfId="5112" xr:uid="{00000000-0005-0000-0000-0000CD050000}"/>
    <cellStyle name="40% - Accent5 5 3" xfId="697" xr:uid="{00000000-0005-0000-0000-0000CE050000}"/>
    <cellStyle name="40% - Accent5 5 3 2" xfId="4578" xr:uid="{00000000-0005-0000-0000-0000CF050000}"/>
    <cellStyle name="40% - Accent5 5 3 3" xfId="1794" xr:uid="{00000000-0005-0000-0000-0000D0050000}"/>
    <cellStyle name="40% - Accent5 5_2.DATA" xfId="5111" xr:uid="{00000000-0005-0000-0000-0000D1050000}"/>
    <cellStyle name="40% - Accent5 6" xfId="698" xr:uid="{00000000-0005-0000-0000-0000D2050000}"/>
    <cellStyle name="40% - Accent5 6 2" xfId="699" xr:uid="{00000000-0005-0000-0000-0000D3050000}"/>
    <cellStyle name="40% - Accent5 6 2 2" xfId="4486" xr:uid="{00000000-0005-0000-0000-0000D4050000}"/>
    <cellStyle name="40% - Accent5 6 2_2.DATA" xfId="5114" xr:uid="{00000000-0005-0000-0000-0000D5050000}"/>
    <cellStyle name="40% - Accent5 6 3" xfId="4150" xr:uid="{00000000-0005-0000-0000-0000D6050000}"/>
    <cellStyle name="40% - Accent5 6_2.DATA" xfId="5113" xr:uid="{00000000-0005-0000-0000-0000D7050000}"/>
    <cellStyle name="40% - Accent5 7" xfId="700" xr:uid="{00000000-0005-0000-0000-0000D8050000}"/>
    <cellStyle name="40% - Accent5 7 2" xfId="701" xr:uid="{00000000-0005-0000-0000-0000D9050000}"/>
    <cellStyle name="40% - Accent5 7 2 2" xfId="4528" xr:uid="{00000000-0005-0000-0000-0000DA050000}"/>
    <cellStyle name="40% - Accent5 7 2_2.DATA" xfId="5116" xr:uid="{00000000-0005-0000-0000-0000DB050000}"/>
    <cellStyle name="40% - Accent5 7 3" xfId="4166" xr:uid="{00000000-0005-0000-0000-0000DC050000}"/>
    <cellStyle name="40% - Accent5 7_2.DATA" xfId="5115" xr:uid="{00000000-0005-0000-0000-0000DD050000}"/>
    <cellStyle name="40% - Accent5 8" xfId="702" xr:uid="{00000000-0005-0000-0000-0000DE050000}"/>
    <cellStyle name="40% - Accent5 8 2" xfId="1698" xr:uid="{00000000-0005-0000-0000-0000DF050000}"/>
    <cellStyle name="40% - Accent5 8 2 2" xfId="4351" xr:uid="{00000000-0005-0000-0000-0000E0050000}"/>
    <cellStyle name="40% - Accent5 8 2_2.DATA" xfId="5118" xr:uid="{00000000-0005-0000-0000-0000E1050000}"/>
    <cellStyle name="40% - Accent5 8 3" xfId="4236" xr:uid="{00000000-0005-0000-0000-0000E2050000}"/>
    <cellStyle name="40% - Accent5 8_2.DATA" xfId="5117" xr:uid="{00000000-0005-0000-0000-0000E3050000}"/>
    <cellStyle name="40% - Accent5 9" xfId="703" xr:uid="{00000000-0005-0000-0000-0000E4050000}"/>
    <cellStyle name="40% - Accent5 9 2" xfId="704" xr:uid="{00000000-0005-0000-0000-0000E5050000}"/>
    <cellStyle name="40% - Accent5 9 2 2" xfId="4579" xr:uid="{00000000-0005-0000-0000-0000E6050000}"/>
    <cellStyle name="40% - Accent5 9 2 3" xfId="4336" xr:uid="{00000000-0005-0000-0000-0000E7050000}"/>
    <cellStyle name="40% - Accent5 9 2 4" xfId="1715" xr:uid="{00000000-0005-0000-0000-0000E8050000}"/>
    <cellStyle name="40% - Accent5 9 2_2.DATA" xfId="5120" xr:uid="{00000000-0005-0000-0000-0000E9050000}"/>
    <cellStyle name="40% - Accent5 9 3" xfId="705" xr:uid="{00000000-0005-0000-0000-0000EA050000}"/>
    <cellStyle name="40% - Accent5 9 4" xfId="4252" xr:uid="{00000000-0005-0000-0000-0000EB050000}"/>
    <cellStyle name="40% - Accent5 9_2.DATA" xfId="5119" xr:uid="{00000000-0005-0000-0000-0000EC050000}"/>
    <cellStyle name="40% - Accent6" xfId="1392" builtinId="51" customBuiltin="1"/>
    <cellStyle name="40% - Accent6 10" xfId="1557" xr:uid="{00000000-0005-0000-0000-0000EE050000}"/>
    <cellStyle name="40% - Accent6 10 2" xfId="4532" xr:uid="{00000000-0005-0000-0000-0000EF050000}"/>
    <cellStyle name="40% - Accent6 10_2.DATA" xfId="5121" xr:uid="{00000000-0005-0000-0000-0000F0050000}"/>
    <cellStyle name="40% - Accent6 11" xfId="1758" xr:uid="{00000000-0005-0000-0000-0000F1050000}"/>
    <cellStyle name="40% - Accent6 11 2" xfId="4509" xr:uid="{00000000-0005-0000-0000-0000F2050000}"/>
    <cellStyle name="40% - Accent6 11_2.DATA" xfId="5122" xr:uid="{00000000-0005-0000-0000-0000F3050000}"/>
    <cellStyle name="40% - Accent6 12" xfId="3971" xr:uid="{00000000-0005-0000-0000-0000F4050000}"/>
    <cellStyle name="40% - Accent6 2" xfId="706" xr:uid="{00000000-0005-0000-0000-0000F5050000}"/>
    <cellStyle name="40% - Accent6 2 2" xfId="707" xr:uid="{00000000-0005-0000-0000-0000F6050000}"/>
    <cellStyle name="40% - Accent6 2 2 2" xfId="708" xr:uid="{00000000-0005-0000-0000-0000F7050000}"/>
    <cellStyle name="40% - Accent6 2 2 2 2" xfId="709" xr:uid="{00000000-0005-0000-0000-0000F8050000}"/>
    <cellStyle name="40% - Accent6 2 2 2 2 2" xfId="710" xr:uid="{00000000-0005-0000-0000-0000F9050000}"/>
    <cellStyle name="40% - Accent6 2 2 2 2 3" xfId="4326" xr:uid="{00000000-0005-0000-0000-0000FA050000}"/>
    <cellStyle name="40% - Accent6 2 2 2 2_2.DATA" xfId="5126" xr:uid="{00000000-0005-0000-0000-0000FB050000}"/>
    <cellStyle name="40% - Accent6 2 2 2 3" xfId="711" xr:uid="{00000000-0005-0000-0000-0000FC050000}"/>
    <cellStyle name="40% - Accent6 2 2 2 4" xfId="4079" xr:uid="{00000000-0005-0000-0000-0000FD050000}"/>
    <cellStyle name="40% - Accent6 2 2 2_2.DATA" xfId="5125" xr:uid="{00000000-0005-0000-0000-0000FE050000}"/>
    <cellStyle name="40% - Accent6 2 2 3" xfId="712" xr:uid="{00000000-0005-0000-0000-0000FF050000}"/>
    <cellStyle name="40% - Accent6 2 2 3 2" xfId="713" xr:uid="{00000000-0005-0000-0000-000000060000}"/>
    <cellStyle name="40% - Accent6 2 2 3 2 2" xfId="4397" xr:uid="{00000000-0005-0000-0000-000001060000}"/>
    <cellStyle name="40% - Accent6 2 2 3 2_2.DATA" xfId="5128" xr:uid="{00000000-0005-0000-0000-000002060000}"/>
    <cellStyle name="40% - Accent6 2 2 3 3" xfId="4224" xr:uid="{00000000-0005-0000-0000-000003060000}"/>
    <cellStyle name="40% - Accent6 2 2 3_2.DATA" xfId="5127" xr:uid="{00000000-0005-0000-0000-000004060000}"/>
    <cellStyle name="40% - Accent6 2 2 4" xfId="714" xr:uid="{00000000-0005-0000-0000-000005060000}"/>
    <cellStyle name="40% - Accent6 2 2 4 2" xfId="4477" xr:uid="{00000000-0005-0000-0000-000006060000}"/>
    <cellStyle name="40% - Accent6 2 2 4_2.DATA" xfId="5129" xr:uid="{00000000-0005-0000-0000-000007060000}"/>
    <cellStyle name="40% - Accent6 2 2 5" xfId="715" xr:uid="{00000000-0005-0000-0000-000008060000}"/>
    <cellStyle name="40% - Accent6 2 2 5 2" xfId="4580" xr:uid="{00000000-0005-0000-0000-000009060000}"/>
    <cellStyle name="40% - Accent6 2 2 5 3" xfId="1795" xr:uid="{00000000-0005-0000-0000-00000A060000}"/>
    <cellStyle name="40% - Accent6 2 2_2.DATA" xfId="5124" xr:uid="{00000000-0005-0000-0000-00000B060000}"/>
    <cellStyle name="40% - Accent6 2 3" xfId="716" xr:uid="{00000000-0005-0000-0000-00000C060000}"/>
    <cellStyle name="40% - Accent6 2 3 2" xfId="717" xr:uid="{00000000-0005-0000-0000-00000D060000}"/>
    <cellStyle name="40% - Accent6 2 3 2 2" xfId="718" xr:uid="{00000000-0005-0000-0000-00000E060000}"/>
    <cellStyle name="40% - Accent6 2 3 2 2 2" xfId="719" xr:uid="{00000000-0005-0000-0000-00000F060000}"/>
    <cellStyle name="40% - Accent6 2 3 2 3" xfId="720" xr:uid="{00000000-0005-0000-0000-000010060000}"/>
    <cellStyle name="40% - Accent6 2 3 2 4" xfId="4375" xr:uid="{00000000-0005-0000-0000-000011060000}"/>
    <cellStyle name="40% - Accent6 2 3 2_2.DATA" xfId="5131" xr:uid="{00000000-0005-0000-0000-000012060000}"/>
    <cellStyle name="40% - Accent6 2 3 3" xfId="721" xr:uid="{00000000-0005-0000-0000-000013060000}"/>
    <cellStyle name="40% - Accent6 2 3 3 2" xfId="722" xr:uid="{00000000-0005-0000-0000-000014060000}"/>
    <cellStyle name="40% - Accent6 2 3 4" xfId="723" xr:uid="{00000000-0005-0000-0000-000015060000}"/>
    <cellStyle name="40% - Accent6 2 3 5" xfId="724" xr:uid="{00000000-0005-0000-0000-000016060000}"/>
    <cellStyle name="40% - Accent6 2 3 6" xfId="4068" xr:uid="{00000000-0005-0000-0000-000017060000}"/>
    <cellStyle name="40% - Accent6 2 3_2.DATA" xfId="5130" xr:uid="{00000000-0005-0000-0000-000018060000}"/>
    <cellStyle name="40% - Accent6 2 4" xfId="725" xr:uid="{00000000-0005-0000-0000-000019060000}"/>
    <cellStyle name="40% - Accent6 2 4 2" xfId="726" xr:uid="{00000000-0005-0000-0000-00001A060000}"/>
    <cellStyle name="40% - Accent6 2 4 2 2" xfId="727" xr:uid="{00000000-0005-0000-0000-00001B060000}"/>
    <cellStyle name="40% - Accent6 2 4 2 3" xfId="4339" xr:uid="{00000000-0005-0000-0000-00001C060000}"/>
    <cellStyle name="40% - Accent6 2 4 2_2.DATA" xfId="5133" xr:uid="{00000000-0005-0000-0000-00001D060000}"/>
    <cellStyle name="40% - Accent6 2 4 3" xfId="728" xr:uid="{00000000-0005-0000-0000-00001E060000}"/>
    <cellStyle name="40% - Accent6 2 4 4" xfId="4195" xr:uid="{00000000-0005-0000-0000-00001F060000}"/>
    <cellStyle name="40% - Accent6 2 4_2.DATA" xfId="5132" xr:uid="{00000000-0005-0000-0000-000020060000}"/>
    <cellStyle name="40% - Accent6 2 5" xfId="729" xr:uid="{00000000-0005-0000-0000-000021060000}"/>
    <cellStyle name="40% - Accent6 2 5 2" xfId="730" xr:uid="{00000000-0005-0000-0000-000022060000}"/>
    <cellStyle name="40% - Accent6 2 5 3" xfId="4455" xr:uid="{00000000-0005-0000-0000-000023060000}"/>
    <cellStyle name="40% - Accent6 2 5_2.DATA" xfId="5134" xr:uid="{00000000-0005-0000-0000-000024060000}"/>
    <cellStyle name="40% - Accent6 2 6" xfId="731" xr:uid="{00000000-0005-0000-0000-000025060000}"/>
    <cellStyle name="40% - Accent6 2 6 2" xfId="4581" xr:uid="{00000000-0005-0000-0000-000026060000}"/>
    <cellStyle name="40% - Accent6 2 6 3" xfId="1796" xr:uid="{00000000-0005-0000-0000-000027060000}"/>
    <cellStyle name="40% - Accent6 2 7" xfId="732" xr:uid="{00000000-0005-0000-0000-000028060000}"/>
    <cellStyle name="40% - Accent6 2_2.DATA" xfId="5123" xr:uid="{00000000-0005-0000-0000-000029060000}"/>
    <cellStyle name="40% - Accent6 3" xfId="733" xr:uid="{00000000-0005-0000-0000-00002A060000}"/>
    <cellStyle name="40% - Accent6 3 2" xfId="734" xr:uid="{00000000-0005-0000-0000-00002B060000}"/>
    <cellStyle name="40% - Accent6 3 2 2" xfId="735" xr:uid="{00000000-0005-0000-0000-00002C060000}"/>
    <cellStyle name="40% - Accent6 3 2 2 2" xfId="736" xr:uid="{00000000-0005-0000-0000-00002D060000}"/>
    <cellStyle name="40% - Accent6 3 2 2 2 2" xfId="737" xr:uid="{00000000-0005-0000-0000-00002E060000}"/>
    <cellStyle name="40% - Accent6 3 2 2 3" xfId="738" xr:uid="{00000000-0005-0000-0000-00002F060000}"/>
    <cellStyle name="40% - Accent6 3 2 2 4" xfId="4051" xr:uid="{00000000-0005-0000-0000-000030060000}"/>
    <cellStyle name="40% - Accent6 3 2 2_2.DATA" xfId="5137" xr:uid="{00000000-0005-0000-0000-000031060000}"/>
    <cellStyle name="40% - Accent6 3 2 3" xfId="739" xr:uid="{00000000-0005-0000-0000-000032060000}"/>
    <cellStyle name="40% - Accent6 3 2 3 2" xfId="740" xr:uid="{00000000-0005-0000-0000-000033060000}"/>
    <cellStyle name="40% - Accent6 3 2 4" xfId="741" xr:uid="{00000000-0005-0000-0000-000034060000}"/>
    <cellStyle name="40% - Accent6 3 2 5" xfId="4009" xr:uid="{00000000-0005-0000-0000-000035060000}"/>
    <cellStyle name="40% - Accent6 3 2_2.DATA" xfId="5136" xr:uid="{00000000-0005-0000-0000-000036060000}"/>
    <cellStyle name="40% - Accent6 3 3" xfId="742" xr:uid="{00000000-0005-0000-0000-000037060000}"/>
    <cellStyle name="40% - Accent6 3 3 2" xfId="743" xr:uid="{00000000-0005-0000-0000-000038060000}"/>
    <cellStyle name="40% - Accent6 3 3 2 2" xfId="744" xr:uid="{00000000-0005-0000-0000-000039060000}"/>
    <cellStyle name="40% - Accent6 3 3 2 3" xfId="4318" xr:uid="{00000000-0005-0000-0000-00003A060000}"/>
    <cellStyle name="40% - Accent6 3 3 2_2.DATA" xfId="5139" xr:uid="{00000000-0005-0000-0000-00003B060000}"/>
    <cellStyle name="40% - Accent6 3 3 3" xfId="745" xr:uid="{00000000-0005-0000-0000-00003C060000}"/>
    <cellStyle name="40% - Accent6 3 3 4" xfId="4035" xr:uid="{00000000-0005-0000-0000-00003D060000}"/>
    <cellStyle name="40% - Accent6 3 3_2.DATA" xfId="5138" xr:uid="{00000000-0005-0000-0000-00003E060000}"/>
    <cellStyle name="40% - Accent6 3 4" xfId="746" xr:uid="{00000000-0005-0000-0000-00003F060000}"/>
    <cellStyle name="40% - Accent6 3 4 2" xfId="747" xr:uid="{00000000-0005-0000-0000-000040060000}"/>
    <cellStyle name="40% - Accent6 3 4 3" xfId="4354" xr:uid="{00000000-0005-0000-0000-000041060000}"/>
    <cellStyle name="40% - Accent6 3 4_2.DATA" xfId="5140" xr:uid="{00000000-0005-0000-0000-000042060000}"/>
    <cellStyle name="40% - Accent6 3 5" xfId="748" xr:uid="{00000000-0005-0000-0000-000043060000}"/>
    <cellStyle name="40% - Accent6 3 6" xfId="4008" xr:uid="{00000000-0005-0000-0000-000044060000}"/>
    <cellStyle name="40% - Accent6 3_2.DATA" xfId="5135" xr:uid="{00000000-0005-0000-0000-000045060000}"/>
    <cellStyle name="40% - Accent6 4" xfId="749" xr:uid="{00000000-0005-0000-0000-000046060000}"/>
    <cellStyle name="40% - Accent6 4 2" xfId="750" xr:uid="{00000000-0005-0000-0000-000047060000}"/>
    <cellStyle name="40% - Accent6 4 2 2" xfId="751" xr:uid="{00000000-0005-0000-0000-000048060000}"/>
    <cellStyle name="40% - Accent6 4 2 2 2" xfId="752" xr:uid="{00000000-0005-0000-0000-000049060000}"/>
    <cellStyle name="40% - Accent6 4 2 2_2.DATA" xfId="5143" xr:uid="{00000000-0005-0000-0000-00004A060000}"/>
    <cellStyle name="40% - Accent6 4 2 3" xfId="753" xr:uid="{00000000-0005-0000-0000-00004B060000}"/>
    <cellStyle name="40% - Accent6 4 2_2.DATA" xfId="5142" xr:uid="{00000000-0005-0000-0000-00004C060000}"/>
    <cellStyle name="40% - Accent6 4 3" xfId="754" xr:uid="{00000000-0005-0000-0000-00004D060000}"/>
    <cellStyle name="40% - Accent6 4 3 2" xfId="755" xr:uid="{00000000-0005-0000-0000-00004E060000}"/>
    <cellStyle name="40% - Accent6 4 3_2.DATA" xfId="5144" xr:uid="{00000000-0005-0000-0000-00004F060000}"/>
    <cellStyle name="40% - Accent6 4 4" xfId="756" xr:uid="{00000000-0005-0000-0000-000050060000}"/>
    <cellStyle name="40% - Accent6 4_2.DATA" xfId="5141" xr:uid="{00000000-0005-0000-0000-000051060000}"/>
    <cellStyle name="40% - Accent6 5" xfId="757" xr:uid="{00000000-0005-0000-0000-000052060000}"/>
    <cellStyle name="40% - Accent6 5 2" xfId="758" xr:uid="{00000000-0005-0000-0000-000053060000}"/>
    <cellStyle name="40% - Accent6 5 2 2" xfId="759" xr:uid="{00000000-0005-0000-0000-000054060000}"/>
    <cellStyle name="40% - Accent6 5 2 3" xfId="4139" xr:uid="{00000000-0005-0000-0000-000055060000}"/>
    <cellStyle name="40% - Accent6 5 2_2.DATA" xfId="5146" xr:uid="{00000000-0005-0000-0000-000056060000}"/>
    <cellStyle name="40% - Accent6 5 3" xfId="760" xr:uid="{00000000-0005-0000-0000-000057060000}"/>
    <cellStyle name="40% - Accent6 5 3 2" xfId="4582" xr:uid="{00000000-0005-0000-0000-000058060000}"/>
    <cellStyle name="40% - Accent6 5 3 3" xfId="1797" xr:uid="{00000000-0005-0000-0000-000059060000}"/>
    <cellStyle name="40% - Accent6 5_2.DATA" xfId="5145" xr:uid="{00000000-0005-0000-0000-00005A060000}"/>
    <cellStyle name="40% - Accent6 6" xfId="761" xr:uid="{00000000-0005-0000-0000-00005B060000}"/>
    <cellStyle name="40% - Accent6 6 2" xfId="762" xr:uid="{00000000-0005-0000-0000-00005C060000}"/>
    <cellStyle name="40% - Accent6 6 2 2" xfId="4380" xr:uid="{00000000-0005-0000-0000-00005D060000}"/>
    <cellStyle name="40% - Accent6 6 2_2.DATA" xfId="5148" xr:uid="{00000000-0005-0000-0000-00005E060000}"/>
    <cellStyle name="40% - Accent6 6 3" xfId="4152" xr:uid="{00000000-0005-0000-0000-00005F060000}"/>
    <cellStyle name="40% - Accent6 6_2.DATA" xfId="5147" xr:uid="{00000000-0005-0000-0000-000060060000}"/>
    <cellStyle name="40% - Accent6 7" xfId="763" xr:uid="{00000000-0005-0000-0000-000061060000}"/>
    <cellStyle name="40% - Accent6 7 2" xfId="764" xr:uid="{00000000-0005-0000-0000-000062060000}"/>
    <cellStyle name="40% - Accent6 7 2 2" xfId="4420" xr:uid="{00000000-0005-0000-0000-000063060000}"/>
    <cellStyle name="40% - Accent6 7 2_2.DATA" xfId="5150" xr:uid="{00000000-0005-0000-0000-000064060000}"/>
    <cellStyle name="40% - Accent6 7 3" xfId="4168" xr:uid="{00000000-0005-0000-0000-000065060000}"/>
    <cellStyle name="40% - Accent6 7_2.DATA" xfId="5149" xr:uid="{00000000-0005-0000-0000-000066060000}"/>
    <cellStyle name="40% - Accent6 8" xfId="765" xr:uid="{00000000-0005-0000-0000-000067060000}"/>
    <cellStyle name="40% - Accent6 8 2" xfId="1700" xr:uid="{00000000-0005-0000-0000-000068060000}"/>
    <cellStyle name="40% - Accent6 8 2 2" xfId="4456" xr:uid="{00000000-0005-0000-0000-000069060000}"/>
    <cellStyle name="40% - Accent6 8 2_2.DATA" xfId="5152" xr:uid="{00000000-0005-0000-0000-00006A060000}"/>
    <cellStyle name="40% - Accent6 8 3" xfId="4238" xr:uid="{00000000-0005-0000-0000-00006B060000}"/>
    <cellStyle name="40% - Accent6 8_2.DATA" xfId="5151" xr:uid="{00000000-0005-0000-0000-00006C060000}"/>
    <cellStyle name="40% - Accent6 9" xfId="766" xr:uid="{00000000-0005-0000-0000-00006D060000}"/>
    <cellStyle name="40% - Accent6 9 2" xfId="767" xr:uid="{00000000-0005-0000-0000-00006E060000}"/>
    <cellStyle name="40% - Accent6 9 2 2" xfId="4583" xr:uid="{00000000-0005-0000-0000-00006F060000}"/>
    <cellStyle name="40% - Accent6 9 2 3" xfId="4412" xr:uid="{00000000-0005-0000-0000-000070060000}"/>
    <cellStyle name="40% - Accent6 9 2 4" xfId="1717" xr:uid="{00000000-0005-0000-0000-000071060000}"/>
    <cellStyle name="40% - Accent6 9 2_2.DATA" xfId="5154" xr:uid="{00000000-0005-0000-0000-000072060000}"/>
    <cellStyle name="40% - Accent6 9 3" xfId="768" xr:uid="{00000000-0005-0000-0000-000073060000}"/>
    <cellStyle name="40% - Accent6 9 4" xfId="4254" xr:uid="{00000000-0005-0000-0000-000074060000}"/>
    <cellStyle name="40% - Accent6 9_2.DATA" xfId="5153" xr:uid="{00000000-0005-0000-0000-000075060000}"/>
    <cellStyle name="60% - Accent1" xfId="1373" builtinId="32" customBuiltin="1"/>
    <cellStyle name="60% - Accent1 2" xfId="769" xr:uid="{00000000-0005-0000-0000-000077060000}"/>
    <cellStyle name="60% - Accent1 2 2" xfId="1799" xr:uid="{00000000-0005-0000-0000-000078060000}"/>
    <cellStyle name="60% - Accent1 2 3" xfId="4584" xr:uid="{00000000-0005-0000-0000-000079060000}"/>
    <cellStyle name="60% - Accent1 2 4" xfId="1798" xr:uid="{00000000-0005-0000-0000-00007A060000}"/>
    <cellStyle name="60% - Accent1 3" xfId="770" xr:uid="{00000000-0005-0000-0000-00007B060000}"/>
    <cellStyle name="60% - Accent1 3 2" xfId="4585" xr:uid="{00000000-0005-0000-0000-00007C060000}"/>
    <cellStyle name="60% - Accent1 3 3" xfId="1800" xr:uid="{00000000-0005-0000-0000-00007D060000}"/>
    <cellStyle name="60% - Accent1 3_2.DATA" xfId="5155" xr:uid="{00000000-0005-0000-0000-00007E060000}"/>
    <cellStyle name="60% - Accent2" xfId="1377" builtinId="36" customBuiltin="1"/>
    <cellStyle name="60% - Accent2 2" xfId="771" xr:uid="{00000000-0005-0000-0000-000080060000}"/>
    <cellStyle name="60% - Accent2 2 2" xfId="1802" xr:uid="{00000000-0005-0000-0000-000081060000}"/>
    <cellStyle name="60% - Accent2 2 3" xfId="4586" xr:uid="{00000000-0005-0000-0000-000082060000}"/>
    <cellStyle name="60% - Accent2 2 4" xfId="1801" xr:uid="{00000000-0005-0000-0000-000083060000}"/>
    <cellStyle name="60% - Accent2 3" xfId="772" xr:uid="{00000000-0005-0000-0000-000084060000}"/>
    <cellStyle name="60% - Accent2 3 2" xfId="4587" xr:uid="{00000000-0005-0000-0000-000085060000}"/>
    <cellStyle name="60% - Accent2 3 3" xfId="1803" xr:uid="{00000000-0005-0000-0000-000086060000}"/>
    <cellStyle name="60% - Accent2 3_2.DATA" xfId="5156" xr:uid="{00000000-0005-0000-0000-000087060000}"/>
    <cellStyle name="60% - Accent3" xfId="1381" builtinId="40" customBuiltin="1"/>
    <cellStyle name="60% - Accent3 2" xfId="773" xr:uid="{00000000-0005-0000-0000-000089060000}"/>
    <cellStyle name="60% - Accent3 2 2" xfId="1805" xr:uid="{00000000-0005-0000-0000-00008A060000}"/>
    <cellStyle name="60% - Accent3 2 3" xfId="4588" xr:uid="{00000000-0005-0000-0000-00008B060000}"/>
    <cellStyle name="60% - Accent3 2 4" xfId="1804" xr:uid="{00000000-0005-0000-0000-00008C060000}"/>
    <cellStyle name="60% - Accent3 3" xfId="774" xr:uid="{00000000-0005-0000-0000-00008D060000}"/>
    <cellStyle name="60% - Accent3 3 2" xfId="4589" xr:uid="{00000000-0005-0000-0000-00008E060000}"/>
    <cellStyle name="60% - Accent3 3 3" xfId="1806" xr:uid="{00000000-0005-0000-0000-00008F060000}"/>
    <cellStyle name="60% - Accent3 3_2.DATA" xfId="5157" xr:uid="{00000000-0005-0000-0000-000090060000}"/>
    <cellStyle name="60% - Accent4" xfId="1385" builtinId="44" customBuiltin="1"/>
    <cellStyle name="60% - Accent4 2" xfId="775" xr:uid="{00000000-0005-0000-0000-000092060000}"/>
    <cellStyle name="60% - Accent4 2 2" xfId="1808" xr:uid="{00000000-0005-0000-0000-000093060000}"/>
    <cellStyle name="60% - Accent4 2 3" xfId="4590" xr:uid="{00000000-0005-0000-0000-000094060000}"/>
    <cellStyle name="60% - Accent4 2 4" xfId="1807" xr:uid="{00000000-0005-0000-0000-000095060000}"/>
    <cellStyle name="60% - Accent4 3" xfId="776" xr:uid="{00000000-0005-0000-0000-000096060000}"/>
    <cellStyle name="60% - Accent4 3 2" xfId="4591" xr:uid="{00000000-0005-0000-0000-000097060000}"/>
    <cellStyle name="60% - Accent4 3 3" xfId="1809" xr:uid="{00000000-0005-0000-0000-000098060000}"/>
    <cellStyle name="60% - Accent4 3_2.DATA" xfId="5158" xr:uid="{00000000-0005-0000-0000-000099060000}"/>
    <cellStyle name="60% - Accent5" xfId="1389" builtinId="48" customBuiltin="1"/>
    <cellStyle name="60% - Accent5 2" xfId="777" xr:uid="{00000000-0005-0000-0000-00009B060000}"/>
    <cellStyle name="60% - Accent5 2 2" xfId="1811" xr:uid="{00000000-0005-0000-0000-00009C060000}"/>
    <cellStyle name="60% - Accent5 2 3" xfId="4592" xr:uid="{00000000-0005-0000-0000-00009D060000}"/>
    <cellStyle name="60% - Accent5 2 4" xfId="1810" xr:uid="{00000000-0005-0000-0000-00009E060000}"/>
    <cellStyle name="60% - Accent5 3" xfId="778" xr:uid="{00000000-0005-0000-0000-00009F060000}"/>
    <cellStyle name="60% - Accent5 3 2" xfId="4593" xr:uid="{00000000-0005-0000-0000-0000A0060000}"/>
    <cellStyle name="60% - Accent5 3 3" xfId="1812" xr:uid="{00000000-0005-0000-0000-0000A1060000}"/>
    <cellStyle name="60% - Accent5 3_2.DATA" xfId="5159" xr:uid="{00000000-0005-0000-0000-0000A2060000}"/>
    <cellStyle name="60% - Accent6" xfId="1393" builtinId="52" customBuiltin="1"/>
    <cellStyle name="60% - Accent6 2" xfId="779" xr:uid="{00000000-0005-0000-0000-0000A4060000}"/>
    <cellStyle name="60% - Accent6 2 2" xfId="1814" xr:uid="{00000000-0005-0000-0000-0000A5060000}"/>
    <cellStyle name="60% - Accent6 2 3" xfId="4594" xr:uid="{00000000-0005-0000-0000-0000A6060000}"/>
    <cellStyle name="60% - Accent6 2 4" xfId="1813" xr:uid="{00000000-0005-0000-0000-0000A7060000}"/>
    <cellStyle name="60% - Accent6 3" xfId="780" xr:uid="{00000000-0005-0000-0000-0000A8060000}"/>
    <cellStyle name="60% - Accent6 3 2" xfId="4595" xr:uid="{00000000-0005-0000-0000-0000A9060000}"/>
    <cellStyle name="60% - Accent6 3 3" xfId="1815" xr:uid="{00000000-0005-0000-0000-0000AA060000}"/>
    <cellStyle name="60% - Accent6 3_2.DATA" xfId="5160" xr:uid="{00000000-0005-0000-0000-0000AB060000}"/>
    <cellStyle name="Accent1" xfId="1370" builtinId="29" customBuiltin="1"/>
    <cellStyle name="Accent1 2" xfId="781" xr:uid="{00000000-0005-0000-0000-0000AD060000}"/>
    <cellStyle name="Accent1 2 2" xfId="1817" xr:uid="{00000000-0005-0000-0000-0000AE060000}"/>
    <cellStyle name="Accent1 2 3" xfId="4596" xr:uid="{00000000-0005-0000-0000-0000AF060000}"/>
    <cellStyle name="Accent1 2 4" xfId="1816" xr:uid="{00000000-0005-0000-0000-0000B0060000}"/>
    <cellStyle name="Accent1 3" xfId="782" xr:uid="{00000000-0005-0000-0000-0000B1060000}"/>
    <cellStyle name="Accent1 3 2" xfId="4597" xr:uid="{00000000-0005-0000-0000-0000B2060000}"/>
    <cellStyle name="Accent1 3 3" xfId="1818" xr:uid="{00000000-0005-0000-0000-0000B3060000}"/>
    <cellStyle name="Accent1 3_2.DATA" xfId="5161" xr:uid="{00000000-0005-0000-0000-0000B4060000}"/>
    <cellStyle name="Accent2" xfId="1374" builtinId="33" customBuiltin="1"/>
    <cellStyle name="Accent2 2" xfId="783" xr:uid="{00000000-0005-0000-0000-0000B6060000}"/>
    <cellStyle name="Accent2 2 2" xfId="1820" xr:uid="{00000000-0005-0000-0000-0000B7060000}"/>
    <cellStyle name="Accent2 2 3" xfId="4598" xr:uid="{00000000-0005-0000-0000-0000B8060000}"/>
    <cellStyle name="Accent2 2 4" xfId="1819" xr:uid="{00000000-0005-0000-0000-0000B9060000}"/>
    <cellStyle name="Accent2 3" xfId="784" xr:uid="{00000000-0005-0000-0000-0000BA060000}"/>
    <cellStyle name="Accent2 3 2" xfId="4599" xr:uid="{00000000-0005-0000-0000-0000BB060000}"/>
    <cellStyle name="Accent2 3 3" xfId="1821" xr:uid="{00000000-0005-0000-0000-0000BC060000}"/>
    <cellStyle name="Accent2 3_2.DATA" xfId="5162" xr:uid="{00000000-0005-0000-0000-0000BD060000}"/>
    <cellStyle name="Accent3" xfId="1378" builtinId="37" customBuiltin="1"/>
    <cellStyle name="Accent3 2" xfId="785" xr:uid="{00000000-0005-0000-0000-0000BF060000}"/>
    <cellStyle name="Accent3 2 2" xfId="1823" xr:uid="{00000000-0005-0000-0000-0000C0060000}"/>
    <cellStyle name="Accent3 2 3" xfId="4600" xr:uid="{00000000-0005-0000-0000-0000C1060000}"/>
    <cellStyle name="Accent3 2 4" xfId="1822" xr:uid="{00000000-0005-0000-0000-0000C2060000}"/>
    <cellStyle name="Accent3 3" xfId="786" xr:uid="{00000000-0005-0000-0000-0000C3060000}"/>
    <cellStyle name="Accent3 3 2" xfId="4601" xr:uid="{00000000-0005-0000-0000-0000C4060000}"/>
    <cellStyle name="Accent3 3 3" xfId="1824" xr:uid="{00000000-0005-0000-0000-0000C5060000}"/>
    <cellStyle name="Accent3 3_2.DATA" xfId="5163" xr:uid="{00000000-0005-0000-0000-0000C6060000}"/>
    <cellStyle name="Accent4" xfId="1382" builtinId="41" customBuiltin="1"/>
    <cellStyle name="Accent4 2" xfId="787" xr:uid="{00000000-0005-0000-0000-0000C8060000}"/>
    <cellStyle name="Accent4 2 2" xfId="1826" xr:uid="{00000000-0005-0000-0000-0000C9060000}"/>
    <cellStyle name="Accent4 2 3" xfId="4602" xr:uid="{00000000-0005-0000-0000-0000CA060000}"/>
    <cellStyle name="Accent4 2 4" xfId="1825" xr:uid="{00000000-0005-0000-0000-0000CB060000}"/>
    <cellStyle name="Accent4 3" xfId="788" xr:uid="{00000000-0005-0000-0000-0000CC060000}"/>
    <cellStyle name="Accent4 3 2" xfId="4603" xr:uid="{00000000-0005-0000-0000-0000CD060000}"/>
    <cellStyle name="Accent4 3 3" xfId="1827" xr:uid="{00000000-0005-0000-0000-0000CE060000}"/>
    <cellStyle name="Accent4 3_2.DATA" xfId="5164" xr:uid="{00000000-0005-0000-0000-0000CF060000}"/>
    <cellStyle name="Accent5" xfId="1386" builtinId="45" customBuiltin="1"/>
    <cellStyle name="Accent5 2" xfId="789" xr:uid="{00000000-0005-0000-0000-0000D1060000}"/>
    <cellStyle name="Accent5 2 2" xfId="1829" xr:uid="{00000000-0005-0000-0000-0000D2060000}"/>
    <cellStyle name="Accent5 2 3" xfId="4604" xr:uid="{00000000-0005-0000-0000-0000D3060000}"/>
    <cellStyle name="Accent5 2 4" xfId="1828" xr:uid="{00000000-0005-0000-0000-0000D4060000}"/>
    <cellStyle name="Accent5 3" xfId="790" xr:uid="{00000000-0005-0000-0000-0000D5060000}"/>
    <cellStyle name="Accent5 3 2" xfId="4605" xr:uid="{00000000-0005-0000-0000-0000D6060000}"/>
    <cellStyle name="Accent5 3 3" xfId="1830" xr:uid="{00000000-0005-0000-0000-0000D7060000}"/>
    <cellStyle name="Accent5 3_2.DATA" xfId="5165" xr:uid="{00000000-0005-0000-0000-0000D8060000}"/>
    <cellStyle name="Accent6" xfId="1390" builtinId="49" customBuiltin="1"/>
    <cellStyle name="Accent6 2" xfId="791" xr:uid="{00000000-0005-0000-0000-0000DA060000}"/>
    <cellStyle name="Accent6 2 2" xfId="1832" xr:uid="{00000000-0005-0000-0000-0000DB060000}"/>
    <cellStyle name="Accent6 2 3" xfId="4606" xr:uid="{00000000-0005-0000-0000-0000DC060000}"/>
    <cellStyle name="Accent6 2 4" xfId="1831" xr:uid="{00000000-0005-0000-0000-0000DD060000}"/>
    <cellStyle name="Accent6 3" xfId="792" xr:uid="{00000000-0005-0000-0000-0000DE060000}"/>
    <cellStyle name="Accent6 3 2" xfId="4607" xr:uid="{00000000-0005-0000-0000-0000DF060000}"/>
    <cellStyle name="Accent6 3 3" xfId="1833" xr:uid="{00000000-0005-0000-0000-0000E0060000}"/>
    <cellStyle name="Accent6 3_2.DATA" xfId="5166" xr:uid="{00000000-0005-0000-0000-0000E1060000}"/>
    <cellStyle name="Activity" xfId="793" xr:uid="{00000000-0005-0000-0000-0000E2060000}"/>
    <cellStyle name="Assumptions Center Currency" xfId="794" xr:uid="{00000000-0005-0000-0000-0000E3060000}"/>
    <cellStyle name="Assumptions Center Currency 2" xfId="795" xr:uid="{00000000-0005-0000-0000-0000E4060000}"/>
    <cellStyle name="Assumptions Center Currency 3" xfId="796" xr:uid="{00000000-0005-0000-0000-0000E5060000}"/>
    <cellStyle name="Assumptions Center Date" xfId="797" xr:uid="{00000000-0005-0000-0000-0000E6060000}"/>
    <cellStyle name="Assumptions Center Date 2" xfId="798" xr:uid="{00000000-0005-0000-0000-0000E7060000}"/>
    <cellStyle name="Assumptions Center Date 3" xfId="799" xr:uid="{00000000-0005-0000-0000-0000E8060000}"/>
    <cellStyle name="Assumptions Center Multiple" xfId="800" xr:uid="{00000000-0005-0000-0000-0000E9060000}"/>
    <cellStyle name="Assumptions Center Multiple 2" xfId="801" xr:uid="{00000000-0005-0000-0000-0000EA060000}"/>
    <cellStyle name="Assumptions Center Multiple 3" xfId="802" xr:uid="{00000000-0005-0000-0000-0000EB060000}"/>
    <cellStyle name="Assumptions Center Number" xfId="803" xr:uid="{00000000-0005-0000-0000-0000EC060000}"/>
    <cellStyle name="Assumptions Center Number 2" xfId="804" xr:uid="{00000000-0005-0000-0000-0000ED060000}"/>
    <cellStyle name="Assumptions Center Number 3" xfId="805" xr:uid="{00000000-0005-0000-0000-0000EE060000}"/>
    <cellStyle name="Assumptions Center Percentage" xfId="806" xr:uid="{00000000-0005-0000-0000-0000EF060000}"/>
    <cellStyle name="Assumptions Center Percentage 2" xfId="807" xr:uid="{00000000-0005-0000-0000-0000F0060000}"/>
    <cellStyle name="Assumptions Center Percentage 3" xfId="808" xr:uid="{00000000-0005-0000-0000-0000F1060000}"/>
    <cellStyle name="Assumptions Center Year" xfId="809" xr:uid="{00000000-0005-0000-0000-0000F2060000}"/>
    <cellStyle name="Assumptions Center Year 2" xfId="810" xr:uid="{00000000-0005-0000-0000-0000F3060000}"/>
    <cellStyle name="Assumptions Center Year 3" xfId="811" xr:uid="{00000000-0005-0000-0000-0000F4060000}"/>
    <cellStyle name="Assumptions Heading" xfId="812" xr:uid="{00000000-0005-0000-0000-0000F5060000}"/>
    <cellStyle name="Assumptions Heading 2" xfId="813" xr:uid="{00000000-0005-0000-0000-0000F6060000}"/>
    <cellStyle name="Assumptions Heading 3" xfId="814" xr:uid="{00000000-0005-0000-0000-0000F7060000}"/>
    <cellStyle name="Assumptions Right Currency" xfId="815" xr:uid="{00000000-0005-0000-0000-0000F8060000}"/>
    <cellStyle name="Assumptions Right Currency 2" xfId="816" xr:uid="{00000000-0005-0000-0000-0000F9060000}"/>
    <cellStyle name="Assumptions Right Currency 3" xfId="817" xr:uid="{00000000-0005-0000-0000-0000FA060000}"/>
    <cellStyle name="Assumptions Right Date" xfId="818" xr:uid="{00000000-0005-0000-0000-0000FB060000}"/>
    <cellStyle name="Assumptions Right Date 2" xfId="819" xr:uid="{00000000-0005-0000-0000-0000FC060000}"/>
    <cellStyle name="Assumptions Right Date 3" xfId="820" xr:uid="{00000000-0005-0000-0000-0000FD060000}"/>
    <cellStyle name="Assumptions Right Multiple" xfId="821" xr:uid="{00000000-0005-0000-0000-0000FE060000}"/>
    <cellStyle name="Assumptions Right Multiple 2" xfId="822" xr:uid="{00000000-0005-0000-0000-0000FF060000}"/>
    <cellStyle name="Assumptions Right Multiple 3" xfId="823" xr:uid="{00000000-0005-0000-0000-000000070000}"/>
    <cellStyle name="Assumptions Right Number" xfId="824" xr:uid="{00000000-0005-0000-0000-000001070000}"/>
    <cellStyle name="Assumptions Right Number 2" xfId="825" xr:uid="{00000000-0005-0000-0000-000002070000}"/>
    <cellStyle name="Assumptions Right Number 3" xfId="826" xr:uid="{00000000-0005-0000-0000-000003070000}"/>
    <cellStyle name="Assumptions Right Percentage" xfId="827" xr:uid="{00000000-0005-0000-0000-000004070000}"/>
    <cellStyle name="Assumptions Right Percentage 2" xfId="828" xr:uid="{00000000-0005-0000-0000-000005070000}"/>
    <cellStyle name="Assumptions Right Percentage 3" xfId="829" xr:uid="{00000000-0005-0000-0000-000006070000}"/>
    <cellStyle name="Assumptions Right Year" xfId="830" xr:uid="{00000000-0005-0000-0000-000007070000}"/>
    <cellStyle name="Assumptions Right Year 2" xfId="831" xr:uid="{00000000-0005-0000-0000-000008070000}"/>
    <cellStyle name="Assumptions Right Year 3" xfId="832" xr:uid="{00000000-0005-0000-0000-000009070000}"/>
    <cellStyle name="AXAPTA_Bold" xfId="1834" xr:uid="{00000000-0005-0000-0000-00000A070000}"/>
    <cellStyle name="Bad" xfId="1359" builtinId="27" customBuiltin="1"/>
    <cellStyle name="Bad 2" xfId="833" xr:uid="{00000000-0005-0000-0000-00000C070000}"/>
    <cellStyle name="Bad 2 2" xfId="1836" xr:uid="{00000000-0005-0000-0000-00000D070000}"/>
    <cellStyle name="Bad 2 3" xfId="4608" xr:uid="{00000000-0005-0000-0000-00000E070000}"/>
    <cellStyle name="Bad 2 4" xfId="1835" xr:uid="{00000000-0005-0000-0000-00000F070000}"/>
    <cellStyle name="Bad 3" xfId="834" xr:uid="{00000000-0005-0000-0000-000010070000}"/>
    <cellStyle name="Bad 3 2" xfId="4609" xr:uid="{00000000-0005-0000-0000-000011070000}"/>
    <cellStyle name="Bad 3 3" xfId="1837" xr:uid="{00000000-0005-0000-0000-000012070000}"/>
    <cellStyle name="Bad 3_2.DATA" xfId="5167" xr:uid="{00000000-0005-0000-0000-000013070000}"/>
    <cellStyle name="Bad 4" xfId="1838" xr:uid="{00000000-0005-0000-0000-000014070000}"/>
    <cellStyle name="C:\Data\MS\Excel" xfId="835" xr:uid="{00000000-0005-0000-0000-000015070000}"/>
    <cellStyle name="Calculation" xfId="1363" builtinId="22" customBuiltin="1"/>
    <cellStyle name="Calculation 2" xfId="836" xr:uid="{00000000-0005-0000-0000-000017070000}"/>
    <cellStyle name="Calculation 2 2" xfId="1840" xr:uid="{00000000-0005-0000-0000-000018070000}"/>
    <cellStyle name="Calculation 2 2 2" xfId="1841" xr:uid="{00000000-0005-0000-0000-000019070000}"/>
    <cellStyle name="Calculation 2 2 3" xfId="1842" xr:uid="{00000000-0005-0000-0000-00001A070000}"/>
    <cellStyle name="Calculation 2 2 4" xfId="1843" xr:uid="{00000000-0005-0000-0000-00001B070000}"/>
    <cellStyle name="Calculation 2 2_BC Valid CC Listing" xfId="1844" xr:uid="{00000000-0005-0000-0000-00001C070000}"/>
    <cellStyle name="Calculation 2 3" xfId="1845" xr:uid="{00000000-0005-0000-0000-00001D070000}"/>
    <cellStyle name="Calculation 2 4" xfId="1846" xr:uid="{00000000-0005-0000-0000-00001E070000}"/>
    <cellStyle name="Calculation 2 5" xfId="1847" xr:uid="{00000000-0005-0000-0000-00001F070000}"/>
    <cellStyle name="Calculation 2 6" xfId="4610" xr:uid="{00000000-0005-0000-0000-000020070000}"/>
    <cellStyle name="Calculation 2 7" xfId="1839" xr:uid="{00000000-0005-0000-0000-000021070000}"/>
    <cellStyle name="Calculation 2_BC Valid CC Listing" xfId="1848" xr:uid="{00000000-0005-0000-0000-000022070000}"/>
    <cellStyle name="Calculation 3" xfId="837" xr:uid="{00000000-0005-0000-0000-000023070000}"/>
    <cellStyle name="Calculation 3 2" xfId="4611" xr:uid="{00000000-0005-0000-0000-000024070000}"/>
    <cellStyle name="Calculation 3 3" xfId="1849" xr:uid="{00000000-0005-0000-0000-000025070000}"/>
    <cellStyle name="Calculation 3_2.DATA" xfId="5168" xr:uid="{00000000-0005-0000-0000-000026070000}"/>
    <cellStyle name="Calculation 4" xfId="1850" xr:uid="{00000000-0005-0000-0000-000027070000}"/>
    <cellStyle name="Calculation 5" xfId="1851" xr:uid="{00000000-0005-0000-0000-000028070000}"/>
    <cellStyle name="Cell Link" xfId="838" xr:uid="{00000000-0005-0000-0000-000029070000}"/>
    <cellStyle name="Center Currency" xfId="839" xr:uid="{00000000-0005-0000-0000-00002A070000}"/>
    <cellStyle name="Center Date" xfId="840" xr:uid="{00000000-0005-0000-0000-00002B070000}"/>
    <cellStyle name="Center Multiple" xfId="841" xr:uid="{00000000-0005-0000-0000-00002C070000}"/>
    <cellStyle name="Center Number" xfId="842" xr:uid="{00000000-0005-0000-0000-00002D070000}"/>
    <cellStyle name="Center Percentage" xfId="843" xr:uid="{00000000-0005-0000-0000-00002E070000}"/>
    <cellStyle name="Center Year" xfId="844" xr:uid="{00000000-0005-0000-0000-00002F070000}"/>
    <cellStyle name="Check Cell" xfId="1365" builtinId="23" customBuiltin="1"/>
    <cellStyle name="Check Cell 2" xfId="845" xr:uid="{00000000-0005-0000-0000-000031070000}"/>
    <cellStyle name="Check Cell 2 2" xfId="1853" xr:uid="{00000000-0005-0000-0000-000032070000}"/>
    <cellStyle name="Check Cell 2 3" xfId="4612" xr:uid="{00000000-0005-0000-0000-000033070000}"/>
    <cellStyle name="Check Cell 2 4" xfId="1852" xr:uid="{00000000-0005-0000-0000-000034070000}"/>
    <cellStyle name="Check Cell 3" xfId="846" xr:uid="{00000000-0005-0000-0000-000035070000}"/>
    <cellStyle name="Check Cell 3 2" xfId="4613" xr:uid="{00000000-0005-0000-0000-000036070000}"/>
    <cellStyle name="Check Cell 3 3" xfId="1854" xr:uid="{00000000-0005-0000-0000-000037070000}"/>
    <cellStyle name="Check Cell 3_2.DATA" xfId="5169" xr:uid="{00000000-0005-0000-0000-000038070000}"/>
    <cellStyle name="Comma" xfId="1" builtinId="3"/>
    <cellStyle name="Comma 10" xfId="847" xr:uid="{00000000-0005-0000-0000-00003A070000}"/>
    <cellStyle name="Comma 10 2" xfId="1642" xr:uid="{00000000-0005-0000-0000-00003B070000}"/>
    <cellStyle name="Comma 10 2 2" xfId="4153" xr:uid="{00000000-0005-0000-0000-00003C070000}"/>
    <cellStyle name="Comma 10 2 2 2" xfId="6264" xr:uid="{D7741F9B-97B0-4468-95F2-2B0FBD6EE543}"/>
    <cellStyle name="Comma 10 2 2 2 2" xfId="6818" xr:uid="{D7741F9B-97B0-4468-95F2-2B0FBD6EE543}"/>
    <cellStyle name="Comma 10 2 2 2 2 2" xfId="7705" xr:uid="{D7741F9B-97B0-4468-95F2-2B0FBD6EE543}"/>
    <cellStyle name="Comma 10 2 2 2 3" xfId="7152" xr:uid="{D7741F9B-97B0-4468-95F2-2B0FBD6EE543}"/>
    <cellStyle name="Comma 10 2 2 3" xfId="6685" xr:uid="{00000000-0005-0000-0000-00003C070000}"/>
    <cellStyle name="Comma 10 2 2 3 2" xfId="7572" xr:uid="{00000000-0005-0000-0000-00003C070000}"/>
    <cellStyle name="Comma 10 2 2 4" xfId="7090" xr:uid="{00000000-0005-0000-0000-00003C070000}"/>
    <cellStyle name="Comma 10 2 3" xfId="6447" xr:uid="{00000000-0005-0000-0000-00003B070000}"/>
    <cellStyle name="Comma 10 2 3 2" xfId="7334" xr:uid="{00000000-0005-0000-0000-00003B070000}"/>
    <cellStyle name="Comma 10 2 4" xfId="6914" xr:uid="{00000000-0005-0000-0000-00003B070000}"/>
    <cellStyle name="Comma 10 3" xfId="1761" xr:uid="{00000000-0005-0000-0000-00003D070000}"/>
    <cellStyle name="Comma 10 3 2" xfId="4614" xr:uid="{00000000-0005-0000-0000-00003E070000}"/>
    <cellStyle name="Comma 10 3 2 2" xfId="6773" xr:uid="{00000000-0005-0000-0000-00003E070000}"/>
    <cellStyle name="Comma 10 3 2 2 2" xfId="7660" xr:uid="{00000000-0005-0000-0000-00003E070000}"/>
    <cellStyle name="Comma 10 3 3" xfId="6485" xr:uid="{00000000-0005-0000-0000-00003D070000}"/>
    <cellStyle name="Comma 10 3 3 2" xfId="7372" xr:uid="{00000000-0005-0000-0000-00003D070000}"/>
    <cellStyle name="Comma 10 3 4" xfId="6941" xr:uid="{00000000-0005-0000-0000-00003D070000}"/>
    <cellStyle name="Comma 10 4" xfId="4010" xr:uid="{00000000-0005-0000-0000-00003F070000}"/>
    <cellStyle name="Comma 10 4 2" xfId="6651" xr:uid="{00000000-0005-0000-0000-00003F070000}"/>
    <cellStyle name="Comma 10 4 2 2" xfId="7538" xr:uid="{00000000-0005-0000-0000-00003F070000}"/>
    <cellStyle name="Comma 10 5" xfId="1495" xr:uid="{00000000-0005-0000-0000-000040070000}"/>
    <cellStyle name="Comma 10 5 2" xfId="6375" xr:uid="{00000000-0005-0000-0000-000040070000}"/>
    <cellStyle name="Comma 10 5 2 2" xfId="7262" xr:uid="{00000000-0005-0000-0000-000040070000}"/>
    <cellStyle name="Comma 10 5 3" xfId="6874" xr:uid="{00000000-0005-0000-0000-000040070000}"/>
    <cellStyle name="Comma 10_2.DATA" xfId="5170" xr:uid="{00000000-0005-0000-0000-000041070000}"/>
    <cellStyle name="Comma 11" xfId="1496" xr:uid="{00000000-0005-0000-0000-000042070000}"/>
    <cellStyle name="Comma 11 2" xfId="1643" xr:uid="{00000000-0005-0000-0000-000043070000}"/>
    <cellStyle name="Comma 11 2 2" xfId="4155" xr:uid="{00000000-0005-0000-0000-000044070000}"/>
    <cellStyle name="Comma 11 2 2 2" xfId="6686" xr:uid="{00000000-0005-0000-0000-000044070000}"/>
    <cellStyle name="Comma 11 2 2 2 2" xfId="7573" xr:uid="{00000000-0005-0000-0000-000044070000}"/>
    <cellStyle name="Comma 11 2 2 3" xfId="7091" xr:uid="{00000000-0005-0000-0000-000044070000}"/>
    <cellStyle name="Comma 11 2 3" xfId="6448" xr:uid="{00000000-0005-0000-0000-000043070000}"/>
    <cellStyle name="Comma 11 2 3 2" xfId="7335" xr:uid="{00000000-0005-0000-0000-000043070000}"/>
    <cellStyle name="Comma 11 2 4" xfId="6915" xr:uid="{00000000-0005-0000-0000-000043070000}"/>
    <cellStyle name="Comma 11 3" xfId="1855" xr:uid="{00000000-0005-0000-0000-000045070000}"/>
    <cellStyle name="Comma 11 3 2" xfId="6486" xr:uid="{00000000-0005-0000-0000-000045070000}"/>
    <cellStyle name="Comma 11 3 2 2" xfId="7373" xr:uid="{00000000-0005-0000-0000-000045070000}"/>
    <cellStyle name="Comma 11 3 3" xfId="6942" xr:uid="{00000000-0005-0000-0000-000045070000}"/>
    <cellStyle name="Comma 11 4" xfId="6376" xr:uid="{00000000-0005-0000-0000-000042070000}"/>
    <cellStyle name="Comma 11 4 2" xfId="7263" xr:uid="{00000000-0005-0000-0000-000042070000}"/>
    <cellStyle name="Comma 11 5" xfId="6875" xr:uid="{00000000-0005-0000-0000-000042070000}"/>
    <cellStyle name="Comma 12" xfId="1535" xr:uid="{00000000-0005-0000-0000-000046070000}"/>
    <cellStyle name="Comma 12 2" xfId="1687" xr:uid="{00000000-0005-0000-0000-000047070000}"/>
    <cellStyle name="Comma 12 2 2" xfId="4225" xr:uid="{00000000-0005-0000-0000-000048070000}"/>
    <cellStyle name="Comma 12 2 2 2" xfId="6705" xr:uid="{00000000-0005-0000-0000-000048070000}"/>
    <cellStyle name="Comma 12 2 2 2 2" xfId="7592" xr:uid="{00000000-0005-0000-0000-000048070000}"/>
    <cellStyle name="Comma 12 2 2 3" xfId="7100" xr:uid="{00000000-0005-0000-0000-000048070000}"/>
    <cellStyle name="Comma 12 2 3" xfId="6471" xr:uid="{00000000-0005-0000-0000-000047070000}"/>
    <cellStyle name="Comma 12 2 3 2" xfId="7358" xr:uid="{00000000-0005-0000-0000-000047070000}"/>
    <cellStyle name="Comma 12 2 4" xfId="6927" xr:uid="{00000000-0005-0000-0000-000047070000}"/>
    <cellStyle name="Comma 12 3" xfId="1856" xr:uid="{00000000-0005-0000-0000-000049070000}"/>
    <cellStyle name="Comma 12 3 2" xfId="6487" xr:uid="{00000000-0005-0000-0000-000049070000}"/>
    <cellStyle name="Comma 12 3 2 2" xfId="7374" xr:uid="{00000000-0005-0000-0000-000049070000}"/>
    <cellStyle name="Comma 12 3 3" xfId="6943" xr:uid="{00000000-0005-0000-0000-000049070000}"/>
    <cellStyle name="Comma 12 4" xfId="6398" xr:uid="{00000000-0005-0000-0000-000046070000}"/>
    <cellStyle name="Comma 12 4 2" xfId="7285" xr:uid="{00000000-0005-0000-0000-000046070000}"/>
    <cellStyle name="Comma 12 5" xfId="6887" xr:uid="{00000000-0005-0000-0000-000046070000}"/>
    <cellStyle name="Comma 13" xfId="1538" xr:uid="{00000000-0005-0000-0000-00004A070000}"/>
    <cellStyle name="Comma 13 2" xfId="1703" xr:uid="{00000000-0005-0000-0000-00004B070000}"/>
    <cellStyle name="Comma 13 2 2" xfId="4443" xr:uid="{00000000-0005-0000-0000-00004C070000}"/>
    <cellStyle name="Comma 13 2 2 2" xfId="6751" xr:uid="{00000000-0005-0000-0000-00004C070000}"/>
    <cellStyle name="Comma 13 2 2 2 2" xfId="7638" xr:uid="{00000000-0005-0000-0000-00004C070000}"/>
    <cellStyle name="Comma 13 2 2 3" xfId="7128" xr:uid="{00000000-0005-0000-0000-00004C070000}"/>
    <cellStyle name="Comma 13 2 3" xfId="6472" xr:uid="{00000000-0005-0000-0000-00004B070000}"/>
    <cellStyle name="Comma 13 2 3 2" xfId="7359" xr:uid="{00000000-0005-0000-0000-00004B070000}"/>
    <cellStyle name="Comma 13 2 4" xfId="6928" xr:uid="{00000000-0005-0000-0000-00004B070000}"/>
    <cellStyle name="Comma 13 3" xfId="4240" xr:uid="{00000000-0005-0000-0000-00004D070000}"/>
    <cellStyle name="Comma 13 3 2" xfId="6706" xr:uid="{00000000-0005-0000-0000-00004D070000}"/>
    <cellStyle name="Comma 13 3 2 2" xfId="7593" xr:uid="{00000000-0005-0000-0000-00004D070000}"/>
    <cellStyle name="Comma 13 3 3" xfId="7101" xr:uid="{00000000-0005-0000-0000-00004D070000}"/>
    <cellStyle name="Comma 13 4" xfId="6399" xr:uid="{00000000-0005-0000-0000-00004A070000}"/>
    <cellStyle name="Comma 13 4 2" xfId="7286" xr:uid="{00000000-0005-0000-0000-00004A070000}"/>
    <cellStyle name="Comma 13 5" xfId="6888" xr:uid="{00000000-0005-0000-0000-00004A070000}"/>
    <cellStyle name="Comma 14" xfId="1543" xr:uid="{00000000-0005-0000-0000-00004E070000}"/>
    <cellStyle name="Comma 14 2" xfId="4485" xr:uid="{00000000-0005-0000-0000-00004F070000}"/>
    <cellStyle name="Comma 14 2 2" xfId="6763" xr:uid="{00000000-0005-0000-0000-00004F070000}"/>
    <cellStyle name="Comma 14 2 2 2" xfId="7650" xr:uid="{00000000-0005-0000-0000-00004F070000}"/>
    <cellStyle name="Comma 14 2 3" xfId="7135" xr:uid="{00000000-0005-0000-0000-00004F070000}"/>
    <cellStyle name="Comma 14 3" xfId="6401" xr:uid="{00000000-0005-0000-0000-00004E070000}"/>
    <cellStyle name="Comma 14 3 2" xfId="7288" xr:uid="{00000000-0005-0000-0000-00004E070000}"/>
    <cellStyle name="Comma 14 4" xfId="6890" xr:uid="{00000000-0005-0000-0000-00004E070000}"/>
    <cellStyle name="Comma 15" xfId="1720" xr:uid="{00000000-0005-0000-0000-000050070000}"/>
    <cellStyle name="Comma 15 2" xfId="4439" xr:uid="{00000000-0005-0000-0000-000051070000}"/>
    <cellStyle name="Comma 15 2 2" xfId="6749" xr:uid="{00000000-0005-0000-0000-000051070000}"/>
    <cellStyle name="Comma 15 2 2 2" xfId="7636" xr:uid="{00000000-0005-0000-0000-000051070000}"/>
    <cellStyle name="Comma 15 2 3" xfId="7126" xr:uid="{00000000-0005-0000-0000-000051070000}"/>
    <cellStyle name="Comma 15 3" xfId="6474" xr:uid="{00000000-0005-0000-0000-000050070000}"/>
    <cellStyle name="Comma 15 3 2" xfId="7361" xr:uid="{00000000-0005-0000-0000-000050070000}"/>
    <cellStyle name="Comma 15 4" xfId="6930" xr:uid="{00000000-0005-0000-0000-000050070000}"/>
    <cellStyle name="Comma 16" xfId="1724" xr:uid="{00000000-0005-0000-0000-000052070000}"/>
    <cellStyle name="Comma 16 2" xfId="4363" xr:uid="{00000000-0005-0000-0000-000053070000}"/>
    <cellStyle name="Comma 16 2 2" xfId="6733" xr:uid="{00000000-0005-0000-0000-000053070000}"/>
    <cellStyle name="Comma 16 2 2 2" xfId="7620" xr:uid="{00000000-0005-0000-0000-000053070000}"/>
    <cellStyle name="Comma 16 2 3" xfId="7115" xr:uid="{00000000-0005-0000-0000-000053070000}"/>
    <cellStyle name="Comma 16 3" xfId="6475" xr:uid="{00000000-0005-0000-0000-000052070000}"/>
    <cellStyle name="Comma 16 3 2" xfId="7362" xr:uid="{00000000-0005-0000-0000-000052070000}"/>
    <cellStyle name="Comma 16 4" xfId="6931" xr:uid="{00000000-0005-0000-0000-000052070000}"/>
    <cellStyle name="Comma 17" xfId="1729" xr:uid="{00000000-0005-0000-0000-000054070000}"/>
    <cellStyle name="Comma 17 2" xfId="4525" xr:uid="{00000000-0005-0000-0000-000055070000}"/>
    <cellStyle name="Comma 17 2 2" xfId="6772" xr:uid="{00000000-0005-0000-0000-000055070000}"/>
    <cellStyle name="Comma 17 2 2 2" xfId="7659" xr:uid="{00000000-0005-0000-0000-000055070000}"/>
    <cellStyle name="Comma 17 2 3" xfId="7137" xr:uid="{00000000-0005-0000-0000-000055070000}"/>
    <cellStyle name="Comma 17 3" xfId="6477" xr:uid="{00000000-0005-0000-0000-000054070000}"/>
    <cellStyle name="Comma 17 3 2" xfId="7364" xr:uid="{00000000-0005-0000-0000-000054070000}"/>
    <cellStyle name="Comma 17 4" xfId="6933" xr:uid="{00000000-0005-0000-0000-000054070000}"/>
    <cellStyle name="Comma 18" xfId="1734" xr:uid="{00000000-0005-0000-0000-000056070000}"/>
    <cellStyle name="Comma 18 2" xfId="4286" xr:uid="{00000000-0005-0000-0000-000057070000}"/>
    <cellStyle name="Comma 18 2 2" xfId="6714" xr:uid="{00000000-0005-0000-0000-000057070000}"/>
    <cellStyle name="Comma 18 2 2 2" xfId="7601" xr:uid="{00000000-0005-0000-0000-000057070000}"/>
    <cellStyle name="Comma 18 2 3" xfId="7107" xr:uid="{00000000-0005-0000-0000-000057070000}"/>
    <cellStyle name="Comma 18 3" xfId="6479" xr:uid="{00000000-0005-0000-0000-000056070000}"/>
    <cellStyle name="Comma 18 3 2" xfId="7366" xr:uid="{00000000-0005-0000-0000-000056070000}"/>
    <cellStyle name="Comma 18 4" xfId="6935" xr:uid="{00000000-0005-0000-0000-000056070000}"/>
    <cellStyle name="Comma 184" xfId="1857" xr:uid="{00000000-0005-0000-0000-000058070000}"/>
    <cellStyle name="Comma 184 2" xfId="1858" xr:uid="{00000000-0005-0000-0000-000059070000}"/>
    <cellStyle name="Comma 184 2 2" xfId="1859" xr:uid="{00000000-0005-0000-0000-00005A070000}"/>
    <cellStyle name="Comma 184 2 2 2" xfId="1860" xr:uid="{00000000-0005-0000-0000-00005B070000}"/>
    <cellStyle name="Comma 184 2 2 2 2" xfId="1861" xr:uid="{00000000-0005-0000-0000-00005C070000}"/>
    <cellStyle name="Comma 184 2 2 2 2 2" xfId="6492" xr:uid="{00000000-0005-0000-0000-00005C070000}"/>
    <cellStyle name="Comma 184 2 2 2 2 2 2" xfId="7379" xr:uid="{00000000-0005-0000-0000-00005C070000}"/>
    <cellStyle name="Comma 184 2 2 2 2 3" xfId="6948" xr:uid="{00000000-0005-0000-0000-00005C070000}"/>
    <cellStyle name="Comma 184 2 2 2 3" xfId="6491" xr:uid="{00000000-0005-0000-0000-00005B070000}"/>
    <cellStyle name="Comma 184 2 2 2 3 2" xfId="7378" xr:uid="{00000000-0005-0000-0000-00005B070000}"/>
    <cellStyle name="Comma 184 2 2 2 4" xfId="6947" xr:uid="{00000000-0005-0000-0000-00005B070000}"/>
    <cellStyle name="Comma 184 2 2 3" xfId="1862" xr:uid="{00000000-0005-0000-0000-00005D070000}"/>
    <cellStyle name="Comma 184 2 2 3 2" xfId="6493" xr:uid="{00000000-0005-0000-0000-00005D070000}"/>
    <cellStyle name="Comma 184 2 2 3 2 2" xfId="7380" xr:uid="{00000000-0005-0000-0000-00005D070000}"/>
    <cellStyle name="Comma 184 2 2 3 3" xfId="6949" xr:uid="{00000000-0005-0000-0000-00005D070000}"/>
    <cellStyle name="Comma 184 2 2 4" xfId="6490" xr:uid="{00000000-0005-0000-0000-00005A070000}"/>
    <cellStyle name="Comma 184 2 2 4 2" xfId="7377" xr:uid="{00000000-0005-0000-0000-00005A070000}"/>
    <cellStyle name="Comma 184 2 2 5" xfId="6946" xr:uid="{00000000-0005-0000-0000-00005A070000}"/>
    <cellStyle name="Comma 184 2 3" xfId="1863" xr:uid="{00000000-0005-0000-0000-00005E070000}"/>
    <cellStyle name="Comma 184 2 3 2" xfId="1864" xr:uid="{00000000-0005-0000-0000-00005F070000}"/>
    <cellStyle name="Comma 184 2 3 2 2" xfId="1865" xr:uid="{00000000-0005-0000-0000-000060070000}"/>
    <cellStyle name="Comma 184 2 3 2 2 2" xfId="6496" xr:uid="{00000000-0005-0000-0000-000060070000}"/>
    <cellStyle name="Comma 184 2 3 2 2 2 2" xfId="7383" xr:uid="{00000000-0005-0000-0000-000060070000}"/>
    <cellStyle name="Comma 184 2 3 2 2 3" xfId="6952" xr:uid="{00000000-0005-0000-0000-000060070000}"/>
    <cellStyle name="Comma 184 2 3 2 3" xfId="6495" xr:uid="{00000000-0005-0000-0000-00005F070000}"/>
    <cellStyle name="Comma 184 2 3 2 3 2" xfId="7382" xr:uid="{00000000-0005-0000-0000-00005F070000}"/>
    <cellStyle name="Comma 184 2 3 2 4" xfId="6951" xr:uid="{00000000-0005-0000-0000-00005F070000}"/>
    <cellStyle name="Comma 184 2 3 3" xfId="1866" xr:uid="{00000000-0005-0000-0000-000061070000}"/>
    <cellStyle name="Comma 184 2 3 3 2" xfId="6497" xr:uid="{00000000-0005-0000-0000-000061070000}"/>
    <cellStyle name="Comma 184 2 3 3 2 2" xfId="7384" xr:uid="{00000000-0005-0000-0000-000061070000}"/>
    <cellStyle name="Comma 184 2 3 3 3" xfId="6953" xr:uid="{00000000-0005-0000-0000-000061070000}"/>
    <cellStyle name="Comma 184 2 3 4" xfId="6494" xr:uid="{00000000-0005-0000-0000-00005E070000}"/>
    <cellStyle name="Comma 184 2 3 4 2" xfId="7381" xr:uid="{00000000-0005-0000-0000-00005E070000}"/>
    <cellStyle name="Comma 184 2 3 5" xfId="6950" xr:uid="{00000000-0005-0000-0000-00005E070000}"/>
    <cellStyle name="Comma 184 2 4" xfId="1867" xr:uid="{00000000-0005-0000-0000-000062070000}"/>
    <cellStyle name="Comma 184 2 4 2" xfId="1868" xr:uid="{00000000-0005-0000-0000-000063070000}"/>
    <cellStyle name="Comma 184 2 4 2 2" xfId="6499" xr:uid="{00000000-0005-0000-0000-000063070000}"/>
    <cellStyle name="Comma 184 2 4 2 2 2" xfId="7386" xr:uid="{00000000-0005-0000-0000-000063070000}"/>
    <cellStyle name="Comma 184 2 4 2 3" xfId="6955" xr:uid="{00000000-0005-0000-0000-000063070000}"/>
    <cellStyle name="Comma 184 2 4 3" xfId="6498" xr:uid="{00000000-0005-0000-0000-000062070000}"/>
    <cellStyle name="Comma 184 2 4 3 2" xfId="7385" xr:uid="{00000000-0005-0000-0000-000062070000}"/>
    <cellStyle name="Comma 184 2 4 4" xfId="6954" xr:uid="{00000000-0005-0000-0000-000062070000}"/>
    <cellStyle name="Comma 184 2 5" xfId="1869" xr:uid="{00000000-0005-0000-0000-000064070000}"/>
    <cellStyle name="Comma 184 2 5 2" xfId="6500" xr:uid="{00000000-0005-0000-0000-000064070000}"/>
    <cellStyle name="Comma 184 2 5 2 2" xfId="7387" xr:uid="{00000000-0005-0000-0000-000064070000}"/>
    <cellStyle name="Comma 184 2 5 3" xfId="6956" xr:uid="{00000000-0005-0000-0000-000064070000}"/>
    <cellStyle name="Comma 184 2 6" xfId="6489" xr:uid="{00000000-0005-0000-0000-000059070000}"/>
    <cellStyle name="Comma 184 2 6 2" xfId="7376" xr:uid="{00000000-0005-0000-0000-000059070000}"/>
    <cellStyle name="Comma 184 2 7" xfId="6945" xr:uid="{00000000-0005-0000-0000-000059070000}"/>
    <cellStyle name="Comma 184 3" xfId="1870" xr:uid="{00000000-0005-0000-0000-000065070000}"/>
    <cellStyle name="Comma 184 3 2" xfId="1871" xr:uid="{00000000-0005-0000-0000-000066070000}"/>
    <cellStyle name="Comma 184 3 2 2" xfId="1872" xr:uid="{00000000-0005-0000-0000-000067070000}"/>
    <cellStyle name="Comma 184 3 2 2 2" xfId="1873" xr:uid="{00000000-0005-0000-0000-000068070000}"/>
    <cellStyle name="Comma 184 3 2 2 2 2" xfId="6504" xr:uid="{00000000-0005-0000-0000-000068070000}"/>
    <cellStyle name="Comma 184 3 2 2 2 2 2" xfId="7391" xr:uid="{00000000-0005-0000-0000-000068070000}"/>
    <cellStyle name="Comma 184 3 2 2 2 3" xfId="6960" xr:uid="{00000000-0005-0000-0000-000068070000}"/>
    <cellStyle name="Comma 184 3 2 2 3" xfId="6503" xr:uid="{00000000-0005-0000-0000-000067070000}"/>
    <cellStyle name="Comma 184 3 2 2 3 2" xfId="7390" xr:uid="{00000000-0005-0000-0000-000067070000}"/>
    <cellStyle name="Comma 184 3 2 2 4" xfId="6959" xr:uid="{00000000-0005-0000-0000-000067070000}"/>
    <cellStyle name="Comma 184 3 2 3" xfId="1874" xr:uid="{00000000-0005-0000-0000-000069070000}"/>
    <cellStyle name="Comma 184 3 2 3 2" xfId="6505" xr:uid="{00000000-0005-0000-0000-000069070000}"/>
    <cellStyle name="Comma 184 3 2 3 2 2" xfId="7392" xr:uid="{00000000-0005-0000-0000-000069070000}"/>
    <cellStyle name="Comma 184 3 2 3 3" xfId="6961" xr:uid="{00000000-0005-0000-0000-000069070000}"/>
    <cellStyle name="Comma 184 3 2 4" xfId="6502" xr:uid="{00000000-0005-0000-0000-000066070000}"/>
    <cellStyle name="Comma 184 3 2 4 2" xfId="7389" xr:uid="{00000000-0005-0000-0000-000066070000}"/>
    <cellStyle name="Comma 184 3 2 5" xfId="6958" xr:uid="{00000000-0005-0000-0000-000066070000}"/>
    <cellStyle name="Comma 184 3 3" xfId="1875" xr:uid="{00000000-0005-0000-0000-00006A070000}"/>
    <cellStyle name="Comma 184 3 3 2" xfId="1876" xr:uid="{00000000-0005-0000-0000-00006B070000}"/>
    <cellStyle name="Comma 184 3 3 2 2" xfId="1877" xr:uid="{00000000-0005-0000-0000-00006C070000}"/>
    <cellStyle name="Comma 184 3 3 2 2 2" xfId="6508" xr:uid="{00000000-0005-0000-0000-00006C070000}"/>
    <cellStyle name="Comma 184 3 3 2 2 2 2" xfId="7395" xr:uid="{00000000-0005-0000-0000-00006C070000}"/>
    <cellStyle name="Comma 184 3 3 2 2 3" xfId="6964" xr:uid="{00000000-0005-0000-0000-00006C070000}"/>
    <cellStyle name="Comma 184 3 3 2 3" xfId="6507" xr:uid="{00000000-0005-0000-0000-00006B070000}"/>
    <cellStyle name="Comma 184 3 3 2 3 2" xfId="7394" xr:uid="{00000000-0005-0000-0000-00006B070000}"/>
    <cellStyle name="Comma 184 3 3 2 4" xfId="6963" xr:uid="{00000000-0005-0000-0000-00006B070000}"/>
    <cellStyle name="Comma 184 3 3 3" xfId="1878" xr:uid="{00000000-0005-0000-0000-00006D070000}"/>
    <cellStyle name="Comma 184 3 3 3 2" xfId="6509" xr:uid="{00000000-0005-0000-0000-00006D070000}"/>
    <cellStyle name="Comma 184 3 3 3 2 2" xfId="7396" xr:uid="{00000000-0005-0000-0000-00006D070000}"/>
    <cellStyle name="Comma 184 3 3 3 3" xfId="6965" xr:uid="{00000000-0005-0000-0000-00006D070000}"/>
    <cellStyle name="Comma 184 3 3 4" xfId="6506" xr:uid="{00000000-0005-0000-0000-00006A070000}"/>
    <cellStyle name="Comma 184 3 3 4 2" xfId="7393" xr:uid="{00000000-0005-0000-0000-00006A070000}"/>
    <cellStyle name="Comma 184 3 3 5" xfId="6962" xr:uid="{00000000-0005-0000-0000-00006A070000}"/>
    <cellStyle name="Comma 184 3 4" xfId="1879" xr:uid="{00000000-0005-0000-0000-00006E070000}"/>
    <cellStyle name="Comma 184 3 4 2" xfId="1880" xr:uid="{00000000-0005-0000-0000-00006F070000}"/>
    <cellStyle name="Comma 184 3 4 2 2" xfId="6511" xr:uid="{00000000-0005-0000-0000-00006F070000}"/>
    <cellStyle name="Comma 184 3 4 2 2 2" xfId="7398" xr:uid="{00000000-0005-0000-0000-00006F070000}"/>
    <cellStyle name="Comma 184 3 4 2 3" xfId="6967" xr:uid="{00000000-0005-0000-0000-00006F070000}"/>
    <cellStyle name="Comma 184 3 4 3" xfId="6510" xr:uid="{00000000-0005-0000-0000-00006E070000}"/>
    <cellStyle name="Comma 184 3 4 3 2" xfId="7397" xr:uid="{00000000-0005-0000-0000-00006E070000}"/>
    <cellStyle name="Comma 184 3 4 4" xfId="6966" xr:uid="{00000000-0005-0000-0000-00006E070000}"/>
    <cellStyle name="Comma 184 3 5" xfId="1881" xr:uid="{00000000-0005-0000-0000-000070070000}"/>
    <cellStyle name="Comma 184 3 5 2" xfId="6512" xr:uid="{00000000-0005-0000-0000-000070070000}"/>
    <cellStyle name="Comma 184 3 5 2 2" xfId="7399" xr:uid="{00000000-0005-0000-0000-000070070000}"/>
    <cellStyle name="Comma 184 3 5 3" xfId="6968" xr:uid="{00000000-0005-0000-0000-000070070000}"/>
    <cellStyle name="Comma 184 3 6" xfId="6501" xr:uid="{00000000-0005-0000-0000-000065070000}"/>
    <cellStyle name="Comma 184 3 6 2" xfId="7388" xr:uid="{00000000-0005-0000-0000-000065070000}"/>
    <cellStyle name="Comma 184 3 7" xfId="6957" xr:uid="{00000000-0005-0000-0000-000065070000}"/>
    <cellStyle name="Comma 184 4" xfId="1882" xr:uid="{00000000-0005-0000-0000-000071070000}"/>
    <cellStyle name="Comma 184 4 2" xfId="1883" xr:uid="{00000000-0005-0000-0000-000072070000}"/>
    <cellStyle name="Comma 184 4 2 2" xfId="1884" xr:uid="{00000000-0005-0000-0000-000073070000}"/>
    <cellStyle name="Comma 184 4 2 2 2" xfId="6515" xr:uid="{00000000-0005-0000-0000-000073070000}"/>
    <cellStyle name="Comma 184 4 2 2 2 2" xfId="7402" xr:uid="{00000000-0005-0000-0000-000073070000}"/>
    <cellStyle name="Comma 184 4 2 2 3" xfId="6971" xr:uid="{00000000-0005-0000-0000-000073070000}"/>
    <cellStyle name="Comma 184 4 2 3" xfId="6514" xr:uid="{00000000-0005-0000-0000-000072070000}"/>
    <cellStyle name="Comma 184 4 2 3 2" xfId="7401" xr:uid="{00000000-0005-0000-0000-000072070000}"/>
    <cellStyle name="Comma 184 4 2 4" xfId="6970" xr:uid="{00000000-0005-0000-0000-000072070000}"/>
    <cellStyle name="Comma 184 4 3" xfId="1885" xr:uid="{00000000-0005-0000-0000-000074070000}"/>
    <cellStyle name="Comma 184 4 3 2" xfId="6516" xr:uid="{00000000-0005-0000-0000-000074070000}"/>
    <cellStyle name="Comma 184 4 3 2 2" xfId="7403" xr:uid="{00000000-0005-0000-0000-000074070000}"/>
    <cellStyle name="Comma 184 4 3 3" xfId="6972" xr:uid="{00000000-0005-0000-0000-000074070000}"/>
    <cellStyle name="Comma 184 4 4" xfId="6513" xr:uid="{00000000-0005-0000-0000-000071070000}"/>
    <cellStyle name="Comma 184 4 4 2" xfId="7400" xr:uid="{00000000-0005-0000-0000-000071070000}"/>
    <cellStyle name="Comma 184 4 5" xfId="6969" xr:uid="{00000000-0005-0000-0000-000071070000}"/>
    <cellStyle name="Comma 184 5" xfId="1886" xr:uid="{00000000-0005-0000-0000-000075070000}"/>
    <cellStyle name="Comma 184 5 2" xfId="1887" xr:uid="{00000000-0005-0000-0000-000076070000}"/>
    <cellStyle name="Comma 184 5 2 2" xfId="1888" xr:uid="{00000000-0005-0000-0000-000077070000}"/>
    <cellStyle name="Comma 184 5 2 2 2" xfId="6519" xr:uid="{00000000-0005-0000-0000-000077070000}"/>
    <cellStyle name="Comma 184 5 2 2 2 2" xfId="7406" xr:uid="{00000000-0005-0000-0000-000077070000}"/>
    <cellStyle name="Comma 184 5 2 2 3" xfId="6975" xr:uid="{00000000-0005-0000-0000-000077070000}"/>
    <cellStyle name="Comma 184 5 2 3" xfId="6518" xr:uid="{00000000-0005-0000-0000-000076070000}"/>
    <cellStyle name="Comma 184 5 2 3 2" xfId="7405" xr:uid="{00000000-0005-0000-0000-000076070000}"/>
    <cellStyle name="Comma 184 5 2 4" xfId="6974" xr:uid="{00000000-0005-0000-0000-000076070000}"/>
    <cellStyle name="Comma 184 5 3" xfId="1889" xr:uid="{00000000-0005-0000-0000-000078070000}"/>
    <cellStyle name="Comma 184 5 3 2" xfId="6520" xr:uid="{00000000-0005-0000-0000-000078070000}"/>
    <cellStyle name="Comma 184 5 3 2 2" xfId="7407" xr:uid="{00000000-0005-0000-0000-000078070000}"/>
    <cellStyle name="Comma 184 5 3 3" xfId="6976" xr:uid="{00000000-0005-0000-0000-000078070000}"/>
    <cellStyle name="Comma 184 5 4" xfId="6517" xr:uid="{00000000-0005-0000-0000-000075070000}"/>
    <cellStyle name="Comma 184 5 4 2" xfId="7404" xr:uid="{00000000-0005-0000-0000-000075070000}"/>
    <cellStyle name="Comma 184 5 5" xfId="6973" xr:uid="{00000000-0005-0000-0000-000075070000}"/>
    <cellStyle name="Comma 184 6" xfId="1890" xr:uid="{00000000-0005-0000-0000-000079070000}"/>
    <cellStyle name="Comma 184 6 2" xfId="1891" xr:uid="{00000000-0005-0000-0000-00007A070000}"/>
    <cellStyle name="Comma 184 6 2 2" xfId="6522" xr:uid="{00000000-0005-0000-0000-00007A070000}"/>
    <cellStyle name="Comma 184 6 2 2 2" xfId="7409" xr:uid="{00000000-0005-0000-0000-00007A070000}"/>
    <cellStyle name="Comma 184 6 2 3" xfId="6978" xr:uid="{00000000-0005-0000-0000-00007A070000}"/>
    <cellStyle name="Comma 184 6 3" xfId="6521" xr:uid="{00000000-0005-0000-0000-000079070000}"/>
    <cellStyle name="Comma 184 6 3 2" xfId="7408" xr:uid="{00000000-0005-0000-0000-000079070000}"/>
    <cellStyle name="Comma 184 6 4" xfId="6977" xr:uid="{00000000-0005-0000-0000-000079070000}"/>
    <cellStyle name="Comma 184 7" xfId="1892" xr:uid="{00000000-0005-0000-0000-00007B070000}"/>
    <cellStyle name="Comma 184 7 2" xfId="6523" xr:uid="{00000000-0005-0000-0000-00007B070000}"/>
    <cellStyle name="Comma 184 7 2 2" xfId="7410" xr:uid="{00000000-0005-0000-0000-00007B070000}"/>
    <cellStyle name="Comma 184 7 3" xfId="6979" xr:uid="{00000000-0005-0000-0000-00007B070000}"/>
    <cellStyle name="Comma 184 8" xfId="6488" xr:uid="{00000000-0005-0000-0000-000058070000}"/>
    <cellStyle name="Comma 184 8 2" xfId="7375" xr:uid="{00000000-0005-0000-0000-000058070000}"/>
    <cellStyle name="Comma 184 9" xfId="6944" xr:uid="{00000000-0005-0000-0000-000058070000}"/>
    <cellStyle name="Comma 185" xfId="1893" xr:uid="{00000000-0005-0000-0000-00007C070000}"/>
    <cellStyle name="Comma 185 2" xfId="1894" xr:uid="{00000000-0005-0000-0000-00007D070000}"/>
    <cellStyle name="Comma 185 2 2" xfId="6525" xr:uid="{00000000-0005-0000-0000-00007D070000}"/>
    <cellStyle name="Comma 185 2 2 2" xfId="7412" xr:uid="{00000000-0005-0000-0000-00007D070000}"/>
    <cellStyle name="Comma 185 2 3" xfId="6981" xr:uid="{00000000-0005-0000-0000-00007D070000}"/>
    <cellStyle name="Comma 185 3" xfId="6524" xr:uid="{00000000-0005-0000-0000-00007C070000}"/>
    <cellStyle name="Comma 185 3 2" xfId="7411" xr:uid="{00000000-0005-0000-0000-00007C070000}"/>
    <cellStyle name="Comma 185 4" xfId="6980" xr:uid="{00000000-0005-0000-0000-00007C070000}"/>
    <cellStyle name="Comma 186" xfId="1895" xr:uid="{00000000-0005-0000-0000-00007E070000}"/>
    <cellStyle name="Comma 186 2" xfId="6526" xr:uid="{00000000-0005-0000-0000-00007E070000}"/>
    <cellStyle name="Comma 186 2 2" xfId="7413" xr:uid="{00000000-0005-0000-0000-00007E070000}"/>
    <cellStyle name="Comma 186 3" xfId="6982" xr:uid="{00000000-0005-0000-0000-00007E070000}"/>
    <cellStyle name="Comma 19" xfId="1739" xr:uid="{00000000-0005-0000-0000-00007F070000}"/>
    <cellStyle name="Comma 19 2" xfId="4464" xr:uid="{00000000-0005-0000-0000-000080070000}"/>
    <cellStyle name="Comma 19 2 2" xfId="6759" xr:uid="{00000000-0005-0000-0000-000080070000}"/>
    <cellStyle name="Comma 19 2 2 2" xfId="7646" xr:uid="{00000000-0005-0000-0000-000080070000}"/>
    <cellStyle name="Comma 19 2 3" xfId="7132" xr:uid="{00000000-0005-0000-0000-000080070000}"/>
    <cellStyle name="Comma 19 3" xfId="6481" xr:uid="{00000000-0005-0000-0000-00007F070000}"/>
    <cellStyle name="Comma 19 3 2" xfId="7368" xr:uid="{00000000-0005-0000-0000-00007F070000}"/>
    <cellStyle name="Comma 19 4" xfId="6937" xr:uid="{00000000-0005-0000-0000-00007F070000}"/>
    <cellStyle name="Comma 2" xfId="848" xr:uid="{00000000-0005-0000-0000-000081070000}"/>
    <cellStyle name="Comma 2 10" xfId="1560" xr:uid="{00000000-0005-0000-0000-000082070000}"/>
    <cellStyle name="Comma 2 10 2" xfId="4522" xr:uid="{00000000-0005-0000-0000-000083070000}"/>
    <cellStyle name="Comma 2 10 2 2" xfId="6771" xr:uid="{00000000-0005-0000-0000-000083070000}"/>
    <cellStyle name="Comma 2 10 2 2 2" xfId="7658" xr:uid="{00000000-0005-0000-0000-000083070000}"/>
    <cellStyle name="Comma 2 10 3" xfId="6403" xr:uid="{00000000-0005-0000-0000-000082070000}"/>
    <cellStyle name="Comma 2 10 3 2" xfId="7290" xr:uid="{00000000-0005-0000-0000-000082070000}"/>
    <cellStyle name="Comma 2 11" xfId="1544" xr:uid="{00000000-0005-0000-0000-000084070000}"/>
    <cellStyle name="Comma 2 11 2" xfId="4492" xr:uid="{00000000-0005-0000-0000-000085070000}"/>
    <cellStyle name="Comma 2 11 2 2" xfId="6764" xr:uid="{00000000-0005-0000-0000-000085070000}"/>
    <cellStyle name="Comma 2 11 2 2 2" xfId="7651" xr:uid="{00000000-0005-0000-0000-000085070000}"/>
    <cellStyle name="Comma 2 11 2 3" xfId="7136" xr:uid="{00000000-0005-0000-0000-000085070000}"/>
    <cellStyle name="Comma 2 11 3" xfId="6402" xr:uid="{00000000-0005-0000-0000-000084070000}"/>
    <cellStyle name="Comma 2 11 3 2" xfId="7289" xr:uid="{00000000-0005-0000-0000-000084070000}"/>
    <cellStyle name="Comma 2 11 4" xfId="6891" xr:uid="{00000000-0005-0000-0000-000084070000}"/>
    <cellStyle name="Comma 2 12" xfId="1744" xr:uid="{00000000-0005-0000-0000-000086070000}"/>
    <cellStyle name="Comma 2 12 2" xfId="4355" xr:uid="{00000000-0005-0000-0000-000087070000}"/>
    <cellStyle name="Comma 2 12 2 2" xfId="6729" xr:uid="{00000000-0005-0000-0000-000087070000}"/>
    <cellStyle name="Comma 2 12 2 2 2" xfId="7616" xr:uid="{00000000-0005-0000-0000-000087070000}"/>
    <cellStyle name="Comma 2 12 2 3" xfId="7114" xr:uid="{00000000-0005-0000-0000-000087070000}"/>
    <cellStyle name="Comma 2 12 3" xfId="6483" xr:uid="{00000000-0005-0000-0000-000086070000}"/>
    <cellStyle name="Comma 2 12 3 2" xfId="7370" xr:uid="{00000000-0005-0000-0000-000086070000}"/>
    <cellStyle name="Comma 2 12 4" xfId="6939" xr:uid="{00000000-0005-0000-0000-000086070000}"/>
    <cellStyle name="Comma 2 13" xfId="3977" xr:uid="{00000000-0005-0000-0000-000088070000}"/>
    <cellStyle name="Comma 2 13 2" xfId="6645" xr:uid="{00000000-0005-0000-0000-000088070000}"/>
    <cellStyle name="Comma 2 13 2 2" xfId="7532" xr:uid="{00000000-0005-0000-0000-000088070000}"/>
    <cellStyle name="Comma 2 14" xfId="1395" xr:uid="{00000000-0005-0000-0000-000089070000}"/>
    <cellStyle name="Comma 2 14 2" xfId="6337" xr:uid="{00000000-0005-0000-0000-000089070000}"/>
    <cellStyle name="Comma 2 14 2 2" xfId="7224" xr:uid="{00000000-0005-0000-0000-000089070000}"/>
    <cellStyle name="Comma 2 14 3" xfId="6852" xr:uid="{00000000-0005-0000-0000-000089070000}"/>
    <cellStyle name="Comma 2 2" xfId="849" xr:uid="{00000000-0005-0000-0000-00008A070000}"/>
    <cellStyle name="Comma 2 2 10" xfId="6820" xr:uid="{00000000-0005-0000-0000-00008A070000}"/>
    <cellStyle name="Comma 2 2 2" xfId="1445" xr:uid="{00000000-0005-0000-0000-00008B070000}"/>
    <cellStyle name="Comma 2 2 2 2" xfId="1461" xr:uid="{00000000-0005-0000-0000-00008C070000}"/>
    <cellStyle name="Comma 2 2 2 2 2" xfId="1590" xr:uid="{00000000-0005-0000-0000-00008D070000}"/>
    <cellStyle name="Comma 2 2 2 2 2 2" xfId="4291" xr:uid="{00000000-0005-0000-0000-00008E070000}"/>
    <cellStyle name="Comma 2 2 2 2 2 2 2" xfId="6715" xr:uid="{00000000-0005-0000-0000-00008E070000}"/>
    <cellStyle name="Comma 2 2 2 2 2 2 2 2" xfId="7602" xr:uid="{00000000-0005-0000-0000-00008E070000}"/>
    <cellStyle name="Comma 2 2 2 2 2 3" xfId="6419" xr:uid="{00000000-0005-0000-0000-00008D070000}"/>
    <cellStyle name="Comma 2 2 2 2 2 3 2" xfId="7306" xr:uid="{00000000-0005-0000-0000-00008D070000}"/>
    <cellStyle name="Comma 2 2 2 2 3" xfId="4103" xr:uid="{00000000-0005-0000-0000-00008F070000}"/>
    <cellStyle name="Comma 2 2 2 2 3 2" xfId="6671" xr:uid="{00000000-0005-0000-0000-00008F070000}"/>
    <cellStyle name="Comma 2 2 2 2 3 2 2" xfId="7558" xr:uid="{00000000-0005-0000-0000-00008F070000}"/>
    <cellStyle name="Comma 2 2 2 2 4" xfId="6356" xr:uid="{00000000-0005-0000-0000-00008C070000}"/>
    <cellStyle name="Comma 2 2 2 2 4 2" xfId="7243" xr:uid="{00000000-0005-0000-0000-00008C070000}"/>
    <cellStyle name="Comma 2 2 2 3" xfId="1513" xr:uid="{00000000-0005-0000-0000-000090070000}"/>
    <cellStyle name="Comma 2 2 2 3 2" xfId="1662" xr:uid="{00000000-0005-0000-0000-000091070000}"/>
    <cellStyle name="Comma 2 2 2 3 2 2" xfId="4402" xr:uid="{00000000-0005-0000-0000-000092070000}"/>
    <cellStyle name="Comma 2 2 2 3 2 2 2" xfId="6740" xr:uid="{00000000-0005-0000-0000-000092070000}"/>
    <cellStyle name="Comma 2 2 2 3 2 2 2 2" xfId="7627" xr:uid="{00000000-0005-0000-0000-000092070000}"/>
    <cellStyle name="Comma 2 2 2 3 2 3" xfId="6458" xr:uid="{00000000-0005-0000-0000-000091070000}"/>
    <cellStyle name="Comma 2 2 2 3 2 3 2" xfId="7345" xr:uid="{00000000-0005-0000-0000-000091070000}"/>
    <cellStyle name="Comma 2 2 2 3 3" xfId="4199" xr:uid="{00000000-0005-0000-0000-000093070000}"/>
    <cellStyle name="Comma 2 2 2 3 3 2" xfId="6696" xr:uid="{00000000-0005-0000-0000-000093070000}"/>
    <cellStyle name="Comma 2 2 2 3 3 2 2" xfId="7583" xr:uid="{00000000-0005-0000-0000-000093070000}"/>
    <cellStyle name="Comma 2 2 2 3 4" xfId="6386" xr:uid="{00000000-0005-0000-0000-000090070000}"/>
    <cellStyle name="Comma 2 2 2 3 4 2" xfId="7273" xr:uid="{00000000-0005-0000-0000-000090070000}"/>
    <cellStyle name="Comma 2 2 2 4" xfId="1577" xr:uid="{00000000-0005-0000-0000-000094070000}"/>
    <cellStyle name="Comma 2 2 2 4 2" xfId="4300" xr:uid="{00000000-0005-0000-0000-000095070000}"/>
    <cellStyle name="Comma 2 2 2 4 2 2" xfId="6720" xr:uid="{00000000-0005-0000-0000-000095070000}"/>
    <cellStyle name="Comma 2 2 2 4 2 2 2" xfId="7607" xr:uid="{00000000-0005-0000-0000-000095070000}"/>
    <cellStyle name="Comma 2 2 2 4 3" xfId="6412" xr:uid="{00000000-0005-0000-0000-000094070000}"/>
    <cellStyle name="Comma 2 2 2 4 3 2" xfId="7299" xr:uid="{00000000-0005-0000-0000-000094070000}"/>
    <cellStyle name="Comma 2 2 2 5" xfId="1896" xr:uid="{00000000-0005-0000-0000-000096070000}"/>
    <cellStyle name="Comma 2 2 2 5 2" xfId="6527" xr:uid="{00000000-0005-0000-0000-000096070000}"/>
    <cellStyle name="Comma 2 2 2 5 2 2" xfId="7414" xr:uid="{00000000-0005-0000-0000-000096070000}"/>
    <cellStyle name="Comma 2 2 2 5 3" xfId="6983" xr:uid="{00000000-0005-0000-0000-000096070000}"/>
    <cellStyle name="Comma 2 2 2 6" xfId="6345" xr:uid="{00000000-0005-0000-0000-00008B070000}"/>
    <cellStyle name="Comma 2 2 2 6 2" xfId="7232" xr:uid="{00000000-0005-0000-0000-00008B070000}"/>
    <cellStyle name="Comma 2 2 2_2.DATA" xfId="5172" xr:uid="{00000000-0005-0000-0000-000097070000}"/>
    <cellStyle name="Comma 2 2 3" xfId="1460" xr:uid="{00000000-0005-0000-0000-000098070000}"/>
    <cellStyle name="Comma 2 2 3 2" xfId="1591" xr:uid="{00000000-0005-0000-0000-000099070000}"/>
    <cellStyle name="Comma 2 2 3 2 2" xfId="4106" xr:uid="{00000000-0005-0000-0000-00009A070000}"/>
    <cellStyle name="Comma 2 2 3 2 2 2" xfId="6673" xr:uid="{00000000-0005-0000-0000-00009A070000}"/>
    <cellStyle name="Comma 2 2 3 2 2 2 2" xfId="7560" xr:uid="{00000000-0005-0000-0000-00009A070000}"/>
    <cellStyle name="Comma 2 2 3 2 3" xfId="6420" xr:uid="{00000000-0005-0000-0000-000099070000}"/>
    <cellStyle name="Comma 2 2 3 2 3 2" xfId="7307" xr:uid="{00000000-0005-0000-0000-000099070000}"/>
    <cellStyle name="Comma 2 2 3 3" xfId="1897" xr:uid="{00000000-0005-0000-0000-00009B070000}"/>
    <cellStyle name="Comma 2 2 3 3 2" xfId="6528" xr:uid="{00000000-0005-0000-0000-00009B070000}"/>
    <cellStyle name="Comma 2 2 3 3 2 2" xfId="7415" xr:uid="{00000000-0005-0000-0000-00009B070000}"/>
    <cellStyle name="Comma 2 2 3 3 3" xfId="6984" xr:uid="{00000000-0005-0000-0000-00009B070000}"/>
    <cellStyle name="Comma 2 2 3 4" xfId="6355" xr:uid="{00000000-0005-0000-0000-000098070000}"/>
    <cellStyle name="Comma 2 2 3 4 2" xfId="7242" xr:uid="{00000000-0005-0000-0000-000098070000}"/>
    <cellStyle name="Comma 2 2 3_2.DATA" xfId="5173" xr:uid="{00000000-0005-0000-0000-00009C070000}"/>
    <cellStyle name="Comma 2 2 4" xfId="1499" xr:uid="{00000000-0005-0000-0000-00009D070000}"/>
    <cellStyle name="Comma 2 2 4 2" xfId="1646" xr:uid="{00000000-0005-0000-0000-00009E070000}"/>
    <cellStyle name="Comma 2 2 4 2 2" xfId="4170" xr:uid="{00000000-0005-0000-0000-00009F070000}"/>
    <cellStyle name="Comma 2 2 4 2 2 2" xfId="6688" xr:uid="{00000000-0005-0000-0000-00009F070000}"/>
    <cellStyle name="Comma 2 2 4 2 2 2 2" xfId="7575" xr:uid="{00000000-0005-0000-0000-00009F070000}"/>
    <cellStyle name="Comma 2 2 4 2 3" xfId="6450" xr:uid="{00000000-0005-0000-0000-00009E070000}"/>
    <cellStyle name="Comma 2 2 4 2 3 2" xfId="7337" xr:uid="{00000000-0005-0000-0000-00009E070000}"/>
    <cellStyle name="Comma 2 2 4 3" xfId="1898" xr:uid="{00000000-0005-0000-0000-0000A0070000}"/>
    <cellStyle name="Comma 2 2 4 3 2" xfId="6529" xr:uid="{00000000-0005-0000-0000-0000A0070000}"/>
    <cellStyle name="Comma 2 2 4 3 2 2" xfId="7416" xr:uid="{00000000-0005-0000-0000-0000A0070000}"/>
    <cellStyle name="Comma 2 2 4 4" xfId="6378" xr:uid="{00000000-0005-0000-0000-00009D070000}"/>
    <cellStyle name="Comma 2 2 4 4 2" xfId="7265" xr:uid="{00000000-0005-0000-0000-00009D070000}"/>
    <cellStyle name="Comma 2 2 5" xfId="1561" xr:uid="{00000000-0005-0000-0000-0000A1070000}"/>
    <cellStyle name="Comma 2 2 5 2" xfId="4504" xr:uid="{00000000-0005-0000-0000-0000A2070000}"/>
    <cellStyle name="Comma 2 2 5 2 2" xfId="6767" xr:uid="{00000000-0005-0000-0000-0000A2070000}"/>
    <cellStyle name="Comma 2 2 5 2 2 2" xfId="7654" xr:uid="{00000000-0005-0000-0000-0000A2070000}"/>
    <cellStyle name="Comma 2 2 5 3" xfId="6404" xr:uid="{00000000-0005-0000-0000-0000A1070000}"/>
    <cellStyle name="Comma 2 2 5 3 2" xfId="7291" xr:uid="{00000000-0005-0000-0000-0000A1070000}"/>
    <cellStyle name="Comma 2 2 6" xfId="4615" xr:uid="{00000000-0005-0000-0000-0000A3070000}"/>
    <cellStyle name="Comma 2 2 6 2" xfId="6774" xr:uid="{00000000-0005-0000-0000-0000A3070000}"/>
    <cellStyle name="Comma 2 2 6 2 2" xfId="7661" xr:uid="{00000000-0005-0000-0000-0000A3070000}"/>
    <cellStyle name="Comma 2 2 7" xfId="3978" xr:uid="{00000000-0005-0000-0000-0000A4070000}"/>
    <cellStyle name="Comma 2 2 7 2" xfId="6646" xr:uid="{00000000-0005-0000-0000-0000A4070000}"/>
    <cellStyle name="Comma 2 2 7 2 2" xfId="7533" xr:uid="{00000000-0005-0000-0000-0000A4070000}"/>
    <cellStyle name="Comma 2 2 8" xfId="1400" xr:uid="{00000000-0005-0000-0000-0000A5070000}"/>
    <cellStyle name="Comma 2 2 8 2" xfId="6339" xr:uid="{00000000-0005-0000-0000-0000A5070000}"/>
    <cellStyle name="Comma 2 2 8 2 2" xfId="7226" xr:uid="{00000000-0005-0000-0000-0000A5070000}"/>
    <cellStyle name="Comma 2 2 9" xfId="6269" xr:uid="{00000000-0005-0000-0000-00008A070000}"/>
    <cellStyle name="Comma 2 2 9 2" xfId="7156" xr:uid="{00000000-0005-0000-0000-00008A070000}"/>
    <cellStyle name="Comma 2 3" xfId="850" xr:uid="{00000000-0005-0000-0000-0000A6070000}"/>
    <cellStyle name="Comma 2 3 2" xfId="1453" xr:uid="{00000000-0005-0000-0000-0000A7070000}"/>
    <cellStyle name="Comma 2 3 2 2" xfId="1463" xr:uid="{00000000-0005-0000-0000-0000A8070000}"/>
    <cellStyle name="Comma 2 3 2 2 2" xfId="1592" xr:uid="{00000000-0005-0000-0000-0000A9070000}"/>
    <cellStyle name="Comma 2 3 2 2 2 2" xfId="4462" xr:uid="{00000000-0005-0000-0000-0000AA070000}"/>
    <cellStyle name="Comma 2 3 2 2 2 2 2" xfId="6758" xr:uid="{00000000-0005-0000-0000-0000AA070000}"/>
    <cellStyle name="Comma 2 3 2 2 2 2 2 2" xfId="7645" xr:uid="{00000000-0005-0000-0000-0000AA070000}"/>
    <cellStyle name="Comma 2 3 2 2 2 2 3" xfId="7131" xr:uid="{00000000-0005-0000-0000-0000AA070000}"/>
    <cellStyle name="Comma 2 3 2 2 2 3" xfId="6421" xr:uid="{00000000-0005-0000-0000-0000A9070000}"/>
    <cellStyle name="Comma 2 3 2 2 2 3 2" xfId="7308" xr:uid="{00000000-0005-0000-0000-0000A9070000}"/>
    <cellStyle name="Comma 2 3 2 2 2 4" xfId="6898" xr:uid="{00000000-0005-0000-0000-0000A9070000}"/>
    <cellStyle name="Comma 2 3 2 2 3" xfId="4073" xr:uid="{00000000-0005-0000-0000-0000AB070000}"/>
    <cellStyle name="Comma 2 3 2 2 3 2" xfId="6660" xr:uid="{00000000-0005-0000-0000-0000AB070000}"/>
    <cellStyle name="Comma 2 3 2 2 3 2 2" xfId="7547" xr:uid="{00000000-0005-0000-0000-0000AB070000}"/>
    <cellStyle name="Comma 2 3 2 2 3 3" xfId="7080" xr:uid="{00000000-0005-0000-0000-0000AB070000}"/>
    <cellStyle name="Comma 2 3 2 2 4" xfId="6358" xr:uid="{00000000-0005-0000-0000-0000A8070000}"/>
    <cellStyle name="Comma 2 3 2 2 4 2" xfId="7245" xr:uid="{00000000-0005-0000-0000-0000A8070000}"/>
    <cellStyle name="Comma 2 3 2 2 5" xfId="6865" xr:uid="{00000000-0005-0000-0000-0000A8070000}"/>
    <cellStyle name="Comma 2 3 2 3" xfId="1523" xr:uid="{00000000-0005-0000-0000-0000AC070000}"/>
    <cellStyle name="Comma 2 3 2 3 2" xfId="1674" xr:uid="{00000000-0005-0000-0000-0000AD070000}"/>
    <cellStyle name="Comma 2 3 2 3 2 2" xfId="4306" xr:uid="{00000000-0005-0000-0000-0000AE070000}"/>
    <cellStyle name="Comma 2 3 2 3 2 2 2" xfId="6722" xr:uid="{00000000-0005-0000-0000-0000AE070000}"/>
    <cellStyle name="Comma 2 3 2 3 2 2 2 2" xfId="7609" xr:uid="{00000000-0005-0000-0000-0000AE070000}"/>
    <cellStyle name="Comma 2 3 2 3 2 2 3" xfId="7112" xr:uid="{00000000-0005-0000-0000-0000AE070000}"/>
    <cellStyle name="Comma 2 3 2 3 2 3" xfId="6464" xr:uid="{00000000-0005-0000-0000-0000AD070000}"/>
    <cellStyle name="Comma 2 3 2 3 2 3 2" xfId="7351" xr:uid="{00000000-0005-0000-0000-0000AD070000}"/>
    <cellStyle name="Comma 2 3 2 3 2 4" xfId="6922" xr:uid="{00000000-0005-0000-0000-0000AD070000}"/>
    <cellStyle name="Comma 2 3 2 3 3" xfId="4205" xr:uid="{00000000-0005-0000-0000-0000AF070000}"/>
    <cellStyle name="Comma 2 3 2 3 3 2" xfId="6699" xr:uid="{00000000-0005-0000-0000-0000AF070000}"/>
    <cellStyle name="Comma 2 3 2 3 3 2 2" xfId="7586" xr:uid="{00000000-0005-0000-0000-0000AF070000}"/>
    <cellStyle name="Comma 2 3 2 3 3 3" xfId="7096" xr:uid="{00000000-0005-0000-0000-0000AF070000}"/>
    <cellStyle name="Comma 2 3 2 3 4" xfId="6391" xr:uid="{00000000-0005-0000-0000-0000AC070000}"/>
    <cellStyle name="Comma 2 3 2 3 4 2" xfId="7278" xr:uid="{00000000-0005-0000-0000-0000AC070000}"/>
    <cellStyle name="Comma 2 3 2 3 5" xfId="6882" xr:uid="{00000000-0005-0000-0000-0000AC070000}"/>
    <cellStyle name="Comma 2 3 2 4" xfId="1589" xr:uid="{00000000-0005-0000-0000-0000B0070000}"/>
    <cellStyle name="Comma 2 3 2 4 2" xfId="4299" xr:uid="{00000000-0005-0000-0000-0000B1070000}"/>
    <cellStyle name="Comma 2 3 2 4 2 2" xfId="6719" xr:uid="{00000000-0005-0000-0000-0000B1070000}"/>
    <cellStyle name="Comma 2 3 2 4 2 2 2" xfId="7606" xr:uid="{00000000-0005-0000-0000-0000B1070000}"/>
    <cellStyle name="Comma 2 3 2 4 2 3" xfId="7110" xr:uid="{00000000-0005-0000-0000-0000B1070000}"/>
    <cellStyle name="Comma 2 3 2 4 3" xfId="6418" xr:uid="{00000000-0005-0000-0000-0000B0070000}"/>
    <cellStyle name="Comma 2 3 2 4 3 2" xfId="7305" xr:uid="{00000000-0005-0000-0000-0000B0070000}"/>
    <cellStyle name="Comma 2 3 2 4 4" xfId="6897" xr:uid="{00000000-0005-0000-0000-0000B0070000}"/>
    <cellStyle name="Comma 2 3 2 5" xfId="1899" xr:uid="{00000000-0005-0000-0000-0000B2070000}"/>
    <cellStyle name="Comma 2 3 2 5 2" xfId="6530" xr:uid="{00000000-0005-0000-0000-0000B2070000}"/>
    <cellStyle name="Comma 2 3 2 5 2 2" xfId="7417" xr:uid="{00000000-0005-0000-0000-0000B2070000}"/>
    <cellStyle name="Comma 2 3 2 5 3" xfId="6985" xr:uid="{00000000-0005-0000-0000-0000B2070000}"/>
    <cellStyle name="Comma 2 3 2 6" xfId="6350" xr:uid="{00000000-0005-0000-0000-0000A7070000}"/>
    <cellStyle name="Comma 2 3 2 6 2" xfId="7237" xr:uid="{00000000-0005-0000-0000-0000A7070000}"/>
    <cellStyle name="Comma 2 3 2 7" xfId="6859" xr:uid="{00000000-0005-0000-0000-0000A7070000}"/>
    <cellStyle name="Comma 2 3 3" xfId="1462" xr:uid="{00000000-0005-0000-0000-0000B3070000}"/>
    <cellStyle name="Comma 2 3 3 2" xfId="1593" xr:uid="{00000000-0005-0000-0000-0000B4070000}"/>
    <cellStyle name="Comma 2 3 3 2 2" xfId="4296" xr:uid="{00000000-0005-0000-0000-0000B5070000}"/>
    <cellStyle name="Comma 2 3 3 2 2 2" xfId="6716" xr:uid="{00000000-0005-0000-0000-0000B5070000}"/>
    <cellStyle name="Comma 2 3 3 2 2 2 2" xfId="7603" xr:uid="{00000000-0005-0000-0000-0000B5070000}"/>
    <cellStyle name="Comma 2 3 3 2 2 3" xfId="7108" xr:uid="{00000000-0005-0000-0000-0000B5070000}"/>
    <cellStyle name="Comma 2 3 3 2 3" xfId="6422" xr:uid="{00000000-0005-0000-0000-0000B4070000}"/>
    <cellStyle name="Comma 2 3 3 2 3 2" xfId="7309" xr:uid="{00000000-0005-0000-0000-0000B4070000}"/>
    <cellStyle name="Comma 2 3 3 2 4" xfId="6899" xr:uid="{00000000-0005-0000-0000-0000B4070000}"/>
    <cellStyle name="Comma 2 3 3 3" xfId="4107" xr:uid="{00000000-0005-0000-0000-0000B6070000}"/>
    <cellStyle name="Comma 2 3 3 3 2" xfId="6674" xr:uid="{00000000-0005-0000-0000-0000B6070000}"/>
    <cellStyle name="Comma 2 3 3 3 2 2" xfId="7561" xr:uid="{00000000-0005-0000-0000-0000B6070000}"/>
    <cellStyle name="Comma 2 3 3 3 3" xfId="7086" xr:uid="{00000000-0005-0000-0000-0000B6070000}"/>
    <cellStyle name="Comma 2 3 3 4" xfId="6357" xr:uid="{00000000-0005-0000-0000-0000B3070000}"/>
    <cellStyle name="Comma 2 3 3 4 2" xfId="7244" xr:uid="{00000000-0005-0000-0000-0000B3070000}"/>
    <cellStyle name="Comma 2 3 3 5" xfId="6864" xr:uid="{00000000-0005-0000-0000-0000B3070000}"/>
    <cellStyle name="Comma 2 3 4" xfId="1509" xr:uid="{00000000-0005-0000-0000-0000B7070000}"/>
    <cellStyle name="Comma 2 3 4 2" xfId="1658" xr:uid="{00000000-0005-0000-0000-0000B8070000}"/>
    <cellStyle name="Comma 2 3 4 2 2" xfId="4427" xr:uid="{00000000-0005-0000-0000-0000B9070000}"/>
    <cellStyle name="Comma 2 3 4 2 2 2" xfId="6746" xr:uid="{00000000-0005-0000-0000-0000B9070000}"/>
    <cellStyle name="Comma 2 3 4 2 2 2 2" xfId="7633" xr:uid="{00000000-0005-0000-0000-0000B9070000}"/>
    <cellStyle name="Comma 2 3 4 2 2 3" xfId="7124" xr:uid="{00000000-0005-0000-0000-0000B9070000}"/>
    <cellStyle name="Comma 2 3 4 2 3" xfId="6455" xr:uid="{00000000-0005-0000-0000-0000B8070000}"/>
    <cellStyle name="Comma 2 3 4 2 3 2" xfId="7342" xr:uid="{00000000-0005-0000-0000-0000B8070000}"/>
    <cellStyle name="Comma 2 3 4 2 4" xfId="6918" xr:uid="{00000000-0005-0000-0000-0000B8070000}"/>
    <cellStyle name="Comma 2 3 4 3" xfId="4182" xr:uid="{00000000-0005-0000-0000-0000BA070000}"/>
    <cellStyle name="Comma 2 3 4 3 2" xfId="6694" xr:uid="{00000000-0005-0000-0000-0000BA070000}"/>
    <cellStyle name="Comma 2 3 4 3 2 2" xfId="7581" xr:uid="{00000000-0005-0000-0000-0000BA070000}"/>
    <cellStyle name="Comma 2 3 4 3 3" xfId="7094" xr:uid="{00000000-0005-0000-0000-0000BA070000}"/>
    <cellStyle name="Comma 2 3 4 4" xfId="6383" xr:uid="{00000000-0005-0000-0000-0000B7070000}"/>
    <cellStyle name="Comma 2 3 4 4 2" xfId="7270" xr:uid="{00000000-0005-0000-0000-0000B7070000}"/>
    <cellStyle name="Comma 2 3 4 5" xfId="6878" xr:uid="{00000000-0005-0000-0000-0000B7070000}"/>
    <cellStyle name="Comma 2 3 5" xfId="1573" xr:uid="{00000000-0005-0000-0000-0000BB070000}"/>
    <cellStyle name="Comma 2 3 5 2" xfId="4262" xr:uid="{00000000-0005-0000-0000-0000BC070000}"/>
    <cellStyle name="Comma 2 3 5 2 2" xfId="6709" xr:uid="{00000000-0005-0000-0000-0000BC070000}"/>
    <cellStyle name="Comma 2 3 5 2 2 2" xfId="7596" xr:uid="{00000000-0005-0000-0000-0000BC070000}"/>
    <cellStyle name="Comma 2 3 5 2 3" xfId="7103" xr:uid="{00000000-0005-0000-0000-0000BC070000}"/>
    <cellStyle name="Comma 2 3 5 3" xfId="6409" xr:uid="{00000000-0005-0000-0000-0000BB070000}"/>
    <cellStyle name="Comma 2 3 5 3 2" xfId="7296" xr:uid="{00000000-0005-0000-0000-0000BB070000}"/>
    <cellStyle name="Comma 2 3 5 4" xfId="6893" xr:uid="{00000000-0005-0000-0000-0000BB070000}"/>
    <cellStyle name="Comma 2 3 6" xfId="4616" xr:uid="{00000000-0005-0000-0000-0000BD070000}"/>
    <cellStyle name="Comma 2 3 6 2" xfId="6775" xr:uid="{00000000-0005-0000-0000-0000BD070000}"/>
    <cellStyle name="Comma 2 3 6 2 2" xfId="7662" xr:uid="{00000000-0005-0000-0000-0000BD070000}"/>
    <cellStyle name="Comma 2 3 7" xfId="3985" xr:uid="{00000000-0005-0000-0000-0000BE070000}"/>
    <cellStyle name="Comma 2 3 7 2" xfId="6650" xr:uid="{00000000-0005-0000-0000-0000BE070000}"/>
    <cellStyle name="Comma 2 3 7 2 2" xfId="7537" xr:uid="{00000000-0005-0000-0000-0000BE070000}"/>
    <cellStyle name="Comma 2 3 7 3" xfId="7072" xr:uid="{00000000-0005-0000-0000-0000BE070000}"/>
    <cellStyle name="Comma 2 3 8" xfId="1441" xr:uid="{00000000-0005-0000-0000-0000BF070000}"/>
    <cellStyle name="Comma 2 3 8 2" xfId="6342" xr:uid="{00000000-0005-0000-0000-0000BF070000}"/>
    <cellStyle name="Comma 2 3 8 2 2" xfId="7229" xr:uid="{00000000-0005-0000-0000-0000BF070000}"/>
    <cellStyle name="Comma 2 3 8 3" xfId="6855" xr:uid="{00000000-0005-0000-0000-0000BF070000}"/>
    <cellStyle name="Comma 2 3 9" xfId="6270" xr:uid="{00000000-0005-0000-0000-0000A6070000}"/>
    <cellStyle name="Comma 2 3 9 2" xfId="7157" xr:uid="{00000000-0005-0000-0000-0000A6070000}"/>
    <cellStyle name="Comma 2 4" xfId="851" xr:uid="{00000000-0005-0000-0000-0000C0070000}"/>
    <cellStyle name="Comma 2 4 2" xfId="852" xr:uid="{00000000-0005-0000-0000-0000C1070000}"/>
    <cellStyle name="Comma 2 4 2 2" xfId="853" xr:uid="{00000000-0005-0000-0000-0000C2070000}"/>
    <cellStyle name="Comma 2 4 2 2 2" xfId="854" xr:uid="{00000000-0005-0000-0000-0000C3070000}"/>
    <cellStyle name="Comma 2 4 2 2 2 2" xfId="6274" xr:uid="{00000000-0005-0000-0000-0000C3070000}"/>
    <cellStyle name="Comma 2 4 2 2 2 2 2" xfId="7161" xr:uid="{00000000-0005-0000-0000-0000C3070000}"/>
    <cellStyle name="Comma 2 4 2 2 3" xfId="4108" xr:uid="{00000000-0005-0000-0000-0000C4070000}"/>
    <cellStyle name="Comma 2 4 2 2 3 2" xfId="6675" xr:uid="{00000000-0005-0000-0000-0000C4070000}"/>
    <cellStyle name="Comma 2 4 2 2 3 2 2" xfId="7562" xr:uid="{00000000-0005-0000-0000-0000C4070000}"/>
    <cellStyle name="Comma 2 4 2 2 4" xfId="6273" xr:uid="{00000000-0005-0000-0000-0000C2070000}"/>
    <cellStyle name="Comma 2 4 2 2 4 2" xfId="7160" xr:uid="{00000000-0005-0000-0000-0000C2070000}"/>
    <cellStyle name="Comma 2 4 2 3" xfId="855" xr:uid="{00000000-0005-0000-0000-0000C5070000}"/>
    <cellStyle name="Comma 2 4 2 3 2" xfId="4617" xr:uid="{00000000-0005-0000-0000-0000C6070000}"/>
    <cellStyle name="Comma 2 4 2 3 2 2" xfId="6776" xr:uid="{00000000-0005-0000-0000-0000C6070000}"/>
    <cellStyle name="Comma 2 4 2 3 2 2 2" xfId="7663" xr:uid="{00000000-0005-0000-0000-0000C6070000}"/>
    <cellStyle name="Comma 2 4 2 3 3" xfId="1900" xr:uid="{00000000-0005-0000-0000-0000C7070000}"/>
    <cellStyle name="Comma 2 4 2 3 3 2" xfId="6531" xr:uid="{00000000-0005-0000-0000-0000C7070000}"/>
    <cellStyle name="Comma 2 4 2 3 3 2 2" xfId="7418" xr:uid="{00000000-0005-0000-0000-0000C7070000}"/>
    <cellStyle name="Comma 2 4 2 3 3 3" xfId="6986" xr:uid="{00000000-0005-0000-0000-0000C7070000}"/>
    <cellStyle name="Comma 2 4 2 3 4" xfId="6275" xr:uid="{00000000-0005-0000-0000-0000C5070000}"/>
    <cellStyle name="Comma 2 4 2 3 4 2" xfId="7162" xr:uid="{00000000-0005-0000-0000-0000C5070000}"/>
    <cellStyle name="Comma 2 4 2 4" xfId="6272" xr:uid="{00000000-0005-0000-0000-0000C1070000}"/>
    <cellStyle name="Comma 2 4 2 4 2" xfId="7159" xr:uid="{00000000-0005-0000-0000-0000C1070000}"/>
    <cellStyle name="Comma 2 4 2_2.DATA" xfId="5175" xr:uid="{00000000-0005-0000-0000-0000C8070000}"/>
    <cellStyle name="Comma 2 4 3" xfId="856" xr:uid="{00000000-0005-0000-0000-0000C9070000}"/>
    <cellStyle name="Comma 2 4 3 2" xfId="857" xr:uid="{00000000-0005-0000-0000-0000CA070000}"/>
    <cellStyle name="Comma 2 4 3 2 2" xfId="4309" xr:uid="{00000000-0005-0000-0000-0000CB070000}"/>
    <cellStyle name="Comma 2 4 3 2 2 2" xfId="6723" xr:uid="{00000000-0005-0000-0000-0000CB070000}"/>
    <cellStyle name="Comma 2 4 3 2 2 2 2" xfId="7610" xr:uid="{00000000-0005-0000-0000-0000CB070000}"/>
    <cellStyle name="Comma 2 4 3 2 3" xfId="6277" xr:uid="{00000000-0005-0000-0000-0000CA070000}"/>
    <cellStyle name="Comma 2 4 3 2 3 2" xfId="7164" xr:uid="{00000000-0005-0000-0000-0000CA070000}"/>
    <cellStyle name="Comma 2 4 3 3" xfId="4096" xr:uid="{00000000-0005-0000-0000-0000CC070000}"/>
    <cellStyle name="Comma 2 4 3 3 2" xfId="6668" xr:uid="{00000000-0005-0000-0000-0000CC070000}"/>
    <cellStyle name="Comma 2 4 3 3 2 2" xfId="7555" xr:uid="{00000000-0005-0000-0000-0000CC070000}"/>
    <cellStyle name="Comma 2 4 3 4" xfId="6276" xr:uid="{00000000-0005-0000-0000-0000C9070000}"/>
    <cellStyle name="Comma 2 4 3 4 2" xfId="7163" xr:uid="{00000000-0005-0000-0000-0000C9070000}"/>
    <cellStyle name="Comma 2 4 4" xfId="858" xr:uid="{00000000-0005-0000-0000-0000CD070000}"/>
    <cellStyle name="Comma 2 4 4 2" xfId="4510" xr:uid="{00000000-0005-0000-0000-0000CE070000}"/>
    <cellStyle name="Comma 2 4 4 2 2" xfId="6768" xr:uid="{00000000-0005-0000-0000-0000CE070000}"/>
    <cellStyle name="Comma 2 4 4 2 2 2" xfId="7655" xr:uid="{00000000-0005-0000-0000-0000CE070000}"/>
    <cellStyle name="Comma 2 4 4 3" xfId="6278" xr:uid="{00000000-0005-0000-0000-0000CD070000}"/>
    <cellStyle name="Comma 2 4 4 3 2" xfId="7165" xr:uid="{00000000-0005-0000-0000-0000CD070000}"/>
    <cellStyle name="Comma 2 4 5" xfId="1901" xr:uid="{00000000-0005-0000-0000-0000CF070000}"/>
    <cellStyle name="Comma 2 4 5 2" xfId="6532" xr:uid="{00000000-0005-0000-0000-0000CF070000}"/>
    <cellStyle name="Comma 2 4 5 2 2" xfId="7419" xr:uid="{00000000-0005-0000-0000-0000CF070000}"/>
    <cellStyle name="Comma 2 4 5 3" xfId="6987" xr:uid="{00000000-0005-0000-0000-0000CF070000}"/>
    <cellStyle name="Comma 2 4 6" xfId="6271" xr:uid="{00000000-0005-0000-0000-0000C0070000}"/>
    <cellStyle name="Comma 2 4 6 2" xfId="7158" xr:uid="{00000000-0005-0000-0000-0000C0070000}"/>
    <cellStyle name="Comma 2 4_2.DATA" xfId="5174" xr:uid="{00000000-0005-0000-0000-0000D0070000}"/>
    <cellStyle name="Comma 2 5" xfId="859" xr:uid="{00000000-0005-0000-0000-0000D1070000}"/>
    <cellStyle name="Comma 2 5 2" xfId="860" xr:uid="{00000000-0005-0000-0000-0000D2070000}"/>
    <cellStyle name="Comma 2 5 2 2" xfId="861" xr:uid="{00000000-0005-0000-0000-0000D3070000}"/>
    <cellStyle name="Comma 2 5 2 2 2" xfId="862" xr:uid="{00000000-0005-0000-0000-0000D4070000}"/>
    <cellStyle name="Comma 2 5 2 2 2 2" xfId="6279" xr:uid="{00000000-0005-0000-0000-0000D4070000}"/>
    <cellStyle name="Comma 2 5 2 2 2 2 2" xfId="7166" xr:uid="{00000000-0005-0000-0000-0000D4070000}"/>
    <cellStyle name="Comma 2 5 2 2 3" xfId="4620" xr:uid="{00000000-0005-0000-0000-0000D5070000}"/>
    <cellStyle name="Comma 2 5 2 2 3 2" xfId="6779" xr:uid="{00000000-0005-0000-0000-0000D5070000}"/>
    <cellStyle name="Comma 2 5 2 2 3 2 2" xfId="7666" xr:uid="{00000000-0005-0000-0000-0000D5070000}"/>
    <cellStyle name="Comma 2 5 2 2 4" xfId="4440" xr:uid="{00000000-0005-0000-0000-0000D6070000}"/>
    <cellStyle name="Comma 2 5 2 2 4 2" xfId="6750" xr:uid="{00000000-0005-0000-0000-0000D6070000}"/>
    <cellStyle name="Comma 2 5 2 2 4 2 2" xfId="7637" xr:uid="{00000000-0005-0000-0000-0000D6070000}"/>
    <cellStyle name="Comma 2 5 2 2 4 3" xfId="7127" xr:uid="{00000000-0005-0000-0000-0000D6070000}"/>
    <cellStyle name="Comma 2 5 2 2 5" xfId="1594" xr:uid="{00000000-0005-0000-0000-0000D7070000}"/>
    <cellStyle name="Comma 2 5 2 2 5 2" xfId="6423" xr:uid="{00000000-0005-0000-0000-0000D7070000}"/>
    <cellStyle name="Comma 2 5 2 2 5 2 2" xfId="7310" xr:uid="{00000000-0005-0000-0000-0000D7070000}"/>
    <cellStyle name="Comma 2 5 2 2 5 3" xfId="6900" xr:uid="{00000000-0005-0000-0000-0000D7070000}"/>
    <cellStyle name="Comma 2 5 2 3" xfId="863" xr:uid="{00000000-0005-0000-0000-0000D8070000}"/>
    <cellStyle name="Comma 2 5 2 3 2" xfId="6280" xr:uid="{00000000-0005-0000-0000-0000D8070000}"/>
    <cellStyle name="Comma 2 5 2 3 2 2" xfId="7167" xr:uid="{00000000-0005-0000-0000-0000D8070000}"/>
    <cellStyle name="Comma 2 5 2 4" xfId="4619" xr:uid="{00000000-0005-0000-0000-0000D9070000}"/>
    <cellStyle name="Comma 2 5 2 4 2" xfId="6778" xr:uid="{00000000-0005-0000-0000-0000D9070000}"/>
    <cellStyle name="Comma 2 5 2 4 2 2" xfId="7665" xr:uid="{00000000-0005-0000-0000-0000D9070000}"/>
    <cellStyle name="Comma 2 5 2 5" xfId="4074" xr:uid="{00000000-0005-0000-0000-0000DA070000}"/>
    <cellStyle name="Comma 2 5 2 5 2" xfId="6661" xr:uid="{00000000-0005-0000-0000-0000DA070000}"/>
    <cellStyle name="Comma 2 5 2 5 2 2" xfId="7548" xr:uid="{00000000-0005-0000-0000-0000DA070000}"/>
    <cellStyle name="Comma 2 5 2 5 3" xfId="7081" xr:uid="{00000000-0005-0000-0000-0000DA070000}"/>
    <cellStyle name="Comma 2 5 2 6" xfId="1464" xr:uid="{00000000-0005-0000-0000-0000DB070000}"/>
    <cellStyle name="Comma 2 5 2 6 2" xfId="6359" xr:uid="{00000000-0005-0000-0000-0000DB070000}"/>
    <cellStyle name="Comma 2 5 2 6 2 2" xfId="7246" xr:uid="{00000000-0005-0000-0000-0000DB070000}"/>
    <cellStyle name="Comma 2 5 2 6 3" xfId="6866" xr:uid="{00000000-0005-0000-0000-0000DB070000}"/>
    <cellStyle name="Comma 2 5 3" xfId="864" xr:uid="{00000000-0005-0000-0000-0000DC070000}"/>
    <cellStyle name="Comma 2 5 3 2" xfId="865" xr:uid="{00000000-0005-0000-0000-0000DD070000}"/>
    <cellStyle name="Comma 2 5 3 2 2" xfId="4622" xr:uid="{00000000-0005-0000-0000-0000DE070000}"/>
    <cellStyle name="Comma 2 5 3 2 2 2" xfId="6781" xr:uid="{00000000-0005-0000-0000-0000DE070000}"/>
    <cellStyle name="Comma 2 5 3 2 2 2 2" xfId="7668" xr:uid="{00000000-0005-0000-0000-0000DE070000}"/>
    <cellStyle name="Comma 2 5 3 2 3" xfId="4393" xr:uid="{00000000-0005-0000-0000-0000DF070000}"/>
    <cellStyle name="Comma 2 5 3 2 3 2" xfId="6739" xr:uid="{00000000-0005-0000-0000-0000DF070000}"/>
    <cellStyle name="Comma 2 5 3 2 3 2 2" xfId="7626" xr:uid="{00000000-0005-0000-0000-0000DF070000}"/>
    <cellStyle name="Comma 2 5 3 2 3 3" xfId="7120" xr:uid="{00000000-0005-0000-0000-0000DF070000}"/>
    <cellStyle name="Comma 2 5 3 2 4" xfId="1661" xr:uid="{00000000-0005-0000-0000-0000E0070000}"/>
    <cellStyle name="Comma 2 5 3 2 4 2" xfId="6457" xr:uid="{00000000-0005-0000-0000-0000E0070000}"/>
    <cellStyle name="Comma 2 5 3 2 4 2 2" xfId="7344" xr:uid="{00000000-0005-0000-0000-0000E0070000}"/>
    <cellStyle name="Comma 2 5 3 2 4 3" xfId="6920" xr:uid="{00000000-0005-0000-0000-0000E0070000}"/>
    <cellStyle name="Comma 2 5 3 3" xfId="4621" xr:uid="{00000000-0005-0000-0000-0000E1070000}"/>
    <cellStyle name="Comma 2 5 3 3 2" xfId="6780" xr:uid="{00000000-0005-0000-0000-0000E1070000}"/>
    <cellStyle name="Comma 2 5 3 3 2 2" xfId="7667" xr:uid="{00000000-0005-0000-0000-0000E1070000}"/>
    <cellStyle name="Comma 2 5 3 4" xfId="4196" xr:uid="{00000000-0005-0000-0000-0000E2070000}"/>
    <cellStyle name="Comma 2 5 3 4 2" xfId="6695" xr:uid="{00000000-0005-0000-0000-0000E2070000}"/>
    <cellStyle name="Comma 2 5 3 4 2 2" xfId="7582" xr:uid="{00000000-0005-0000-0000-0000E2070000}"/>
    <cellStyle name="Comma 2 5 3 4 3" xfId="7095" xr:uid="{00000000-0005-0000-0000-0000E2070000}"/>
    <cellStyle name="Comma 2 5 3 5" xfId="1512" xr:uid="{00000000-0005-0000-0000-0000E3070000}"/>
    <cellStyle name="Comma 2 5 3 5 2" xfId="6385" xr:uid="{00000000-0005-0000-0000-0000E3070000}"/>
    <cellStyle name="Comma 2 5 3 5 2 2" xfId="7272" xr:uid="{00000000-0005-0000-0000-0000E3070000}"/>
    <cellStyle name="Comma 2 5 3 5 3" xfId="6880" xr:uid="{00000000-0005-0000-0000-0000E3070000}"/>
    <cellStyle name="Comma 2 5 4" xfId="866" xr:uid="{00000000-0005-0000-0000-0000E4070000}"/>
    <cellStyle name="Comma 2 5 4 2" xfId="4623" xr:uid="{00000000-0005-0000-0000-0000E5070000}"/>
    <cellStyle name="Comma 2 5 4 2 2" xfId="6782" xr:uid="{00000000-0005-0000-0000-0000E5070000}"/>
    <cellStyle name="Comma 2 5 4 2 2 2" xfId="7669" xr:uid="{00000000-0005-0000-0000-0000E5070000}"/>
    <cellStyle name="Comma 2 5 4 3" xfId="4266" xr:uid="{00000000-0005-0000-0000-0000E6070000}"/>
    <cellStyle name="Comma 2 5 4 3 2" xfId="6710" xr:uid="{00000000-0005-0000-0000-0000E6070000}"/>
    <cellStyle name="Comma 2 5 4 3 2 2" xfId="7597" xr:uid="{00000000-0005-0000-0000-0000E6070000}"/>
    <cellStyle name="Comma 2 5 4 3 3" xfId="7104" xr:uid="{00000000-0005-0000-0000-0000E6070000}"/>
    <cellStyle name="Comma 2 5 4 4" xfId="1576" xr:uid="{00000000-0005-0000-0000-0000E7070000}"/>
    <cellStyle name="Comma 2 5 4 4 2" xfId="6411" xr:uid="{00000000-0005-0000-0000-0000E7070000}"/>
    <cellStyle name="Comma 2 5 4 4 2 2" xfId="7298" xr:uid="{00000000-0005-0000-0000-0000E7070000}"/>
    <cellStyle name="Comma 2 5 4 4 3" xfId="6895" xr:uid="{00000000-0005-0000-0000-0000E7070000}"/>
    <cellStyle name="Comma 2 5 5" xfId="1902" xr:uid="{00000000-0005-0000-0000-0000E8070000}"/>
    <cellStyle name="Comma 2 5 5 2" xfId="4618" xr:uid="{00000000-0005-0000-0000-0000E9070000}"/>
    <cellStyle name="Comma 2 5 5 2 2" xfId="6777" xr:uid="{00000000-0005-0000-0000-0000E9070000}"/>
    <cellStyle name="Comma 2 5 5 2 2 2" xfId="7664" xr:uid="{00000000-0005-0000-0000-0000E9070000}"/>
    <cellStyle name="Comma 2 5 5 3" xfId="6533" xr:uid="{00000000-0005-0000-0000-0000E8070000}"/>
    <cellStyle name="Comma 2 5 5 3 2" xfId="7420" xr:uid="{00000000-0005-0000-0000-0000E8070000}"/>
    <cellStyle name="Comma 2 5 5 4" xfId="6988" xr:uid="{00000000-0005-0000-0000-0000E8070000}"/>
    <cellStyle name="Comma 2 5 6" xfId="1444" xr:uid="{00000000-0005-0000-0000-0000EA070000}"/>
    <cellStyle name="Comma 2 5 6 2" xfId="6344" xr:uid="{00000000-0005-0000-0000-0000EA070000}"/>
    <cellStyle name="Comma 2 5 6 2 2" xfId="7231" xr:uid="{00000000-0005-0000-0000-0000EA070000}"/>
    <cellStyle name="Comma 2 5 6 3" xfId="6857" xr:uid="{00000000-0005-0000-0000-0000EA070000}"/>
    <cellStyle name="Comma 2 6" xfId="867" xr:uid="{00000000-0005-0000-0000-0000EB070000}"/>
    <cellStyle name="Comma 2 6 2" xfId="868" xr:uid="{00000000-0005-0000-0000-0000EC070000}"/>
    <cellStyle name="Comma 2 6 2 2" xfId="869" xr:uid="{00000000-0005-0000-0000-0000ED070000}"/>
    <cellStyle name="Comma 2 6 2 2 2" xfId="870" xr:uid="{00000000-0005-0000-0000-0000EE070000}"/>
    <cellStyle name="Comma 2 6 2 2 2 2" xfId="6281" xr:uid="{00000000-0005-0000-0000-0000EE070000}"/>
    <cellStyle name="Comma 2 6 2 2 2 2 2" xfId="7168" xr:uid="{00000000-0005-0000-0000-0000EE070000}"/>
    <cellStyle name="Comma 2 6 2 2 3" xfId="4626" xr:uid="{00000000-0005-0000-0000-0000EF070000}"/>
    <cellStyle name="Comma 2 6 2 2 3 2" xfId="6785" xr:uid="{00000000-0005-0000-0000-0000EF070000}"/>
    <cellStyle name="Comma 2 6 2 2 3 2 2" xfId="7672" xr:uid="{00000000-0005-0000-0000-0000EF070000}"/>
    <cellStyle name="Comma 2 6 2 2 4" xfId="4421" xr:uid="{00000000-0005-0000-0000-0000F0070000}"/>
    <cellStyle name="Comma 2 6 2 2 4 2" xfId="6744" xr:uid="{00000000-0005-0000-0000-0000F0070000}"/>
    <cellStyle name="Comma 2 6 2 2 4 2 2" xfId="7631" xr:uid="{00000000-0005-0000-0000-0000F0070000}"/>
    <cellStyle name="Comma 2 6 2 2 4 3" xfId="7123" xr:uid="{00000000-0005-0000-0000-0000F0070000}"/>
    <cellStyle name="Comma 2 6 2 2 5" xfId="1596" xr:uid="{00000000-0005-0000-0000-0000F1070000}"/>
    <cellStyle name="Comma 2 6 2 2 5 2" xfId="6425" xr:uid="{00000000-0005-0000-0000-0000F1070000}"/>
    <cellStyle name="Comma 2 6 2 2 5 2 2" xfId="7312" xr:uid="{00000000-0005-0000-0000-0000F1070000}"/>
    <cellStyle name="Comma 2 6 2 2 5 3" xfId="6902" xr:uid="{00000000-0005-0000-0000-0000F1070000}"/>
    <cellStyle name="Comma 2 6 2 3" xfId="871" xr:uid="{00000000-0005-0000-0000-0000F2070000}"/>
    <cellStyle name="Comma 2 6 2 3 2" xfId="6282" xr:uid="{00000000-0005-0000-0000-0000F2070000}"/>
    <cellStyle name="Comma 2 6 2 3 2 2" xfId="7169" xr:uid="{00000000-0005-0000-0000-0000F2070000}"/>
    <cellStyle name="Comma 2 6 2 4" xfId="4625" xr:uid="{00000000-0005-0000-0000-0000F3070000}"/>
    <cellStyle name="Comma 2 6 2 4 2" xfId="6784" xr:uid="{00000000-0005-0000-0000-0000F3070000}"/>
    <cellStyle name="Comma 2 6 2 4 2 2" xfId="7671" xr:uid="{00000000-0005-0000-0000-0000F3070000}"/>
    <cellStyle name="Comma 2 6 2 5" xfId="4109" xr:uid="{00000000-0005-0000-0000-0000F4070000}"/>
    <cellStyle name="Comma 2 6 2 5 2" xfId="6676" xr:uid="{00000000-0005-0000-0000-0000F4070000}"/>
    <cellStyle name="Comma 2 6 2 5 2 2" xfId="7563" xr:uid="{00000000-0005-0000-0000-0000F4070000}"/>
    <cellStyle name="Comma 2 6 2 5 3" xfId="7087" xr:uid="{00000000-0005-0000-0000-0000F4070000}"/>
    <cellStyle name="Comma 2 6 2 6" xfId="1465" xr:uid="{00000000-0005-0000-0000-0000F5070000}"/>
    <cellStyle name="Comma 2 6 2 6 2" xfId="6360" xr:uid="{00000000-0005-0000-0000-0000F5070000}"/>
    <cellStyle name="Comma 2 6 2 6 2 2" xfId="7247" xr:uid="{00000000-0005-0000-0000-0000F5070000}"/>
    <cellStyle name="Comma 2 6 2 6 3" xfId="6867" xr:uid="{00000000-0005-0000-0000-0000F5070000}"/>
    <cellStyle name="Comma 2 6 3" xfId="872" xr:uid="{00000000-0005-0000-0000-0000F6070000}"/>
    <cellStyle name="Comma 2 6 3 2" xfId="873" xr:uid="{00000000-0005-0000-0000-0000F7070000}"/>
    <cellStyle name="Comma 2 6 3 2 2" xfId="4628" xr:uid="{00000000-0005-0000-0000-0000F8070000}"/>
    <cellStyle name="Comma 2 6 3 2 2 2" xfId="6787" xr:uid="{00000000-0005-0000-0000-0000F8070000}"/>
    <cellStyle name="Comma 2 6 3 2 2 2 2" xfId="7674" xr:uid="{00000000-0005-0000-0000-0000F8070000}"/>
    <cellStyle name="Comma 2 6 3 2 3" xfId="4451" xr:uid="{00000000-0005-0000-0000-0000F9070000}"/>
    <cellStyle name="Comma 2 6 3 2 3 2" xfId="6754" xr:uid="{00000000-0005-0000-0000-0000F9070000}"/>
    <cellStyle name="Comma 2 6 3 2 3 2 2" xfId="7641" xr:uid="{00000000-0005-0000-0000-0000F9070000}"/>
    <cellStyle name="Comma 2 6 3 2 3 3" xfId="7129" xr:uid="{00000000-0005-0000-0000-0000F9070000}"/>
    <cellStyle name="Comma 2 6 3 2 4" xfId="1680" xr:uid="{00000000-0005-0000-0000-0000FA070000}"/>
    <cellStyle name="Comma 2 6 3 2 4 2" xfId="6468" xr:uid="{00000000-0005-0000-0000-0000FA070000}"/>
    <cellStyle name="Comma 2 6 3 2 4 2 2" xfId="7355" xr:uid="{00000000-0005-0000-0000-0000FA070000}"/>
    <cellStyle name="Comma 2 6 3 2 4 3" xfId="6926" xr:uid="{00000000-0005-0000-0000-0000FA070000}"/>
    <cellStyle name="Comma 2 6 3 3" xfId="4627" xr:uid="{00000000-0005-0000-0000-0000FB070000}"/>
    <cellStyle name="Comma 2 6 3 3 2" xfId="6786" xr:uid="{00000000-0005-0000-0000-0000FB070000}"/>
    <cellStyle name="Comma 2 6 3 3 2 2" xfId="7673" xr:uid="{00000000-0005-0000-0000-0000FB070000}"/>
    <cellStyle name="Comma 2 6 3 4" xfId="4208" xr:uid="{00000000-0005-0000-0000-0000FC070000}"/>
    <cellStyle name="Comma 2 6 3 4 2" xfId="6702" xr:uid="{00000000-0005-0000-0000-0000FC070000}"/>
    <cellStyle name="Comma 2 6 3 4 2 2" xfId="7589" xr:uid="{00000000-0005-0000-0000-0000FC070000}"/>
    <cellStyle name="Comma 2 6 3 4 3" xfId="7099" xr:uid="{00000000-0005-0000-0000-0000FC070000}"/>
    <cellStyle name="Comma 2 6 3 5" xfId="1528" xr:uid="{00000000-0005-0000-0000-0000FD070000}"/>
    <cellStyle name="Comma 2 6 3 5 2" xfId="6395" xr:uid="{00000000-0005-0000-0000-0000FD070000}"/>
    <cellStyle name="Comma 2 6 3 5 2 2" xfId="7282" xr:uid="{00000000-0005-0000-0000-0000FD070000}"/>
    <cellStyle name="Comma 2 6 3 5 3" xfId="6886" xr:uid="{00000000-0005-0000-0000-0000FD070000}"/>
    <cellStyle name="Comma 2 6 4" xfId="874" xr:uid="{00000000-0005-0000-0000-0000FE070000}"/>
    <cellStyle name="Comma 2 6 4 2" xfId="4629" xr:uid="{00000000-0005-0000-0000-0000FF070000}"/>
    <cellStyle name="Comma 2 6 4 2 2" xfId="6788" xr:uid="{00000000-0005-0000-0000-0000FF070000}"/>
    <cellStyle name="Comma 2 6 4 2 2 2" xfId="7675" xr:uid="{00000000-0005-0000-0000-0000FF070000}"/>
    <cellStyle name="Comma 2 6 4 3" xfId="4481" xr:uid="{00000000-0005-0000-0000-000000080000}"/>
    <cellStyle name="Comma 2 6 4 3 2" xfId="6762" xr:uid="{00000000-0005-0000-0000-000000080000}"/>
    <cellStyle name="Comma 2 6 4 3 2 2" xfId="7649" xr:uid="{00000000-0005-0000-0000-000000080000}"/>
    <cellStyle name="Comma 2 6 4 3 3" xfId="7134" xr:uid="{00000000-0005-0000-0000-000000080000}"/>
    <cellStyle name="Comma 2 6 4 4" xfId="1595" xr:uid="{00000000-0005-0000-0000-000001080000}"/>
    <cellStyle name="Comma 2 6 4 4 2" xfId="6424" xr:uid="{00000000-0005-0000-0000-000001080000}"/>
    <cellStyle name="Comma 2 6 4 4 2 2" xfId="7311" xr:uid="{00000000-0005-0000-0000-000001080000}"/>
    <cellStyle name="Comma 2 6 4 4 3" xfId="6901" xr:uid="{00000000-0005-0000-0000-000001080000}"/>
    <cellStyle name="Comma 2 6 5" xfId="4624" xr:uid="{00000000-0005-0000-0000-000002080000}"/>
    <cellStyle name="Comma 2 6 5 2" xfId="6783" xr:uid="{00000000-0005-0000-0000-000002080000}"/>
    <cellStyle name="Comma 2 6 5 2 2" xfId="7670" xr:uid="{00000000-0005-0000-0000-000002080000}"/>
    <cellStyle name="Comma 2 6 6" xfId="4088" xr:uid="{00000000-0005-0000-0000-000003080000}"/>
    <cellStyle name="Comma 2 6 6 2" xfId="6664" xr:uid="{00000000-0005-0000-0000-000003080000}"/>
    <cellStyle name="Comma 2 6 6 2 2" xfId="7551" xr:uid="{00000000-0005-0000-0000-000003080000}"/>
    <cellStyle name="Comma 2 6 6 3" xfId="7082" xr:uid="{00000000-0005-0000-0000-000003080000}"/>
    <cellStyle name="Comma 2 6 7" xfId="1397" xr:uid="{00000000-0005-0000-0000-000004080000}"/>
    <cellStyle name="Comma 2 6 7 2" xfId="6338" xr:uid="{00000000-0005-0000-0000-000004080000}"/>
    <cellStyle name="Comma 2 6 7 2 2" xfId="7225" xr:uid="{00000000-0005-0000-0000-000004080000}"/>
    <cellStyle name="Comma 2 6 7 3" xfId="6853" xr:uid="{00000000-0005-0000-0000-000004080000}"/>
    <cellStyle name="Comma 2 7" xfId="875" xr:uid="{00000000-0005-0000-0000-000005080000}"/>
    <cellStyle name="Comma 2 7 2" xfId="1597" xr:uid="{00000000-0005-0000-0000-000006080000}"/>
    <cellStyle name="Comma 2 7 2 2" xfId="4373" xr:uid="{00000000-0005-0000-0000-000007080000}"/>
    <cellStyle name="Comma 2 7 2 2 2" xfId="6735" xr:uid="{00000000-0005-0000-0000-000007080000}"/>
    <cellStyle name="Comma 2 7 2 2 2 2" xfId="7622" xr:uid="{00000000-0005-0000-0000-000007080000}"/>
    <cellStyle name="Comma 2 7 2 2 3" xfId="7117" xr:uid="{00000000-0005-0000-0000-000007080000}"/>
    <cellStyle name="Comma 2 7 2 3" xfId="6426" xr:uid="{00000000-0005-0000-0000-000006080000}"/>
    <cellStyle name="Comma 2 7 2 3 2" xfId="7313" xr:uid="{00000000-0005-0000-0000-000006080000}"/>
    <cellStyle name="Comma 2 7 2 4" xfId="6903" xr:uid="{00000000-0005-0000-0000-000006080000}"/>
    <cellStyle name="Comma 2 7 3" xfId="4630" xr:uid="{00000000-0005-0000-0000-000008080000}"/>
    <cellStyle name="Comma 2 7 3 2" xfId="6789" xr:uid="{00000000-0005-0000-0000-000008080000}"/>
    <cellStyle name="Comma 2 7 3 2 2" xfId="7676" xr:uid="{00000000-0005-0000-0000-000008080000}"/>
    <cellStyle name="Comma 2 7 4" xfId="4105" xr:uid="{00000000-0005-0000-0000-000009080000}"/>
    <cellStyle name="Comma 2 7 4 2" xfId="6672" xr:uid="{00000000-0005-0000-0000-000009080000}"/>
    <cellStyle name="Comma 2 7 4 2 2" xfId="7559" xr:uid="{00000000-0005-0000-0000-000009080000}"/>
    <cellStyle name="Comma 2 7 4 3" xfId="7085" xr:uid="{00000000-0005-0000-0000-000009080000}"/>
    <cellStyle name="Comma 2 7 5" xfId="1459" xr:uid="{00000000-0005-0000-0000-00000A080000}"/>
    <cellStyle name="Comma 2 7 5 2" xfId="6354" xr:uid="{00000000-0005-0000-0000-00000A080000}"/>
    <cellStyle name="Comma 2 7 5 2 2" xfId="7241" xr:uid="{00000000-0005-0000-0000-00000A080000}"/>
    <cellStyle name="Comma 2 7 5 3" xfId="6863" xr:uid="{00000000-0005-0000-0000-00000A080000}"/>
    <cellStyle name="Comma 2 7 6" xfId="6283" xr:uid="{00000000-0005-0000-0000-000005080000}"/>
    <cellStyle name="Comma 2 7 6 2" xfId="7170" xr:uid="{00000000-0005-0000-0000-000005080000}"/>
    <cellStyle name="Comma 2 8" xfId="1497" xr:uid="{00000000-0005-0000-0000-00000B080000}"/>
    <cellStyle name="Comma 2 8 2" xfId="1644" xr:uid="{00000000-0005-0000-0000-00000C080000}"/>
    <cellStyle name="Comma 2 8 2 2" xfId="4274" xr:uid="{00000000-0005-0000-0000-00000D080000}"/>
    <cellStyle name="Comma 2 8 2 2 2" xfId="6712" xr:uid="{00000000-0005-0000-0000-00000D080000}"/>
    <cellStyle name="Comma 2 8 2 2 2 2" xfId="7599" xr:uid="{00000000-0005-0000-0000-00000D080000}"/>
    <cellStyle name="Comma 2 8 2 2 3" xfId="7105" xr:uid="{00000000-0005-0000-0000-00000D080000}"/>
    <cellStyle name="Comma 2 8 2 3" xfId="6449" xr:uid="{00000000-0005-0000-0000-00000C080000}"/>
    <cellStyle name="Comma 2 8 2 3 2" xfId="7336" xr:uid="{00000000-0005-0000-0000-00000C080000}"/>
    <cellStyle name="Comma 2 8 2 4" xfId="6916" xr:uid="{00000000-0005-0000-0000-00000C080000}"/>
    <cellStyle name="Comma 2 8 3" xfId="4169" xr:uid="{00000000-0005-0000-0000-00000E080000}"/>
    <cellStyle name="Comma 2 8 3 2" xfId="6687" xr:uid="{00000000-0005-0000-0000-00000E080000}"/>
    <cellStyle name="Comma 2 8 3 2 2" xfId="7574" xr:uid="{00000000-0005-0000-0000-00000E080000}"/>
    <cellStyle name="Comma 2 8 3 3" xfId="7092" xr:uid="{00000000-0005-0000-0000-00000E080000}"/>
    <cellStyle name="Comma 2 8 4" xfId="6377" xr:uid="{00000000-0005-0000-0000-00000B080000}"/>
    <cellStyle name="Comma 2 8 4 2" xfId="7264" xr:uid="{00000000-0005-0000-0000-00000B080000}"/>
    <cellStyle name="Comma 2 8 5" xfId="6876" xr:uid="{00000000-0005-0000-0000-00000B080000}"/>
    <cellStyle name="Comma 2 9" xfId="1541" xr:uid="{00000000-0005-0000-0000-00000F080000}"/>
    <cellStyle name="Comma 2 9 2" xfId="1718" xr:uid="{00000000-0005-0000-0000-000010080000}"/>
    <cellStyle name="Comma 2 9 2 2" xfId="4304" xr:uid="{00000000-0005-0000-0000-000011080000}"/>
    <cellStyle name="Comma 2 9 2 2 2" xfId="6721" xr:uid="{00000000-0005-0000-0000-000011080000}"/>
    <cellStyle name="Comma 2 9 2 2 2 2" xfId="7608" xr:uid="{00000000-0005-0000-0000-000011080000}"/>
    <cellStyle name="Comma 2 9 2 2 3" xfId="7111" xr:uid="{00000000-0005-0000-0000-000011080000}"/>
    <cellStyle name="Comma 2 9 2 3" xfId="6473" xr:uid="{00000000-0005-0000-0000-000010080000}"/>
    <cellStyle name="Comma 2 9 2 3 2" xfId="7360" xr:uid="{00000000-0005-0000-0000-000010080000}"/>
    <cellStyle name="Comma 2 9 2 4" xfId="6929" xr:uid="{00000000-0005-0000-0000-000010080000}"/>
    <cellStyle name="Comma 2 9 3" xfId="4255" xr:uid="{00000000-0005-0000-0000-000012080000}"/>
    <cellStyle name="Comma 2 9 3 2" xfId="6707" xr:uid="{00000000-0005-0000-0000-000012080000}"/>
    <cellStyle name="Comma 2 9 3 2 2" xfId="7594" xr:uid="{00000000-0005-0000-0000-000012080000}"/>
    <cellStyle name="Comma 2 9 3 3" xfId="7102" xr:uid="{00000000-0005-0000-0000-000012080000}"/>
    <cellStyle name="Comma 2 9 4" xfId="6400" xr:uid="{00000000-0005-0000-0000-00000F080000}"/>
    <cellStyle name="Comma 2 9 4 2" xfId="7287" xr:uid="{00000000-0005-0000-0000-00000F080000}"/>
    <cellStyle name="Comma 2 9 5" xfId="6889" xr:uid="{00000000-0005-0000-0000-00000F080000}"/>
    <cellStyle name="Comma 2_2.DATA" xfId="5171" xr:uid="{00000000-0005-0000-0000-000013080000}"/>
    <cellStyle name="Comma 20" xfId="1743" xr:uid="{00000000-0005-0000-0000-000014080000}"/>
    <cellStyle name="Comma 20 2" xfId="4277" xr:uid="{00000000-0005-0000-0000-000015080000}"/>
    <cellStyle name="Comma 20 2 2" xfId="6713" xr:uid="{00000000-0005-0000-0000-000015080000}"/>
    <cellStyle name="Comma 20 2 2 2" xfId="7600" xr:uid="{00000000-0005-0000-0000-000015080000}"/>
    <cellStyle name="Comma 20 2 3" xfId="7106" xr:uid="{00000000-0005-0000-0000-000015080000}"/>
    <cellStyle name="Comma 20 3" xfId="6482" xr:uid="{00000000-0005-0000-0000-000014080000}"/>
    <cellStyle name="Comma 20 3 2" xfId="7369" xr:uid="{00000000-0005-0000-0000-000014080000}"/>
    <cellStyle name="Comma 20 4" xfId="6938" xr:uid="{00000000-0005-0000-0000-000014080000}"/>
    <cellStyle name="Comma 21" xfId="6268" xr:uid="{00000000-0005-0000-0000-00007F180000}"/>
    <cellStyle name="Comma 21 2" xfId="7155" xr:uid="{00000000-0005-0000-0000-00007F180000}"/>
    <cellStyle name="Comma 22" xfId="6819" xr:uid="{00000000-0005-0000-0000-0000A51A0000}"/>
    <cellStyle name="Comma 3" xfId="876" xr:uid="{00000000-0005-0000-0000-000016080000}"/>
    <cellStyle name="Comma 3 10" xfId="6284" xr:uid="{00000000-0005-0000-0000-000016080000}"/>
    <cellStyle name="Comma 3 10 2" xfId="7171" xr:uid="{00000000-0005-0000-0000-000016080000}"/>
    <cellStyle name="Comma 3 2" xfId="877" xr:uid="{00000000-0005-0000-0000-000017080000}"/>
    <cellStyle name="Comma 3 2 2" xfId="1446" xr:uid="{00000000-0005-0000-0000-000018080000}"/>
    <cellStyle name="Comma 3 2 2 2" xfId="1468" xr:uid="{00000000-0005-0000-0000-000019080000}"/>
    <cellStyle name="Comma 3 2 2 2 2" xfId="1598" xr:uid="{00000000-0005-0000-0000-00001A080000}"/>
    <cellStyle name="Comma 3 2 2 2 2 2" xfId="4446" xr:uid="{00000000-0005-0000-0000-00001B080000}"/>
    <cellStyle name="Comma 3 2 2 2 2 2 2" xfId="6753" xr:uid="{00000000-0005-0000-0000-00001B080000}"/>
    <cellStyle name="Comma 3 2 2 2 2 2 2 2" xfId="7640" xr:uid="{00000000-0005-0000-0000-00001B080000}"/>
    <cellStyle name="Comma 3 2 2 2 2 3" xfId="6427" xr:uid="{00000000-0005-0000-0000-00001A080000}"/>
    <cellStyle name="Comma 3 2 2 2 2 3 2" xfId="7314" xr:uid="{00000000-0005-0000-0000-00001A080000}"/>
    <cellStyle name="Comma 3 2 2 2 3" xfId="4098" xr:uid="{00000000-0005-0000-0000-00001C080000}"/>
    <cellStyle name="Comma 3 2 2 2 3 2" xfId="6669" xr:uid="{00000000-0005-0000-0000-00001C080000}"/>
    <cellStyle name="Comma 3 2 2 2 3 2 2" xfId="7556" xr:uid="{00000000-0005-0000-0000-00001C080000}"/>
    <cellStyle name="Comma 3 2 2 2 4" xfId="6363" xr:uid="{00000000-0005-0000-0000-000019080000}"/>
    <cellStyle name="Comma 3 2 2 2 4 2" xfId="7250" xr:uid="{00000000-0005-0000-0000-000019080000}"/>
    <cellStyle name="Comma 3 2 2 3" xfId="1515" xr:uid="{00000000-0005-0000-0000-00001D080000}"/>
    <cellStyle name="Comma 3 2 2 3 2" xfId="1664" xr:uid="{00000000-0005-0000-0000-00001E080000}"/>
    <cellStyle name="Comma 3 2 2 3 2 2" xfId="4321" xr:uid="{00000000-0005-0000-0000-00001F080000}"/>
    <cellStyle name="Comma 3 2 2 3 2 2 2" xfId="6725" xr:uid="{00000000-0005-0000-0000-00001F080000}"/>
    <cellStyle name="Comma 3 2 2 3 2 2 2 2" xfId="7612" xr:uid="{00000000-0005-0000-0000-00001F080000}"/>
    <cellStyle name="Comma 3 2 2 3 2 3" xfId="6460" xr:uid="{00000000-0005-0000-0000-00001E080000}"/>
    <cellStyle name="Comma 3 2 2 3 2 3 2" xfId="7347" xr:uid="{00000000-0005-0000-0000-00001E080000}"/>
    <cellStyle name="Comma 3 2 2 3 3" xfId="4200" xr:uid="{00000000-0005-0000-0000-000020080000}"/>
    <cellStyle name="Comma 3 2 2 3 3 2" xfId="6697" xr:uid="{00000000-0005-0000-0000-000020080000}"/>
    <cellStyle name="Comma 3 2 2 3 3 2 2" xfId="7584" xr:uid="{00000000-0005-0000-0000-000020080000}"/>
    <cellStyle name="Comma 3 2 2 3 4" xfId="6388" xr:uid="{00000000-0005-0000-0000-00001D080000}"/>
    <cellStyle name="Comma 3 2 2 3 4 2" xfId="7275" xr:uid="{00000000-0005-0000-0000-00001D080000}"/>
    <cellStyle name="Comma 3 2 2 4" xfId="1579" xr:uid="{00000000-0005-0000-0000-000021080000}"/>
    <cellStyle name="Comma 3 2 2 4 2" xfId="4514" xr:uid="{00000000-0005-0000-0000-000022080000}"/>
    <cellStyle name="Comma 3 2 2 4 2 2" xfId="6769" xr:uid="{00000000-0005-0000-0000-000022080000}"/>
    <cellStyle name="Comma 3 2 2 4 2 2 2" xfId="7656" xr:uid="{00000000-0005-0000-0000-000022080000}"/>
    <cellStyle name="Comma 3 2 2 4 3" xfId="6414" xr:uid="{00000000-0005-0000-0000-000021080000}"/>
    <cellStyle name="Comma 3 2 2 4 3 2" xfId="7301" xr:uid="{00000000-0005-0000-0000-000021080000}"/>
    <cellStyle name="Comma 3 2 2 5" xfId="1903" xr:uid="{00000000-0005-0000-0000-000023080000}"/>
    <cellStyle name="Comma 3 2 2 5 2" xfId="6534" xr:uid="{00000000-0005-0000-0000-000023080000}"/>
    <cellStyle name="Comma 3 2 2 5 2 2" xfId="7421" xr:uid="{00000000-0005-0000-0000-000023080000}"/>
    <cellStyle name="Comma 3 2 2 5 3" xfId="6989" xr:uid="{00000000-0005-0000-0000-000023080000}"/>
    <cellStyle name="Comma 3 2 2 6" xfId="6346" xr:uid="{00000000-0005-0000-0000-000018080000}"/>
    <cellStyle name="Comma 3 2 2 6 2" xfId="7233" xr:uid="{00000000-0005-0000-0000-000018080000}"/>
    <cellStyle name="Comma 3 2 2_2.DATA" xfId="5177" xr:uid="{00000000-0005-0000-0000-000024080000}"/>
    <cellStyle name="Comma 3 2 3" xfId="1467" xr:uid="{00000000-0005-0000-0000-000025080000}"/>
    <cellStyle name="Comma 3 2 3 2" xfId="1599" xr:uid="{00000000-0005-0000-0000-000026080000}"/>
    <cellStyle name="Comma 3 2 3 2 2" xfId="4111" xr:uid="{00000000-0005-0000-0000-000027080000}"/>
    <cellStyle name="Comma 3 2 3 2 2 2" xfId="6678" xr:uid="{00000000-0005-0000-0000-000027080000}"/>
    <cellStyle name="Comma 3 2 3 2 2 2 2" xfId="7565" xr:uid="{00000000-0005-0000-0000-000027080000}"/>
    <cellStyle name="Comma 3 2 3 2 3" xfId="6428" xr:uid="{00000000-0005-0000-0000-000026080000}"/>
    <cellStyle name="Comma 3 2 3 2 3 2" xfId="7315" xr:uid="{00000000-0005-0000-0000-000026080000}"/>
    <cellStyle name="Comma 3 2 3 3" xfId="1904" xr:uid="{00000000-0005-0000-0000-000028080000}"/>
    <cellStyle name="Comma 3 2 3 3 2" xfId="6535" xr:uid="{00000000-0005-0000-0000-000028080000}"/>
    <cellStyle name="Comma 3 2 3 3 2 2" xfId="7422" xr:uid="{00000000-0005-0000-0000-000028080000}"/>
    <cellStyle name="Comma 3 2 3 4" xfId="6362" xr:uid="{00000000-0005-0000-0000-000025080000}"/>
    <cellStyle name="Comma 3 2 3 4 2" xfId="7249" xr:uid="{00000000-0005-0000-0000-000025080000}"/>
    <cellStyle name="Comma 3 2 4" xfId="1501" xr:uid="{00000000-0005-0000-0000-000029080000}"/>
    <cellStyle name="Comma 3 2 4 2" xfId="1648" xr:uid="{00000000-0005-0000-0000-00002A080000}"/>
    <cellStyle name="Comma 3 2 4 2 2" xfId="4358" xr:uid="{00000000-0005-0000-0000-00002B080000}"/>
    <cellStyle name="Comma 3 2 4 2 2 2" xfId="6731" xr:uid="{00000000-0005-0000-0000-00002B080000}"/>
    <cellStyle name="Comma 3 2 4 2 2 2 2" xfId="7618" xr:uid="{00000000-0005-0000-0000-00002B080000}"/>
    <cellStyle name="Comma 3 2 4 2 3" xfId="6452" xr:uid="{00000000-0005-0000-0000-00002A080000}"/>
    <cellStyle name="Comma 3 2 4 2 3 2" xfId="7339" xr:uid="{00000000-0005-0000-0000-00002A080000}"/>
    <cellStyle name="Comma 3 2 4 3" xfId="4172" xr:uid="{00000000-0005-0000-0000-00002C080000}"/>
    <cellStyle name="Comma 3 2 4 3 2" xfId="6690" xr:uid="{00000000-0005-0000-0000-00002C080000}"/>
    <cellStyle name="Comma 3 2 4 3 2 2" xfId="7577" xr:uid="{00000000-0005-0000-0000-00002C080000}"/>
    <cellStyle name="Comma 3 2 4 4" xfId="6380" xr:uid="{00000000-0005-0000-0000-000029080000}"/>
    <cellStyle name="Comma 3 2 4 4 2" xfId="7267" xr:uid="{00000000-0005-0000-0000-000029080000}"/>
    <cellStyle name="Comma 3 2 5" xfId="1563" xr:uid="{00000000-0005-0000-0000-00002D080000}"/>
    <cellStyle name="Comma 3 2 5 2" xfId="4457" xr:uid="{00000000-0005-0000-0000-00002E080000}"/>
    <cellStyle name="Comma 3 2 5 2 2" xfId="6755" xr:uid="{00000000-0005-0000-0000-00002E080000}"/>
    <cellStyle name="Comma 3 2 5 2 2 2" xfId="7642" xr:uid="{00000000-0005-0000-0000-00002E080000}"/>
    <cellStyle name="Comma 3 2 5 3" xfId="6406" xr:uid="{00000000-0005-0000-0000-00002D080000}"/>
    <cellStyle name="Comma 3 2 5 3 2" xfId="7293" xr:uid="{00000000-0005-0000-0000-00002D080000}"/>
    <cellStyle name="Comma 3 2 6" xfId="3980" xr:uid="{00000000-0005-0000-0000-00002F080000}"/>
    <cellStyle name="Comma 3 2 6 2" xfId="6648" xr:uid="{00000000-0005-0000-0000-00002F080000}"/>
    <cellStyle name="Comma 3 2 6 2 2" xfId="7535" xr:uid="{00000000-0005-0000-0000-00002F080000}"/>
    <cellStyle name="Comma 3 2 7" xfId="6285" xr:uid="{00000000-0005-0000-0000-000017080000}"/>
    <cellStyle name="Comma 3 2 7 2" xfId="7172" xr:uid="{00000000-0005-0000-0000-000017080000}"/>
    <cellStyle name="Comma 3 3" xfId="878" xr:uid="{00000000-0005-0000-0000-000030080000}"/>
    <cellStyle name="Comma 3 3 2" xfId="879" xr:uid="{00000000-0005-0000-0000-000031080000}"/>
    <cellStyle name="Comma 3 3 2 2" xfId="880" xr:uid="{00000000-0005-0000-0000-000032080000}"/>
    <cellStyle name="Comma 3 3 2 2 2" xfId="881" xr:uid="{00000000-0005-0000-0000-000033080000}"/>
    <cellStyle name="Comma 3 3 2 2 2 2" xfId="6288" xr:uid="{00000000-0005-0000-0000-000033080000}"/>
    <cellStyle name="Comma 3 3 2 2 2 2 2" xfId="7175" xr:uid="{00000000-0005-0000-0000-000033080000}"/>
    <cellStyle name="Comma 3 3 2 2 2 3" xfId="6823" xr:uid="{00000000-0005-0000-0000-000033080000}"/>
    <cellStyle name="Comma 3 3 2 2 3" xfId="4632" xr:uid="{00000000-0005-0000-0000-000034080000}"/>
    <cellStyle name="Comma 3 3 2 2 3 2" xfId="6791" xr:uid="{00000000-0005-0000-0000-000034080000}"/>
    <cellStyle name="Comma 3 3 2 2 3 2 2" xfId="7678" xr:uid="{00000000-0005-0000-0000-000034080000}"/>
    <cellStyle name="Comma 3 3 2 2 3 3" xfId="7139" xr:uid="{00000000-0005-0000-0000-000034080000}"/>
    <cellStyle name="Comma 3 3 2 2 4" xfId="4112" xr:uid="{00000000-0005-0000-0000-000035080000}"/>
    <cellStyle name="Comma 3 3 2 2 4 2" xfId="6679" xr:uid="{00000000-0005-0000-0000-000035080000}"/>
    <cellStyle name="Comma 3 3 2 2 4 2 2" xfId="7566" xr:uid="{00000000-0005-0000-0000-000035080000}"/>
    <cellStyle name="Comma 3 3 2 2 5" xfId="1600" xr:uid="{00000000-0005-0000-0000-000036080000}"/>
    <cellStyle name="Comma 3 3 2 2 5 2" xfId="6429" xr:uid="{00000000-0005-0000-0000-000036080000}"/>
    <cellStyle name="Comma 3 3 2 2 5 2 2" xfId="7316" xr:uid="{00000000-0005-0000-0000-000036080000}"/>
    <cellStyle name="Comma 3 3 2 2 6" xfId="6287" xr:uid="{00000000-0005-0000-0000-000032080000}"/>
    <cellStyle name="Comma 3 3 2 2 6 2" xfId="7174" xr:uid="{00000000-0005-0000-0000-000032080000}"/>
    <cellStyle name="Comma 3 3 2 2 7" xfId="6822" xr:uid="{00000000-0005-0000-0000-000032080000}"/>
    <cellStyle name="Comma 3 3 2 3" xfId="882" xr:uid="{00000000-0005-0000-0000-000037080000}"/>
    <cellStyle name="Comma 3 3 2 3 2" xfId="4633" xr:uid="{00000000-0005-0000-0000-000038080000}"/>
    <cellStyle name="Comma 3 3 2 3 2 2" xfId="6792" xr:uid="{00000000-0005-0000-0000-000038080000}"/>
    <cellStyle name="Comma 3 3 2 3 2 2 2" xfId="7679" xr:uid="{00000000-0005-0000-0000-000038080000}"/>
    <cellStyle name="Comma 3 3 2 3 2 3" xfId="7140" xr:uid="{00000000-0005-0000-0000-000038080000}"/>
    <cellStyle name="Comma 3 3 2 3 3" xfId="1905" xr:uid="{00000000-0005-0000-0000-000039080000}"/>
    <cellStyle name="Comma 3 3 2 3 3 2" xfId="6536" xr:uid="{00000000-0005-0000-0000-000039080000}"/>
    <cellStyle name="Comma 3 3 2 3 3 2 2" xfId="7423" xr:uid="{00000000-0005-0000-0000-000039080000}"/>
    <cellStyle name="Comma 3 3 2 3 3 3" xfId="6990" xr:uid="{00000000-0005-0000-0000-000039080000}"/>
    <cellStyle name="Comma 3 3 2 3 4" xfId="6289" xr:uid="{00000000-0005-0000-0000-000037080000}"/>
    <cellStyle name="Comma 3 3 2 3 4 2" xfId="7176" xr:uid="{00000000-0005-0000-0000-000037080000}"/>
    <cellStyle name="Comma 3 3 2 3 5" xfId="6824" xr:uid="{00000000-0005-0000-0000-000037080000}"/>
    <cellStyle name="Comma 3 3 2 4" xfId="4631" xr:uid="{00000000-0005-0000-0000-00003A080000}"/>
    <cellStyle name="Comma 3 3 2 4 2" xfId="6790" xr:uid="{00000000-0005-0000-0000-00003A080000}"/>
    <cellStyle name="Comma 3 3 2 4 2 2" xfId="7677" xr:uid="{00000000-0005-0000-0000-00003A080000}"/>
    <cellStyle name="Comma 3 3 2 4 3" xfId="7138" xr:uid="{00000000-0005-0000-0000-00003A080000}"/>
    <cellStyle name="Comma 3 3 2 5" xfId="1469" xr:uid="{00000000-0005-0000-0000-00003B080000}"/>
    <cellStyle name="Comma 3 3 2 5 2" xfId="6364" xr:uid="{00000000-0005-0000-0000-00003B080000}"/>
    <cellStyle name="Comma 3 3 2 5 2 2" xfId="7251" xr:uid="{00000000-0005-0000-0000-00003B080000}"/>
    <cellStyle name="Comma 3 3 2 6" xfId="6286" xr:uid="{00000000-0005-0000-0000-000031080000}"/>
    <cellStyle name="Comma 3 3 2 6 2" xfId="7173" xr:uid="{00000000-0005-0000-0000-000031080000}"/>
    <cellStyle name="Comma 3 3 2 7" xfId="6821" xr:uid="{00000000-0005-0000-0000-000031080000}"/>
    <cellStyle name="Comma 3 3 2_2.DATA" xfId="5179" xr:uid="{00000000-0005-0000-0000-00003C080000}"/>
    <cellStyle name="Comma 3 3 3" xfId="883" xr:uid="{00000000-0005-0000-0000-00003D080000}"/>
    <cellStyle name="Comma 3 3 3 2" xfId="884" xr:uid="{00000000-0005-0000-0000-00003E080000}"/>
    <cellStyle name="Comma 3 3 3 2 2" xfId="4635" xr:uid="{00000000-0005-0000-0000-00003F080000}"/>
    <cellStyle name="Comma 3 3 3 2 2 2" xfId="6794" xr:uid="{00000000-0005-0000-0000-00003F080000}"/>
    <cellStyle name="Comma 3 3 3 2 2 2 2" xfId="7681" xr:uid="{00000000-0005-0000-0000-00003F080000}"/>
    <cellStyle name="Comma 3 3 3 2 2 3" xfId="7142" xr:uid="{00000000-0005-0000-0000-00003F080000}"/>
    <cellStyle name="Comma 3 3 3 2 3" xfId="4460" xr:uid="{00000000-0005-0000-0000-000040080000}"/>
    <cellStyle name="Comma 3 3 3 2 3 2" xfId="6756" xr:uid="{00000000-0005-0000-0000-000040080000}"/>
    <cellStyle name="Comma 3 3 3 2 3 2 2" xfId="7643" xr:uid="{00000000-0005-0000-0000-000040080000}"/>
    <cellStyle name="Comma 3 3 3 2 4" xfId="1663" xr:uid="{00000000-0005-0000-0000-000041080000}"/>
    <cellStyle name="Comma 3 3 3 2 4 2" xfId="6459" xr:uid="{00000000-0005-0000-0000-000041080000}"/>
    <cellStyle name="Comma 3 3 3 2 4 2 2" xfId="7346" xr:uid="{00000000-0005-0000-0000-000041080000}"/>
    <cellStyle name="Comma 3 3 3 2 5" xfId="6291" xr:uid="{00000000-0005-0000-0000-00003E080000}"/>
    <cellStyle name="Comma 3 3 3 2 5 2" xfId="7178" xr:uid="{00000000-0005-0000-0000-00003E080000}"/>
    <cellStyle name="Comma 3 3 3 2 6" xfId="6826" xr:uid="{00000000-0005-0000-0000-00003E080000}"/>
    <cellStyle name="Comma 3 3 3 3" xfId="4634" xr:uid="{00000000-0005-0000-0000-000042080000}"/>
    <cellStyle name="Comma 3 3 3 3 2" xfId="6793" xr:uid="{00000000-0005-0000-0000-000042080000}"/>
    <cellStyle name="Comma 3 3 3 3 2 2" xfId="7680" xr:uid="{00000000-0005-0000-0000-000042080000}"/>
    <cellStyle name="Comma 3 3 3 3 3" xfId="7141" xr:uid="{00000000-0005-0000-0000-000042080000}"/>
    <cellStyle name="Comma 3 3 3 4" xfId="4091" xr:uid="{00000000-0005-0000-0000-000043080000}"/>
    <cellStyle name="Comma 3 3 3 4 2" xfId="6666" xr:uid="{00000000-0005-0000-0000-000043080000}"/>
    <cellStyle name="Comma 3 3 3 4 2 2" xfId="7553" xr:uid="{00000000-0005-0000-0000-000043080000}"/>
    <cellStyle name="Comma 3 3 3 5" xfId="1514" xr:uid="{00000000-0005-0000-0000-000044080000}"/>
    <cellStyle name="Comma 3 3 3 5 2" xfId="6387" xr:uid="{00000000-0005-0000-0000-000044080000}"/>
    <cellStyle name="Comma 3 3 3 5 2 2" xfId="7274" xr:uid="{00000000-0005-0000-0000-000044080000}"/>
    <cellStyle name="Comma 3 3 3 6" xfId="6290" xr:uid="{00000000-0005-0000-0000-00003D080000}"/>
    <cellStyle name="Comma 3 3 3 6 2" xfId="7177" xr:uid="{00000000-0005-0000-0000-00003D080000}"/>
    <cellStyle name="Comma 3 3 3 7" xfId="6825" xr:uid="{00000000-0005-0000-0000-00003D080000}"/>
    <cellStyle name="Comma 3 3 4" xfId="885" xr:uid="{00000000-0005-0000-0000-000045080000}"/>
    <cellStyle name="Comma 3 3 4 2" xfId="4636" xr:uid="{00000000-0005-0000-0000-000046080000}"/>
    <cellStyle name="Comma 3 3 4 2 2" xfId="6795" xr:uid="{00000000-0005-0000-0000-000046080000}"/>
    <cellStyle name="Comma 3 3 4 2 2 2" xfId="7682" xr:uid="{00000000-0005-0000-0000-000046080000}"/>
    <cellStyle name="Comma 3 3 4 2 3" xfId="7143" xr:uid="{00000000-0005-0000-0000-000046080000}"/>
    <cellStyle name="Comma 3 3 4 3" xfId="4495" xr:uid="{00000000-0005-0000-0000-000047080000}"/>
    <cellStyle name="Comma 3 3 4 3 2" xfId="6765" xr:uid="{00000000-0005-0000-0000-000047080000}"/>
    <cellStyle name="Comma 3 3 4 3 2 2" xfId="7652" xr:uid="{00000000-0005-0000-0000-000047080000}"/>
    <cellStyle name="Comma 3 3 4 4" xfId="1578" xr:uid="{00000000-0005-0000-0000-000048080000}"/>
    <cellStyle name="Comma 3 3 4 4 2" xfId="6413" xr:uid="{00000000-0005-0000-0000-000048080000}"/>
    <cellStyle name="Comma 3 3 4 4 2 2" xfId="7300" xr:uid="{00000000-0005-0000-0000-000048080000}"/>
    <cellStyle name="Comma 3 3 4 5" xfId="6292" xr:uid="{00000000-0005-0000-0000-000045080000}"/>
    <cellStyle name="Comma 3 3 4 5 2" xfId="7179" xr:uid="{00000000-0005-0000-0000-000045080000}"/>
    <cellStyle name="Comma 3 3 4 6" xfId="6827" xr:uid="{00000000-0005-0000-0000-000045080000}"/>
    <cellStyle name="Comma 3 3 5" xfId="1906" xr:uid="{00000000-0005-0000-0000-000049080000}"/>
    <cellStyle name="Comma 3 3 5 2" xfId="6537" xr:uid="{00000000-0005-0000-0000-000049080000}"/>
    <cellStyle name="Comma 3 3 5 2 2" xfId="7424" xr:uid="{00000000-0005-0000-0000-000049080000}"/>
    <cellStyle name="Comma 3 3 5 3" xfId="6991" xr:uid="{00000000-0005-0000-0000-000049080000}"/>
    <cellStyle name="Comma 3 3_2.DATA" xfId="5178" xr:uid="{00000000-0005-0000-0000-00004A080000}"/>
    <cellStyle name="Comma 3 4" xfId="1454" xr:uid="{00000000-0005-0000-0000-00004B080000}"/>
    <cellStyle name="Comma 3 4 2" xfId="1470" xr:uid="{00000000-0005-0000-0000-00004C080000}"/>
    <cellStyle name="Comma 3 4 2 2" xfId="1602" xr:uid="{00000000-0005-0000-0000-00004D080000}"/>
    <cellStyle name="Comma 3 4 2 2 2" xfId="4461" xr:uid="{00000000-0005-0000-0000-00004E080000}"/>
    <cellStyle name="Comma 3 4 2 2 2 2" xfId="6757" xr:uid="{00000000-0005-0000-0000-00004E080000}"/>
    <cellStyle name="Comma 3 4 2 2 2 2 2" xfId="7644" xr:uid="{00000000-0005-0000-0000-00004E080000}"/>
    <cellStyle name="Comma 3 4 2 2 2 3" xfId="7130" xr:uid="{00000000-0005-0000-0000-00004E080000}"/>
    <cellStyle name="Comma 3 4 2 2 3" xfId="6431" xr:uid="{00000000-0005-0000-0000-00004D080000}"/>
    <cellStyle name="Comma 3 4 2 2 3 2" xfId="7318" xr:uid="{00000000-0005-0000-0000-00004D080000}"/>
    <cellStyle name="Comma 3 4 2 2 4" xfId="6905" xr:uid="{00000000-0005-0000-0000-00004D080000}"/>
    <cellStyle name="Comma 3 4 2 3" xfId="4089" xr:uid="{00000000-0005-0000-0000-00004F080000}"/>
    <cellStyle name="Comma 3 4 2 3 2" xfId="6665" xr:uid="{00000000-0005-0000-0000-00004F080000}"/>
    <cellStyle name="Comma 3 4 2 3 2 2" xfId="7552" xr:uid="{00000000-0005-0000-0000-00004F080000}"/>
    <cellStyle name="Comma 3 4 2 3 3" xfId="7083" xr:uid="{00000000-0005-0000-0000-00004F080000}"/>
    <cellStyle name="Comma 3 4 2 4" xfId="6365" xr:uid="{00000000-0005-0000-0000-00004C080000}"/>
    <cellStyle name="Comma 3 4 2 4 2" xfId="7252" xr:uid="{00000000-0005-0000-0000-00004C080000}"/>
    <cellStyle name="Comma 3 4 2 5" xfId="6868" xr:uid="{00000000-0005-0000-0000-00004C080000}"/>
    <cellStyle name="Comma 3 4 3" xfId="1524" xr:uid="{00000000-0005-0000-0000-000050080000}"/>
    <cellStyle name="Comma 3 4 3 2" xfId="1675" xr:uid="{00000000-0005-0000-0000-000051080000}"/>
    <cellStyle name="Comma 3 4 3 2 2" xfId="4383" xr:uid="{00000000-0005-0000-0000-000052080000}"/>
    <cellStyle name="Comma 3 4 3 2 2 2" xfId="6738" xr:uid="{00000000-0005-0000-0000-000052080000}"/>
    <cellStyle name="Comma 3 4 3 2 2 2 2" xfId="7625" xr:uid="{00000000-0005-0000-0000-000052080000}"/>
    <cellStyle name="Comma 3 4 3 2 2 3" xfId="7119" xr:uid="{00000000-0005-0000-0000-000052080000}"/>
    <cellStyle name="Comma 3 4 3 2 3" xfId="6465" xr:uid="{00000000-0005-0000-0000-000051080000}"/>
    <cellStyle name="Comma 3 4 3 2 3 2" xfId="7352" xr:uid="{00000000-0005-0000-0000-000051080000}"/>
    <cellStyle name="Comma 3 4 3 2 4" xfId="6923" xr:uid="{00000000-0005-0000-0000-000051080000}"/>
    <cellStyle name="Comma 3 4 3 3" xfId="4206" xr:uid="{00000000-0005-0000-0000-000053080000}"/>
    <cellStyle name="Comma 3 4 3 3 2" xfId="6700" xr:uid="{00000000-0005-0000-0000-000053080000}"/>
    <cellStyle name="Comma 3 4 3 3 2 2" xfId="7587" xr:uid="{00000000-0005-0000-0000-000053080000}"/>
    <cellStyle name="Comma 3 4 3 3 3" xfId="7097" xr:uid="{00000000-0005-0000-0000-000053080000}"/>
    <cellStyle name="Comma 3 4 3 4" xfId="6392" xr:uid="{00000000-0005-0000-0000-000050080000}"/>
    <cellStyle name="Comma 3 4 3 4 2" xfId="7279" xr:uid="{00000000-0005-0000-0000-000050080000}"/>
    <cellStyle name="Comma 3 4 3 5" xfId="6883" xr:uid="{00000000-0005-0000-0000-000050080000}"/>
    <cellStyle name="Comma 3 4 4" xfId="1601" xr:uid="{00000000-0005-0000-0000-000054080000}"/>
    <cellStyle name="Comma 3 4 4 2" xfId="4332" xr:uid="{00000000-0005-0000-0000-000055080000}"/>
    <cellStyle name="Comma 3 4 4 2 2" xfId="6727" xr:uid="{00000000-0005-0000-0000-000055080000}"/>
    <cellStyle name="Comma 3 4 4 2 2 2" xfId="7614" xr:uid="{00000000-0005-0000-0000-000055080000}"/>
    <cellStyle name="Comma 3 4 4 2 3" xfId="7113" xr:uid="{00000000-0005-0000-0000-000055080000}"/>
    <cellStyle name="Comma 3 4 4 3" xfId="6430" xr:uid="{00000000-0005-0000-0000-000054080000}"/>
    <cellStyle name="Comma 3 4 4 3 2" xfId="7317" xr:uid="{00000000-0005-0000-0000-000054080000}"/>
    <cellStyle name="Comma 3 4 4 4" xfId="6904" xr:uid="{00000000-0005-0000-0000-000054080000}"/>
    <cellStyle name="Comma 3 4 5" xfId="1907" xr:uid="{00000000-0005-0000-0000-000056080000}"/>
    <cellStyle name="Comma 3 4 5 2" xfId="6538" xr:uid="{00000000-0005-0000-0000-000056080000}"/>
    <cellStyle name="Comma 3 4 5 2 2" xfId="7425" xr:uid="{00000000-0005-0000-0000-000056080000}"/>
    <cellStyle name="Comma 3 4 6" xfId="6351" xr:uid="{00000000-0005-0000-0000-00004B080000}"/>
    <cellStyle name="Comma 3 4 6 2" xfId="7238" xr:uid="{00000000-0005-0000-0000-00004B080000}"/>
    <cellStyle name="Comma 3 4 7" xfId="6860" xr:uid="{00000000-0005-0000-0000-00004B080000}"/>
    <cellStyle name="Comma 3 4_2.DATA" xfId="5180" xr:uid="{00000000-0005-0000-0000-000057080000}"/>
    <cellStyle name="Comma 3 5" xfId="1401" xr:uid="{00000000-0005-0000-0000-000058080000}"/>
    <cellStyle name="Comma 3 5 2" xfId="1471" xr:uid="{00000000-0005-0000-0000-000059080000}"/>
    <cellStyle name="Comma 3 5 2 2" xfId="1604" xr:uid="{00000000-0005-0000-0000-00005A080000}"/>
    <cellStyle name="Comma 3 5 2 2 2" xfId="4270" xr:uid="{00000000-0005-0000-0000-00005B080000}"/>
    <cellStyle name="Comma 3 5 2 2 2 2" xfId="6711" xr:uid="{00000000-0005-0000-0000-00005B080000}"/>
    <cellStyle name="Comma 3 5 2 2 2 2 2" xfId="7598" xr:uid="{00000000-0005-0000-0000-00005B080000}"/>
    <cellStyle name="Comma 3 5 2 2 3" xfId="6433" xr:uid="{00000000-0005-0000-0000-00005A080000}"/>
    <cellStyle name="Comma 3 5 2 2 3 2" xfId="7320" xr:uid="{00000000-0005-0000-0000-00005A080000}"/>
    <cellStyle name="Comma 3 5 2 3" xfId="4094" xr:uid="{00000000-0005-0000-0000-00005C080000}"/>
    <cellStyle name="Comma 3 5 2 3 2" xfId="6667" xr:uid="{00000000-0005-0000-0000-00005C080000}"/>
    <cellStyle name="Comma 3 5 2 3 2 2" xfId="7554" xr:uid="{00000000-0005-0000-0000-00005C080000}"/>
    <cellStyle name="Comma 3 5 2 4" xfId="6366" xr:uid="{00000000-0005-0000-0000-000059080000}"/>
    <cellStyle name="Comma 3 5 2 4 2" xfId="7253" xr:uid="{00000000-0005-0000-0000-000059080000}"/>
    <cellStyle name="Comma 3 5 3" xfId="1530" xr:uid="{00000000-0005-0000-0000-00005D080000}"/>
    <cellStyle name="Comma 3 5 3 2" xfId="1682" xr:uid="{00000000-0005-0000-0000-00005E080000}"/>
    <cellStyle name="Comma 3 5 3 2 2" xfId="4436" xr:uid="{00000000-0005-0000-0000-00005F080000}"/>
    <cellStyle name="Comma 3 5 3 2 2 2" xfId="6748" xr:uid="{00000000-0005-0000-0000-00005F080000}"/>
    <cellStyle name="Comma 3 5 3 2 2 2 2" xfId="7635" xr:uid="{00000000-0005-0000-0000-00005F080000}"/>
    <cellStyle name="Comma 3 5 3 2 3" xfId="6469" xr:uid="{00000000-0005-0000-0000-00005E080000}"/>
    <cellStyle name="Comma 3 5 3 2 3 2" xfId="7356" xr:uid="{00000000-0005-0000-0000-00005E080000}"/>
    <cellStyle name="Comma 3 5 3 3" xfId="4210" xr:uid="{00000000-0005-0000-0000-000060080000}"/>
    <cellStyle name="Comma 3 5 3 3 2" xfId="6703" xr:uid="{00000000-0005-0000-0000-000060080000}"/>
    <cellStyle name="Comma 3 5 3 3 2 2" xfId="7590" xr:uid="{00000000-0005-0000-0000-000060080000}"/>
    <cellStyle name="Comma 3 5 3 4" xfId="6396" xr:uid="{00000000-0005-0000-0000-00005D080000}"/>
    <cellStyle name="Comma 3 5 3 4 2" xfId="7283" xr:uid="{00000000-0005-0000-0000-00005D080000}"/>
    <cellStyle name="Comma 3 5 4" xfId="1603" xr:uid="{00000000-0005-0000-0000-000061080000}"/>
    <cellStyle name="Comma 3 5 4 2" xfId="4330" xr:uid="{00000000-0005-0000-0000-000062080000}"/>
    <cellStyle name="Comma 3 5 4 2 2" xfId="6726" xr:uid="{00000000-0005-0000-0000-000062080000}"/>
    <cellStyle name="Comma 3 5 4 2 2 2" xfId="7613" xr:uid="{00000000-0005-0000-0000-000062080000}"/>
    <cellStyle name="Comma 3 5 4 3" xfId="6432" xr:uid="{00000000-0005-0000-0000-000061080000}"/>
    <cellStyle name="Comma 3 5 4 3 2" xfId="7319" xr:uid="{00000000-0005-0000-0000-000061080000}"/>
    <cellStyle name="Comma 3 5 5" xfId="1908" xr:uid="{00000000-0005-0000-0000-000063080000}"/>
    <cellStyle name="Comma 3 5 5 2" xfId="6539" xr:uid="{00000000-0005-0000-0000-000063080000}"/>
    <cellStyle name="Comma 3 5 5 2 2" xfId="7426" xr:uid="{00000000-0005-0000-0000-000063080000}"/>
    <cellStyle name="Comma 3 5 5 3" xfId="6992" xr:uid="{00000000-0005-0000-0000-000063080000}"/>
    <cellStyle name="Comma 3 5_2.DATA" xfId="5181" xr:uid="{00000000-0005-0000-0000-000064080000}"/>
    <cellStyle name="Comma 3 6" xfId="1466" xr:uid="{00000000-0005-0000-0000-000065080000}"/>
    <cellStyle name="Comma 3 6 2" xfId="1605" xr:uid="{00000000-0005-0000-0000-000066080000}"/>
    <cellStyle name="Comma 3 6 2 2" xfId="4374" xr:uid="{00000000-0005-0000-0000-000067080000}"/>
    <cellStyle name="Comma 3 6 2 2 2" xfId="6736" xr:uid="{00000000-0005-0000-0000-000067080000}"/>
    <cellStyle name="Comma 3 6 2 2 2 2" xfId="7623" xr:uid="{00000000-0005-0000-0000-000067080000}"/>
    <cellStyle name="Comma 3 6 2 3" xfId="6434" xr:uid="{00000000-0005-0000-0000-000066080000}"/>
    <cellStyle name="Comma 3 6 2 3 2" xfId="7321" xr:uid="{00000000-0005-0000-0000-000066080000}"/>
    <cellStyle name="Comma 3 6 3" xfId="4110" xr:uid="{00000000-0005-0000-0000-000068080000}"/>
    <cellStyle name="Comma 3 6 3 2" xfId="6677" xr:uid="{00000000-0005-0000-0000-000068080000}"/>
    <cellStyle name="Comma 3 6 3 2 2" xfId="7564" xr:uid="{00000000-0005-0000-0000-000068080000}"/>
    <cellStyle name="Comma 3 6 4" xfId="6361" xr:uid="{00000000-0005-0000-0000-000065080000}"/>
    <cellStyle name="Comma 3 6 4 2" xfId="7248" xr:uid="{00000000-0005-0000-0000-000065080000}"/>
    <cellStyle name="Comma 3 7" xfId="1500" xr:uid="{00000000-0005-0000-0000-000069080000}"/>
    <cellStyle name="Comma 3 7 2" xfId="1647" xr:uid="{00000000-0005-0000-0000-00006A080000}"/>
    <cellStyle name="Comma 3 7 2 2" xfId="4444" xr:uid="{00000000-0005-0000-0000-00006B080000}"/>
    <cellStyle name="Comma 3 7 2 2 2" xfId="6752" xr:uid="{00000000-0005-0000-0000-00006B080000}"/>
    <cellStyle name="Comma 3 7 2 2 2 2" xfId="7639" xr:uid="{00000000-0005-0000-0000-00006B080000}"/>
    <cellStyle name="Comma 3 7 2 3" xfId="6451" xr:uid="{00000000-0005-0000-0000-00006A080000}"/>
    <cellStyle name="Comma 3 7 2 3 2" xfId="7338" xr:uid="{00000000-0005-0000-0000-00006A080000}"/>
    <cellStyle name="Comma 3 7 3" xfId="4171" xr:uid="{00000000-0005-0000-0000-00006C080000}"/>
    <cellStyle name="Comma 3 7 3 2" xfId="6689" xr:uid="{00000000-0005-0000-0000-00006C080000}"/>
    <cellStyle name="Comma 3 7 3 2 2" xfId="7576" xr:uid="{00000000-0005-0000-0000-00006C080000}"/>
    <cellStyle name="Comma 3 7 4" xfId="6379" xr:uid="{00000000-0005-0000-0000-000069080000}"/>
    <cellStyle name="Comma 3 7 4 2" xfId="7266" xr:uid="{00000000-0005-0000-0000-000069080000}"/>
    <cellStyle name="Comma 3 8" xfId="1562" xr:uid="{00000000-0005-0000-0000-00006D080000}"/>
    <cellStyle name="Comma 3 8 2" xfId="4357" xr:uid="{00000000-0005-0000-0000-00006E080000}"/>
    <cellStyle name="Comma 3 8 2 2" xfId="6730" xr:uid="{00000000-0005-0000-0000-00006E080000}"/>
    <cellStyle name="Comma 3 8 2 2 2" xfId="7617" xr:uid="{00000000-0005-0000-0000-00006E080000}"/>
    <cellStyle name="Comma 3 8 3" xfId="6405" xr:uid="{00000000-0005-0000-0000-00006D080000}"/>
    <cellStyle name="Comma 3 8 3 2" xfId="7292" xr:uid="{00000000-0005-0000-0000-00006D080000}"/>
    <cellStyle name="Comma 3 9" xfId="3979" xr:uid="{00000000-0005-0000-0000-00006F080000}"/>
    <cellStyle name="Comma 3 9 2" xfId="6647" xr:uid="{00000000-0005-0000-0000-00006F080000}"/>
    <cellStyle name="Comma 3 9 2 2" xfId="7534" xr:uid="{00000000-0005-0000-0000-00006F080000}"/>
    <cellStyle name="Comma 3_2.DATA" xfId="5176" xr:uid="{00000000-0005-0000-0000-000070080000}"/>
    <cellStyle name="Comma 4" xfId="886" xr:uid="{00000000-0005-0000-0000-000071080000}"/>
    <cellStyle name="Comma 4 10" xfId="6828" xr:uid="{00000000-0005-0000-0000-000071080000}"/>
    <cellStyle name="Comma 4 2" xfId="887" xr:uid="{00000000-0005-0000-0000-000072080000}"/>
    <cellStyle name="Comma 4 2 2" xfId="1473" xr:uid="{00000000-0005-0000-0000-000073080000}"/>
    <cellStyle name="Comma 4 2 2 2" xfId="1606" xr:uid="{00000000-0005-0000-0000-000074080000}"/>
    <cellStyle name="Comma 4 2 2 2 2" xfId="4114" xr:uid="{00000000-0005-0000-0000-000075080000}"/>
    <cellStyle name="Comma 4 2 2 2 2 2" xfId="6681" xr:uid="{00000000-0005-0000-0000-000075080000}"/>
    <cellStyle name="Comma 4 2 2 2 2 2 2" xfId="7568" xr:uid="{00000000-0005-0000-0000-000075080000}"/>
    <cellStyle name="Comma 4 2 2 2 3" xfId="6435" xr:uid="{00000000-0005-0000-0000-000074080000}"/>
    <cellStyle name="Comma 4 2 2 2 3 2" xfId="7322" xr:uid="{00000000-0005-0000-0000-000074080000}"/>
    <cellStyle name="Comma 4 2 2 3" xfId="1909" xr:uid="{00000000-0005-0000-0000-000076080000}"/>
    <cellStyle name="Comma 4 2 2 3 2" xfId="6540" xr:uid="{00000000-0005-0000-0000-000076080000}"/>
    <cellStyle name="Comma 4 2 2 3 2 2" xfId="7427" xr:uid="{00000000-0005-0000-0000-000076080000}"/>
    <cellStyle name="Comma 4 2 2 3 3" xfId="6993" xr:uid="{00000000-0005-0000-0000-000076080000}"/>
    <cellStyle name="Comma 4 2 2 4" xfId="6368" xr:uid="{00000000-0005-0000-0000-000073080000}"/>
    <cellStyle name="Comma 4 2 2 4 2" xfId="7255" xr:uid="{00000000-0005-0000-0000-000073080000}"/>
    <cellStyle name="Comma 4 2 2_2.DATA" xfId="5184" xr:uid="{00000000-0005-0000-0000-000077080000}"/>
    <cellStyle name="Comma 4 2 3" xfId="1516" xr:uid="{00000000-0005-0000-0000-000078080000}"/>
    <cellStyle name="Comma 4 2 3 2" xfId="1665" xr:uid="{00000000-0005-0000-0000-000079080000}"/>
    <cellStyle name="Comma 4 2 3 2 2" xfId="4360" xr:uid="{00000000-0005-0000-0000-00007A080000}"/>
    <cellStyle name="Comma 4 2 3 2 2 2" xfId="6732" xr:uid="{00000000-0005-0000-0000-00007A080000}"/>
    <cellStyle name="Comma 4 2 3 2 2 2 2" xfId="7619" xr:uid="{00000000-0005-0000-0000-00007A080000}"/>
    <cellStyle name="Comma 4 2 3 2 3" xfId="6461" xr:uid="{00000000-0005-0000-0000-000079080000}"/>
    <cellStyle name="Comma 4 2 3 2 3 2" xfId="7348" xr:uid="{00000000-0005-0000-0000-000079080000}"/>
    <cellStyle name="Comma 4 2 3 3" xfId="4071" xr:uid="{00000000-0005-0000-0000-00007B080000}"/>
    <cellStyle name="Comma 4 2 3 3 2" xfId="6659" xr:uid="{00000000-0005-0000-0000-00007B080000}"/>
    <cellStyle name="Comma 4 2 3 3 2 2" xfId="7546" xr:uid="{00000000-0005-0000-0000-00007B080000}"/>
    <cellStyle name="Comma 4 2 3 4" xfId="6389" xr:uid="{00000000-0005-0000-0000-000078080000}"/>
    <cellStyle name="Comma 4 2 3 4 2" xfId="7276" xr:uid="{00000000-0005-0000-0000-000078080000}"/>
    <cellStyle name="Comma 4 2 4" xfId="1580" xr:uid="{00000000-0005-0000-0000-00007C080000}"/>
    <cellStyle name="Comma 4 2 4 2" xfId="4298" xr:uid="{00000000-0005-0000-0000-00007D080000}"/>
    <cellStyle name="Comma 4 2 4 2 2" xfId="6718" xr:uid="{00000000-0005-0000-0000-00007D080000}"/>
    <cellStyle name="Comma 4 2 4 2 2 2" xfId="7605" xr:uid="{00000000-0005-0000-0000-00007D080000}"/>
    <cellStyle name="Comma 4 2 4 3" xfId="6415" xr:uid="{00000000-0005-0000-0000-00007C080000}"/>
    <cellStyle name="Comma 4 2 4 3 2" xfId="7302" xr:uid="{00000000-0005-0000-0000-00007C080000}"/>
    <cellStyle name="Comma 4 2 5" xfId="1910" xr:uid="{00000000-0005-0000-0000-00007E080000}"/>
    <cellStyle name="Comma 4 2 5 2" xfId="4637" xr:uid="{00000000-0005-0000-0000-00007F080000}"/>
    <cellStyle name="Comma 4 2 5 2 2" xfId="6796" xr:uid="{00000000-0005-0000-0000-00007F080000}"/>
    <cellStyle name="Comma 4 2 5 2 2 2" xfId="7683" xr:uid="{00000000-0005-0000-0000-00007F080000}"/>
    <cellStyle name="Comma 4 2 5 3" xfId="6541" xr:uid="{00000000-0005-0000-0000-00007E080000}"/>
    <cellStyle name="Comma 4 2 5 3 2" xfId="7428" xr:uid="{00000000-0005-0000-0000-00007E080000}"/>
    <cellStyle name="Comma 4 2 5 4" xfId="6994" xr:uid="{00000000-0005-0000-0000-00007E080000}"/>
    <cellStyle name="Comma 4 2 6" xfId="1447" xr:uid="{00000000-0005-0000-0000-000080080000}"/>
    <cellStyle name="Comma 4 2 6 2" xfId="6347" xr:uid="{00000000-0005-0000-0000-000080080000}"/>
    <cellStyle name="Comma 4 2 6 2 2" xfId="7234" xr:uid="{00000000-0005-0000-0000-000080080000}"/>
    <cellStyle name="Comma 4 2_2.DATA" xfId="5183" xr:uid="{00000000-0005-0000-0000-000081080000}"/>
    <cellStyle name="Comma 4 3" xfId="1456" xr:uid="{00000000-0005-0000-0000-000082080000}"/>
    <cellStyle name="Comma 4 3 2" xfId="1474" xr:uid="{00000000-0005-0000-0000-000083080000}"/>
    <cellStyle name="Comma 4 3 2 2" xfId="1608" xr:uid="{00000000-0005-0000-0000-000084080000}"/>
    <cellStyle name="Comma 4 3 2 2 2" xfId="1911" xr:uid="{00000000-0005-0000-0000-000085080000}"/>
    <cellStyle name="Comma 4 3 2 2 2 2" xfId="6542" xr:uid="{00000000-0005-0000-0000-000085080000}"/>
    <cellStyle name="Comma 4 3 2 2 2 2 2" xfId="7429" xr:uid="{00000000-0005-0000-0000-000085080000}"/>
    <cellStyle name="Comma 4 3 2 2 2 3" xfId="6995" xr:uid="{00000000-0005-0000-0000-000085080000}"/>
    <cellStyle name="Comma 4 3 2 2 3" xfId="6437" xr:uid="{00000000-0005-0000-0000-000084080000}"/>
    <cellStyle name="Comma 4 3 2 2 3 2" xfId="7324" xr:uid="{00000000-0005-0000-0000-000084080000}"/>
    <cellStyle name="Comma 4 3 2 2 4" xfId="6907" xr:uid="{00000000-0005-0000-0000-000084080000}"/>
    <cellStyle name="Comma 4 3 2 3" xfId="1912" xr:uid="{00000000-0005-0000-0000-000086080000}"/>
    <cellStyle name="Comma 4 3 2 3 2" xfId="6543" xr:uid="{00000000-0005-0000-0000-000086080000}"/>
    <cellStyle name="Comma 4 3 2 3 2 2" xfId="7430" xr:uid="{00000000-0005-0000-0000-000086080000}"/>
    <cellStyle name="Comma 4 3 2 3 3" xfId="6996" xr:uid="{00000000-0005-0000-0000-000086080000}"/>
    <cellStyle name="Comma 4 3 2 4" xfId="6369" xr:uid="{00000000-0005-0000-0000-000083080000}"/>
    <cellStyle name="Comma 4 3 2 4 2" xfId="7256" xr:uid="{00000000-0005-0000-0000-000083080000}"/>
    <cellStyle name="Comma 4 3 2 5" xfId="6869" xr:uid="{00000000-0005-0000-0000-000083080000}"/>
    <cellStyle name="Comma 4 3 3" xfId="1526" xr:uid="{00000000-0005-0000-0000-000087080000}"/>
    <cellStyle name="Comma 4 3 3 2" xfId="1677" xr:uid="{00000000-0005-0000-0000-000088080000}"/>
    <cellStyle name="Comma 4 3 3 2 2" xfId="4052" xr:uid="{00000000-0005-0000-0000-000089080000}"/>
    <cellStyle name="Comma 4 3 3 2 2 2" xfId="6657" xr:uid="{00000000-0005-0000-0000-000089080000}"/>
    <cellStyle name="Comma 4 3 3 2 2 2 2" xfId="7544" xr:uid="{00000000-0005-0000-0000-000089080000}"/>
    <cellStyle name="Comma 4 3 3 2 2 3" xfId="7078" xr:uid="{00000000-0005-0000-0000-000089080000}"/>
    <cellStyle name="Comma 4 3 3 2 3" xfId="6466" xr:uid="{00000000-0005-0000-0000-000088080000}"/>
    <cellStyle name="Comma 4 3 3 2 3 2" xfId="7353" xr:uid="{00000000-0005-0000-0000-000088080000}"/>
    <cellStyle name="Comma 4 3 3 2 4" xfId="6924" xr:uid="{00000000-0005-0000-0000-000088080000}"/>
    <cellStyle name="Comma 4 3 3 3" xfId="4011" xr:uid="{00000000-0005-0000-0000-00008A080000}"/>
    <cellStyle name="Comma 4 3 3 3 2" xfId="6652" xr:uid="{00000000-0005-0000-0000-00008A080000}"/>
    <cellStyle name="Comma 4 3 3 3 2 2" xfId="7539" xr:uid="{00000000-0005-0000-0000-00008A080000}"/>
    <cellStyle name="Comma 4 3 3 3 3" xfId="7073" xr:uid="{00000000-0005-0000-0000-00008A080000}"/>
    <cellStyle name="Comma 4 3 3 4" xfId="6393" xr:uid="{00000000-0005-0000-0000-000087080000}"/>
    <cellStyle name="Comma 4 3 3 4 2" xfId="7280" xr:uid="{00000000-0005-0000-0000-000087080000}"/>
    <cellStyle name="Comma 4 3 3 5" xfId="6884" xr:uid="{00000000-0005-0000-0000-000087080000}"/>
    <cellStyle name="Comma 4 3 4" xfId="1607" xr:uid="{00000000-0005-0000-0000-00008B080000}"/>
    <cellStyle name="Comma 4 3 4 2" xfId="4036" xr:uid="{00000000-0005-0000-0000-00008C080000}"/>
    <cellStyle name="Comma 4 3 4 2 2" xfId="6655" xr:uid="{00000000-0005-0000-0000-00008C080000}"/>
    <cellStyle name="Comma 4 3 4 2 2 2" xfId="7542" xr:uid="{00000000-0005-0000-0000-00008C080000}"/>
    <cellStyle name="Comma 4 3 4 2 3" xfId="7076" xr:uid="{00000000-0005-0000-0000-00008C080000}"/>
    <cellStyle name="Comma 4 3 4 3" xfId="6436" xr:uid="{00000000-0005-0000-0000-00008B080000}"/>
    <cellStyle name="Comma 4 3 4 3 2" xfId="7323" xr:uid="{00000000-0005-0000-0000-00008B080000}"/>
    <cellStyle name="Comma 4 3 4 4" xfId="6906" xr:uid="{00000000-0005-0000-0000-00008B080000}"/>
    <cellStyle name="Comma 4 3 5" xfId="6352" xr:uid="{00000000-0005-0000-0000-000082080000}"/>
    <cellStyle name="Comma 4 3 5 2" xfId="7239" xr:uid="{00000000-0005-0000-0000-000082080000}"/>
    <cellStyle name="Comma 4 3 6" xfId="6861" xr:uid="{00000000-0005-0000-0000-000082080000}"/>
    <cellStyle name="Comma 4 4" xfId="1402" xr:uid="{00000000-0005-0000-0000-00008D080000}"/>
    <cellStyle name="Comma 4 4 2" xfId="1475" xr:uid="{00000000-0005-0000-0000-00008E080000}"/>
    <cellStyle name="Comma 4 4 2 2" xfId="1610" xr:uid="{00000000-0005-0000-0000-00008F080000}"/>
    <cellStyle name="Comma 4 4 2 2 2" xfId="4515" xr:uid="{00000000-0005-0000-0000-000090080000}"/>
    <cellStyle name="Comma 4 4 2 2 2 2" xfId="6770" xr:uid="{00000000-0005-0000-0000-000090080000}"/>
    <cellStyle name="Comma 4 4 2 2 2 2 2" xfId="7657" xr:uid="{00000000-0005-0000-0000-000090080000}"/>
    <cellStyle name="Comma 4 4 2 2 3" xfId="6439" xr:uid="{00000000-0005-0000-0000-00008F080000}"/>
    <cellStyle name="Comma 4 4 2 2 3 2" xfId="7326" xr:uid="{00000000-0005-0000-0000-00008F080000}"/>
    <cellStyle name="Comma 4 4 2 3" xfId="4082" xr:uid="{00000000-0005-0000-0000-000091080000}"/>
    <cellStyle name="Comma 4 4 2 3 2" xfId="6663" xr:uid="{00000000-0005-0000-0000-000091080000}"/>
    <cellStyle name="Comma 4 4 2 3 2 2" xfId="7550" xr:uid="{00000000-0005-0000-0000-000091080000}"/>
    <cellStyle name="Comma 4 4 2 4" xfId="6370" xr:uid="{00000000-0005-0000-0000-00008E080000}"/>
    <cellStyle name="Comma 4 4 2 4 2" xfId="7257" xr:uid="{00000000-0005-0000-0000-00008E080000}"/>
    <cellStyle name="Comma 4 4 3" xfId="1531" xr:uid="{00000000-0005-0000-0000-000092080000}"/>
    <cellStyle name="Comma 4 4 3 2" xfId="1683" xr:uid="{00000000-0005-0000-0000-000093080000}"/>
    <cellStyle name="Comma 4 4 3 2 2" xfId="4313" xr:uid="{00000000-0005-0000-0000-000094080000}"/>
    <cellStyle name="Comma 4 4 3 2 2 2" xfId="6724" xr:uid="{00000000-0005-0000-0000-000094080000}"/>
    <cellStyle name="Comma 4 4 3 2 2 2 2" xfId="7611" xr:uid="{00000000-0005-0000-0000-000094080000}"/>
    <cellStyle name="Comma 4 4 3 2 3" xfId="6470" xr:uid="{00000000-0005-0000-0000-000093080000}"/>
    <cellStyle name="Comma 4 4 3 2 3 2" xfId="7357" xr:uid="{00000000-0005-0000-0000-000093080000}"/>
    <cellStyle name="Comma 4 4 3 3" xfId="4211" xr:uid="{00000000-0005-0000-0000-000095080000}"/>
    <cellStyle name="Comma 4 4 3 3 2" xfId="6704" xr:uid="{00000000-0005-0000-0000-000095080000}"/>
    <cellStyle name="Comma 4 4 3 3 2 2" xfId="7591" xr:uid="{00000000-0005-0000-0000-000095080000}"/>
    <cellStyle name="Comma 4 4 3 4" xfId="6397" xr:uid="{00000000-0005-0000-0000-000092080000}"/>
    <cellStyle name="Comma 4 4 3 4 2" xfId="7284" xr:uid="{00000000-0005-0000-0000-000092080000}"/>
    <cellStyle name="Comma 4 4 4" xfId="1609" xr:uid="{00000000-0005-0000-0000-000096080000}"/>
    <cellStyle name="Comma 4 4 4 2" xfId="4341" xr:uid="{00000000-0005-0000-0000-000097080000}"/>
    <cellStyle name="Comma 4 4 4 2 2" xfId="6728" xr:uid="{00000000-0005-0000-0000-000097080000}"/>
    <cellStyle name="Comma 4 4 4 2 2 2" xfId="7615" xr:uid="{00000000-0005-0000-0000-000097080000}"/>
    <cellStyle name="Comma 4 4 4 3" xfId="6438" xr:uid="{00000000-0005-0000-0000-000096080000}"/>
    <cellStyle name="Comma 4 4 4 3 2" xfId="7325" xr:uid="{00000000-0005-0000-0000-000096080000}"/>
    <cellStyle name="Comma 4 4 5" xfId="1913" xr:uid="{00000000-0005-0000-0000-000098080000}"/>
    <cellStyle name="Comma 4 4 5 2" xfId="6544" xr:uid="{00000000-0005-0000-0000-000098080000}"/>
    <cellStyle name="Comma 4 4 5 2 2" xfId="7431" xr:uid="{00000000-0005-0000-0000-000098080000}"/>
    <cellStyle name="Comma 4 4 6" xfId="6340" xr:uid="{00000000-0005-0000-0000-00008D080000}"/>
    <cellStyle name="Comma 4 4 6 2" xfId="7227" xr:uid="{00000000-0005-0000-0000-00008D080000}"/>
    <cellStyle name="Comma 4 5" xfId="1472" xr:uid="{00000000-0005-0000-0000-000099080000}"/>
    <cellStyle name="Comma 4 5 2" xfId="1611" xr:uid="{00000000-0005-0000-0000-00009A080000}"/>
    <cellStyle name="Comma 4 5 2 2" xfId="4409" xr:uid="{00000000-0005-0000-0000-00009B080000}"/>
    <cellStyle name="Comma 4 5 2 2 2" xfId="6742" xr:uid="{00000000-0005-0000-0000-00009B080000}"/>
    <cellStyle name="Comma 4 5 2 2 2 2" xfId="7629" xr:uid="{00000000-0005-0000-0000-00009B080000}"/>
    <cellStyle name="Comma 4 5 2 3" xfId="6440" xr:uid="{00000000-0005-0000-0000-00009A080000}"/>
    <cellStyle name="Comma 4 5 2 3 2" xfId="7327" xr:uid="{00000000-0005-0000-0000-00009A080000}"/>
    <cellStyle name="Comma 4 5 3" xfId="4113" xr:uid="{00000000-0005-0000-0000-00009C080000}"/>
    <cellStyle name="Comma 4 5 3 2" xfId="6680" xr:uid="{00000000-0005-0000-0000-00009C080000}"/>
    <cellStyle name="Comma 4 5 3 2 2" xfId="7567" xr:uid="{00000000-0005-0000-0000-00009C080000}"/>
    <cellStyle name="Comma 4 5 4" xfId="6367" xr:uid="{00000000-0005-0000-0000-000099080000}"/>
    <cellStyle name="Comma 4 5 4 2" xfId="7254" xr:uid="{00000000-0005-0000-0000-000099080000}"/>
    <cellStyle name="Comma 4 6" xfId="1502" xr:uid="{00000000-0005-0000-0000-00009D080000}"/>
    <cellStyle name="Comma 4 6 2" xfId="1649" xr:uid="{00000000-0005-0000-0000-00009E080000}"/>
    <cellStyle name="Comma 4 6 2 2" xfId="4258" xr:uid="{00000000-0005-0000-0000-00009F080000}"/>
    <cellStyle name="Comma 4 6 2 2 2" xfId="6708" xr:uid="{00000000-0005-0000-0000-00009F080000}"/>
    <cellStyle name="Comma 4 6 2 2 2 2" xfId="7595" xr:uid="{00000000-0005-0000-0000-00009F080000}"/>
    <cellStyle name="Comma 4 6 2 3" xfId="6453" xr:uid="{00000000-0005-0000-0000-00009E080000}"/>
    <cellStyle name="Comma 4 6 2 3 2" xfId="7340" xr:uid="{00000000-0005-0000-0000-00009E080000}"/>
    <cellStyle name="Comma 4 6 3" xfId="4173" xr:uid="{00000000-0005-0000-0000-0000A0080000}"/>
    <cellStyle name="Comma 4 6 3 2" xfId="6691" xr:uid="{00000000-0005-0000-0000-0000A0080000}"/>
    <cellStyle name="Comma 4 6 3 2 2" xfId="7578" xr:uid="{00000000-0005-0000-0000-0000A0080000}"/>
    <cellStyle name="Comma 4 6 4" xfId="6381" xr:uid="{00000000-0005-0000-0000-00009D080000}"/>
    <cellStyle name="Comma 4 6 4 2" xfId="7268" xr:uid="{00000000-0005-0000-0000-00009D080000}"/>
    <cellStyle name="Comma 4 7" xfId="1564" xr:uid="{00000000-0005-0000-0000-0000A1080000}"/>
    <cellStyle name="Comma 4 7 2" xfId="4480" xr:uid="{00000000-0005-0000-0000-0000A2080000}"/>
    <cellStyle name="Comma 4 7 2 2" xfId="6761" xr:uid="{00000000-0005-0000-0000-0000A2080000}"/>
    <cellStyle name="Comma 4 7 2 2 2" xfId="7648" xr:uid="{00000000-0005-0000-0000-0000A2080000}"/>
    <cellStyle name="Comma 4 7 3" xfId="6407" xr:uid="{00000000-0005-0000-0000-0000A1080000}"/>
    <cellStyle name="Comma 4 7 3 2" xfId="7294" xr:uid="{00000000-0005-0000-0000-0000A1080000}"/>
    <cellStyle name="Comma 4 8" xfId="3981" xr:uid="{00000000-0005-0000-0000-0000A3080000}"/>
    <cellStyle name="Comma 4 8 2" xfId="6649" xr:uid="{00000000-0005-0000-0000-0000A3080000}"/>
    <cellStyle name="Comma 4 8 2 2" xfId="7536" xr:uid="{00000000-0005-0000-0000-0000A3080000}"/>
    <cellStyle name="Comma 4 9" xfId="6293" xr:uid="{00000000-0005-0000-0000-000071080000}"/>
    <cellStyle name="Comma 4 9 2" xfId="7180" xr:uid="{00000000-0005-0000-0000-000071080000}"/>
    <cellStyle name="Comma 4_2.DATA" xfId="5182" xr:uid="{00000000-0005-0000-0000-0000A4080000}"/>
    <cellStyle name="Comma 5" xfId="888" xr:uid="{00000000-0005-0000-0000-0000A5080000}"/>
    <cellStyle name="Comma 5 2" xfId="889" xr:uid="{00000000-0005-0000-0000-0000A6080000}"/>
    <cellStyle name="Comma 5 2 2" xfId="1476" xr:uid="{00000000-0005-0000-0000-0000A7080000}"/>
    <cellStyle name="Comma 5 2 2 2" xfId="1612" xr:uid="{00000000-0005-0000-0000-0000A8080000}"/>
    <cellStyle name="Comma 5 2 2 2 2" xfId="1914" xr:uid="{00000000-0005-0000-0000-0000A9080000}"/>
    <cellStyle name="Comma 5 2 2 2 2 2" xfId="6545" xr:uid="{00000000-0005-0000-0000-0000A9080000}"/>
    <cellStyle name="Comma 5 2 2 2 2 2 2" xfId="7432" xr:uid="{00000000-0005-0000-0000-0000A9080000}"/>
    <cellStyle name="Comma 5 2 2 2 3" xfId="1915" xr:uid="{00000000-0005-0000-0000-0000AA080000}"/>
    <cellStyle name="Comma 5 2 2 2 3 2" xfId="6546" xr:uid="{00000000-0005-0000-0000-0000AA080000}"/>
    <cellStyle name="Comma 5 2 2 2 3 2 2" xfId="7433" xr:uid="{00000000-0005-0000-0000-0000AA080000}"/>
    <cellStyle name="Comma 5 2 2 2 3 3" xfId="6997" xr:uid="{00000000-0005-0000-0000-0000AA080000}"/>
    <cellStyle name="Comma 5 2 2 2_2.DATA" xfId="5187" xr:uid="{00000000-0005-0000-0000-0000AB080000}"/>
    <cellStyle name="Comma 5 2 2 3" xfId="1916" xr:uid="{00000000-0005-0000-0000-0000AC080000}"/>
    <cellStyle name="Comma 5 2 2 3 2" xfId="6547" xr:uid="{00000000-0005-0000-0000-0000AC080000}"/>
    <cellStyle name="Comma 5 2 2 3 2 2" xfId="7434" xr:uid="{00000000-0005-0000-0000-0000AC080000}"/>
    <cellStyle name="Comma 5 2 2 4" xfId="1917" xr:uid="{00000000-0005-0000-0000-0000AD080000}"/>
    <cellStyle name="Comma 5 2 2 4 2" xfId="6548" xr:uid="{00000000-0005-0000-0000-0000AD080000}"/>
    <cellStyle name="Comma 5 2 2 4 2 2" xfId="7435" xr:uid="{00000000-0005-0000-0000-0000AD080000}"/>
    <cellStyle name="Comma 5 2 2 4 3" xfId="6998" xr:uid="{00000000-0005-0000-0000-0000AD080000}"/>
    <cellStyle name="Comma 5 2 2_2.DATA" xfId="5186" xr:uid="{00000000-0005-0000-0000-0000AE080000}"/>
    <cellStyle name="Comma 5 2 3" xfId="1517" xr:uid="{00000000-0005-0000-0000-0000AF080000}"/>
    <cellStyle name="Comma 5 2 3 2" xfId="1666" xr:uid="{00000000-0005-0000-0000-0000B0080000}"/>
    <cellStyle name="Comma 5 2 3 2 2" xfId="4201" xr:uid="{00000000-0005-0000-0000-0000B1080000}"/>
    <cellStyle name="Comma 5 2 3 2 2 2" xfId="6698" xr:uid="{00000000-0005-0000-0000-0000B1080000}"/>
    <cellStyle name="Comma 5 2 3 2 2 2 2" xfId="7585" xr:uid="{00000000-0005-0000-0000-0000B1080000}"/>
    <cellStyle name="Comma 5 2 3 2 3" xfId="6462" xr:uid="{00000000-0005-0000-0000-0000B0080000}"/>
    <cellStyle name="Comma 5 2 3 2 3 2" xfId="7349" xr:uid="{00000000-0005-0000-0000-0000B0080000}"/>
    <cellStyle name="Comma 5 2 3 3" xfId="1918" xr:uid="{00000000-0005-0000-0000-0000B2080000}"/>
    <cellStyle name="Comma 5 2 3 3 2" xfId="6549" xr:uid="{00000000-0005-0000-0000-0000B2080000}"/>
    <cellStyle name="Comma 5 2 3 3 2 2" xfId="7436" xr:uid="{00000000-0005-0000-0000-0000B2080000}"/>
    <cellStyle name="Comma 5 2 3 3 3" xfId="6999" xr:uid="{00000000-0005-0000-0000-0000B2080000}"/>
    <cellStyle name="Comma 5 2 3_2.DATA" xfId="5188" xr:uid="{00000000-0005-0000-0000-0000B3080000}"/>
    <cellStyle name="Comma 5 2 4" xfId="1581" xr:uid="{00000000-0005-0000-0000-0000B4080000}"/>
    <cellStyle name="Comma 5 2 4 2" xfId="4075" xr:uid="{00000000-0005-0000-0000-0000B5080000}"/>
    <cellStyle name="Comma 5 2 4 2 2" xfId="6662" xr:uid="{00000000-0005-0000-0000-0000B5080000}"/>
    <cellStyle name="Comma 5 2 4 2 2 2" xfId="7549" xr:uid="{00000000-0005-0000-0000-0000B5080000}"/>
    <cellStyle name="Comma 5 2 4 3" xfId="6416" xr:uid="{00000000-0005-0000-0000-0000B4080000}"/>
    <cellStyle name="Comma 5 2 4 3 2" xfId="7303" xr:uid="{00000000-0005-0000-0000-0000B4080000}"/>
    <cellStyle name="Comma 5 2 5" xfId="1919" xr:uid="{00000000-0005-0000-0000-0000B6080000}"/>
    <cellStyle name="Comma 5 2 5 2" xfId="4638" xr:uid="{00000000-0005-0000-0000-0000B7080000}"/>
    <cellStyle name="Comma 5 2 5 2 2" xfId="6797" xr:uid="{00000000-0005-0000-0000-0000B7080000}"/>
    <cellStyle name="Comma 5 2 5 2 2 2" xfId="7684" xr:uid="{00000000-0005-0000-0000-0000B7080000}"/>
    <cellStyle name="Comma 5 2 5 2 3" xfId="7144" xr:uid="{00000000-0005-0000-0000-0000B7080000}"/>
    <cellStyle name="Comma 5 2 5 3" xfId="6550" xr:uid="{00000000-0005-0000-0000-0000B6080000}"/>
    <cellStyle name="Comma 5 2 5 3 2" xfId="7437" xr:uid="{00000000-0005-0000-0000-0000B6080000}"/>
    <cellStyle name="Comma 5 2 5 4" xfId="7000" xr:uid="{00000000-0005-0000-0000-0000B6080000}"/>
    <cellStyle name="Comma 5 2 6" xfId="1448" xr:uid="{00000000-0005-0000-0000-0000B8080000}"/>
    <cellStyle name="Comma 5 2 6 2" xfId="6348" xr:uid="{00000000-0005-0000-0000-0000B8080000}"/>
    <cellStyle name="Comma 5 2 6 2 2" xfId="7235" xr:uid="{00000000-0005-0000-0000-0000B8080000}"/>
    <cellStyle name="Comma 5 2 7" xfId="6295" xr:uid="{00000000-0005-0000-0000-0000A6080000}"/>
    <cellStyle name="Comma 5 2 7 2" xfId="7182" xr:uid="{00000000-0005-0000-0000-0000A6080000}"/>
    <cellStyle name="Comma 5 2 8" xfId="6830" xr:uid="{00000000-0005-0000-0000-0000A6080000}"/>
    <cellStyle name="Comma 5 2_2.DATA" xfId="5185" xr:uid="{00000000-0005-0000-0000-0000B9080000}"/>
    <cellStyle name="Comma 5 3" xfId="890" xr:uid="{00000000-0005-0000-0000-0000BA080000}"/>
    <cellStyle name="Comma 5 3 2" xfId="891" xr:uid="{00000000-0005-0000-0000-0000BB080000}"/>
    <cellStyle name="Comma 5 3 2 2" xfId="892" xr:uid="{00000000-0005-0000-0000-0000BC080000}"/>
    <cellStyle name="Comma 5 3 2 2 2" xfId="6298" xr:uid="{00000000-0005-0000-0000-0000BC080000}"/>
    <cellStyle name="Comma 5 3 2 2 2 2" xfId="7185" xr:uid="{00000000-0005-0000-0000-0000BC080000}"/>
    <cellStyle name="Comma 5 3 2 3" xfId="4115" xr:uid="{00000000-0005-0000-0000-0000BD080000}"/>
    <cellStyle name="Comma 5 3 2 3 2" xfId="6682" xr:uid="{00000000-0005-0000-0000-0000BD080000}"/>
    <cellStyle name="Comma 5 3 2 3 2 2" xfId="7569" xr:uid="{00000000-0005-0000-0000-0000BD080000}"/>
    <cellStyle name="Comma 5 3 2 4" xfId="6297" xr:uid="{00000000-0005-0000-0000-0000BB080000}"/>
    <cellStyle name="Comma 5 3 2 4 2" xfId="7184" xr:uid="{00000000-0005-0000-0000-0000BB080000}"/>
    <cellStyle name="Comma 5 3 3" xfId="893" xr:uid="{00000000-0005-0000-0000-0000BE080000}"/>
    <cellStyle name="Comma 5 3 3 2" xfId="4639" xr:uid="{00000000-0005-0000-0000-0000BF080000}"/>
    <cellStyle name="Comma 5 3 3 2 2" xfId="6798" xr:uid="{00000000-0005-0000-0000-0000BF080000}"/>
    <cellStyle name="Comma 5 3 3 2 2 2" xfId="7685" xr:uid="{00000000-0005-0000-0000-0000BF080000}"/>
    <cellStyle name="Comma 5 3 3 3" xfId="1920" xr:uid="{00000000-0005-0000-0000-0000C0080000}"/>
    <cellStyle name="Comma 5 3 3 3 2" xfId="6551" xr:uid="{00000000-0005-0000-0000-0000C0080000}"/>
    <cellStyle name="Comma 5 3 3 3 2 2" xfId="7438" xr:uid="{00000000-0005-0000-0000-0000C0080000}"/>
    <cellStyle name="Comma 5 3 3 4" xfId="6299" xr:uid="{00000000-0005-0000-0000-0000BE080000}"/>
    <cellStyle name="Comma 5 3 3 4 2" xfId="7186" xr:uid="{00000000-0005-0000-0000-0000BE080000}"/>
    <cellStyle name="Comma 5 3 4" xfId="6296" xr:uid="{00000000-0005-0000-0000-0000BA080000}"/>
    <cellStyle name="Comma 5 3 4 2" xfId="7183" xr:uid="{00000000-0005-0000-0000-0000BA080000}"/>
    <cellStyle name="Comma 5 4" xfId="894" xr:uid="{00000000-0005-0000-0000-0000C1080000}"/>
    <cellStyle name="Comma 5 4 2" xfId="895" xr:uid="{00000000-0005-0000-0000-0000C2080000}"/>
    <cellStyle name="Comma 5 4 2 2" xfId="4502" xr:uid="{00000000-0005-0000-0000-0000C3080000}"/>
    <cellStyle name="Comma 5 4 2 2 2" xfId="6766" xr:uid="{00000000-0005-0000-0000-0000C3080000}"/>
    <cellStyle name="Comma 5 4 2 2 2 2" xfId="7653" xr:uid="{00000000-0005-0000-0000-0000C3080000}"/>
    <cellStyle name="Comma 5 4 2 3" xfId="6301" xr:uid="{00000000-0005-0000-0000-0000C2080000}"/>
    <cellStyle name="Comma 5 4 2 3 2" xfId="7188" xr:uid="{00000000-0005-0000-0000-0000C2080000}"/>
    <cellStyle name="Comma 5 4 3" xfId="4174" xr:uid="{00000000-0005-0000-0000-0000C4080000}"/>
    <cellStyle name="Comma 5 4 3 2" xfId="6692" xr:uid="{00000000-0005-0000-0000-0000C4080000}"/>
    <cellStyle name="Comma 5 4 3 2 2" xfId="7579" xr:uid="{00000000-0005-0000-0000-0000C4080000}"/>
    <cellStyle name="Comma 5 4 4" xfId="6300" xr:uid="{00000000-0005-0000-0000-0000C1080000}"/>
    <cellStyle name="Comma 5 4 4 2" xfId="7187" xr:uid="{00000000-0005-0000-0000-0000C1080000}"/>
    <cellStyle name="Comma 5 5" xfId="896" xr:uid="{00000000-0005-0000-0000-0000C5080000}"/>
    <cellStyle name="Comma 5 5 2" xfId="4423" xr:uid="{00000000-0005-0000-0000-0000C6080000}"/>
    <cellStyle name="Comma 5 5 2 2" xfId="6745" xr:uid="{00000000-0005-0000-0000-0000C6080000}"/>
    <cellStyle name="Comma 5 5 2 2 2" xfId="7632" xr:uid="{00000000-0005-0000-0000-0000C6080000}"/>
    <cellStyle name="Comma 5 5 3" xfId="6302" xr:uid="{00000000-0005-0000-0000-0000C5080000}"/>
    <cellStyle name="Comma 5 5 3 2" xfId="7189" xr:uid="{00000000-0005-0000-0000-0000C5080000}"/>
    <cellStyle name="Comma 5 6" xfId="6294" xr:uid="{00000000-0005-0000-0000-0000A5080000}"/>
    <cellStyle name="Comma 5 6 2" xfId="7181" xr:uid="{00000000-0005-0000-0000-0000A5080000}"/>
    <cellStyle name="Comma 5 7" xfId="6829" xr:uid="{00000000-0005-0000-0000-0000A5080000}"/>
    <cellStyle name="Comma 6" xfId="897" xr:uid="{00000000-0005-0000-0000-0000C7080000}"/>
    <cellStyle name="Comma 6 2" xfId="1451" xr:uid="{00000000-0005-0000-0000-0000C8080000}"/>
    <cellStyle name="Comma 6 2 2" xfId="1478" xr:uid="{00000000-0005-0000-0000-0000C9080000}"/>
    <cellStyle name="Comma 6 2 2 2" xfId="1613" xr:uid="{00000000-0005-0000-0000-0000CA080000}"/>
    <cellStyle name="Comma 6 2 2 2 2" xfId="4053" xr:uid="{00000000-0005-0000-0000-0000CB080000}"/>
    <cellStyle name="Comma 6 2 2 2 2 2" xfId="6658" xr:uid="{00000000-0005-0000-0000-0000CB080000}"/>
    <cellStyle name="Comma 6 2 2 2 2 2 2" xfId="7545" xr:uid="{00000000-0005-0000-0000-0000CB080000}"/>
    <cellStyle name="Comma 6 2 2 2 2 3" xfId="7079" xr:uid="{00000000-0005-0000-0000-0000CB080000}"/>
    <cellStyle name="Comma 6 2 2 2 3" xfId="6441" xr:uid="{00000000-0005-0000-0000-0000CA080000}"/>
    <cellStyle name="Comma 6 2 2 2 3 2" xfId="7328" xr:uid="{00000000-0005-0000-0000-0000CA080000}"/>
    <cellStyle name="Comma 6 2 2 2 4" xfId="6908" xr:uid="{00000000-0005-0000-0000-0000CA080000}"/>
    <cellStyle name="Comma 6 2 2 3" xfId="4013" xr:uid="{00000000-0005-0000-0000-0000CC080000}"/>
    <cellStyle name="Comma 6 2 2 3 2" xfId="6654" xr:uid="{00000000-0005-0000-0000-0000CC080000}"/>
    <cellStyle name="Comma 6 2 2 3 2 2" xfId="7541" xr:uid="{00000000-0005-0000-0000-0000CC080000}"/>
    <cellStyle name="Comma 6 2 2 3 3" xfId="7075" xr:uid="{00000000-0005-0000-0000-0000CC080000}"/>
    <cellStyle name="Comma 6 2 2 4" xfId="6372" xr:uid="{00000000-0005-0000-0000-0000C9080000}"/>
    <cellStyle name="Comma 6 2 2 4 2" xfId="7259" xr:uid="{00000000-0005-0000-0000-0000C9080000}"/>
    <cellStyle name="Comma 6 2 2 5" xfId="6871" xr:uid="{00000000-0005-0000-0000-0000C9080000}"/>
    <cellStyle name="Comma 6 2 3" xfId="1521" xr:uid="{00000000-0005-0000-0000-0000CD080000}"/>
    <cellStyle name="Comma 6 2 3 2" xfId="1672" xr:uid="{00000000-0005-0000-0000-0000CE080000}"/>
    <cellStyle name="Comma 6 2 3 2 2" xfId="4382" xr:uid="{00000000-0005-0000-0000-0000CF080000}"/>
    <cellStyle name="Comma 6 2 3 2 2 2" xfId="6737" xr:uid="{00000000-0005-0000-0000-0000CF080000}"/>
    <cellStyle name="Comma 6 2 3 2 2 2 2" xfId="7624" xr:uid="{00000000-0005-0000-0000-0000CF080000}"/>
    <cellStyle name="Comma 6 2 3 2 2 3" xfId="7118" xr:uid="{00000000-0005-0000-0000-0000CF080000}"/>
    <cellStyle name="Comma 6 2 3 2 3" xfId="6463" xr:uid="{00000000-0005-0000-0000-0000CE080000}"/>
    <cellStyle name="Comma 6 2 3 2 3 2" xfId="7350" xr:uid="{00000000-0005-0000-0000-0000CE080000}"/>
    <cellStyle name="Comma 6 2 3 2 4" xfId="6921" xr:uid="{00000000-0005-0000-0000-0000CE080000}"/>
    <cellStyle name="Comma 6 2 3 3" xfId="4037" xr:uid="{00000000-0005-0000-0000-0000D0080000}"/>
    <cellStyle name="Comma 6 2 3 3 2" xfId="6656" xr:uid="{00000000-0005-0000-0000-0000D0080000}"/>
    <cellStyle name="Comma 6 2 3 3 2 2" xfId="7543" xr:uid="{00000000-0005-0000-0000-0000D0080000}"/>
    <cellStyle name="Comma 6 2 3 3 3" xfId="7077" xr:uid="{00000000-0005-0000-0000-0000D0080000}"/>
    <cellStyle name="Comma 6 2 3 4" xfId="6390" xr:uid="{00000000-0005-0000-0000-0000CD080000}"/>
    <cellStyle name="Comma 6 2 3 4 2" xfId="7277" xr:uid="{00000000-0005-0000-0000-0000CD080000}"/>
    <cellStyle name="Comma 6 2 3 5" xfId="6881" xr:uid="{00000000-0005-0000-0000-0000CD080000}"/>
    <cellStyle name="Comma 6 2 4" xfId="1587" xr:uid="{00000000-0005-0000-0000-0000D1080000}"/>
    <cellStyle name="Comma 6 2 4 2" xfId="4430" xr:uid="{00000000-0005-0000-0000-0000D2080000}"/>
    <cellStyle name="Comma 6 2 4 2 2" xfId="6747" xr:uid="{00000000-0005-0000-0000-0000D2080000}"/>
    <cellStyle name="Comma 6 2 4 2 2 2" xfId="7634" xr:uid="{00000000-0005-0000-0000-0000D2080000}"/>
    <cellStyle name="Comma 6 2 4 2 3" xfId="7125" xr:uid="{00000000-0005-0000-0000-0000D2080000}"/>
    <cellStyle name="Comma 6 2 4 3" xfId="6417" xr:uid="{00000000-0005-0000-0000-0000D1080000}"/>
    <cellStyle name="Comma 6 2 4 3 2" xfId="7304" xr:uid="{00000000-0005-0000-0000-0000D1080000}"/>
    <cellStyle name="Comma 6 2 4 4" xfId="6896" xr:uid="{00000000-0005-0000-0000-0000D1080000}"/>
    <cellStyle name="Comma 6 2 5" xfId="4012" xr:uid="{00000000-0005-0000-0000-0000D3080000}"/>
    <cellStyle name="Comma 6 2 5 2" xfId="6653" xr:uid="{00000000-0005-0000-0000-0000D3080000}"/>
    <cellStyle name="Comma 6 2 5 2 2" xfId="7540" xr:uid="{00000000-0005-0000-0000-0000D3080000}"/>
    <cellStyle name="Comma 6 2 5 3" xfId="7074" xr:uid="{00000000-0005-0000-0000-0000D3080000}"/>
    <cellStyle name="Comma 6 2 6" xfId="6349" xr:uid="{00000000-0005-0000-0000-0000C8080000}"/>
    <cellStyle name="Comma 6 2 6 2" xfId="7236" xr:uid="{00000000-0005-0000-0000-0000C8080000}"/>
    <cellStyle name="Comma 6 2 7" xfId="6858" xr:uid="{00000000-0005-0000-0000-0000C8080000}"/>
    <cellStyle name="Comma 6 3" xfId="1477" xr:uid="{00000000-0005-0000-0000-0000D4080000}"/>
    <cellStyle name="Comma 6 3 2" xfId="1614" xr:uid="{00000000-0005-0000-0000-0000D5080000}"/>
    <cellStyle name="Comma 6 3 2 2" xfId="4366" xr:uid="{00000000-0005-0000-0000-0000D6080000}"/>
    <cellStyle name="Comma 6 3 2 2 2" xfId="6734" xr:uid="{00000000-0005-0000-0000-0000D6080000}"/>
    <cellStyle name="Comma 6 3 2 2 2 2" xfId="7621" xr:uid="{00000000-0005-0000-0000-0000D6080000}"/>
    <cellStyle name="Comma 6 3 2 2 3" xfId="7116" xr:uid="{00000000-0005-0000-0000-0000D6080000}"/>
    <cellStyle name="Comma 6 3 2 3" xfId="6442" xr:uid="{00000000-0005-0000-0000-0000D5080000}"/>
    <cellStyle name="Comma 6 3 2 3 2" xfId="7329" xr:uid="{00000000-0005-0000-0000-0000D5080000}"/>
    <cellStyle name="Comma 6 3 2 4" xfId="6909" xr:uid="{00000000-0005-0000-0000-0000D5080000}"/>
    <cellStyle name="Comma 6 3 3" xfId="4116" xr:uid="{00000000-0005-0000-0000-0000D7080000}"/>
    <cellStyle name="Comma 6 3 3 2" xfId="6683" xr:uid="{00000000-0005-0000-0000-0000D7080000}"/>
    <cellStyle name="Comma 6 3 3 2 2" xfId="7570" xr:uid="{00000000-0005-0000-0000-0000D7080000}"/>
    <cellStyle name="Comma 6 3 3 3" xfId="7088" xr:uid="{00000000-0005-0000-0000-0000D7080000}"/>
    <cellStyle name="Comma 6 3 4" xfId="6371" xr:uid="{00000000-0005-0000-0000-0000D4080000}"/>
    <cellStyle name="Comma 6 3 4 2" xfId="7258" xr:uid="{00000000-0005-0000-0000-0000D4080000}"/>
    <cellStyle name="Comma 6 3 5" xfId="6870" xr:uid="{00000000-0005-0000-0000-0000D4080000}"/>
    <cellStyle name="Comma 6 4" xfId="1507" xr:uid="{00000000-0005-0000-0000-0000D8080000}"/>
    <cellStyle name="Comma 6 4 2" xfId="1656" xr:uid="{00000000-0005-0000-0000-0000D9080000}"/>
    <cellStyle name="Comma 6 4 2 2" xfId="4413" xr:uid="{00000000-0005-0000-0000-0000DA080000}"/>
    <cellStyle name="Comma 6 4 2 2 2" xfId="6743" xr:uid="{00000000-0005-0000-0000-0000DA080000}"/>
    <cellStyle name="Comma 6 4 2 2 2 2" xfId="7630" xr:uid="{00000000-0005-0000-0000-0000DA080000}"/>
    <cellStyle name="Comma 6 4 2 2 3" xfId="7122" xr:uid="{00000000-0005-0000-0000-0000DA080000}"/>
    <cellStyle name="Comma 6 4 2 3" xfId="6454" xr:uid="{00000000-0005-0000-0000-0000D9080000}"/>
    <cellStyle name="Comma 6 4 2 3 2" xfId="7341" xr:uid="{00000000-0005-0000-0000-0000D9080000}"/>
    <cellStyle name="Comma 6 4 2 4" xfId="6917" xr:uid="{00000000-0005-0000-0000-0000D9080000}"/>
    <cellStyle name="Comma 6 4 3" xfId="4181" xr:uid="{00000000-0005-0000-0000-0000DB080000}"/>
    <cellStyle name="Comma 6 4 3 2" xfId="6693" xr:uid="{00000000-0005-0000-0000-0000DB080000}"/>
    <cellStyle name="Comma 6 4 3 2 2" xfId="7580" xr:uid="{00000000-0005-0000-0000-0000DB080000}"/>
    <cellStyle name="Comma 6 4 3 3" xfId="7093" xr:uid="{00000000-0005-0000-0000-0000DB080000}"/>
    <cellStyle name="Comma 6 4 4" xfId="6382" xr:uid="{00000000-0005-0000-0000-0000D8080000}"/>
    <cellStyle name="Comma 6 4 4 2" xfId="7269" xr:uid="{00000000-0005-0000-0000-0000D8080000}"/>
    <cellStyle name="Comma 6 4 5" xfId="6877" xr:uid="{00000000-0005-0000-0000-0000D8080000}"/>
    <cellStyle name="Comma 6 5" xfId="1571" xr:uid="{00000000-0005-0000-0000-0000DC080000}"/>
    <cellStyle name="Comma 6 5 2" xfId="4408" xr:uid="{00000000-0005-0000-0000-0000DD080000}"/>
    <cellStyle name="Comma 6 5 2 2" xfId="6741" xr:uid="{00000000-0005-0000-0000-0000DD080000}"/>
    <cellStyle name="Comma 6 5 2 2 2" xfId="7628" xr:uid="{00000000-0005-0000-0000-0000DD080000}"/>
    <cellStyle name="Comma 6 5 2 3" xfId="7121" xr:uid="{00000000-0005-0000-0000-0000DD080000}"/>
    <cellStyle name="Comma 6 5 3" xfId="6408" xr:uid="{00000000-0005-0000-0000-0000DC080000}"/>
    <cellStyle name="Comma 6 5 3 2" xfId="7295" xr:uid="{00000000-0005-0000-0000-0000DC080000}"/>
    <cellStyle name="Comma 6 5 4" xfId="6892" xr:uid="{00000000-0005-0000-0000-0000DC080000}"/>
    <cellStyle name="Comma 6 6" xfId="1921" xr:uid="{00000000-0005-0000-0000-0000DE080000}"/>
    <cellStyle name="Comma 6 6 2" xfId="6552" xr:uid="{00000000-0005-0000-0000-0000DE080000}"/>
    <cellStyle name="Comma 6 6 2 2" xfId="7439" xr:uid="{00000000-0005-0000-0000-0000DE080000}"/>
    <cellStyle name="Comma 6 7" xfId="1439" xr:uid="{00000000-0005-0000-0000-0000DF080000}"/>
    <cellStyle name="Comma 6 7 2" xfId="6341" xr:uid="{00000000-0005-0000-0000-0000DF080000}"/>
    <cellStyle name="Comma 6 7 2 2" xfId="7228" xr:uid="{00000000-0005-0000-0000-0000DF080000}"/>
    <cellStyle name="Comma 6 7 3" xfId="6854" xr:uid="{00000000-0005-0000-0000-0000DF080000}"/>
    <cellStyle name="Comma 6 8" xfId="6303" xr:uid="{00000000-0005-0000-0000-0000C7080000}"/>
    <cellStyle name="Comma 6 8 2" xfId="7190" xr:uid="{00000000-0005-0000-0000-0000C7080000}"/>
    <cellStyle name="Comma 6_2.DATA" xfId="5189" xr:uid="{00000000-0005-0000-0000-0000E0080000}"/>
    <cellStyle name="Comma 7" xfId="898" xr:uid="{00000000-0005-0000-0000-0000E1080000}"/>
    <cellStyle name="Comma 7 2" xfId="899" xr:uid="{00000000-0005-0000-0000-0000E2080000}"/>
    <cellStyle name="Comma 7 2 2" xfId="1615" xr:uid="{00000000-0005-0000-0000-0000E3080000}"/>
    <cellStyle name="Comma 7 2 2 2" xfId="4117" xr:uid="{00000000-0005-0000-0000-0000E4080000}"/>
    <cellStyle name="Comma 7 2 2 2 2" xfId="6684" xr:uid="{00000000-0005-0000-0000-0000E4080000}"/>
    <cellStyle name="Comma 7 2 2 2 2 2" xfId="7571" xr:uid="{00000000-0005-0000-0000-0000E4080000}"/>
    <cellStyle name="Comma 7 2 2 2 3" xfId="7089" xr:uid="{00000000-0005-0000-0000-0000E4080000}"/>
    <cellStyle name="Comma 7 2 2 3" xfId="6443" xr:uid="{00000000-0005-0000-0000-0000E3080000}"/>
    <cellStyle name="Comma 7 2 2 3 2" xfId="7330" xr:uid="{00000000-0005-0000-0000-0000E3080000}"/>
    <cellStyle name="Comma 7 2 2 4" xfId="6910" xr:uid="{00000000-0005-0000-0000-0000E3080000}"/>
    <cellStyle name="Comma 7 2 3" xfId="1922" xr:uid="{00000000-0005-0000-0000-0000E5080000}"/>
    <cellStyle name="Comma 7 2 3 2" xfId="6553" xr:uid="{00000000-0005-0000-0000-0000E5080000}"/>
    <cellStyle name="Comma 7 2 3 2 2" xfId="7440" xr:uid="{00000000-0005-0000-0000-0000E5080000}"/>
    <cellStyle name="Comma 7 2 3 3" xfId="7001" xr:uid="{00000000-0005-0000-0000-0000E5080000}"/>
    <cellStyle name="Comma 7 2 4" xfId="1479" xr:uid="{00000000-0005-0000-0000-0000E6080000}"/>
    <cellStyle name="Comma 7 2 4 2" xfId="6373" xr:uid="{00000000-0005-0000-0000-0000E6080000}"/>
    <cellStyle name="Comma 7 2 4 2 2" xfId="7260" xr:uid="{00000000-0005-0000-0000-0000E6080000}"/>
    <cellStyle name="Comma 7 2 4 3" xfId="6872" xr:uid="{00000000-0005-0000-0000-0000E6080000}"/>
    <cellStyle name="Comma 7 2 5" xfId="6305" xr:uid="{00000000-0005-0000-0000-0000E2080000}"/>
    <cellStyle name="Comma 7 2 5 2" xfId="7192" xr:uid="{00000000-0005-0000-0000-0000E2080000}"/>
    <cellStyle name="Comma 7 2 6" xfId="6832" xr:uid="{00000000-0005-0000-0000-0000E2080000}"/>
    <cellStyle name="Comma 7 3" xfId="1511" xr:uid="{00000000-0005-0000-0000-0000E7080000}"/>
    <cellStyle name="Comma 7 3 2" xfId="1660" xr:uid="{00000000-0005-0000-0000-0000E8080000}"/>
    <cellStyle name="Comma 7 3 2 2" xfId="4476" xr:uid="{00000000-0005-0000-0000-0000E9080000}"/>
    <cellStyle name="Comma 7 3 2 2 2" xfId="6760" xr:uid="{00000000-0005-0000-0000-0000E9080000}"/>
    <cellStyle name="Comma 7 3 2 2 2 2" xfId="7647" xr:uid="{00000000-0005-0000-0000-0000E9080000}"/>
    <cellStyle name="Comma 7 3 2 2 3" xfId="7133" xr:uid="{00000000-0005-0000-0000-0000E9080000}"/>
    <cellStyle name="Comma 7 3 2 3" xfId="6456" xr:uid="{00000000-0005-0000-0000-0000E8080000}"/>
    <cellStyle name="Comma 7 3 2 3 2" xfId="7343" xr:uid="{00000000-0005-0000-0000-0000E8080000}"/>
    <cellStyle name="Comma 7 3 2 4" xfId="6919" xr:uid="{00000000-0005-0000-0000-0000E8080000}"/>
    <cellStyle name="Comma 7 3 3" xfId="4101" xr:uid="{00000000-0005-0000-0000-0000EA080000}"/>
    <cellStyle name="Comma 7 3 3 2" xfId="6670" xr:uid="{00000000-0005-0000-0000-0000EA080000}"/>
    <cellStyle name="Comma 7 3 3 2 2" xfId="7557" xr:uid="{00000000-0005-0000-0000-0000EA080000}"/>
    <cellStyle name="Comma 7 3 3 3" xfId="7084" xr:uid="{00000000-0005-0000-0000-0000EA080000}"/>
    <cellStyle name="Comma 7 3 4" xfId="6384" xr:uid="{00000000-0005-0000-0000-0000E7080000}"/>
    <cellStyle name="Comma 7 3 4 2" xfId="7271" xr:uid="{00000000-0005-0000-0000-0000E7080000}"/>
    <cellStyle name="Comma 7 3 5" xfId="6879" xr:uid="{00000000-0005-0000-0000-0000E7080000}"/>
    <cellStyle name="Comma 7 4" xfId="1575" xr:uid="{00000000-0005-0000-0000-0000EB080000}"/>
    <cellStyle name="Comma 7 4 2" xfId="4297" xr:uid="{00000000-0005-0000-0000-0000EC080000}"/>
    <cellStyle name="Comma 7 4 2 2" xfId="6717" xr:uid="{00000000-0005-0000-0000-0000EC080000}"/>
    <cellStyle name="Comma 7 4 2 2 2" xfId="7604" xr:uid="{00000000-0005-0000-0000-0000EC080000}"/>
    <cellStyle name="Comma 7 4 2 3" xfId="7109" xr:uid="{00000000-0005-0000-0000-0000EC080000}"/>
    <cellStyle name="Comma 7 4 3" xfId="6410" xr:uid="{00000000-0005-0000-0000-0000EB080000}"/>
    <cellStyle name="Comma 7 4 3 2" xfId="7297" xr:uid="{00000000-0005-0000-0000-0000EB080000}"/>
    <cellStyle name="Comma 7 4 4" xfId="6894" xr:uid="{00000000-0005-0000-0000-0000EB080000}"/>
    <cellStyle name="Comma 7 5" xfId="1923" xr:uid="{00000000-0005-0000-0000-0000ED080000}"/>
    <cellStyle name="Comma 7 5 2" xfId="6554" xr:uid="{00000000-0005-0000-0000-0000ED080000}"/>
    <cellStyle name="Comma 7 5 2 2" xfId="7441" xr:uid="{00000000-0005-0000-0000-0000ED080000}"/>
    <cellStyle name="Comma 7 6" xfId="1443" xr:uid="{00000000-0005-0000-0000-0000EE080000}"/>
    <cellStyle name="Comma 7 6 2" xfId="6343" xr:uid="{00000000-0005-0000-0000-0000EE080000}"/>
    <cellStyle name="Comma 7 6 2 2" xfId="7230" xr:uid="{00000000-0005-0000-0000-0000EE080000}"/>
    <cellStyle name="Comma 7 6 3" xfId="6856" xr:uid="{00000000-0005-0000-0000-0000EE080000}"/>
    <cellStyle name="Comma 7 7" xfId="6304" xr:uid="{00000000-0005-0000-0000-0000E1080000}"/>
    <cellStyle name="Comma 7 7 2" xfId="7191" xr:uid="{00000000-0005-0000-0000-0000E1080000}"/>
    <cellStyle name="Comma 7 8" xfId="6831" xr:uid="{00000000-0005-0000-0000-0000E1080000}"/>
    <cellStyle name="Comma 7_2.DATA" xfId="5190" xr:uid="{00000000-0005-0000-0000-0000EF080000}"/>
    <cellStyle name="Comma 8" xfId="900" xr:uid="{00000000-0005-0000-0000-0000F0080000}"/>
    <cellStyle name="Comma 8 2" xfId="1616" xr:uid="{00000000-0005-0000-0000-0000F1080000}"/>
    <cellStyle name="Comma 8 2 2" xfId="1924" xr:uid="{00000000-0005-0000-0000-0000F2080000}"/>
    <cellStyle name="Comma 8 2 2 2" xfId="6555" xr:uid="{00000000-0005-0000-0000-0000F2080000}"/>
    <cellStyle name="Comma 8 2 2 2 2" xfId="7442" xr:uid="{00000000-0005-0000-0000-0000F2080000}"/>
    <cellStyle name="Comma 8 2 2 3" xfId="7002" xr:uid="{00000000-0005-0000-0000-0000F2080000}"/>
    <cellStyle name="Comma 8 2 3" xfId="1925" xr:uid="{00000000-0005-0000-0000-0000F3080000}"/>
    <cellStyle name="Comma 8 2 3 2" xfId="6556" xr:uid="{00000000-0005-0000-0000-0000F3080000}"/>
    <cellStyle name="Comma 8 2 3 2 2" xfId="7443" xr:uid="{00000000-0005-0000-0000-0000F3080000}"/>
    <cellStyle name="Comma 8 2 4" xfId="6444" xr:uid="{00000000-0005-0000-0000-0000F1080000}"/>
    <cellStyle name="Comma 8 2 4 2" xfId="7331" xr:uid="{00000000-0005-0000-0000-0000F1080000}"/>
    <cellStyle name="Comma 8 2 5" xfId="6911" xr:uid="{00000000-0005-0000-0000-0000F1080000}"/>
    <cellStyle name="Comma 8 2_2.DATA" xfId="5192" xr:uid="{00000000-0005-0000-0000-0000F4080000}"/>
    <cellStyle name="Comma 8 3" xfId="1926" xr:uid="{00000000-0005-0000-0000-0000F5080000}"/>
    <cellStyle name="Comma 8 3 2" xfId="6557" xr:uid="{00000000-0005-0000-0000-0000F5080000}"/>
    <cellStyle name="Comma 8 3 2 2" xfId="7444" xr:uid="{00000000-0005-0000-0000-0000F5080000}"/>
    <cellStyle name="Comma 8 3 3" xfId="7003" xr:uid="{00000000-0005-0000-0000-0000F5080000}"/>
    <cellStyle name="Comma 8 4" xfId="1927" xr:uid="{00000000-0005-0000-0000-0000F6080000}"/>
    <cellStyle name="Comma 8 4 2" xfId="4640" xr:uid="{00000000-0005-0000-0000-0000F7080000}"/>
    <cellStyle name="Comma 8 4 2 2" xfId="6799" xr:uid="{00000000-0005-0000-0000-0000F7080000}"/>
    <cellStyle name="Comma 8 4 2 2 2" xfId="7686" xr:uid="{00000000-0005-0000-0000-0000F7080000}"/>
    <cellStyle name="Comma 8 4 3" xfId="6558" xr:uid="{00000000-0005-0000-0000-0000F6080000}"/>
    <cellStyle name="Comma 8 4 3 2" xfId="7445" xr:uid="{00000000-0005-0000-0000-0000F6080000}"/>
    <cellStyle name="Comma 8 5" xfId="1458" xr:uid="{00000000-0005-0000-0000-0000F8080000}"/>
    <cellStyle name="Comma 8 5 2" xfId="6353" xr:uid="{00000000-0005-0000-0000-0000F8080000}"/>
    <cellStyle name="Comma 8 5 2 2" xfId="7240" xr:uid="{00000000-0005-0000-0000-0000F8080000}"/>
    <cellStyle name="Comma 8 5 3" xfId="6862" xr:uid="{00000000-0005-0000-0000-0000F8080000}"/>
    <cellStyle name="Comma 8 6" xfId="6306" xr:uid="{00000000-0005-0000-0000-0000F0080000}"/>
    <cellStyle name="Comma 8 6 2" xfId="7193" xr:uid="{00000000-0005-0000-0000-0000F0080000}"/>
    <cellStyle name="Comma 8 7" xfId="6833" xr:uid="{00000000-0005-0000-0000-0000F0080000}"/>
    <cellStyle name="Comma 8_2.DATA" xfId="5191" xr:uid="{00000000-0005-0000-0000-0000F9080000}"/>
    <cellStyle name="Comma 9" xfId="901" xr:uid="{00000000-0005-0000-0000-0000FA080000}"/>
    <cellStyle name="Comma 9 2" xfId="1639" xr:uid="{00000000-0005-0000-0000-0000FB080000}"/>
    <cellStyle name="Comma 9 2 2" xfId="1928" xr:uid="{00000000-0005-0000-0000-0000FC080000}"/>
    <cellStyle name="Comma 9 2 2 2" xfId="6559" xr:uid="{00000000-0005-0000-0000-0000FC080000}"/>
    <cellStyle name="Comma 9 2 2 2 2" xfId="7446" xr:uid="{00000000-0005-0000-0000-0000FC080000}"/>
    <cellStyle name="Comma 9 2 3" xfId="1929" xr:uid="{00000000-0005-0000-0000-0000FD080000}"/>
    <cellStyle name="Comma 9 2 3 2" xfId="6560" xr:uid="{00000000-0005-0000-0000-0000FD080000}"/>
    <cellStyle name="Comma 9 2 3 2 2" xfId="7447" xr:uid="{00000000-0005-0000-0000-0000FD080000}"/>
    <cellStyle name="Comma 9 2 3 3" xfId="7004" xr:uid="{00000000-0005-0000-0000-0000FD080000}"/>
    <cellStyle name="Comma 9 2 4" xfId="1930" xr:uid="{00000000-0005-0000-0000-0000FE080000}"/>
    <cellStyle name="Comma 9 2 4 2" xfId="6561" xr:uid="{00000000-0005-0000-0000-0000FE080000}"/>
    <cellStyle name="Comma 9 2 4 2 2" xfId="7448" xr:uid="{00000000-0005-0000-0000-0000FE080000}"/>
    <cellStyle name="Comma 9 2 5" xfId="6446" xr:uid="{00000000-0005-0000-0000-0000FB080000}"/>
    <cellStyle name="Comma 9 2 5 2" xfId="7333" xr:uid="{00000000-0005-0000-0000-0000FB080000}"/>
    <cellStyle name="Comma 9 2 6" xfId="6913" xr:uid="{00000000-0005-0000-0000-0000FB080000}"/>
    <cellStyle name="Comma 9 2_2.DATA" xfId="5194" xr:uid="{00000000-0005-0000-0000-0000FF080000}"/>
    <cellStyle name="Comma 9 3" xfId="1931" xr:uid="{00000000-0005-0000-0000-000000090000}"/>
    <cellStyle name="Comma 9 3 2" xfId="6562" xr:uid="{00000000-0005-0000-0000-000000090000}"/>
    <cellStyle name="Comma 9 3 2 2" xfId="7449" xr:uid="{00000000-0005-0000-0000-000000090000}"/>
    <cellStyle name="Comma 9 4" xfId="1932" xr:uid="{00000000-0005-0000-0000-000001090000}"/>
    <cellStyle name="Comma 9 4 2" xfId="6563" xr:uid="{00000000-0005-0000-0000-000001090000}"/>
    <cellStyle name="Comma 9 4 2 2" xfId="7450" xr:uid="{00000000-0005-0000-0000-000001090000}"/>
    <cellStyle name="Comma 9 4 3" xfId="7005" xr:uid="{00000000-0005-0000-0000-000001090000}"/>
    <cellStyle name="Comma 9 5" xfId="1933" xr:uid="{00000000-0005-0000-0000-000002090000}"/>
    <cellStyle name="Comma 9 5 2" xfId="4641" xr:uid="{00000000-0005-0000-0000-000003090000}"/>
    <cellStyle name="Comma 9 5 2 2" xfId="6800" xr:uid="{00000000-0005-0000-0000-000003090000}"/>
    <cellStyle name="Comma 9 5 2 2 2" xfId="7687" xr:uid="{00000000-0005-0000-0000-000003090000}"/>
    <cellStyle name="Comma 9 5 3" xfId="6564" xr:uid="{00000000-0005-0000-0000-000002090000}"/>
    <cellStyle name="Comma 9 5 3 2" xfId="7451" xr:uid="{00000000-0005-0000-0000-000002090000}"/>
    <cellStyle name="Comma 9 6" xfId="1493" xr:uid="{00000000-0005-0000-0000-000004090000}"/>
    <cellStyle name="Comma 9 6 2" xfId="6374" xr:uid="{00000000-0005-0000-0000-000004090000}"/>
    <cellStyle name="Comma 9 6 2 2" xfId="7261" xr:uid="{00000000-0005-0000-0000-000004090000}"/>
    <cellStyle name="Comma 9 6 3" xfId="6873" xr:uid="{00000000-0005-0000-0000-000004090000}"/>
    <cellStyle name="Comma 9 7" xfId="6307" xr:uid="{00000000-0005-0000-0000-0000FA080000}"/>
    <cellStyle name="Comma 9 7 2" xfId="7194" xr:uid="{00000000-0005-0000-0000-0000FA080000}"/>
    <cellStyle name="Comma 9 8" xfId="6834" xr:uid="{00000000-0005-0000-0000-0000FA080000}"/>
    <cellStyle name="Comma 9_2.DATA" xfId="5193" xr:uid="{00000000-0005-0000-0000-000005090000}"/>
    <cellStyle name="Currency" xfId="6263" builtinId="4"/>
    <cellStyle name="Currency 10" xfId="902" xr:uid="{00000000-0005-0000-0000-000006090000}"/>
    <cellStyle name="Currency 10 2" xfId="1935" xr:uid="{00000000-0005-0000-0000-000007090000}"/>
    <cellStyle name="Currency 10 2 2" xfId="1936" xr:uid="{00000000-0005-0000-0000-000008090000}"/>
    <cellStyle name="Currency 10 2 2 2" xfId="6566" xr:uid="{00000000-0005-0000-0000-000008090000}"/>
    <cellStyle name="Currency 10 2 2 2 2" xfId="7453" xr:uid="{00000000-0005-0000-0000-000008090000}"/>
    <cellStyle name="Currency 10 2 2 3" xfId="7006" xr:uid="{00000000-0005-0000-0000-000008090000}"/>
    <cellStyle name="Currency 10 3" xfId="4642" xr:uid="{00000000-0005-0000-0000-000009090000}"/>
    <cellStyle name="Currency 10 3 2" xfId="6801" xr:uid="{00000000-0005-0000-0000-000009090000}"/>
    <cellStyle name="Currency 10 3 2 2" xfId="7688" xr:uid="{00000000-0005-0000-0000-000009090000}"/>
    <cellStyle name="Currency 10 4" xfId="1934" xr:uid="{00000000-0005-0000-0000-00000A090000}"/>
    <cellStyle name="Currency 10 4 2" xfId="6565" xr:uid="{00000000-0005-0000-0000-00000A090000}"/>
    <cellStyle name="Currency 10 4 2 2" xfId="7452" xr:uid="{00000000-0005-0000-0000-00000A090000}"/>
    <cellStyle name="Currency 10 5" xfId="6308" xr:uid="{00000000-0005-0000-0000-000006090000}"/>
    <cellStyle name="Currency 10 5 2" xfId="7195" xr:uid="{00000000-0005-0000-0000-000006090000}"/>
    <cellStyle name="Currency 11" xfId="1937" xr:uid="{00000000-0005-0000-0000-00000B090000}"/>
    <cellStyle name="Currency 11 2" xfId="1938" xr:uid="{00000000-0005-0000-0000-00000C090000}"/>
    <cellStyle name="Currency 11 2 2" xfId="1939" xr:uid="{00000000-0005-0000-0000-00000D090000}"/>
    <cellStyle name="Currency 11 2 2 2" xfId="6567" xr:uid="{00000000-0005-0000-0000-00000D090000}"/>
    <cellStyle name="Currency 11 2 2 2 2" xfId="7454" xr:uid="{00000000-0005-0000-0000-00000D090000}"/>
    <cellStyle name="Currency 11 2 2 3" xfId="7007" xr:uid="{00000000-0005-0000-0000-00000D090000}"/>
    <cellStyle name="Currency 12" xfId="1940" xr:uid="{00000000-0005-0000-0000-00000E090000}"/>
    <cellStyle name="Currency 12 2" xfId="1941" xr:uid="{00000000-0005-0000-0000-00000F090000}"/>
    <cellStyle name="Currency 12 2 2" xfId="1942" xr:uid="{00000000-0005-0000-0000-000010090000}"/>
    <cellStyle name="Currency 12 2 2 2" xfId="6568" xr:uid="{00000000-0005-0000-0000-000010090000}"/>
    <cellStyle name="Currency 12 2 2 2 2" xfId="7455" xr:uid="{00000000-0005-0000-0000-000010090000}"/>
    <cellStyle name="Currency 12 2 2 3" xfId="7008" xr:uid="{00000000-0005-0000-0000-000010090000}"/>
    <cellStyle name="Currency 13" xfId="1943" xr:uid="{00000000-0005-0000-0000-000011090000}"/>
    <cellStyle name="Currency 13 2" xfId="1944" xr:uid="{00000000-0005-0000-0000-000012090000}"/>
    <cellStyle name="Currency 13 2 2" xfId="1945" xr:uid="{00000000-0005-0000-0000-000013090000}"/>
    <cellStyle name="Currency 13 2 2 2" xfId="6569" xr:uid="{00000000-0005-0000-0000-000013090000}"/>
    <cellStyle name="Currency 13 2 2 2 2" xfId="7456" xr:uid="{00000000-0005-0000-0000-000013090000}"/>
    <cellStyle name="Currency 13 2 2 3" xfId="7009" xr:uid="{00000000-0005-0000-0000-000013090000}"/>
    <cellStyle name="Currency 14" xfId="1946" xr:uid="{00000000-0005-0000-0000-000014090000}"/>
    <cellStyle name="Currency 14 2" xfId="1947" xr:uid="{00000000-0005-0000-0000-000015090000}"/>
    <cellStyle name="Currency 14 2 2" xfId="1948" xr:uid="{00000000-0005-0000-0000-000016090000}"/>
    <cellStyle name="Currency 14 2 2 2" xfId="6570" xr:uid="{00000000-0005-0000-0000-000016090000}"/>
    <cellStyle name="Currency 14 2 2 2 2" xfId="7457" xr:uid="{00000000-0005-0000-0000-000016090000}"/>
    <cellStyle name="Currency 14 2 2 3" xfId="7010" xr:uid="{00000000-0005-0000-0000-000016090000}"/>
    <cellStyle name="Currency 15" xfId="1949" xr:uid="{00000000-0005-0000-0000-000017090000}"/>
    <cellStyle name="Currency 15 2" xfId="1950" xr:uid="{00000000-0005-0000-0000-000018090000}"/>
    <cellStyle name="Currency 15 2 2" xfId="1951" xr:uid="{00000000-0005-0000-0000-000019090000}"/>
    <cellStyle name="Currency 15 2 2 2" xfId="6571" xr:uid="{00000000-0005-0000-0000-000019090000}"/>
    <cellStyle name="Currency 15 2 2 2 2" xfId="7458" xr:uid="{00000000-0005-0000-0000-000019090000}"/>
    <cellStyle name="Currency 15 2 2 3" xfId="7011" xr:uid="{00000000-0005-0000-0000-000019090000}"/>
    <cellStyle name="Currency 16" xfId="1952" xr:uid="{00000000-0005-0000-0000-00001A090000}"/>
    <cellStyle name="Currency 16 2" xfId="1953" xr:uid="{00000000-0005-0000-0000-00001B090000}"/>
    <cellStyle name="Currency 16 2 2" xfId="1954" xr:uid="{00000000-0005-0000-0000-00001C090000}"/>
    <cellStyle name="Currency 16 2 2 2" xfId="6572" xr:uid="{00000000-0005-0000-0000-00001C090000}"/>
    <cellStyle name="Currency 16 2 2 2 2" xfId="7459" xr:uid="{00000000-0005-0000-0000-00001C090000}"/>
    <cellStyle name="Currency 16 2 2 3" xfId="7012" xr:uid="{00000000-0005-0000-0000-00001C090000}"/>
    <cellStyle name="Currency 17" xfId="1955" xr:uid="{00000000-0005-0000-0000-00001D090000}"/>
    <cellStyle name="Currency 17 2" xfId="1956" xr:uid="{00000000-0005-0000-0000-00001E090000}"/>
    <cellStyle name="Currency 17 2 2" xfId="1957" xr:uid="{00000000-0005-0000-0000-00001F090000}"/>
    <cellStyle name="Currency 17 2 2 2" xfId="6573" xr:uid="{00000000-0005-0000-0000-00001F090000}"/>
    <cellStyle name="Currency 17 2 2 2 2" xfId="7460" xr:uid="{00000000-0005-0000-0000-00001F090000}"/>
    <cellStyle name="Currency 17 2 2 3" xfId="7013" xr:uid="{00000000-0005-0000-0000-00001F090000}"/>
    <cellStyle name="Currency 175" xfId="1958" xr:uid="{00000000-0005-0000-0000-000020090000}"/>
    <cellStyle name="Currency 175 2" xfId="1959" xr:uid="{00000000-0005-0000-0000-000021090000}"/>
    <cellStyle name="Currency 175 2 2" xfId="1960" xr:uid="{00000000-0005-0000-0000-000022090000}"/>
    <cellStyle name="Currency 175 2 2 2" xfId="1961" xr:uid="{00000000-0005-0000-0000-000023090000}"/>
    <cellStyle name="Currency 175 2 2 2 2" xfId="1962" xr:uid="{00000000-0005-0000-0000-000024090000}"/>
    <cellStyle name="Currency 175 2 2 2 2 2" xfId="6578" xr:uid="{00000000-0005-0000-0000-000024090000}"/>
    <cellStyle name="Currency 175 2 2 2 2 2 2" xfId="7465" xr:uid="{00000000-0005-0000-0000-000024090000}"/>
    <cellStyle name="Currency 175 2 2 2 2 3" xfId="7018" xr:uid="{00000000-0005-0000-0000-000024090000}"/>
    <cellStyle name="Currency 175 2 2 2 3" xfId="6577" xr:uid="{00000000-0005-0000-0000-000023090000}"/>
    <cellStyle name="Currency 175 2 2 2 3 2" xfId="7464" xr:uid="{00000000-0005-0000-0000-000023090000}"/>
    <cellStyle name="Currency 175 2 2 2 4" xfId="7017" xr:uid="{00000000-0005-0000-0000-000023090000}"/>
    <cellStyle name="Currency 175 2 2 3" xfId="1963" xr:uid="{00000000-0005-0000-0000-000025090000}"/>
    <cellStyle name="Currency 175 2 2 3 2" xfId="6579" xr:uid="{00000000-0005-0000-0000-000025090000}"/>
    <cellStyle name="Currency 175 2 2 3 2 2" xfId="7466" xr:uid="{00000000-0005-0000-0000-000025090000}"/>
    <cellStyle name="Currency 175 2 2 3 3" xfId="7019" xr:uid="{00000000-0005-0000-0000-000025090000}"/>
    <cellStyle name="Currency 175 2 2 4" xfId="6576" xr:uid="{00000000-0005-0000-0000-000022090000}"/>
    <cellStyle name="Currency 175 2 2 4 2" xfId="7463" xr:uid="{00000000-0005-0000-0000-000022090000}"/>
    <cellStyle name="Currency 175 2 2 5" xfId="7016" xr:uid="{00000000-0005-0000-0000-000022090000}"/>
    <cellStyle name="Currency 175 2 3" xfId="1964" xr:uid="{00000000-0005-0000-0000-000026090000}"/>
    <cellStyle name="Currency 175 2 3 2" xfId="1965" xr:uid="{00000000-0005-0000-0000-000027090000}"/>
    <cellStyle name="Currency 175 2 3 2 2" xfId="1966" xr:uid="{00000000-0005-0000-0000-000028090000}"/>
    <cellStyle name="Currency 175 2 3 2 2 2" xfId="6582" xr:uid="{00000000-0005-0000-0000-000028090000}"/>
    <cellStyle name="Currency 175 2 3 2 2 2 2" xfId="7469" xr:uid="{00000000-0005-0000-0000-000028090000}"/>
    <cellStyle name="Currency 175 2 3 2 2 3" xfId="7022" xr:uid="{00000000-0005-0000-0000-000028090000}"/>
    <cellStyle name="Currency 175 2 3 2 3" xfId="6581" xr:uid="{00000000-0005-0000-0000-000027090000}"/>
    <cellStyle name="Currency 175 2 3 2 3 2" xfId="7468" xr:uid="{00000000-0005-0000-0000-000027090000}"/>
    <cellStyle name="Currency 175 2 3 2 4" xfId="7021" xr:uid="{00000000-0005-0000-0000-000027090000}"/>
    <cellStyle name="Currency 175 2 3 3" xfId="1967" xr:uid="{00000000-0005-0000-0000-000029090000}"/>
    <cellStyle name="Currency 175 2 3 3 2" xfId="6583" xr:uid="{00000000-0005-0000-0000-000029090000}"/>
    <cellStyle name="Currency 175 2 3 3 2 2" xfId="7470" xr:uid="{00000000-0005-0000-0000-000029090000}"/>
    <cellStyle name="Currency 175 2 3 3 3" xfId="7023" xr:uid="{00000000-0005-0000-0000-000029090000}"/>
    <cellStyle name="Currency 175 2 3 4" xfId="6580" xr:uid="{00000000-0005-0000-0000-000026090000}"/>
    <cellStyle name="Currency 175 2 3 4 2" xfId="7467" xr:uid="{00000000-0005-0000-0000-000026090000}"/>
    <cellStyle name="Currency 175 2 3 5" xfId="7020" xr:uid="{00000000-0005-0000-0000-000026090000}"/>
    <cellStyle name="Currency 175 2 4" xfId="1968" xr:uid="{00000000-0005-0000-0000-00002A090000}"/>
    <cellStyle name="Currency 175 2 4 2" xfId="1969" xr:uid="{00000000-0005-0000-0000-00002B090000}"/>
    <cellStyle name="Currency 175 2 4 2 2" xfId="6585" xr:uid="{00000000-0005-0000-0000-00002B090000}"/>
    <cellStyle name="Currency 175 2 4 2 2 2" xfId="7472" xr:uid="{00000000-0005-0000-0000-00002B090000}"/>
    <cellStyle name="Currency 175 2 4 2 3" xfId="7025" xr:uid="{00000000-0005-0000-0000-00002B090000}"/>
    <cellStyle name="Currency 175 2 4 3" xfId="6584" xr:uid="{00000000-0005-0000-0000-00002A090000}"/>
    <cellStyle name="Currency 175 2 4 3 2" xfId="7471" xr:uid="{00000000-0005-0000-0000-00002A090000}"/>
    <cellStyle name="Currency 175 2 4 4" xfId="7024" xr:uid="{00000000-0005-0000-0000-00002A090000}"/>
    <cellStyle name="Currency 175 2 5" xfId="1970" xr:uid="{00000000-0005-0000-0000-00002C090000}"/>
    <cellStyle name="Currency 175 2 5 2" xfId="6586" xr:uid="{00000000-0005-0000-0000-00002C090000}"/>
    <cellStyle name="Currency 175 2 5 2 2" xfId="7473" xr:uid="{00000000-0005-0000-0000-00002C090000}"/>
    <cellStyle name="Currency 175 2 5 3" xfId="7026" xr:uid="{00000000-0005-0000-0000-00002C090000}"/>
    <cellStyle name="Currency 175 2 6" xfId="6575" xr:uid="{00000000-0005-0000-0000-000021090000}"/>
    <cellStyle name="Currency 175 2 6 2" xfId="7462" xr:uid="{00000000-0005-0000-0000-000021090000}"/>
    <cellStyle name="Currency 175 2 7" xfId="7015" xr:uid="{00000000-0005-0000-0000-000021090000}"/>
    <cellStyle name="Currency 175 3" xfId="1971" xr:uid="{00000000-0005-0000-0000-00002D090000}"/>
    <cellStyle name="Currency 175 3 2" xfId="1972" xr:uid="{00000000-0005-0000-0000-00002E090000}"/>
    <cellStyle name="Currency 175 3 2 2" xfId="1973" xr:uid="{00000000-0005-0000-0000-00002F090000}"/>
    <cellStyle name="Currency 175 3 2 2 2" xfId="1974" xr:uid="{00000000-0005-0000-0000-000030090000}"/>
    <cellStyle name="Currency 175 3 2 2 2 2" xfId="6590" xr:uid="{00000000-0005-0000-0000-000030090000}"/>
    <cellStyle name="Currency 175 3 2 2 2 2 2" xfId="7477" xr:uid="{00000000-0005-0000-0000-000030090000}"/>
    <cellStyle name="Currency 175 3 2 2 2 3" xfId="7030" xr:uid="{00000000-0005-0000-0000-000030090000}"/>
    <cellStyle name="Currency 175 3 2 2 3" xfId="6589" xr:uid="{00000000-0005-0000-0000-00002F090000}"/>
    <cellStyle name="Currency 175 3 2 2 3 2" xfId="7476" xr:uid="{00000000-0005-0000-0000-00002F090000}"/>
    <cellStyle name="Currency 175 3 2 2 4" xfId="7029" xr:uid="{00000000-0005-0000-0000-00002F090000}"/>
    <cellStyle name="Currency 175 3 2 3" xfId="1975" xr:uid="{00000000-0005-0000-0000-000031090000}"/>
    <cellStyle name="Currency 175 3 2 3 2" xfId="6591" xr:uid="{00000000-0005-0000-0000-000031090000}"/>
    <cellStyle name="Currency 175 3 2 3 2 2" xfId="7478" xr:uid="{00000000-0005-0000-0000-000031090000}"/>
    <cellStyle name="Currency 175 3 2 3 3" xfId="7031" xr:uid="{00000000-0005-0000-0000-000031090000}"/>
    <cellStyle name="Currency 175 3 2 4" xfId="6588" xr:uid="{00000000-0005-0000-0000-00002E090000}"/>
    <cellStyle name="Currency 175 3 2 4 2" xfId="7475" xr:uid="{00000000-0005-0000-0000-00002E090000}"/>
    <cellStyle name="Currency 175 3 2 5" xfId="7028" xr:uid="{00000000-0005-0000-0000-00002E090000}"/>
    <cellStyle name="Currency 175 3 3" xfId="1976" xr:uid="{00000000-0005-0000-0000-000032090000}"/>
    <cellStyle name="Currency 175 3 3 2" xfId="1977" xr:uid="{00000000-0005-0000-0000-000033090000}"/>
    <cellStyle name="Currency 175 3 3 2 2" xfId="1978" xr:uid="{00000000-0005-0000-0000-000034090000}"/>
    <cellStyle name="Currency 175 3 3 2 2 2" xfId="6594" xr:uid="{00000000-0005-0000-0000-000034090000}"/>
    <cellStyle name="Currency 175 3 3 2 2 2 2" xfId="7481" xr:uid="{00000000-0005-0000-0000-000034090000}"/>
    <cellStyle name="Currency 175 3 3 2 2 3" xfId="7034" xr:uid="{00000000-0005-0000-0000-000034090000}"/>
    <cellStyle name="Currency 175 3 3 2 3" xfId="6593" xr:uid="{00000000-0005-0000-0000-000033090000}"/>
    <cellStyle name="Currency 175 3 3 2 3 2" xfId="7480" xr:uid="{00000000-0005-0000-0000-000033090000}"/>
    <cellStyle name="Currency 175 3 3 2 4" xfId="7033" xr:uid="{00000000-0005-0000-0000-000033090000}"/>
    <cellStyle name="Currency 175 3 3 3" xfId="1979" xr:uid="{00000000-0005-0000-0000-000035090000}"/>
    <cellStyle name="Currency 175 3 3 3 2" xfId="6595" xr:uid="{00000000-0005-0000-0000-000035090000}"/>
    <cellStyle name="Currency 175 3 3 3 2 2" xfId="7482" xr:uid="{00000000-0005-0000-0000-000035090000}"/>
    <cellStyle name="Currency 175 3 3 3 3" xfId="7035" xr:uid="{00000000-0005-0000-0000-000035090000}"/>
    <cellStyle name="Currency 175 3 3 4" xfId="6592" xr:uid="{00000000-0005-0000-0000-000032090000}"/>
    <cellStyle name="Currency 175 3 3 4 2" xfId="7479" xr:uid="{00000000-0005-0000-0000-000032090000}"/>
    <cellStyle name="Currency 175 3 3 5" xfId="7032" xr:uid="{00000000-0005-0000-0000-000032090000}"/>
    <cellStyle name="Currency 175 3 4" xfId="1980" xr:uid="{00000000-0005-0000-0000-000036090000}"/>
    <cellStyle name="Currency 175 3 4 2" xfId="1981" xr:uid="{00000000-0005-0000-0000-000037090000}"/>
    <cellStyle name="Currency 175 3 4 2 2" xfId="6597" xr:uid="{00000000-0005-0000-0000-000037090000}"/>
    <cellStyle name="Currency 175 3 4 2 2 2" xfId="7484" xr:uid="{00000000-0005-0000-0000-000037090000}"/>
    <cellStyle name="Currency 175 3 4 2 3" xfId="7037" xr:uid="{00000000-0005-0000-0000-000037090000}"/>
    <cellStyle name="Currency 175 3 4 3" xfId="6596" xr:uid="{00000000-0005-0000-0000-000036090000}"/>
    <cellStyle name="Currency 175 3 4 3 2" xfId="7483" xr:uid="{00000000-0005-0000-0000-000036090000}"/>
    <cellStyle name="Currency 175 3 4 4" xfId="7036" xr:uid="{00000000-0005-0000-0000-000036090000}"/>
    <cellStyle name="Currency 175 3 5" xfId="1982" xr:uid="{00000000-0005-0000-0000-000038090000}"/>
    <cellStyle name="Currency 175 3 5 2" xfId="6598" xr:uid="{00000000-0005-0000-0000-000038090000}"/>
    <cellStyle name="Currency 175 3 5 2 2" xfId="7485" xr:uid="{00000000-0005-0000-0000-000038090000}"/>
    <cellStyle name="Currency 175 3 5 3" xfId="7038" xr:uid="{00000000-0005-0000-0000-000038090000}"/>
    <cellStyle name="Currency 175 3 6" xfId="6587" xr:uid="{00000000-0005-0000-0000-00002D090000}"/>
    <cellStyle name="Currency 175 3 6 2" xfId="7474" xr:uid="{00000000-0005-0000-0000-00002D090000}"/>
    <cellStyle name="Currency 175 3 7" xfId="7027" xr:uid="{00000000-0005-0000-0000-00002D090000}"/>
    <cellStyle name="Currency 175 4" xfId="1983" xr:uid="{00000000-0005-0000-0000-000039090000}"/>
    <cellStyle name="Currency 175 4 2" xfId="1984" xr:uid="{00000000-0005-0000-0000-00003A090000}"/>
    <cellStyle name="Currency 175 4 2 2" xfId="1985" xr:uid="{00000000-0005-0000-0000-00003B090000}"/>
    <cellStyle name="Currency 175 4 2 2 2" xfId="6601" xr:uid="{00000000-0005-0000-0000-00003B090000}"/>
    <cellStyle name="Currency 175 4 2 2 2 2" xfId="7488" xr:uid="{00000000-0005-0000-0000-00003B090000}"/>
    <cellStyle name="Currency 175 4 2 2 3" xfId="7041" xr:uid="{00000000-0005-0000-0000-00003B090000}"/>
    <cellStyle name="Currency 175 4 2 3" xfId="6600" xr:uid="{00000000-0005-0000-0000-00003A090000}"/>
    <cellStyle name="Currency 175 4 2 3 2" xfId="7487" xr:uid="{00000000-0005-0000-0000-00003A090000}"/>
    <cellStyle name="Currency 175 4 2 4" xfId="7040" xr:uid="{00000000-0005-0000-0000-00003A090000}"/>
    <cellStyle name="Currency 175 4 3" xfId="1986" xr:uid="{00000000-0005-0000-0000-00003C090000}"/>
    <cellStyle name="Currency 175 4 3 2" xfId="6602" xr:uid="{00000000-0005-0000-0000-00003C090000}"/>
    <cellStyle name="Currency 175 4 3 2 2" xfId="7489" xr:uid="{00000000-0005-0000-0000-00003C090000}"/>
    <cellStyle name="Currency 175 4 3 3" xfId="7042" xr:uid="{00000000-0005-0000-0000-00003C090000}"/>
    <cellStyle name="Currency 175 4 4" xfId="6599" xr:uid="{00000000-0005-0000-0000-000039090000}"/>
    <cellStyle name="Currency 175 4 4 2" xfId="7486" xr:uid="{00000000-0005-0000-0000-000039090000}"/>
    <cellStyle name="Currency 175 4 5" xfId="7039" xr:uid="{00000000-0005-0000-0000-000039090000}"/>
    <cellStyle name="Currency 175 5" xfId="1987" xr:uid="{00000000-0005-0000-0000-00003D090000}"/>
    <cellStyle name="Currency 175 5 2" xfId="1988" xr:uid="{00000000-0005-0000-0000-00003E090000}"/>
    <cellStyle name="Currency 175 5 2 2" xfId="1989" xr:uid="{00000000-0005-0000-0000-00003F090000}"/>
    <cellStyle name="Currency 175 5 2 2 2" xfId="6605" xr:uid="{00000000-0005-0000-0000-00003F090000}"/>
    <cellStyle name="Currency 175 5 2 2 2 2" xfId="7492" xr:uid="{00000000-0005-0000-0000-00003F090000}"/>
    <cellStyle name="Currency 175 5 2 2 3" xfId="7045" xr:uid="{00000000-0005-0000-0000-00003F090000}"/>
    <cellStyle name="Currency 175 5 2 3" xfId="6604" xr:uid="{00000000-0005-0000-0000-00003E090000}"/>
    <cellStyle name="Currency 175 5 2 3 2" xfId="7491" xr:uid="{00000000-0005-0000-0000-00003E090000}"/>
    <cellStyle name="Currency 175 5 2 4" xfId="7044" xr:uid="{00000000-0005-0000-0000-00003E090000}"/>
    <cellStyle name="Currency 175 5 3" xfId="1990" xr:uid="{00000000-0005-0000-0000-000040090000}"/>
    <cellStyle name="Currency 175 5 3 2" xfId="6606" xr:uid="{00000000-0005-0000-0000-000040090000}"/>
    <cellStyle name="Currency 175 5 3 2 2" xfId="7493" xr:uid="{00000000-0005-0000-0000-000040090000}"/>
    <cellStyle name="Currency 175 5 3 3" xfId="7046" xr:uid="{00000000-0005-0000-0000-000040090000}"/>
    <cellStyle name="Currency 175 5 4" xfId="6603" xr:uid="{00000000-0005-0000-0000-00003D090000}"/>
    <cellStyle name="Currency 175 5 4 2" xfId="7490" xr:uid="{00000000-0005-0000-0000-00003D090000}"/>
    <cellStyle name="Currency 175 5 5" xfId="7043" xr:uid="{00000000-0005-0000-0000-00003D090000}"/>
    <cellStyle name="Currency 175 6" xfId="1991" xr:uid="{00000000-0005-0000-0000-000041090000}"/>
    <cellStyle name="Currency 175 6 2" xfId="1992" xr:uid="{00000000-0005-0000-0000-000042090000}"/>
    <cellStyle name="Currency 175 6 2 2" xfId="6608" xr:uid="{00000000-0005-0000-0000-000042090000}"/>
    <cellStyle name="Currency 175 6 2 2 2" xfId="7495" xr:uid="{00000000-0005-0000-0000-000042090000}"/>
    <cellStyle name="Currency 175 6 2 3" xfId="7048" xr:uid="{00000000-0005-0000-0000-000042090000}"/>
    <cellStyle name="Currency 175 6 3" xfId="6607" xr:uid="{00000000-0005-0000-0000-000041090000}"/>
    <cellStyle name="Currency 175 6 3 2" xfId="7494" xr:uid="{00000000-0005-0000-0000-000041090000}"/>
    <cellStyle name="Currency 175 6 4" xfId="7047" xr:uid="{00000000-0005-0000-0000-000041090000}"/>
    <cellStyle name="Currency 175 7" xfId="1993" xr:uid="{00000000-0005-0000-0000-000043090000}"/>
    <cellStyle name="Currency 175 7 2" xfId="6609" xr:uid="{00000000-0005-0000-0000-000043090000}"/>
    <cellStyle name="Currency 175 7 2 2" xfId="7496" xr:uid="{00000000-0005-0000-0000-000043090000}"/>
    <cellStyle name="Currency 175 7 3" xfId="7049" xr:uid="{00000000-0005-0000-0000-000043090000}"/>
    <cellStyle name="Currency 175 8" xfId="6574" xr:uid="{00000000-0005-0000-0000-000020090000}"/>
    <cellStyle name="Currency 175 8 2" xfId="7461" xr:uid="{00000000-0005-0000-0000-000020090000}"/>
    <cellStyle name="Currency 175 9" xfId="7014" xr:uid="{00000000-0005-0000-0000-000020090000}"/>
    <cellStyle name="Currency 18" xfId="1994" xr:uid="{00000000-0005-0000-0000-000044090000}"/>
    <cellStyle name="Currency 18 2" xfId="1995" xr:uid="{00000000-0005-0000-0000-000045090000}"/>
    <cellStyle name="Currency 18 2 2" xfId="1996" xr:uid="{00000000-0005-0000-0000-000046090000}"/>
    <cellStyle name="Currency 18 2 2 2" xfId="6610" xr:uid="{00000000-0005-0000-0000-000046090000}"/>
    <cellStyle name="Currency 18 2 2 2 2" xfId="7497" xr:uid="{00000000-0005-0000-0000-000046090000}"/>
    <cellStyle name="Currency 18 2 2 3" xfId="7050" xr:uid="{00000000-0005-0000-0000-000046090000}"/>
    <cellStyle name="Currency 19" xfId="1997" xr:uid="{00000000-0005-0000-0000-000047090000}"/>
    <cellStyle name="Currency 19 2" xfId="1998" xr:uid="{00000000-0005-0000-0000-000048090000}"/>
    <cellStyle name="Currency 19 2 2" xfId="1999" xr:uid="{00000000-0005-0000-0000-000049090000}"/>
    <cellStyle name="Currency 19 2 2 2" xfId="6611" xr:uid="{00000000-0005-0000-0000-000049090000}"/>
    <cellStyle name="Currency 19 2 2 2 2" xfId="7498" xr:uid="{00000000-0005-0000-0000-000049090000}"/>
    <cellStyle name="Currency 19 2 2 3" xfId="7051" xr:uid="{00000000-0005-0000-0000-000049090000}"/>
    <cellStyle name="Currency 2" xfId="903" xr:uid="{00000000-0005-0000-0000-00004A090000}"/>
    <cellStyle name="Currency 2 2" xfId="904" xr:uid="{00000000-0005-0000-0000-00004B090000}"/>
    <cellStyle name="Currency 2 2 2" xfId="1617" xr:uid="{00000000-0005-0000-0000-00004C090000}"/>
    <cellStyle name="Currency 2 2 2 2" xfId="2000" xr:uid="{00000000-0005-0000-0000-00004D090000}"/>
    <cellStyle name="Currency 2 2 2 2 2" xfId="6612" xr:uid="{00000000-0005-0000-0000-00004D090000}"/>
    <cellStyle name="Currency 2 2 2 2 2 2" xfId="7499" xr:uid="{00000000-0005-0000-0000-00004D090000}"/>
    <cellStyle name="Currency 2 2 2 2 3" xfId="7052" xr:uid="{00000000-0005-0000-0000-00004D090000}"/>
    <cellStyle name="Currency 2 2 2 3" xfId="2001" xr:uid="{00000000-0005-0000-0000-00004E090000}"/>
    <cellStyle name="Currency 2 2 2 3 2" xfId="6613" xr:uid="{00000000-0005-0000-0000-00004E090000}"/>
    <cellStyle name="Currency 2 2 2 3 2 2" xfId="7500" xr:uid="{00000000-0005-0000-0000-00004E090000}"/>
    <cellStyle name="Currency 2 2 2 3 3" xfId="7053" xr:uid="{00000000-0005-0000-0000-00004E090000}"/>
    <cellStyle name="Currency 2 2 2 4" xfId="6445" xr:uid="{00000000-0005-0000-0000-00004C090000}"/>
    <cellStyle name="Currency 2 2 2 4 2" xfId="7332" xr:uid="{00000000-0005-0000-0000-00004C090000}"/>
    <cellStyle name="Currency 2 2 2 5" xfId="6912" xr:uid="{00000000-0005-0000-0000-00004C090000}"/>
    <cellStyle name="Currency 2 2 3" xfId="2002" xr:uid="{00000000-0005-0000-0000-00004F090000}"/>
    <cellStyle name="Currency 2 2 3 2" xfId="6614" xr:uid="{00000000-0005-0000-0000-00004F090000}"/>
    <cellStyle name="Currency 2 2 3 2 2" xfId="7501" xr:uid="{00000000-0005-0000-0000-00004F090000}"/>
    <cellStyle name="Currency 2 2 3 3" xfId="7054" xr:uid="{00000000-0005-0000-0000-00004F090000}"/>
    <cellStyle name="Currency 2 2 4" xfId="2003" xr:uid="{00000000-0005-0000-0000-000050090000}"/>
    <cellStyle name="Currency 2 2 4 2" xfId="6615" xr:uid="{00000000-0005-0000-0000-000050090000}"/>
    <cellStyle name="Currency 2 2 4 2 2" xfId="7502" xr:uid="{00000000-0005-0000-0000-000050090000}"/>
    <cellStyle name="Currency 2 2 5" xfId="6310" xr:uid="{00000000-0005-0000-0000-00004B090000}"/>
    <cellStyle name="Currency 2 2 5 2" xfId="7197" xr:uid="{00000000-0005-0000-0000-00004B090000}"/>
    <cellStyle name="Currency 2 2 6" xfId="6836" xr:uid="{00000000-0005-0000-0000-00004B090000}"/>
    <cellStyle name="Currency 2 2_2.DATA" xfId="5195" xr:uid="{00000000-0005-0000-0000-000051090000}"/>
    <cellStyle name="Currency 2 3" xfId="905" xr:uid="{00000000-0005-0000-0000-000052090000}"/>
    <cellStyle name="Currency 2 3 2" xfId="1679" xr:uid="{00000000-0005-0000-0000-000053090000}"/>
    <cellStyle name="Currency 2 3 2 2" xfId="4207" xr:uid="{00000000-0005-0000-0000-000054090000}"/>
    <cellStyle name="Currency 2 3 2 2 2" xfId="6701" xr:uid="{00000000-0005-0000-0000-000054090000}"/>
    <cellStyle name="Currency 2 3 2 2 2 2" xfId="7588" xr:uid="{00000000-0005-0000-0000-000054090000}"/>
    <cellStyle name="Currency 2 3 2 2 3" xfId="7098" xr:uid="{00000000-0005-0000-0000-000054090000}"/>
    <cellStyle name="Currency 2 3 2 3" xfId="6467" xr:uid="{00000000-0005-0000-0000-000053090000}"/>
    <cellStyle name="Currency 2 3 2 3 2" xfId="7354" xr:uid="{00000000-0005-0000-0000-000053090000}"/>
    <cellStyle name="Currency 2 3 2 4" xfId="6925" xr:uid="{00000000-0005-0000-0000-000053090000}"/>
    <cellStyle name="Currency 2 3 3" xfId="2004" xr:uid="{00000000-0005-0000-0000-000055090000}"/>
    <cellStyle name="Currency 2 3 3 2" xfId="4643" xr:uid="{00000000-0005-0000-0000-000056090000}"/>
    <cellStyle name="Currency 2 3 3 2 2" xfId="6802" xr:uid="{00000000-0005-0000-0000-000056090000}"/>
    <cellStyle name="Currency 2 3 3 2 2 2" xfId="7689" xr:uid="{00000000-0005-0000-0000-000056090000}"/>
    <cellStyle name="Currency 2 3 3 2 3" xfId="7145" xr:uid="{00000000-0005-0000-0000-000056090000}"/>
    <cellStyle name="Currency 2 3 4" xfId="1527" xr:uid="{00000000-0005-0000-0000-000057090000}"/>
    <cellStyle name="Currency 2 3 4 2" xfId="6394" xr:uid="{00000000-0005-0000-0000-000057090000}"/>
    <cellStyle name="Currency 2 3 4 2 2" xfId="7281" xr:uid="{00000000-0005-0000-0000-000057090000}"/>
    <cellStyle name="Currency 2 3 4 3" xfId="6885" xr:uid="{00000000-0005-0000-0000-000057090000}"/>
    <cellStyle name="Currency 2 3 5" xfId="6311" xr:uid="{00000000-0005-0000-0000-000052090000}"/>
    <cellStyle name="Currency 2 3 5 2" xfId="7198" xr:uid="{00000000-0005-0000-0000-000052090000}"/>
    <cellStyle name="Currency 2 3 6" xfId="6837" xr:uid="{00000000-0005-0000-0000-000052090000}"/>
    <cellStyle name="Currency 2 3_2.DATA" xfId="5196" xr:uid="{00000000-0005-0000-0000-000058090000}"/>
    <cellStyle name="Currency 2 4" xfId="906" xr:uid="{00000000-0005-0000-0000-000059090000}"/>
    <cellStyle name="Currency 2 4 2" xfId="907" xr:uid="{00000000-0005-0000-0000-00005A090000}"/>
    <cellStyle name="Currency 2 4 2 2" xfId="908" xr:uid="{00000000-0005-0000-0000-00005B090000}"/>
    <cellStyle name="Currency 2 4 2 2 2" xfId="909" xr:uid="{00000000-0005-0000-0000-00005C090000}"/>
    <cellStyle name="Currency 2 4 2 2 2 2" xfId="6315" xr:uid="{00000000-0005-0000-0000-00005C090000}"/>
    <cellStyle name="Currency 2 4 2 2 2 2 2" xfId="7202" xr:uid="{00000000-0005-0000-0000-00005C090000}"/>
    <cellStyle name="Currency 2 4 2 2 2 3" xfId="6841" xr:uid="{00000000-0005-0000-0000-00005C090000}"/>
    <cellStyle name="Currency 2 4 2 2 3" xfId="6314" xr:uid="{00000000-0005-0000-0000-00005B090000}"/>
    <cellStyle name="Currency 2 4 2 2 3 2" xfId="7201" xr:uid="{00000000-0005-0000-0000-00005B090000}"/>
    <cellStyle name="Currency 2 4 2 2 4" xfId="6840" xr:uid="{00000000-0005-0000-0000-00005B090000}"/>
    <cellStyle name="Currency 2 4 2 3" xfId="910" xr:uid="{00000000-0005-0000-0000-00005D090000}"/>
    <cellStyle name="Currency 2 4 2 3 2" xfId="6316" xr:uid="{00000000-0005-0000-0000-00005D090000}"/>
    <cellStyle name="Currency 2 4 2 3 2 2" xfId="7203" xr:uid="{00000000-0005-0000-0000-00005D090000}"/>
    <cellStyle name="Currency 2 4 2 3 3" xfId="6842" xr:uid="{00000000-0005-0000-0000-00005D090000}"/>
    <cellStyle name="Currency 2 4 2 4" xfId="6313" xr:uid="{00000000-0005-0000-0000-00005A090000}"/>
    <cellStyle name="Currency 2 4 2 4 2" xfId="7200" xr:uid="{00000000-0005-0000-0000-00005A090000}"/>
    <cellStyle name="Currency 2 4 2 5" xfId="6839" xr:uid="{00000000-0005-0000-0000-00005A090000}"/>
    <cellStyle name="Currency 2 4 3" xfId="911" xr:uid="{00000000-0005-0000-0000-00005E090000}"/>
    <cellStyle name="Currency 2 4 3 2" xfId="912" xr:uid="{00000000-0005-0000-0000-00005F090000}"/>
    <cellStyle name="Currency 2 4 3 2 2" xfId="6318" xr:uid="{00000000-0005-0000-0000-00005F090000}"/>
    <cellStyle name="Currency 2 4 3 2 2 2" xfId="7205" xr:uid="{00000000-0005-0000-0000-00005F090000}"/>
    <cellStyle name="Currency 2 4 3 2 3" xfId="6844" xr:uid="{00000000-0005-0000-0000-00005F090000}"/>
    <cellStyle name="Currency 2 4 3 3" xfId="4644" xr:uid="{00000000-0005-0000-0000-000060090000}"/>
    <cellStyle name="Currency 2 4 3 3 2" xfId="6803" xr:uid="{00000000-0005-0000-0000-000060090000}"/>
    <cellStyle name="Currency 2 4 3 3 2 2" xfId="7690" xr:uid="{00000000-0005-0000-0000-000060090000}"/>
    <cellStyle name="Currency 2 4 3 3 3" xfId="7146" xr:uid="{00000000-0005-0000-0000-000060090000}"/>
    <cellStyle name="Currency 2 4 3 4" xfId="2005" xr:uid="{00000000-0005-0000-0000-000061090000}"/>
    <cellStyle name="Currency 2 4 3 4 2" xfId="6616" xr:uid="{00000000-0005-0000-0000-000061090000}"/>
    <cellStyle name="Currency 2 4 3 4 2 2" xfId="7503" xr:uid="{00000000-0005-0000-0000-000061090000}"/>
    <cellStyle name="Currency 2 4 3 5" xfId="6317" xr:uid="{00000000-0005-0000-0000-00005E090000}"/>
    <cellStyle name="Currency 2 4 3 5 2" xfId="7204" xr:uid="{00000000-0005-0000-0000-00005E090000}"/>
    <cellStyle name="Currency 2 4 3 6" xfId="6843" xr:uid="{00000000-0005-0000-0000-00005E090000}"/>
    <cellStyle name="Currency 2 4 4" xfId="913" xr:uid="{00000000-0005-0000-0000-000062090000}"/>
    <cellStyle name="Currency 2 4 4 2" xfId="6319" xr:uid="{00000000-0005-0000-0000-000062090000}"/>
    <cellStyle name="Currency 2 4 4 2 2" xfId="7206" xr:uid="{00000000-0005-0000-0000-000062090000}"/>
    <cellStyle name="Currency 2 4 4 3" xfId="6845" xr:uid="{00000000-0005-0000-0000-000062090000}"/>
    <cellStyle name="Currency 2 4 5" xfId="6312" xr:uid="{00000000-0005-0000-0000-000059090000}"/>
    <cellStyle name="Currency 2 4 5 2" xfId="7199" xr:uid="{00000000-0005-0000-0000-000059090000}"/>
    <cellStyle name="Currency 2 4 6" xfId="6838" xr:uid="{00000000-0005-0000-0000-000059090000}"/>
    <cellStyle name="Currency 2 4_2.DATA" xfId="5197" xr:uid="{00000000-0005-0000-0000-000063090000}"/>
    <cellStyle name="Currency 2 5" xfId="914" xr:uid="{00000000-0005-0000-0000-000064090000}"/>
    <cellStyle name="Currency 2 5 2" xfId="4645" xr:uid="{00000000-0005-0000-0000-000065090000}"/>
    <cellStyle name="Currency 2 5 2 2" xfId="6804" xr:uid="{00000000-0005-0000-0000-000065090000}"/>
    <cellStyle name="Currency 2 5 2 2 2" xfId="7691" xr:uid="{00000000-0005-0000-0000-000065090000}"/>
    <cellStyle name="Currency 2 5 3" xfId="2006" xr:uid="{00000000-0005-0000-0000-000066090000}"/>
    <cellStyle name="Currency 2 5 3 2" xfId="6617" xr:uid="{00000000-0005-0000-0000-000066090000}"/>
    <cellStyle name="Currency 2 5 3 2 2" xfId="7504" xr:uid="{00000000-0005-0000-0000-000066090000}"/>
    <cellStyle name="Currency 2 5 3 3" xfId="7055" xr:uid="{00000000-0005-0000-0000-000066090000}"/>
    <cellStyle name="Currency 2 5 4" xfId="6320" xr:uid="{00000000-0005-0000-0000-000064090000}"/>
    <cellStyle name="Currency 2 5 4 2" xfId="7207" xr:uid="{00000000-0005-0000-0000-000064090000}"/>
    <cellStyle name="Currency 2 6" xfId="915" xr:uid="{00000000-0005-0000-0000-000067090000}"/>
    <cellStyle name="Currency 2 6 2" xfId="4646" xr:uid="{00000000-0005-0000-0000-000068090000}"/>
    <cellStyle name="Currency 2 6 2 2" xfId="6805" xr:uid="{00000000-0005-0000-0000-000068090000}"/>
    <cellStyle name="Currency 2 6 2 2 2" xfId="7692" xr:uid="{00000000-0005-0000-0000-000068090000}"/>
    <cellStyle name="Currency 2 6 3" xfId="2007" xr:uid="{00000000-0005-0000-0000-000069090000}"/>
    <cellStyle name="Currency 2 6 3 2" xfId="6618" xr:uid="{00000000-0005-0000-0000-000069090000}"/>
    <cellStyle name="Currency 2 6 3 2 2" xfId="7505" xr:uid="{00000000-0005-0000-0000-000069090000}"/>
    <cellStyle name="Currency 2 6 3 3" xfId="7056" xr:uid="{00000000-0005-0000-0000-000069090000}"/>
    <cellStyle name="Currency 2 6 4" xfId="6321" xr:uid="{00000000-0005-0000-0000-000067090000}"/>
    <cellStyle name="Currency 2 6 4 2" xfId="7208" xr:uid="{00000000-0005-0000-0000-000067090000}"/>
    <cellStyle name="Currency 2 7" xfId="6309" xr:uid="{00000000-0005-0000-0000-00004A090000}"/>
    <cellStyle name="Currency 2 7 2" xfId="7196" xr:uid="{00000000-0005-0000-0000-00004A090000}"/>
    <cellStyle name="Currency 2 8" xfId="6835" xr:uid="{00000000-0005-0000-0000-00004A090000}"/>
    <cellStyle name="Currency 20" xfId="2008" xr:uid="{00000000-0005-0000-0000-00006A090000}"/>
    <cellStyle name="Currency 20 2" xfId="2009" xr:uid="{00000000-0005-0000-0000-00006B090000}"/>
    <cellStyle name="Currency 20 2 2" xfId="2010" xr:uid="{00000000-0005-0000-0000-00006C090000}"/>
    <cellStyle name="Currency 20 2 2 2" xfId="6619" xr:uid="{00000000-0005-0000-0000-00006C090000}"/>
    <cellStyle name="Currency 20 2 2 2 2" xfId="7506" xr:uid="{00000000-0005-0000-0000-00006C090000}"/>
    <cellStyle name="Currency 20 2 2 3" xfId="7057" xr:uid="{00000000-0005-0000-0000-00006C090000}"/>
    <cellStyle name="Currency 21" xfId="2011" xr:uid="{00000000-0005-0000-0000-00006D090000}"/>
    <cellStyle name="Currency 21 2" xfId="2012" xr:uid="{00000000-0005-0000-0000-00006E090000}"/>
    <cellStyle name="Currency 21 2 2" xfId="2013" xr:uid="{00000000-0005-0000-0000-00006F090000}"/>
    <cellStyle name="Currency 21 2 2 2" xfId="6620" xr:uid="{00000000-0005-0000-0000-00006F090000}"/>
    <cellStyle name="Currency 21 2 2 2 2" xfId="7507" xr:uid="{00000000-0005-0000-0000-00006F090000}"/>
    <cellStyle name="Currency 21 2 2 3" xfId="7058" xr:uid="{00000000-0005-0000-0000-00006F090000}"/>
    <cellStyle name="Currency 22" xfId="2014" xr:uid="{00000000-0005-0000-0000-000070090000}"/>
    <cellStyle name="Currency 22 2" xfId="6621" xr:uid="{00000000-0005-0000-0000-000070090000}"/>
    <cellStyle name="Currency 22 2 2" xfId="7508" xr:uid="{00000000-0005-0000-0000-000070090000}"/>
    <cellStyle name="Currency 23" xfId="6266" xr:uid="{00000000-0005-0000-0000-00007B180000}"/>
    <cellStyle name="Currency 23 2" xfId="7154" xr:uid="{00000000-0005-0000-0000-00007B180000}"/>
    <cellStyle name="Currency 24" xfId="6265" xr:uid="{00000000-0005-0000-0000-00007C180000}"/>
    <cellStyle name="Currency 24 2" xfId="7153" xr:uid="{00000000-0005-0000-0000-00007C180000}"/>
    <cellStyle name="Currency 25" xfId="6817" xr:uid="{00000000-0005-0000-0000-0000391A0000}"/>
    <cellStyle name="Currency 25 2" xfId="7704" xr:uid="{00000000-0005-0000-0000-0000391A0000}"/>
    <cellStyle name="Currency 26" xfId="7151" xr:uid="{00000000-0005-0000-0000-00004B1D0000}"/>
    <cellStyle name="Currency 3" xfId="916" xr:uid="{00000000-0005-0000-0000-000071090000}"/>
    <cellStyle name="Currency 3 2" xfId="2015" xr:uid="{00000000-0005-0000-0000-000072090000}"/>
    <cellStyle name="Currency 3 2 2" xfId="2016" xr:uid="{00000000-0005-0000-0000-000073090000}"/>
    <cellStyle name="Currency 3 2 2 2" xfId="6622" xr:uid="{00000000-0005-0000-0000-000073090000}"/>
    <cellStyle name="Currency 3 2 2 2 2" xfId="7509" xr:uid="{00000000-0005-0000-0000-000073090000}"/>
    <cellStyle name="Currency 3 2 2 3" xfId="7059" xr:uid="{00000000-0005-0000-0000-000073090000}"/>
    <cellStyle name="Currency 3 3" xfId="2017" xr:uid="{00000000-0005-0000-0000-000074090000}"/>
    <cellStyle name="Currency 3 3 2" xfId="6623" xr:uid="{00000000-0005-0000-0000-000074090000}"/>
    <cellStyle name="Currency 3 3 2 2" xfId="7510" xr:uid="{00000000-0005-0000-0000-000074090000}"/>
    <cellStyle name="Currency 3 3 3" xfId="7060" xr:uid="{00000000-0005-0000-0000-000074090000}"/>
    <cellStyle name="Currency 3 4" xfId="2018" xr:uid="{00000000-0005-0000-0000-000075090000}"/>
    <cellStyle name="Currency 3 4 2" xfId="6624" xr:uid="{00000000-0005-0000-0000-000075090000}"/>
    <cellStyle name="Currency 3 4 2 2" xfId="7511" xr:uid="{00000000-0005-0000-0000-000075090000}"/>
    <cellStyle name="Currency 3 5" xfId="6322" xr:uid="{00000000-0005-0000-0000-000071090000}"/>
    <cellStyle name="Currency 3 5 2" xfId="7209" xr:uid="{00000000-0005-0000-0000-000071090000}"/>
    <cellStyle name="Currency 3 6" xfId="6846" xr:uid="{00000000-0005-0000-0000-000071090000}"/>
    <cellStyle name="Currency 3_2.DATA" xfId="5198" xr:uid="{00000000-0005-0000-0000-000076090000}"/>
    <cellStyle name="Currency 4" xfId="917" xr:uid="{00000000-0005-0000-0000-000077090000}"/>
    <cellStyle name="Currency 4 2" xfId="918" xr:uid="{00000000-0005-0000-0000-000078090000}"/>
    <cellStyle name="Currency 4 2 2" xfId="919" xr:uid="{00000000-0005-0000-0000-000079090000}"/>
    <cellStyle name="Currency 4 2 2 2" xfId="920" xr:uid="{00000000-0005-0000-0000-00007A090000}"/>
    <cellStyle name="Currency 4 2 2 2 2" xfId="6326" xr:uid="{00000000-0005-0000-0000-00007A090000}"/>
    <cellStyle name="Currency 4 2 2 2 2 2" xfId="7213" xr:uid="{00000000-0005-0000-0000-00007A090000}"/>
    <cellStyle name="Currency 4 2 2 3" xfId="4649" xr:uid="{00000000-0005-0000-0000-00007B090000}"/>
    <cellStyle name="Currency 4 2 2 3 2" xfId="6808" xr:uid="{00000000-0005-0000-0000-00007B090000}"/>
    <cellStyle name="Currency 4 2 2 3 2 2" xfId="7695" xr:uid="{00000000-0005-0000-0000-00007B090000}"/>
    <cellStyle name="Currency 4 2 2 4" xfId="2020" xr:uid="{00000000-0005-0000-0000-00007C090000}"/>
    <cellStyle name="Currency 4 2 2 4 2" xfId="6626" xr:uid="{00000000-0005-0000-0000-00007C090000}"/>
    <cellStyle name="Currency 4 2 2 4 2 2" xfId="7513" xr:uid="{00000000-0005-0000-0000-00007C090000}"/>
    <cellStyle name="Currency 4 2 2 4 3" xfId="7061" xr:uid="{00000000-0005-0000-0000-00007C090000}"/>
    <cellStyle name="Currency 4 2 2 5" xfId="6325" xr:uid="{00000000-0005-0000-0000-000079090000}"/>
    <cellStyle name="Currency 4 2 2 5 2" xfId="7212" xr:uid="{00000000-0005-0000-0000-000079090000}"/>
    <cellStyle name="Currency 4 2 3" xfId="921" xr:uid="{00000000-0005-0000-0000-00007D090000}"/>
    <cellStyle name="Currency 4 2 3 2" xfId="6327" xr:uid="{00000000-0005-0000-0000-00007D090000}"/>
    <cellStyle name="Currency 4 2 3 2 2" xfId="7214" xr:uid="{00000000-0005-0000-0000-00007D090000}"/>
    <cellStyle name="Currency 4 2 4" xfId="4648" xr:uid="{00000000-0005-0000-0000-00007E090000}"/>
    <cellStyle name="Currency 4 2 4 2" xfId="6807" xr:uid="{00000000-0005-0000-0000-00007E090000}"/>
    <cellStyle name="Currency 4 2 4 2 2" xfId="7694" xr:uid="{00000000-0005-0000-0000-00007E090000}"/>
    <cellStyle name="Currency 4 2 5" xfId="2019" xr:uid="{00000000-0005-0000-0000-00007F090000}"/>
    <cellStyle name="Currency 4 2 5 2" xfId="6625" xr:uid="{00000000-0005-0000-0000-00007F090000}"/>
    <cellStyle name="Currency 4 2 5 2 2" xfId="7512" xr:uid="{00000000-0005-0000-0000-00007F090000}"/>
    <cellStyle name="Currency 4 2 6" xfId="6324" xr:uid="{00000000-0005-0000-0000-000078090000}"/>
    <cellStyle name="Currency 4 2 6 2" xfId="7211" xr:uid="{00000000-0005-0000-0000-000078090000}"/>
    <cellStyle name="Currency 4 3" xfId="922" xr:uid="{00000000-0005-0000-0000-000080090000}"/>
    <cellStyle name="Currency 4 3 2" xfId="923" xr:uid="{00000000-0005-0000-0000-000081090000}"/>
    <cellStyle name="Currency 4 3 2 2" xfId="6328" xr:uid="{00000000-0005-0000-0000-000081090000}"/>
    <cellStyle name="Currency 4 3 2 2 2" xfId="7215" xr:uid="{00000000-0005-0000-0000-000081090000}"/>
    <cellStyle name="Currency 4 3 3" xfId="4650" xr:uid="{00000000-0005-0000-0000-000082090000}"/>
    <cellStyle name="Currency 4 3 3 2" xfId="6809" xr:uid="{00000000-0005-0000-0000-000082090000}"/>
    <cellStyle name="Currency 4 3 3 2 2" xfId="7696" xr:uid="{00000000-0005-0000-0000-000082090000}"/>
    <cellStyle name="Currency 4 3 4" xfId="2021" xr:uid="{00000000-0005-0000-0000-000083090000}"/>
    <cellStyle name="Currency 4 3 4 2" xfId="6627" xr:uid="{00000000-0005-0000-0000-000083090000}"/>
    <cellStyle name="Currency 4 3 4 2 2" xfId="7514" xr:uid="{00000000-0005-0000-0000-000083090000}"/>
    <cellStyle name="Currency 4 3 4 3" xfId="7062" xr:uid="{00000000-0005-0000-0000-000083090000}"/>
    <cellStyle name="Currency 4 4" xfId="924" xr:uid="{00000000-0005-0000-0000-000084090000}"/>
    <cellStyle name="Currency 4 4 2" xfId="4651" xr:uid="{00000000-0005-0000-0000-000085090000}"/>
    <cellStyle name="Currency 4 4 2 2" xfId="6810" xr:uid="{00000000-0005-0000-0000-000085090000}"/>
    <cellStyle name="Currency 4 4 2 2 2" xfId="7697" xr:uid="{00000000-0005-0000-0000-000085090000}"/>
    <cellStyle name="Currency 4 4 3" xfId="2022" xr:uid="{00000000-0005-0000-0000-000086090000}"/>
    <cellStyle name="Currency 4 4 3 2" xfId="6628" xr:uid="{00000000-0005-0000-0000-000086090000}"/>
    <cellStyle name="Currency 4 4 3 2 2" xfId="7515" xr:uid="{00000000-0005-0000-0000-000086090000}"/>
    <cellStyle name="Currency 4 4 4" xfId="6329" xr:uid="{00000000-0005-0000-0000-000084090000}"/>
    <cellStyle name="Currency 4 4 4 2" xfId="7216" xr:uid="{00000000-0005-0000-0000-000084090000}"/>
    <cellStyle name="Currency 4 5" xfId="4647" xr:uid="{00000000-0005-0000-0000-000087090000}"/>
    <cellStyle name="Currency 4 5 2" xfId="6806" xr:uid="{00000000-0005-0000-0000-000087090000}"/>
    <cellStyle name="Currency 4 5 2 2" xfId="7693" xr:uid="{00000000-0005-0000-0000-000087090000}"/>
    <cellStyle name="Currency 4 5 3" xfId="7147" xr:uid="{00000000-0005-0000-0000-000087090000}"/>
    <cellStyle name="Currency 4 6" xfId="1727" xr:uid="{00000000-0005-0000-0000-000088090000}"/>
    <cellStyle name="Currency 4 6 2" xfId="6476" xr:uid="{00000000-0005-0000-0000-000088090000}"/>
    <cellStyle name="Currency 4 6 2 2" xfId="7363" xr:uid="{00000000-0005-0000-0000-000088090000}"/>
    <cellStyle name="Currency 4 6 3" xfId="6932" xr:uid="{00000000-0005-0000-0000-000088090000}"/>
    <cellStyle name="Currency 4 7" xfId="6323" xr:uid="{00000000-0005-0000-0000-000077090000}"/>
    <cellStyle name="Currency 4 7 2" xfId="7210" xr:uid="{00000000-0005-0000-0000-000077090000}"/>
    <cellStyle name="Currency 4 8" xfId="6847" xr:uid="{00000000-0005-0000-0000-000077090000}"/>
    <cellStyle name="Currency 4_2.DATA" xfId="5199" xr:uid="{00000000-0005-0000-0000-000089090000}"/>
    <cellStyle name="Currency 5" xfId="925" xr:uid="{00000000-0005-0000-0000-00008A090000}"/>
    <cellStyle name="Currency 5 2" xfId="926" xr:uid="{00000000-0005-0000-0000-00008B090000}"/>
    <cellStyle name="Currency 5 2 2" xfId="2024" xr:uid="{00000000-0005-0000-0000-00008C090000}"/>
    <cellStyle name="Currency 5 2 2 2" xfId="6630" xr:uid="{00000000-0005-0000-0000-00008C090000}"/>
    <cellStyle name="Currency 5 2 2 2 2" xfId="7517" xr:uid="{00000000-0005-0000-0000-00008C090000}"/>
    <cellStyle name="Currency 5 2 2 3" xfId="7063" xr:uid="{00000000-0005-0000-0000-00008C090000}"/>
    <cellStyle name="Currency 5 2 3" xfId="4653" xr:uid="{00000000-0005-0000-0000-00008D090000}"/>
    <cellStyle name="Currency 5 2 3 2" xfId="6812" xr:uid="{00000000-0005-0000-0000-00008D090000}"/>
    <cellStyle name="Currency 5 2 3 2 2" xfId="7699" xr:uid="{00000000-0005-0000-0000-00008D090000}"/>
    <cellStyle name="Currency 5 2 3 3" xfId="7149" xr:uid="{00000000-0005-0000-0000-00008D090000}"/>
    <cellStyle name="Currency 5 2 4" xfId="2023" xr:uid="{00000000-0005-0000-0000-00008E090000}"/>
    <cellStyle name="Currency 5 2 4 2" xfId="6629" xr:uid="{00000000-0005-0000-0000-00008E090000}"/>
    <cellStyle name="Currency 5 2 4 2 2" xfId="7516" xr:uid="{00000000-0005-0000-0000-00008E090000}"/>
    <cellStyle name="Currency 5 2 5" xfId="6331" xr:uid="{00000000-0005-0000-0000-00008B090000}"/>
    <cellStyle name="Currency 5 2 5 2" xfId="7218" xr:uid="{00000000-0005-0000-0000-00008B090000}"/>
    <cellStyle name="Currency 5 2 6" xfId="6849" xr:uid="{00000000-0005-0000-0000-00008B090000}"/>
    <cellStyle name="Currency 5 3" xfId="2025" xr:uid="{00000000-0005-0000-0000-00008F090000}"/>
    <cellStyle name="Currency 5 3 2" xfId="6631" xr:uid="{00000000-0005-0000-0000-00008F090000}"/>
    <cellStyle name="Currency 5 3 2 2" xfId="7518" xr:uid="{00000000-0005-0000-0000-00008F090000}"/>
    <cellStyle name="Currency 5 3 3" xfId="7064" xr:uid="{00000000-0005-0000-0000-00008F090000}"/>
    <cellStyle name="Currency 5 4" xfId="2026" xr:uid="{00000000-0005-0000-0000-000090090000}"/>
    <cellStyle name="Currency 5 4 2" xfId="4652" xr:uid="{00000000-0005-0000-0000-000091090000}"/>
    <cellStyle name="Currency 5 4 2 2" xfId="6811" xr:uid="{00000000-0005-0000-0000-000091090000}"/>
    <cellStyle name="Currency 5 4 2 2 2" xfId="7698" xr:uid="{00000000-0005-0000-0000-000091090000}"/>
    <cellStyle name="Currency 5 4 2 3" xfId="7148" xr:uid="{00000000-0005-0000-0000-000091090000}"/>
    <cellStyle name="Currency 5 4 3" xfId="6632" xr:uid="{00000000-0005-0000-0000-000090090000}"/>
    <cellStyle name="Currency 5 4 3 2" xfId="7519" xr:uid="{00000000-0005-0000-0000-000090090000}"/>
    <cellStyle name="Currency 5 5" xfId="1732" xr:uid="{00000000-0005-0000-0000-000092090000}"/>
    <cellStyle name="Currency 5 5 2" xfId="6478" xr:uid="{00000000-0005-0000-0000-000092090000}"/>
    <cellStyle name="Currency 5 5 2 2" xfId="7365" xr:uid="{00000000-0005-0000-0000-000092090000}"/>
    <cellStyle name="Currency 5 5 3" xfId="6934" xr:uid="{00000000-0005-0000-0000-000092090000}"/>
    <cellStyle name="Currency 5 6" xfId="6330" xr:uid="{00000000-0005-0000-0000-00008A090000}"/>
    <cellStyle name="Currency 5 6 2" xfId="7217" xr:uid="{00000000-0005-0000-0000-00008A090000}"/>
    <cellStyle name="Currency 5 7" xfId="6848" xr:uid="{00000000-0005-0000-0000-00008A090000}"/>
    <cellStyle name="Currency 5_2.DATA" xfId="5200" xr:uid="{00000000-0005-0000-0000-000093090000}"/>
    <cellStyle name="Currency 6" xfId="927" xr:uid="{00000000-0005-0000-0000-000094090000}"/>
    <cellStyle name="Currency 6 2" xfId="2027" xr:uid="{00000000-0005-0000-0000-000095090000}"/>
    <cellStyle name="Currency 6 2 2" xfId="2028" xr:uid="{00000000-0005-0000-0000-000096090000}"/>
    <cellStyle name="Currency 6 2 2 2" xfId="6633" xr:uid="{00000000-0005-0000-0000-000096090000}"/>
    <cellStyle name="Currency 6 2 2 2 2" xfId="7520" xr:uid="{00000000-0005-0000-0000-000096090000}"/>
    <cellStyle name="Currency 6 2 2 3" xfId="7065" xr:uid="{00000000-0005-0000-0000-000096090000}"/>
    <cellStyle name="Currency 6 3" xfId="2029" xr:uid="{00000000-0005-0000-0000-000097090000}"/>
    <cellStyle name="Currency 6 3 2" xfId="6634" xr:uid="{00000000-0005-0000-0000-000097090000}"/>
    <cellStyle name="Currency 6 3 2 2" xfId="7521" xr:uid="{00000000-0005-0000-0000-000097090000}"/>
    <cellStyle name="Currency 6 3 3" xfId="7066" xr:uid="{00000000-0005-0000-0000-000097090000}"/>
    <cellStyle name="Currency 6 4" xfId="2030" xr:uid="{00000000-0005-0000-0000-000098090000}"/>
    <cellStyle name="Currency 6 4 2" xfId="4654" xr:uid="{00000000-0005-0000-0000-000099090000}"/>
    <cellStyle name="Currency 6 4 2 2" xfId="6813" xr:uid="{00000000-0005-0000-0000-000099090000}"/>
    <cellStyle name="Currency 6 4 2 2 2" xfId="7700" xr:uid="{00000000-0005-0000-0000-000099090000}"/>
    <cellStyle name="Currency 6 4 3" xfId="6635" xr:uid="{00000000-0005-0000-0000-000098090000}"/>
    <cellStyle name="Currency 6 4 3 2" xfId="7522" xr:uid="{00000000-0005-0000-0000-000098090000}"/>
    <cellStyle name="Currency 6 5" xfId="1737" xr:uid="{00000000-0005-0000-0000-00009A090000}"/>
    <cellStyle name="Currency 6 5 2" xfId="6480" xr:uid="{00000000-0005-0000-0000-00009A090000}"/>
    <cellStyle name="Currency 6 5 2 2" xfId="7367" xr:uid="{00000000-0005-0000-0000-00009A090000}"/>
    <cellStyle name="Currency 6 5 3" xfId="6936" xr:uid="{00000000-0005-0000-0000-00009A090000}"/>
    <cellStyle name="Currency 6 6" xfId="6332" xr:uid="{00000000-0005-0000-0000-000094090000}"/>
    <cellStyle name="Currency 6 6 2" xfId="7219" xr:uid="{00000000-0005-0000-0000-000094090000}"/>
    <cellStyle name="Currency 6_2.DATA" xfId="5201" xr:uid="{00000000-0005-0000-0000-00009B090000}"/>
    <cellStyle name="Currency 7" xfId="928" xr:uid="{00000000-0005-0000-0000-00009C090000}"/>
    <cellStyle name="Currency 7 2" xfId="929" xr:uid="{00000000-0005-0000-0000-00009D090000}"/>
    <cellStyle name="Currency 7 2 2" xfId="2032" xr:uid="{00000000-0005-0000-0000-00009E090000}"/>
    <cellStyle name="Currency 7 2 2 2" xfId="6637" xr:uid="{00000000-0005-0000-0000-00009E090000}"/>
    <cellStyle name="Currency 7 2 2 2 2" xfId="7524" xr:uid="{00000000-0005-0000-0000-00009E090000}"/>
    <cellStyle name="Currency 7 2 2 3" xfId="7067" xr:uid="{00000000-0005-0000-0000-00009E090000}"/>
    <cellStyle name="Currency 7 2 3" xfId="4655" xr:uid="{00000000-0005-0000-0000-00009F090000}"/>
    <cellStyle name="Currency 7 2 3 2" xfId="6814" xr:uid="{00000000-0005-0000-0000-00009F090000}"/>
    <cellStyle name="Currency 7 2 3 2 2" xfId="7701" xr:uid="{00000000-0005-0000-0000-00009F090000}"/>
    <cellStyle name="Currency 7 2 3 3" xfId="7150" xr:uid="{00000000-0005-0000-0000-00009F090000}"/>
    <cellStyle name="Currency 7 2 4" xfId="2031" xr:uid="{00000000-0005-0000-0000-0000A0090000}"/>
    <cellStyle name="Currency 7 2 4 2" xfId="6636" xr:uid="{00000000-0005-0000-0000-0000A0090000}"/>
    <cellStyle name="Currency 7 2 4 2 2" xfId="7523" xr:uid="{00000000-0005-0000-0000-0000A0090000}"/>
    <cellStyle name="Currency 7 2 5" xfId="6334" xr:uid="{00000000-0005-0000-0000-00009D090000}"/>
    <cellStyle name="Currency 7 2 5 2" xfId="7221" xr:uid="{00000000-0005-0000-0000-00009D090000}"/>
    <cellStyle name="Currency 7 2 6" xfId="6851" xr:uid="{00000000-0005-0000-0000-00009D090000}"/>
    <cellStyle name="Currency 7 3" xfId="2033" xr:uid="{00000000-0005-0000-0000-0000A1090000}"/>
    <cellStyle name="Currency 7 3 2" xfId="6638" xr:uid="{00000000-0005-0000-0000-0000A1090000}"/>
    <cellStyle name="Currency 7 3 2 2" xfId="7525" xr:uid="{00000000-0005-0000-0000-0000A1090000}"/>
    <cellStyle name="Currency 7 3 3" xfId="7068" xr:uid="{00000000-0005-0000-0000-0000A1090000}"/>
    <cellStyle name="Currency 7 4" xfId="2034" xr:uid="{00000000-0005-0000-0000-0000A2090000}"/>
    <cellStyle name="Currency 7 4 2" xfId="6639" xr:uid="{00000000-0005-0000-0000-0000A2090000}"/>
    <cellStyle name="Currency 7 4 2 2" xfId="7526" xr:uid="{00000000-0005-0000-0000-0000A2090000}"/>
    <cellStyle name="Currency 7 5" xfId="6333" xr:uid="{00000000-0005-0000-0000-00009C090000}"/>
    <cellStyle name="Currency 7 5 2" xfId="7220" xr:uid="{00000000-0005-0000-0000-00009C090000}"/>
    <cellStyle name="Currency 7 6" xfId="6850" xr:uid="{00000000-0005-0000-0000-00009C090000}"/>
    <cellStyle name="Currency 7_2.DATA" xfId="5202" xr:uid="{00000000-0005-0000-0000-0000A3090000}"/>
    <cellStyle name="Currency 8" xfId="930" xr:uid="{00000000-0005-0000-0000-0000A4090000}"/>
    <cellStyle name="Currency 8 2" xfId="2035" xr:uid="{00000000-0005-0000-0000-0000A5090000}"/>
    <cellStyle name="Currency 8 2 2" xfId="2036" xr:uid="{00000000-0005-0000-0000-0000A6090000}"/>
    <cellStyle name="Currency 8 2 2 2" xfId="6640" xr:uid="{00000000-0005-0000-0000-0000A6090000}"/>
    <cellStyle name="Currency 8 2 2 2 2" xfId="7527" xr:uid="{00000000-0005-0000-0000-0000A6090000}"/>
    <cellStyle name="Currency 8 2 2 3" xfId="7069" xr:uid="{00000000-0005-0000-0000-0000A6090000}"/>
    <cellStyle name="Currency 8 3" xfId="2037" xr:uid="{00000000-0005-0000-0000-0000A7090000}"/>
    <cellStyle name="Currency 8 3 2" xfId="6641" xr:uid="{00000000-0005-0000-0000-0000A7090000}"/>
    <cellStyle name="Currency 8 3 2 2" xfId="7528" xr:uid="{00000000-0005-0000-0000-0000A7090000}"/>
    <cellStyle name="Currency 8 3 3" xfId="7070" xr:uid="{00000000-0005-0000-0000-0000A7090000}"/>
    <cellStyle name="Currency 8 4" xfId="2038" xr:uid="{00000000-0005-0000-0000-0000A8090000}"/>
    <cellStyle name="Currency 8 4 2" xfId="4656" xr:uid="{00000000-0005-0000-0000-0000A9090000}"/>
    <cellStyle name="Currency 8 4 2 2" xfId="6815" xr:uid="{00000000-0005-0000-0000-0000A9090000}"/>
    <cellStyle name="Currency 8 4 2 2 2" xfId="7702" xr:uid="{00000000-0005-0000-0000-0000A9090000}"/>
    <cellStyle name="Currency 8 4 3" xfId="6642" xr:uid="{00000000-0005-0000-0000-0000A8090000}"/>
    <cellStyle name="Currency 8 4 3 2" xfId="7529" xr:uid="{00000000-0005-0000-0000-0000A8090000}"/>
    <cellStyle name="Currency 8 5" xfId="1759" xr:uid="{00000000-0005-0000-0000-0000AA090000}"/>
    <cellStyle name="Currency 8 5 2" xfId="6484" xr:uid="{00000000-0005-0000-0000-0000AA090000}"/>
    <cellStyle name="Currency 8 5 2 2" xfId="7371" xr:uid="{00000000-0005-0000-0000-0000AA090000}"/>
    <cellStyle name="Currency 8 5 3" xfId="6940" xr:uid="{00000000-0005-0000-0000-0000AA090000}"/>
    <cellStyle name="Currency 8 6" xfId="6335" xr:uid="{00000000-0005-0000-0000-0000A4090000}"/>
    <cellStyle name="Currency 8 6 2" xfId="7222" xr:uid="{00000000-0005-0000-0000-0000A4090000}"/>
    <cellStyle name="Currency 8_2.DATA" xfId="5203" xr:uid="{00000000-0005-0000-0000-0000AB090000}"/>
    <cellStyle name="Currency 9" xfId="931" xr:uid="{00000000-0005-0000-0000-0000AC090000}"/>
    <cellStyle name="Currency 9 2" xfId="2040" xr:uid="{00000000-0005-0000-0000-0000AD090000}"/>
    <cellStyle name="Currency 9 2 2" xfId="2041" xr:uid="{00000000-0005-0000-0000-0000AE090000}"/>
    <cellStyle name="Currency 9 2 2 2" xfId="6644" xr:uid="{00000000-0005-0000-0000-0000AE090000}"/>
    <cellStyle name="Currency 9 2 2 2 2" xfId="7531" xr:uid="{00000000-0005-0000-0000-0000AE090000}"/>
    <cellStyle name="Currency 9 2 2 3" xfId="7071" xr:uid="{00000000-0005-0000-0000-0000AE090000}"/>
    <cellStyle name="Currency 9 3" xfId="4657" xr:uid="{00000000-0005-0000-0000-0000AF090000}"/>
    <cellStyle name="Currency 9 3 2" xfId="6816" xr:uid="{00000000-0005-0000-0000-0000AF090000}"/>
    <cellStyle name="Currency 9 3 2 2" xfId="7703" xr:uid="{00000000-0005-0000-0000-0000AF090000}"/>
    <cellStyle name="Currency 9 4" xfId="2039" xr:uid="{00000000-0005-0000-0000-0000B0090000}"/>
    <cellStyle name="Currency 9 4 2" xfId="6643" xr:uid="{00000000-0005-0000-0000-0000B0090000}"/>
    <cellStyle name="Currency 9 4 2 2" xfId="7530" xr:uid="{00000000-0005-0000-0000-0000B0090000}"/>
    <cellStyle name="Currency 9 5" xfId="6336" xr:uid="{00000000-0005-0000-0000-0000AC090000}"/>
    <cellStyle name="Currency 9 5 2" xfId="7223" xr:uid="{00000000-0005-0000-0000-0000AC090000}"/>
    <cellStyle name="Explanatory Text" xfId="1368" builtinId="53" customBuiltin="1"/>
    <cellStyle name="Explanatory Text 2" xfId="932" xr:uid="{00000000-0005-0000-0000-0000B2090000}"/>
    <cellStyle name="Explanatory Text 2 2" xfId="2043" xr:uid="{00000000-0005-0000-0000-0000B3090000}"/>
    <cellStyle name="Explanatory Text 2 3" xfId="4658" xr:uid="{00000000-0005-0000-0000-0000B4090000}"/>
    <cellStyle name="Explanatory Text 2 4" xfId="2042" xr:uid="{00000000-0005-0000-0000-0000B5090000}"/>
    <cellStyle name="Explanatory Text 3" xfId="933" xr:uid="{00000000-0005-0000-0000-0000B6090000}"/>
    <cellStyle name="Explanatory Text 3 2" xfId="4659" xr:uid="{00000000-0005-0000-0000-0000B7090000}"/>
    <cellStyle name="Explanatory Text 3 3" xfId="2044" xr:uid="{00000000-0005-0000-0000-0000B8090000}"/>
    <cellStyle name="Explanatory Text 3_2.DATA" xfId="5204" xr:uid="{00000000-0005-0000-0000-0000B9090000}"/>
    <cellStyle name="FRxAmtStyle" xfId="1403" xr:uid="{00000000-0005-0000-0000-0000BA090000}"/>
    <cellStyle name="FRxAmtStyle 2" xfId="1404" xr:uid="{00000000-0005-0000-0000-0000BB090000}"/>
    <cellStyle name="FRxAmtStyle 3" xfId="1405" xr:uid="{00000000-0005-0000-0000-0000BC090000}"/>
    <cellStyle name="FRxAmtStyle 4" xfId="1406" xr:uid="{00000000-0005-0000-0000-0000BD090000}"/>
    <cellStyle name="FRxAmtStyle_(Formatted) LCCQ BUDGET 2011-2012 Detailed Short Ver (New Struc) with SUM 7-5-11" xfId="1407" xr:uid="{00000000-0005-0000-0000-0000BE090000}"/>
    <cellStyle name="FRxCurrStyle" xfId="1408" xr:uid="{00000000-0005-0000-0000-0000BF090000}"/>
    <cellStyle name="FRxCurrStyle 2" xfId="1409" xr:uid="{00000000-0005-0000-0000-0000C0090000}"/>
    <cellStyle name="FRxPcntStyle" xfId="1410" xr:uid="{00000000-0005-0000-0000-0000C1090000}"/>
    <cellStyle name="Good" xfId="1358" builtinId="26" customBuiltin="1"/>
    <cellStyle name="Good 2" xfId="934" xr:uid="{00000000-0005-0000-0000-0000C3090000}"/>
    <cellStyle name="Good 2 2" xfId="2046" xr:uid="{00000000-0005-0000-0000-0000C4090000}"/>
    <cellStyle name="Good 2 3" xfId="4660" xr:uid="{00000000-0005-0000-0000-0000C5090000}"/>
    <cellStyle name="Good 2 4" xfId="2045" xr:uid="{00000000-0005-0000-0000-0000C6090000}"/>
    <cellStyle name="Good 3" xfId="935" xr:uid="{00000000-0005-0000-0000-0000C7090000}"/>
    <cellStyle name="Good 3 2" xfId="4661" xr:uid="{00000000-0005-0000-0000-0000C8090000}"/>
    <cellStyle name="Good 3 3" xfId="2047" xr:uid="{00000000-0005-0000-0000-0000C9090000}"/>
    <cellStyle name="Good 3_2.DATA" xfId="5205" xr:uid="{00000000-0005-0000-0000-0000CA090000}"/>
    <cellStyle name="Heading 1" xfId="1354" builtinId="16" customBuiltin="1"/>
    <cellStyle name="Heading 1 2" xfId="936" xr:uid="{00000000-0005-0000-0000-0000CC090000}"/>
    <cellStyle name="Heading 1 2 2" xfId="4662" xr:uid="{00000000-0005-0000-0000-0000CD090000}"/>
    <cellStyle name="Heading 1 2 3" xfId="2048" xr:uid="{00000000-0005-0000-0000-0000CE090000}"/>
    <cellStyle name="Heading 1 3" xfId="937" xr:uid="{00000000-0005-0000-0000-0000CF090000}"/>
    <cellStyle name="Heading 1 3 2" xfId="4663" xr:uid="{00000000-0005-0000-0000-0000D0090000}"/>
    <cellStyle name="Heading 1 3 3" xfId="2049" xr:uid="{00000000-0005-0000-0000-0000D1090000}"/>
    <cellStyle name="Heading 1 3_2.DATA" xfId="5206" xr:uid="{00000000-0005-0000-0000-0000D2090000}"/>
    <cellStyle name="Heading 2" xfId="1355" builtinId="17" customBuiltin="1"/>
    <cellStyle name="Heading 2 2" xfId="938" xr:uid="{00000000-0005-0000-0000-0000D4090000}"/>
    <cellStyle name="Heading 2 2 2" xfId="4664" xr:uid="{00000000-0005-0000-0000-0000D5090000}"/>
    <cellStyle name="Heading 2 2 3" xfId="2050" xr:uid="{00000000-0005-0000-0000-0000D6090000}"/>
    <cellStyle name="Heading 2 3" xfId="939" xr:uid="{00000000-0005-0000-0000-0000D7090000}"/>
    <cellStyle name="Heading 2 3 2" xfId="4665" xr:uid="{00000000-0005-0000-0000-0000D8090000}"/>
    <cellStyle name="Heading 2 3 3" xfId="2051" xr:uid="{00000000-0005-0000-0000-0000D9090000}"/>
    <cellStyle name="Heading 2 3_2.DATA" xfId="5207" xr:uid="{00000000-0005-0000-0000-0000DA090000}"/>
    <cellStyle name="Heading 2 4" xfId="2052" xr:uid="{00000000-0005-0000-0000-0000DB090000}"/>
    <cellStyle name="Heading 3" xfId="1356" builtinId="18" customBuiltin="1"/>
    <cellStyle name="Heading 3 2" xfId="940" xr:uid="{00000000-0005-0000-0000-0000DD090000}"/>
    <cellStyle name="Heading 3 2 2" xfId="4666" xr:uid="{00000000-0005-0000-0000-0000DE090000}"/>
    <cellStyle name="Heading 3 2 3" xfId="2053" xr:uid="{00000000-0005-0000-0000-0000DF090000}"/>
    <cellStyle name="Heading 3 3" xfId="941" xr:uid="{00000000-0005-0000-0000-0000E0090000}"/>
    <cellStyle name="Heading 3 3 2" xfId="4667" xr:uid="{00000000-0005-0000-0000-0000E1090000}"/>
    <cellStyle name="Heading 3 3 3" xfId="2054" xr:uid="{00000000-0005-0000-0000-0000E2090000}"/>
    <cellStyle name="Heading 3 3_2.DATA" xfId="5208" xr:uid="{00000000-0005-0000-0000-0000E3090000}"/>
    <cellStyle name="Heading 3 4" xfId="2055" xr:uid="{00000000-0005-0000-0000-0000E4090000}"/>
    <cellStyle name="Heading 4" xfId="1357" builtinId="19" customBuiltin="1"/>
    <cellStyle name="Heading 4 2" xfId="942" xr:uid="{00000000-0005-0000-0000-0000E6090000}"/>
    <cellStyle name="Heading 4 2 2" xfId="4668" xr:uid="{00000000-0005-0000-0000-0000E7090000}"/>
    <cellStyle name="Heading 4 2 3" xfId="2056" xr:uid="{00000000-0005-0000-0000-0000E8090000}"/>
    <cellStyle name="Heading 4 3" xfId="943" xr:uid="{00000000-0005-0000-0000-0000E9090000}"/>
    <cellStyle name="Heading 4 3 2" xfId="4669" xr:uid="{00000000-0005-0000-0000-0000EA090000}"/>
    <cellStyle name="Heading 4 3 3" xfId="2057" xr:uid="{00000000-0005-0000-0000-0000EB090000}"/>
    <cellStyle name="Heading 4 3_2.DATA" xfId="5209" xr:uid="{00000000-0005-0000-0000-0000EC090000}"/>
    <cellStyle name="Hyperlink" xfId="6267" builtinId="8"/>
    <cellStyle name="Hyperlink 2" xfId="944" xr:uid="{00000000-0005-0000-0000-0000ED090000}"/>
    <cellStyle name="Hyperlink 3" xfId="945" xr:uid="{00000000-0005-0000-0000-0000EE090000}"/>
    <cellStyle name="Hyperlink 3 2" xfId="4670" xr:uid="{00000000-0005-0000-0000-0000EF090000}"/>
    <cellStyle name="Hyperlink 3 3" xfId="2058" xr:uid="{00000000-0005-0000-0000-0000F0090000}"/>
    <cellStyle name="Hyperlink 4" xfId="946" xr:uid="{00000000-0005-0000-0000-0000F1090000}"/>
    <cellStyle name="Hyperlink 4 2" xfId="4671" xr:uid="{00000000-0005-0000-0000-0000F2090000}"/>
    <cellStyle name="Hyperlink 4 3" xfId="2059" xr:uid="{00000000-0005-0000-0000-0000F3090000}"/>
    <cellStyle name="Hyperlink 4_2.DATA" xfId="5210" xr:uid="{00000000-0005-0000-0000-0000F4090000}"/>
    <cellStyle name="Hyperlink 5" xfId="947" xr:uid="{00000000-0005-0000-0000-0000F5090000}"/>
    <cellStyle name="Hyperlink 5 2" xfId="4672" xr:uid="{00000000-0005-0000-0000-0000F6090000}"/>
    <cellStyle name="Hyperlink 5 3" xfId="2060" xr:uid="{00000000-0005-0000-0000-0000F7090000}"/>
    <cellStyle name="Hyperlink 5_2.DATA" xfId="5211" xr:uid="{00000000-0005-0000-0000-0000F8090000}"/>
    <cellStyle name="Hyperlink 6" xfId="948" xr:uid="{00000000-0005-0000-0000-0000F9090000}"/>
    <cellStyle name="Hyperlink 6 2" xfId="4673" xr:uid="{00000000-0005-0000-0000-0000FA090000}"/>
    <cellStyle name="Hyperlink 6 3" xfId="2061" xr:uid="{00000000-0005-0000-0000-0000FB090000}"/>
    <cellStyle name="Hyperlink 6_2.DATA" xfId="5212" xr:uid="{00000000-0005-0000-0000-0000FC090000}"/>
    <cellStyle name="Hyperlink 7" xfId="2062" xr:uid="{00000000-0005-0000-0000-0000FD090000}"/>
    <cellStyle name="Hyperlink 8" xfId="2063" xr:uid="{00000000-0005-0000-0000-0000FE090000}"/>
    <cellStyle name="Hyperlink Arrow" xfId="949" xr:uid="{00000000-0005-0000-0000-0000FF090000}"/>
    <cellStyle name="Hyperlink Check" xfId="950" xr:uid="{00000000-0005-0000-0000-0000000A0000}"/>
    <cellStyle name="Hyperlink Text" xfId="951" xr:uid="{00000000-0005-0000-0000-0000010A0000}"/>
    <cellStyle name="Input" xfId="1361" builtinId="20" customBuiltin="1"/>
    <cellStyle name="Input 2" xfId="952" xr:uid="{00000000-0005-0000-0000-0000030A0000}"/>
    <cellStyle name="Input 2 2" xfId="2065" xr:uid="{00000000-0005-0000-0000-0000040A0000}"/>
    <cellStyle name="Input 2 2 2" xfId="2066" xr:uid="{00000000-0005-0000-0000-0000050A0000}"/>
    <cellStyle name="Input 2 2 2 2" xfId="2067" xr:uid="{00000000-0005-0000-0000-0000060A0000}"/>
    <cellStyle name="Input 2 2 2 3" xfId="2068" xr:uid="{00000000-0005-0000-0000-0000070A0000}"/>
    <cellStyle name="Input 2 2 2 4" xfId="2069" xr:uid="{00000000-0005-0000-0000-0000080A0000}"/>
    <cellStyle name="Input 2 2 2_BC Valid CC Listing" xfId="2070" xr:uid="{00000000-0005-0000-0000-0000090A0000}"/>
    <cellStyle name="Input 2 2 3" xfId="2071" xr:uid="{00000000-0005-0000-0000-00000A0A0000}"/>
    <cellStyle name="Input 2 2 4" xfId="2072" xr:uid="{00000000-0005-0000-0000-00000B0A0000}"/>
    <cellStyle name="Input 2 2 5" xfId="2073" xr:uid="{00000000-0005-0000-0000-00000C0A0000}"/>
    <cellStyle name="Input 2 2_BC Valid CC Listing" xfId="2074" xr:uid="{00000000-0005-0000-0000-00000D0A0000}"/>
    <cellStyle name="Input 2 3" xfId="2075" xr:uid="{00000000-0005-0000-0000-00000E0A0000}"/>
    <cellStyle name="Input 2 3 2" xfId="2076" xr:uid="{00000000-0005-0000-0000-00000F0A0000}"/>
    <cellStyle name="Input 2 3 3" xfId="2077" xr:uid="{00000000-0005-0000-0000-0000100A0000}"/>
    <cellStyle name="Input 2 3 4" xfId="2078" xr:uid="{00000000-0005-0000-0000-0000110A0000}"/>
    <cellStyle name="Input 2 3_BC Valid CC Listing" xfId="2079" xr:uid="{00000000-0005-0000-0000-0000120A0000}"/>
    <cellStyle name="Input 2 4" xfId="2080" xr:uid="{00000000-0005-0000-0000-0000130A0000}"/>
    <cellStyle name="Input 2 5" xfId="2081" xr:uid="{00000000-0005-0000-0000-0000140A0000}"/>
    <cellStyle name="Input 2 6" xfId="2082" xr:uid="{00000000-0005-0000-0000-0000150A0000}"/>
    <cellStyle name="Input 2 7" xfId="4674" xr:uid="{00000000-0005-0000-0000-0000160A0000}"/>
    <cellStyle name="Input 2 8" xfId="2064" xr:uid="{00000000-0005-0000-0000-0000170A0000}"/>
    <cellStyle name="Input 2_BC Valid CC Listing" xfId="2083" xr:uid="{00000000-0005-0000-0000-0000180A0000}"/>
    <cellStyle name="Input 3" xfId="953" xr:uid="{00000000-0005-0000-0000-0000190A0000}"/>
    <cellStyle name="Input 3 2" xfId="4675" xr:uid="{00000000-0005-0000-0000-00001A0A0000}"/>
    <cellStyle name="Input 3 3" xfId="2084" xr:uid="{00000000-0005-0000-0000-00001B0A0000}"/>
    <cellStyle name="Input 3_2.DATA" xfId="5213" xr:uid="{00000000-0005-0000-0000-00001C0A0000}"/>
    <cellStyle name="Input 4" xfId="2085" xr:uid="{00000000-0005-0000-0000-00001D0A0000}"/>
    <cellStyle name="Input 5" xfId="2086" xr:uid="{00000000-0005-0000-0000-00001E0A0000}"/>
    <cellStyle name="Linked Cell" xfId="1364" builtinId="24" customBuiltin="1"/>
    <cellStyle name="Linked Cell 2" xfId="954" xr:uid="{00000000-0005-0000-0000-0000200A0000}"/>
    <cellStyle name="Linked Cell 2 2" xfId="2088" xr:uid="{00000000-0005-0000-0000-0000210A0000}"/>
    <cellStyle name="Linked Cell 2 3" xfId="4676" xr:uid="{00000000-0005-0000-0000-0000220A0000}"/>
    <cellStyle name="Linked Cell 2 4" xfId="2087" xr:uid="{00000000-0005-0000-0000-0000230A0000}"/>
    <cellStyle name="Linked Cell 3" xfId="955" xr:uid="{00000000-0005-0000-0000-0000240A0000}"/>
    <cellStyle name="Linked Cell 3 2" xfId="4677" xr:uid="{00000000-0005-0000-0000-0000250A0000}"/>
    <cellStyle name="Linked Cell 3 3" xfId="2089" xr:uid="{00000000-0005-0000-0000-0000260A0000}"/>
    <cellStyle name="Linked Cell 3_2.DATA" xfId="5214" xr:uid="{00000000-0005-0000-0000-0000270A0000}"/>
    <cellStyle name="Lookup Table Heading" xfId="956" xr:uid="{00000000-0005-0000-0000-0000280A0000}"/>
    <cellStyle name="Lookup Table Label" xfId="957" xr:uid="{00000000-0005-0000-0000-0000290A0000}"/>
    <cellStyle name="Lookup Table Number" xfId="958" xr:uid="{00000000-0005-0000-0000-00002A0A0000}"/>
    <cellStyle name="Model Name" xfId="959" xr:uid="{00000000-0005-0000-0000-00002B0A0000}"/>
    <cellStyle name="Neutral" xfId="1360" builtinId="28" customBuiltin="1"/>
    <cellStyle name="Neutral 2" xfId="960" xr:uid="{00000000-0005-0000-0000-00002D0A0000}"/>
    <cellStyle name="Neutral 2 2" xfId="4678" xr:uid="{00000000-0005-0000-0000-00002E0A0000}"/>
    <cellStyle name="Neutral 2 3" xfId="2090" xr:uid="{00000000-0005-0000-0000-00002F0A0000}"/>
    <cellStyle name="Neutral 3" xfId="961" xr:uid="{00000000-0005-0000-0000-0000300A0000}"/>
    <cellStyle name="Neutral 3 2" xfId="4679" xr:uid="{00000000-0005-0000-0000-0000310A0000}"/>
    <cellStyle name="Neutral 3 3" xfId="2091" xr:uid="{00000000-0005-0000-0000-0000320A0000}"/>
    <cellStyle name="Neutral 3_2.DATA" xfId="5215" xr:uid="{00000000-0005-0000-0000-0000330A0000}"/>
    <cellStyle name="Neutral 4" xfId="2092" xr:uid="{00000000-0005-0000-0000-0000340A0000}"/>
    <cellStyle name="Normal" xfId="0" builtinId="0"/>
    <cellStyle name="Normal 10" xfId="962" xr:uid="{00000000-0005-0000-0000-0000360A0000}"/>
    <cellStyle name="Normal 10 10" xfId="2093" xr:uid="{00000000-0005-0000-0000-0000370A0000}"/>
    <cellStyle name="Normal 10 11" xfId="2094" xr:uid="{00000000-0005-0000-0000-0000380A0000}"/>
    <cellStyle name="Normal 10 12" xfId="1398" xr:uid="{00000000-0005-0000-0000-0000390A0000}"/>
    <cellStyle name="Normal 10 2" xfId="963" xr:uid="{00000000-0005-0000-0000-00003A0A0000}"/>
    <cellStyle name="Normal 10 2 2" xfId="964" xr:uid="{00000000-0005-0000-0000-00003B0A0000}"/>
    <cellStyle name="Normal 10 2 2 2" xfId="965" xr:uid="{00000000-0005-0000-0000-00003C0A0000}"/>
    <cellStyle name="Normal 10 2 2 2 2" xfId="966" xr:uid="{00000000-0005-0000-0000-00003D0A0000}"/>
    <cellStyle name="Normal 10 2 2 2 2 2" xfId="2095" xr:uid="{00000000-0005-0000-0000-00003E0A0000}"/>
    <cellStyle name="Normal 10 2 2 2 2_2.DATA" xfId="5220" xr:uid="{00000000-0005-0000-0000-00003F0A0000}"/>
    <cellStyle name="Normal 10 2 2 2 3" xfId="2096" xr:uid="{00000000-0005-0000-0000-0000400A0000}"/>
    <cellStyle name="Normal 10 2 2 2_2.DATA" xfId="5219" xr:uid="{00000000-0005-0000-0000-0000410A0000}"/>
    <cellStyle name="Normal 10 2 2 3" xfId="967" xr:uid="{00000000-0005-0000-0000-0000420A0000}"/>
    <cellStyle name="Normal 10 2 2 3 2" xfId="2097" xr:uid="{00000000-0005-0000-0000-0000430A0000}"/>
    <cellStyle name="Normal 10 2 2 3 2 2" xfId="2098" xr:uid="{00000000-0005-0000-0000-0000440A0000}"/>
    <cellStyle name="Normal 10 2 2 3 2_2.DATA" xfId="5222" xr:uid="{00000000-0005-0000-0000-0000450A0000}"/>
    <cellStyle name="Normal 10 2 2 3 3" xfId="2099" xr:uid="{00000000-0005-0000-0000-0000460A0000}"/>
    <cellStyle name="Normal 10 2 2 3_2.DATA" xfId="5221" xr:uid="{00000000-0005-0000-0000-0000470A0000}"/>
    <cellStyle name="Normal 10 2 2 4" xfId="2100" xr:uid="{00000000-0005-0000-0000-0000480A0000}"/>
    <cellStyle name="Normal 10 2 2 4 2" xfId="2101" xr:uid="{00000000-0005-0000-0000-0000490A0000}"/>
    <cellStyle name="Normal 10 2 2 4_2.DATA" xfId="5223" xr:uid="{00000000-0005-0000-0000-00004A0A0000}"/>
    <cellStyle name="Normal 10 2 2 5" xfId="2102" xr:uid="{00000000-0005-0000-0000-00004B0A0000}"/>
    <cellStyle name="Normal 10 2 2_2.DATA" xfId="5218" xr:uid="{00000000-0005-0000-0000-00004C0A0000}"/>
    <cellStyle name="Normal 10 2 3" xfId="968" xr:uid="{00000000-0005-0000-0000-00004D0A0000}"/>
    <cellStyle name="Normal 10 2 3 2" xfId="969" xr:uid="{00000000-0005-0000-0000-00004E0A0000}"/>
    <cellStyle name="Normal 10 2 3 2 2" xfId="2103" xr:uid="{00000000-0005-0000-0000-00004F0A0000}"/>
    <cellStyle name="Normal 10 2 3 2 2 2" xfId="2104" xr:uid="{00000000-0005-0000-0000-0000500A0000}"/>
    <cellStyle name="Normal 10 2 3 2 2_2.DATA" xfId="5226" xr:uid="{00000000-0005-0000-0000-0000510A0000}"/>
    <cellStyle name="Normal 10 2 3 2 3" xfId="2105" xr:uid="{00000000-0005-0000-0000-0000520A0000}"/>
    <cellStyle name="Normal 10 2 3 2_2.DATA" xfId="5225" xr:uid="{00000000-0005-0000-0000-0000530A0000}"/>
    <cellStyle name="Normal 10 2 3 3" xfId="2106" xr:uid="{00000000-0005-0000-0000-0000540A0000}"/>
    <cellStyle name="Normal 10 2 3 3 2" xfId="2107" xr:uid="{00000000-0005-0000-0000-0000550A0000}"/>
    <cellStyle name="Normal 10 2 3 3 2 2" xfId="2108" xr:uid="{00000000-0005-0000-0000-0000560A0000}"/>
    <cellStyle name="Normal 10 2 3 3 2_2.DATA" xfId="5228" xr:uid="{00000000-0005-0000-0000-0000570A0000}"/>
    <cellStyle name="Normal 10 2 3 3 3" xfId="2109" xr:uid="{00000000-0005-0000-0000-0000580A0000}"/>
    <cellStyle name="Normal 10 2 3 3_2.DATA" xfId="5227" xr:uid="{00000000-0005-0000-0000-0000590A0000}"/>
    <cellStyle name="Normal 10 2 3 4" xfId="2110" xr:uid="{00000000-0005-0000-0000-00005A0A0000}"/>
    <cellStyle name="Normal 10 2 3 4 2" xfId="2111" xr:uid="{00000000-0005-0000-0000-00005B0A0000}"/>
    <cellStyle name="Normal 10 2 3 4_2.DATA" xfId="5229" xr:uid="{00000000-0005-0000-0000-00005C0A0000}"/>
    <cellStyle name="Normal 10 2 3 5" xfId="2112" xr:uid="{00000000-0005-0000-0000-00005D0A0000}"/>
    <cellStyle name="Normal 10 2 3_2.DATA" xfId="5224" xr:uid="{00000000-0005-0000-0000-00005E0A0000}"/>
    <cellStyle name="Normal 10 2 4" xfId="970" xr:uid="{00000000-0005-0000-0000-00005F0A0000}"/>
    <cellStyle name="Normal 10 2 4 2" xfId="2113" xr:uid="{00000000-0005-0000-0000-0000600A0000}"/>
    <cellStyle name="Normal 10 2 4 2 2" xfId="2114" xr:uid="{00000000-0005-0000-0000-0000610A0000}"/>
    <cellStyle name="Normal 10 2 4 2 2 2" xfId="2115" xr:uid="{00000000-0005-0000-0000-0000620A0000}"/>
    <cellStyle name="Normal 10 2 4 2 2_2.DATA" xfId="5232" xr:uid="{00000000-0005-0000-0000-0000630A0000}"/>
    <cellStyle name="Normal 10 2 4 2 3" xfId="2116" xr:uid="{00000000-0005-0000-0000-0000640A0000}"/>
    <cellStyle name="Normal 10 2 4 2_2.DATA" xfId="5231" xr:uid="{00000000-0005-0000-0000-0000650A0000}"/>
    <cellStyle name="Normal 10 2 4 3" xfId="2117" xr:uid="{00000000-0005-0000-0000-0000660A0000}"/>
    <cellStyle name="Normal 10 2 4 3 2" xfId="2118" xr:uid="{00000000-0005-0000-0000-0000670A0000}"/>
    <cellStyle name="Normal 10 2 4 3_2.DATA" xfId="5233" xr:uid="{00000000-0005-0000-0000-0000680A0000}"/>
    <cellStyle name="Normal 10 2 4 4" xfId="2119" xr:uid="{00000000-0005-0000-0000-0000690A0000}"/>
    <cellStyle name="Normal 10 2 4_2.DATA" xfId="5230" xr:uid="{00000000-0005-0000-0000-00006A0A0000}"/>
    <cellStyle name="Normal 10 2 5" xfId="2120" xr:uid="{00000000-0005-0000-0000-00006B0A0000}"/>
    <cellStyle name="Normal 10 2 5 2" xfId="2121" xr:uid="{00000000-0005-0000-0000-00006C0A0000}"/>
    <cellStyle name="Normal 10 2 5 2 2" xfId="2122" xr:uid="{00000000-0005-0000-0000-00006D0A0000}"/>
    <cellStyle name="Normal 10 2 5 2_2.DATA" xfId="5235" xr:uid="{00000000-0005-0000-0000-00006E0A0000}"/>
    <cellStyle name="Normal 10 2 5 3" xfId="2123" xr:uid="{00000000-0005-0000-0000-00006F0A0000}"/>
    <cellStyle name="Normal 10 2 5_2.DATA" xfId="5234" xr:uid="{00000000-0005-0000-0000-0000700A0000}"/>
    <cellStyle name="Normal 10 2 6" xfId="2124" xr:uid="{00000000-0005-0000-0000-0000710A0000}"/>
    <cellStyle name="Normal 10 2 6 2" xfId="2125" xr:uid="{00000000-0005-0000-0000-0000720A0000}"/>
    <cellStyle name="Normal 10 2 6 2 2" xfId="2126" xr:uid="{00000000-0005-0000-0000-0000730A0000}"/>
    <cellStyle name="Normal 10 2 6 2_2.DATA" xfId="5237" xr:uid="{00000000-0005-0000-0000-0000740A0000}"/>
    <cellStyle name="Normal 10 2 6 3" xfId="2127" xr:uid="{00000000-0005-0000-0000-0000750A0000}"/>
    <cellStyle name="Normal 10 2 6_2.DATA" xfId="5236" xr:uid="{00000000-0005-0000-0000-0000760A0000}"/>
    <cellStyle name="Normal 10 2 7" xfId="2128" xr:uid="{00000000-0005-0000-0000-0000770A0000}"/>
    <cellStyle name="Normal 10 2 7 2" xfId="2129" xr:uid="{00000000-0005-0000-0000-0000780A0000}"/>
    <cellStyle name="Normal 10 2 7_2.DATA" xfId="5238" xr:uid="{00000000-0005-0000-0000-0000790A0000}"/>
    <cellStyle name="Normal 10 2 8" xfId="2130" xr:uid="{00000000-0005-0000-0000-00007A0A0000}"/>
    <cellStyle name="Normal 10 2_2.DATA" xfId="5217" xr:uid="{00000000-0005-0000-0000-00007B0A0000}"/>
    <cellStyle name="Normal 10 3" xfId="971" xr:uid="{00000000-0005-0000-0000-00007C0A0000}"/>
    <cellStyle name="Normal 10 3 2" xfId="972" xr:uid="{00000000-0005-0000-0000-00007D0A0000}"/>
    <cellStyle name="Normal 10 3 2 2" xfId="973" xr:uid="{00000000-0005-0000-0000-00007E0A0000}"/>
    <cellStyle name="Normal 10 3 2 2 2" xfId="2131" xr:uid="{00000000-0005-0000-0000-00007F0A0000}"/>
    <cellStyle name="Normal 10 3 2 2_2.DATA" xfId="5241" xr:uid="{00000000-0005-0000-0000-0000800A0000}"/>
    <cellStyle name="Normal 10 3 2 3" xfId="2132" xr:uid="{00000000-0005-0000-0000-0000810A0000}"/>
    <cellStyle name="Normal 10 3 2_2.DATA" xfId="5240" xr:uid="{00000000-0005-0000-0000-0000820A0000}"/>
    <cellStyle name="Normal 10 3 3" xfId="974" xr:uid="{00000000-0005-0000-0000-0000830A0000}"/>
    <cellStyle name="Normal 10 3 3 2" xfId="2133" xr:uid="{00000000-0005-0000-0000-0000840A0000}"/>
    <cellStyle name="Normal 10 3 3_2.DATA" xfId="5242" xr:uid="{00000000-0005-0000-0000-0000850A0000}"/>
    <cellStyle name="Normal 10 3 4" xfId="2134" xr:uid="{00000000-0005-0000-0000-0000860A0000}"/>
    <cellStyle name="Normal 10 3_2.DATA" xfId="5239" xr:uid="{00000000-0005-0000-0000-0000870A0000}"/>
    <cellStyle name="Normal 10 4" xfId="975" xr:uid="{00000000-0005-0000-0000-0000880A0000}"/>
    <cellStyle name="Normal 10 4 2" xfId="976" xr:uid="{00000000-0005-0000-0000-0000890A0000}"/>
    <cellStyle name="Normal 10 4 2 2" xfId="2135" xr:uid="{00000000-0005-0000-0000-00008A0A0000}"/>
    <cellStyle name="Normal 10 4 2_2.DATA" xfId="5244" xr:uid="{00000000-0005-0000-0000-00008B0A0000}"/>
    <cellStyle name="Normal 10 4 3" xfId="2136" xr:uid="{00000000-0005-0000-0000-00008C0A0000}"/>
    <cellStyle name="Normal 10 4_2.DATA" xfId="5243" xr:uid="{00000000-0005-0000-0000-00008D0A0000}"/>
    <cellStyle name="Normal 10 5" xfId="977" xr:uid="{00000000-0005-0000-0000-00008E0A0000}"/>
    <cellStyle name="Normal 10 5 2" xfId="2137" xr:uid="{00000000-0005-0000-0000-00008F0A0000}"/>
    <cellStyle name="Normal 10 5_2.DATA" xfId="5245" xr:uid="{00000000-0005-0000-0000-0000900A0000}"/>
    <cellStyle name="Normal 10 6" xfId="2138" xr:uid="{00000000-0005-0000-0000-0000910A0000}"/>
    <cellStyle name="Normal 10 7" xfId="2139" xr:uid="{00000000-0005-0000-0000-0000920A0000}"/>
    <cellStyle name="Normal 10 8" xfId="2140" xr:uid="{00000000-0005-0000-0000-0000930A0000}"/>
    <cellStyle name="Normal 10 9" xfId="2141" xr:uid="{00000000-0005-0000-0000-0000940A0000}"/>
    <cellStyle name="Normal 10_2.DATA" xfId="5216" xr:uid="{00000000-0005-0000-0000-0000950A0000}"/>
    <cellStyle name="Normal 11" xfId="978" xr:uid="{00000000-0005-0000-0000-0000960A0000}"/>
    <cellStyle name="Normal 11 2" xfId="979" xr:uid="{00000000-0005-0000-0000-0000970A0000}"/>
    <cellStyle name="Normal 11 2 10" xfId="1480" xr:uid="{00000000-0005-0000-0000-0000980A0000}"/>
    <cellStyle name="Normal 11 2 2" xfId="1618" xr:uid="{00000000-0005-0000-0000-0000990A0000}"/>
    <cellStyle name="Normal 11 2 2 2" xfId="2142" xr:uid="{00000000-0005-0000-0000-00009A0A0000}"/>
    <cellStyle name="Normal 11 2 2 2 2" xfId="2143" xr:uid="{00000000-0005-0000-0000-00009B0A0000}"/>
    <cellStyle name="Normal 11 2 2 2 2 2" xfId="2144" xr:uid="{00000000-0005-0000-0000-00009C0A0000}"/>
    <cellStyle name="Normal 11 2 2 2 2_2.DATA" xfId="5250" xr:uid="{00000000-0005-0000-0000-00009D0A0000}"/>
    <cellStyle name="Normal 11 2 2 2 3" xfId="2145" xr:uid="{00000000-0005-0000-0000-00009E0A0000}"/>
    <cellStyle name="Normal 11 2 2 2_2.DATA" xfId="5249" xr:uid="{00000000-0005-0000-0000-00009F0A0000}"/>
    <cellStyle name="Normal 11 2 2 3" xfId="2146" xr:uid="{00000000-0005-0000-0000-0000A00A0000}"/>
    <cellStyle name="Normal 11 2 2 3 2" xfId="2147" xr:uid="{00000000-0005-0000-0000-0000A10A0000}"/>
    <cellStyle name="Normal 11 2 2 3 2 2" xfId="2148" xr:uid="{00000000-0005-0000-0000-0000A20A0000}"/>
    <cellStyle name="Normal 11 2 2 3 2_2.DATA" xfId="5252" xr:uid="{00000000-0005-0000-0000-0000A30A0000}"/>
    <cellStyle name="Normal 11 2 2 3 3" xfId="2149" xr:uid="{00000000-0005-0000-0000-0000A40A0000}"/>
    <cellStyle name="Normal 11 2 2 3_2.DATA" xfId="5251" xr:uid="{00000000-0005-0000-0000-0000A50A0000}"/>
    <cellStyle name="Normal 11 2 2 4" xfId="2150" xr:uid="{00000000-0005-0000-0000-0000A60A0000}"/>
    <cellStyle name="Normal 11 2 2 4 2" xfId="2151" xr:uid="{00000000-0005-0000-0000-0000A70A0000}"/>
    <cellStyle name="Normal 11 2 2 4_2.DATA" xfId="5253" xr:uid="{00000000-0005-0000-0000-0000A80A0000}"/>
    <cellStyle name="Normal 11 2 2 5" xfId="2152" xr:uid="{00000000-0005-0000-0000-0000A90A0000}"/>
    <cellStyle name="Normal 11 2 2_2.DATA" xfId="5248" xr:uid="{00000000-0005-0000-0000-0000AA0A0000}"/>
    <cellStyle name="Normal 11 2 3" xfId="2153" xr:uid="{00000000-0005-0000-0000-0000AB0A0000}"/>
    <cellStyle name="Normal 11 2 3 2" xfId="2154" xr:uid="{00000000-0005-0000-0000-0000AC0A0000}"/>
    <cellStyle name="Normal 11 2 3 2 2" xfId="2155" xr:uid="{00000000-0005-0000-0000-0000AD0A0000}"/>
    <cellStyle name="Normal 11 2 3 2 2 2" xfId="2156" xr:uid="{00000000-0005-0000-0000-0000AE0A0000}"/>
    <cellStyle name="Normal 11 2 3 2 2_2.DATA" xfId="5256" xr:uid="{00000000-0005-0000-0000-0000AF0A0000}"/>
    <cellStyle name="Normal 11 2 3 2 3" xfId="2157" xr:uid="{00000000-0005-0000-0000-0000B00A0000}"/>
    <cellStyle name="Normal 11 2 3 2_2.DATA" xfId="5255" xr:uid="{00000000-0005-0000-0000-0000B10A0000}"/>
    <cellStyle name="Normal 11 2 3 3" xfId="2158" xr:uid="{00000000-0005-0000-0000-0000B20A0000}"/>
    <cellStyle name="Normal 11 2 3 3 2" xfId="2159" xr:uid="{00000000-0005-0000-0000-0000B30A0000}"/>
    <cellStyle name="Normal 11 2 3 3 2 2" xfId="2160" xr:uid="{00000000-0005-0000-0000-0000B40A0000}"/>
    <cellStyle name="Normal 11 2 3 3 2_2.DATA" xfId="5258" xr:uid="{00000000-0005-0000-0000-0000B50A0000}"/>
    <cellStyle name="Normal 11 2 3 3 3" xfId="2161" xr:uid="{00000000-0005-0000-0000-0000B60A0000}"/>
    <cellStyle name="Normal 11 2 3 3_2.DATA" xfId="5257" xr:uid="{00000000-0005-0000-0000-0000B70A0000}"/>
    <cellStyle name="Normal 11 2 3 4" xfId="2162" xr:uid="{00000000-0005-0000-0000-0000B80A0000}"/>
    <cellStyle name="Normal 11 2 3 4 2" xfId="2163" xr:uid="{00000000-0005-0000-0000-0000B90A0000}"/>
    <cellStyle name="Normal 11 2 3 4_2.DATA" xfId="5259" xr:uid="{00000000-0005-0000-0000-0000BA0A0000}"/>
    <cellStyle name="Normal 11 2 3 5" xfId="2164" xr:uid="{00000000-0005-0000-0000-0000BB0A0000}"/>
    <cellStyle name="Normal 11 2 3_2.DATA" xfId="5254" xr:uid="{00000000-0005-0000-0000-0000BC0A0000}"/>
    <cellStyle name="Normal 11 2 4" xfId="2165" xr:uid="{00000000-0005-0000-0000-0000BD0A0000}"/>
    <cellStyle name="Normal 11 2 4 2" xfId="2166" xr:uid="{00000000-0005-0000-0000-0000BE0A0000}"/>
    <cellStyle name="Normal 11 2 4 2 2" xfId="2167" xr:uid="{00000000-0005-0000-0000-0000BF0A0000}"/>
    <cellStyle name="Normal 11 2 4 2 2 2" xfId="2168" xr:uid="{00000000-0005-0000-0000-0000C00A0000}"/>
    <cellStyle name="Normal 11 2 4 2 2_2.DATA" xfId="5262" xr:uid="{00000000-0005-0000-0000-0000C10A0000}"/>
    <cellStyle name="Normal 11 2 4 2 3" xfId="2169" xr:uid="{00000000-0005-0000-0000-0000C20A0000}"/>
    <cellStyle name="Normal 11 2 4 2_2.DATA" xfId="5261" xr:uid="{00000000-0005-0000-0000-0000C30A0000}"/>
    <cellStyle name="Normal 11 2 4 3" xfId="2170" xr:uid="{00000000-0005-0000-0000-0000C40A0000}"/>
    <cellStyle name="Normal 11 2 4 3 2" xfId="2171" xr:uid="{00000000-0005-0000-0000-0000C50A0000}"/>
    <cellStyle name="Normal 11 2 4 3_2.DATA" xfId="5263" xr:uid="{00000000-0005-0000-0000-0000C60A0000}"/>
    <cellStyle name="Normal 11 2 4 4" xfId="2172" xr:uid="{00000000-0005-0000-0000-0000C70A0000}"/>
    <cellStyle name="Normal 11 2 4_2.DATA" xfId="5260" xr:uid="{00000000-0005-0000-0000-0000C80A0000}"/>
    <cellStyle name="Normal 11 2 5" xfId="2173" xr:uid="{00000000-0005-0000-0000-0000C90A0000}"/>
    <cellStyle name="Normal 11 2 5 2" xfId="2174" xr:uid="{00000000-0005-0000-0000-0000CA0A0000}"/>
    <cellStyle name="Normal 11 2 5 2 2" xfId="2175" xr:uid="{00000000-0005-0000-0000-0000CB0A0000}"/>
    <cellStyle name="Normal 11 2 5 2_2.DATA" xfId="5265" xr:uid="{00000000-0005-0000-0000-0000CC0A0000}"/>
    <cellStyle name="Normal 11 2 5 3" xfId="2176" xr:uid="{00000000-0005-0000-0000-0000CD0A0000}"/>
    <cellStyle name="Normal 11 2 5_2.DATA" xfId="5264" xr:uid="{00000000-0005-0000-0000-0000CE0A0000}"/>
    <cellStyle name="Normal 11 2 6" xfId="2177" xr:uid="{00000000-0005-0000-0000-0000CF0A0000}"/>
    <cellStyle name="Normal 11 2 6 2" xfId="2178" xr:uid="{00000000-0005-0000-0000-0000D00A0000}"/>
    <cellStyle name="Normal 11 2 6 2 2" xfId="2179" xr:uid="{00000000-0005-0000-0000-0000D10A0000}"/>
    <cellStyle name="Normal 11 2 6 2_2.DATA" xfId="5267" xr:uid="{00000000-0005-0000-0000-0000D20A0000}"/>
    <cellStyle name="Normal 11 2 6 3" xfId="2180" xr:uid="{00000000-0005-0000-0000-0000D30A0000}"/>
    <cellStyle name="Normal 11 2 6_2.DATA" xfId="5266" xr:uid="{00000000-0005-0000-0000-0000D40A0000}"/>
    <cellStyle name="Normal 11 2 7" xfId="2181" xr:uid="{00000000-0005-0000-0000-0000D50A0000}"/>
    <cellStyle name="Normal 11 2 7 2" xfId="2182" xr:uid="{00000000-0005-0000-0000-0000D60A0000}"/>
    <cellStyle name="Normal 11 2 7_2.DATA" xfId="5268" xr:uid="{00000000-0005-0000-0000-0000D70A0000}"/>
    <cellStyle name="Normal 11 2 8" xfId="2183" xr:uid="{00000000-0005-0000-0000-0000D80A0000}"/>
    <cellStyle name="Normal 11 2 9" xfId="4681" xr:uid="{00000000-0005-0000-0000-0000D90A0000}"/>
    <cellStyle name="Normal 11 2_2.DATA" xfId="5247" xr:uid="{00000000-0005-0000-0000-0000DA0A0000}"/>
    <cellStyle name="Normal 11 3" xfId="1510" xr:uid="{00000000-0005-0000-0000-0000DB0A0000}"/>
    <cellStyle name="Normal 11 3 2" xfId="1659" xr:uid="{00000000-0005-0000-0000-0000DC0A0000}"/>
    <cellStyle name="Normal 11 3 2 2" xfId="2184" xr:uid="{00000000-0005-0000-0000-0000DD0A0000}"/>
    <cellStyle name="Normal 11 3 2 2 2" xfId="2185" xr:uid="{00000000-0005-0000-0000-0000DE0A0000}"/>
    <cellStyle name="Normal 11 3 2 2_2.DATA" xfId="5271" xr:uid="{00000000-0005-0000-0000-0000DF0A0000}"/>
    <cellStyle name="Normal 11 3 2 3" xfId="2186" xr:uid="{00000000-0005-0000-0000-0000E00A0000}"/>
    <cellStyle name="Normal 11 3 2_2.DATA" xfId="5270" xr:uid="{00000000-0005-0000-0000-0000E10A0000}"/>
    <cellStyle name="Normal 11 3 3" xfId="2187" xr:uid="{00000000-0005-0000-0000-0000E20A0000}"/>
    <cellStyle name="Normal 11 3 3 2" xfId="2188" xr:uid="{00000000-0005-0000-0000-0000E30A0000}"/>
    <cellStyle name="Normal 11 3 3_2.DATA" xfId="5272" xr:uid="{00000000-0005-0000-0000-0000E40A0000}"/>
    <cellStyle name="Normal 11 3 4" xfId="2189" xr:uid="{00000000-0005-0000-0000-0000E50A0000}"/>
    <cellStyle name="Normal 11 3_2.DATA" xfId="5269" xr:uid="{00000000-0005-0000-0000-0000E60A0000}"/>
    <cellStyle name="Normal 11 4" xfId="1574" xr:uid="{00000000-0005-0000-0000-0000E70A0000}"/>
    <cellStyle name="Normal 11 4 2" xfId="2190" xr:uid="{00000000-0005-0000-0000-0000E80A0000}"/>
    <cellStyle name="Normal 11 4 2 2" xfId="2191" xr:uid="{00000000-0005-0000-0000-0000E90A0000}"/>
    <cellStyle name="Normal 11 4 2_2.DATA" xfId="5274" xr:uid="{00000000-0005-0000-0000-0000EA0A0000}"/>
    <cellStyle name="Normal 11 4 3" xfId="2192" xr:uid="{00000000-0005-0000-0000-0000EB0A0000}"/>
    <cellStyle name="Normal 11 4_2.DATA" xfId="5273" xr:uid="{00000000-0005-0000-0000-0000EC0A0000}"/>
    <cellStyle name="Normal 11 5" xfId="1760" xr:uid="{00000000-0005-0000-0000-0000ED0A0000}"/>
    <cellStyle name="Normal 11 5 2" xfId="2193" xr:uid="{00000000-0005-0000-0000-0000EE0A0000}"/>
    <cellStyle name="Normal 11 5_2.DATA" xfId="5275" xr:uid="{00000000-0005-0000-0000-0000EF0A0000}"/>
    <cellStyle name="Normal 11 6" xfId="2194" xr:uid="{00000000-0005-0000-0000-0000F00A0000}"/>
    <cellStyle name="Normal 11 7" xfId="4680" xr:uid="{00000000-0005-0000-0000-0000F10A0000}"/>
    <cellStyle name="Normal 11 8" xfId="1442" xr:uid="{00000000-0005-0000-0000-0000F20A0000}"/>
    <cellStyle name="Normal 11_2.DATA" xfId="5246" xr:uid="{00000000-0005-0000-0000-0000F30A0000}"/>
    <cellStyle name="Normal 12" xfId="980" xr:uid="{00000000-0005-0000-0000-0000F40A0000}"/>
    <cellStyle name="Normal 12 2" xfId="1638" xr:uid="{00000000-0005-0000-0000-0000F50A0000}"/>
    <cellStyle name="Normal 12 2 2" xfId="2195" xr:uid="{00000000-0005-0000-0000-0000F60A0000}"/>
    <cellStyle name="Normal 12 2 2 2" xfId="2196" xr:uid="{00000000-0005-0000-0000-0000F70A0000}"/>
    <cellStyle name="Normal 12 2 2 2 2" xfId="2197" xr:uid="{00000000-0005-0000-0000-0000F80A0000}"/>
    <cellStyle name="Normal 12 2 2 2 2 2" xfId="2198" xr:uid="{00000000-0005-0000-0000-0000F90A0000}"/>
    <cellStyle name="Normal 12 2 2 2 2_2.DATA" xfId="5280" xr:uid="{00000000-0005-0000-0000-0000FA0A0000}"/>
    <cellStyle name="Normal 12 2 2 2 3" xfId="2199" xr:uid="{00000000-0005-0000-0000-0000FB0A0000}"/>
    <cellStyle name="Normal 12 2 2 2_2.DATA" xfId="5279" xr:uid="{00000000-0005-0000-0000-0000FC0A0000}"/>
    <cellStyle name="Normal 12 2 2 3" xfId="2200" xr:uid="{00000000-0005-0000-0000-0000FD0A0000}"/>
    <cellStyle name="Normal 12 2 2 3 2" xfId="2201" xr:uid="{00000000-0005-0000-0000-0000FE0A0000}"/>
    <cellStyle name="Normal 12 2 2 3 2 2" xfId="2202" xr:uid="{00000000-0005-0000-0000-0000FF0A0000}"/>
    <cellStyle name="Normal 12 2 2 3 2_2.DATA" xfId="5282" xr:uid="{00000000-0005-0000-0000-0000000B0000}"/>
    <cellStyle name="Normal 12 2 2 3 3" xfId="2203" xr:uid="{00000000-0005-0000-0000-0000010B0000}"/>
    <cellStyle name="Normal 12 2 2 3_2.DATA" xfId="5281" xr:uid="{00000000-0005-0000-0000-0000020B0000}"/>
    <cellStyle name="Normal 12 2 2 4" xfId="2204" xr:uid="{00000000-0005-0000-0000-0000030B0000}"/>
    <cellStyle name="Normal 12 2 2 4 2" xfId="2205" xr:uid="{00000000-0005-0000-0000-0000040B0000}"/>
    <cellStyle name="Normal 12 2 2 4_2.DATA" xfId="5283" xr:uid="{00000000-0005-0000-0000-0000050B0000}"/>
    <cellStyle name="Normal 12 2 2 5" xfId="2206" xr:uid="{00000000-0005-0000-0000-0000060B0000}"/>
    <cellStyle name="Normal 12 2 2_2.DATA" xfId="5278" xr:uid="{00000000-0005-0000-0000-0000070B0000}"/>
    <cellStyle name="Normal 12 2 3" xfId="2207" xr:uid="{00000000-0005-0000-0000-0000080B0000}"/>
    <cellStyle name="Normal 12 2 3 2" xfId="2208" xr:uid="{00000000-0005-0000-0000-0000090B0000}"/>
    <cellStyle name="Normal 12 2 3 2 2" xfId="2209" xr:uid="{00000000-0005-0000-0000-00000A0B0000}"/>
    <cellStyle name="Normal 12 2 3 2 2 2" xfId="2210" xr:uid="{00000000-0005-0000-0000-00000B0B0000}"/>
    <cellStyle name="Normal 12 2 3 2 2_2.DATA" xfId="5286" xr:uid="{00000000-0005-0000-0000-00000C0B0000}"/>
    <cellStyle name="Normal 12 2 3 2 3" xfId="2211" xr:uid="{00000000-0005-0000-0000-00000D0B0000}"/>
    <cellStyle name="Normal 12 2 3 2_2.DATA" xfId="5285" xr:uid="{00000000-0005-0000-0000-00000E0B0000}"/>
    <cellStyle name="Normal 12 2 3 3" xfId="2212" xr:uid="{00000000-0005-0000-0000-00000F0B0000}"/>
    <cellStyle name="Normal 12 2 3 3 2" xfId="2213" xr:uid="{00000000-0005-0000-0000-0000100B0000}"/>
    <cellStyle name="Normal 12 2 3 3 2 2" xfId="2214" xr:uid="{00000000-0005-0000-0000-0000110B0000}"/>
    <cellStyle name="Normal 12 2 3 3 2_2.DATA" xfId="5288" xr:uid="{00000000-0005-0000-0000-0000120B0000}"/>
    <cellStyle name="Normal 12 2 3 3 3" xfId="2215" xr:uid="{00000000-0005-0000-0000-0000130B0000}"/>
    <cellStyle name="Normal 12 2 3 3_2.DATA" xfId="5287" xr:uid="{00000000-0005-0000-0000-0000140B0000}"/>
    <cellStyle name="Normal 12 2 3 4" xfId="2216" xr:uid="{00000000-0005-0000-0000-0000150B0000}"/>
    <cellStyle name="Normal 12 2 3 4 2" xfId="2217" xr:uid="{00000000-0005-0000-0000-0000160B0000}"/>
    <cellStyle name="Normal 12 2 3 4_2.DATA" xfId="5289" xr:uid="{00000000-0005-0000-0000-0000170B0000}"/>
    <cellStyle name="Normal 12 2 3 5" xfId="2218" xr:uid="{00000000-0005-0000-0000-0000180B0000}"/>
    <cellStyle name="Normal 12 2 3_2.DATA" xfId="5284" xr:uid="{00000000-0005-0000-0000-0000190B0000}"/>
    <cellStyle name="Normal 12 2 4" xfId="2219" xr:uid="{00000000-0005-0000-0000-00001A0B0000}"/>
    <cellStyle name="Normal 12 2 4 2" xfId="2220" xr:uid="{00000000-0005-0000-0000-00001B0B0000}"/>
    <cellStyle name="Normal 12 2 4 2 2" xfId="2221" xr:uid="{00000000-0005-0000-0000-00001C0B0000}"/>
    <cellStyle name="Normal 12 2 4 2 2 2" xfId="2222" xr:uid="{00000000-0005-0000-0000-00001D0B0000}"/>
    <cellStyle name="Normal 12 2 4 2 2_2.DATA" xfId="5292" xr:uid="{00000000-0005-0000-0000-00001E0B0000}"/>
    <cellStyle name="Normal 12 2 4 2 3" xfId="2223" xr:uid="{00000000-0005-0000-0000-00001F0B0000}"/>
    <cellStyle name="Normal 12 2 4 2_2.DATA" xfId="5291" xr:uid="{00000000-0005-0000-0000-0000200B0000}"/>
    <cellStyle name="Normal 12 2 4 3" xfId="2224" xr:uid="{00000000-0005-0000-0000-0000210B0000}"/>
    <cellStyle name="Normal 12 2 4 3 2" xfId="2225" xr:uid="{00000000-0005-0000-0000-0000220B0000}"/>
    <cellStyle name="Normal 12 2 4 3_2.DATA" xfId="5293" xr:uid="{00000000-0005-0000-0000-0000230B0000}"/>
    <cellStyle name="Normal 12 2 4 4" xfId="2226" xr:uid="{00000000-0005-0000-0000-0000240B0000}"/>
    <cellStyle name="Normal 12 2 4_2.DATA" xfId="5290" xr:uid="{00000000-0005-0000-0000-0000250B0000}"/>
    <cellStyle name="Normal 12 2 5" xfId="2227" xr:uid="{00000000-0005-0000-0000-0000260B0000}"/>
    <cellStyle name="Normal 12 2 5 2" xfId="2228" xr:uid="{00000000-0005-0000-0000-0000270B0000}"/>
    <cellStyle name="Normal 12 2 5 2 2" xfId="2229" xr:uid="{00000000-0005-0000-0000-0000280B0000}"/>
    <cellStyle name="Normal 12 2 5 2_2.DATA" xfId="5295" xr:uid="{00000000-0005-0000-0000-0000290B0000}"/>
    <cellStyle name="Normal 12 2 5 3" xfId="2230" xr:uid="{00000000-0005-0000-0000-00002A0B0000}"/>
    <cellStyle name="Normal 12 2 5_2.DATA" xfId="5294" xr:uid="{00000000-0005-0000-0000-00002B0B0000}"/>
    <cellStyle name="Normal 12 2 6" xfId="2231" xr:uid="{00000000-0005-0000-0000-00002C0B0000}"/>
    <cellStyle name="Normal 12 2 6 2" xfId="2232" xr:uid="{00000000-0005-0000-0000-00002D0B0000}"/>
    <cellStyle name="Normal 12 2 6 2 2" xfId="2233" xr:uid="{00000000-0005-0000-0000-00002E0B0000}"/>
    <cellStyle name="Normal 12 2 6 2_2.DATA" xfId="5297" xr:uid="{00000000-0005-0000-0000-00002F0B0000}"/>
    <cellStyle name="Normal 12 2 6 3" xfId="2234" xr:uid="{00000000-0005-0000-0000-0000300B0000}"/>
    <cellStyle name="Normal 12 2 6_2.DATA" xfId="5296" xr:uid="{00000000-0005-0000-0000-0000310B0000}"/>
    <cellStyle name="Normal 12 2 7" xfId="2235" xr:uid="{00000000-0005-0000-0000-0000320B0000}"/>
    <cellStyle name="Normal 12 2 7 2" xfId="2236" xr:uid="{00000000-0005-0000-0000-0000330B0000}"/>
    <cellStyle name="Normal 12 2 7_2.DATA" xfId="5298" xr:uid="{00000000-0005-0000-0000-0000340B0000}"/>
    <cellStyle name="Normal 12 2 8" xfId="2237" xr:uid="{00000000-0005-0000-0000-0000350B0000}"/>
    <cellStyle name="Normal 12 2_2.DATA" xfId="5277" xr:uid="{00000000-0005-0000-0000-0000360B0000}"/>
    <cellStyle name="Normal 12 3" xfId="1558" xr:uid="{00000000-0005-0000-0000-0000370B0000}"/>
    <cellStyle name="Normal 12 3 10" xfId="5300" xr:uid="{00000000-0005-0000-0000-0000380B0000}"/>
    <cellStyle name="Normal 12 3 2" xfId="2238" xr:uid="{00000000-0005-0000-0000-0000390B0000}"/>
    <cellStyle name="Normal 12 3 2 2" xfId="2239" xr:uid="{00000000-0005-0000-0000-00003A0B0000}"/>
    <cellStyle name="Normal 12 3 2 2 2" xfId="2240" xr:uid="{00000000-0005-0000-0000-00003B0B0000}"/>
    <cellStyle name="Normal 12 3 2 2_2.DATA" xfId="5302" xr:uid="{00000000-0005-0000-0000-00003C0B0000}"/>
    <cellStyle name="Normal 12 3 2 3" xfId="2241" xr:uid="{00000000-0005-0000-0000-00003D0B0000}"/>
    <cellStyle name="Normal 12 3 2_2.DATA" xfId="5301" xr:uid="{00000000-0005-0000-0000-00003E0B0000}"/>
    <cellStyle name="Normal 12 3 3" xfId="2242" xr:uid="{00000000-0005-0000-0000-00003F0B0000}"/>
    <cellStyle name="Normal 12 3 3 2" xfId="2243" xr:uid="{00000000-0005-0000-0000-0000400B0000}"/>
    <cellStyle name="Normal 12 3 3_2.DATA" xfId="5303" xr:uid="{00000000-0005-0000-0000-0000410B0000}"/>
    <cellStyle name="Normal 12 3 4" xfId="2244" xr:uid="{00000000-0005-0000-0000-0000420B0000}"/>
    <cellStyle name="Normal 12 3 5" xfId="2245" xr:uid="{00000000-0005-0000-0000-0000430B0000}"/>
    <cellStyle name="Normal 12 3 6" xfId="2246" xr:uid="{00000000-0005-0000-0000-0000440B0000}"/>
    <cellStyle name="Normal 12 3 7" xfId="5304" xr:uid="{00000000-0005-0000-0000-0000450B0000}"/>
    <cellStyle name="Normal 12 3 8" xfId="5305" xr:uid="{00000000-0005-0000-0000-0000460B0000}"/>
    <cellStyle name="Normal 12 3 9" xfId="5306" xr:uid="{00000000-0005-0000-0000-0000470B0000}"/>
    <cellStyle name="Normal 12 3_2.DATA" xfId="5299" xr:uid="{00000000-0005-0000-0000-0000480B0000}"/>
    <cellStyle name="Normal 12 4" xfId="2247" xr:uid="{00000000-0005-0000-0000-0000490B0000}"/>
    <cellStyle name="Normal 12 4 2" xfId="2248" xr:uid="{00000000-0005-0000-0000-00004A0B0000}"/>
    <cellStyle name="Normal 12 4 2 2" xfId="2249" xr:uid="{00000000-0005-0000-0000-00004B0B0000}"/>
    <cellStyle name="Normal 12 4 2_2.DATA" xfId="5308" xr:uid="{00000000-0005-0000-0000-00004C0B0000}"/>
    <cellStyle name="Normal 12 4 3" xfId="2250" xr:uid="{00000000-0005-0000-0000-00004D0B0000}"/>
    <cellStyle name="Normal 12 4_2.DATA" xfId="5307" xr:uid="{00000000-0005-0000-0000-00004E0B0000}"/>
    <cellStyle name="Normal 12 5" xfId="2251" xr:uid="{00000000-0005-0000-0000-00004F0B0000}"/>
    <cellStyle name="Normal 12 5 2" xfId="2252" xr:uid="{00000000-0005-0000-0000-0000500B0000}"/>
    <cellStyle name="Normal 12 5_2.DATA" xfId="5309" xr:uid="{00000000-0005-0000-0000-0000510B0000}"/>
    <cellStyle name="Normal 12 6" xfId="2253" xr:uid="{00000000-0005-0000-0000-0000520B0000}"/>
    <cellStyle name="Normal 12 7" xfId="4682" xr:uid="{00000000-0005-0000-0000-0000530B0000}"/>
    <cellStyle name="Normal 12 8" xfId="2254" xr:uid="{00000000-0005-0000-0000-0000540B0000}"/>
    <cellStyle name="Normal 12 9" xfId="1457" xr:uid="{00000000-0005-0000-0000-0000550B0000}"/>
    <cellStyle name="Normal 12_2.DATA" xfId="5276" xr:uid="{00000000-0005-0000-0000-0000560B0000}"/>
    <cellStyle name="Normal 13" xfId="981" xr:uid="{00000000-0005-0000-0000-0000570B0000}"/>
    <cellStyle name="Normal 13 2" xfId="982" xr:uid="{00000000-0005-0000-0000-0000580B0000}"/>
    <cellStyle name="Normal 13 2 2" xfId="983" xr:uid="{00000000-0005-0000-0000-0000590B0000}"/>
    <cellStyle name="Normal 13 2 2 2" xfId="984" xr:uid="{00000000-0005-0000-0000-00005A0B0000}"/>
    <cellStyle name="Normal 13 2 2 2 2" xfId="2255" xr:uid="{00000000-0005-0000-0000-00005B0B0000}"/>
    <cellStyle name="Normal 13 2 2 2 2 2" xfId="2256" xr:uid="{00000000-0005-0000-0000-00005C0B0000}"/>
    <cellStyle name="Normal 13 2 2 2 2_2.DATA" xfId="5314" xr:uid="{00000000-0005-0000-0000-00005D0B0000}"/>
    <cellStyle name="Normal 13 2 2 2 3" xfId="2257" xr:uid="{00000000-0005-0000-0000-00005E0B0000}"/>
    <cellStyle name="Normal 13 2 2 2_2.DATA" xfId="5313" xr:uid="{00000000-0005-0000-0000-00005F0B0000}"/>
    <cellStyle name="Normal 13 2 2 3" xfId="2258" xr:uid="{00000000-0005-0000-0000-0000600B0000}"/>
    <cellStyle name="Normal 13 2 2 3 2" xfId="2259" xr:uid="{00000000-0005-0000-0000-0000610B0000}"/>
    <cellStyle name="Normal 13 2 2 3 2 2" xfId="2260" xr:uid="{00000000-0005-0000-0000-0000620B0000}"/>
    <cellStyle name="Normal 13 2 2 3 2_2.DATA" xfId="5316" xr:uid="{00000000-0005-0000-0000-0000630B0000}"/>
    <cellStyle name="Normal 13 2 2 3 3" xfId="2261" xr:uid="{00000000-0005-0000-0000-0000640B0000}"/>
    <cellStyle name="Normal 13 2 2 3_2.DATA" xfId="5315" xr:uid="{00000000-0005-0000-0000-0000650B0000}"/>
    <cellStyle name="Normal 13 2 2 4" xfId="2262" xr:uid="{00000000-0005-0000-0000-0000660B0000}"/>
    <cellStyle name="Normal 13 2 2 4 2" xfId="2263" xr:uid="{00000000-0005-0000-0000-0000670B0000}"/>
    <cellStyle name="Normal 13 2 2 4_2.DATA" xfId="5317" xr:uid="{00000000-0005-0000-0000-0000680B0000}"/>
    <cellStyle name="Normal 13 2 2 5" xfId="2264" xr:uid="{00000000-0005-0000-0000-0000690B0000}"/>
    <cellStyle name="Normal 13 2 2_2.DATA" xfId="5312" xr:uid="{00000000-0005-0000-0000-00006A0B0000}"/>
    <cellStyle name="Normal 13 2 3" xfId="985" xr:uid="{00000000-0005-0000-0000-00006B0B0000}"/>
    <cellStyle name="Normal 13 2 3 2" xfId="2265" xr:uid="{00000000-0005-0000-0000-00006C0B0000}"/>
    <cellStyle name="Normal 13 2 3 2 2" xfId="2266" xr:uid="{00000000-0005-0000-0000-00006D0B0000}"/>
    <cellStyle name="Normal 13 2 3 2 2 2" xfId="2267" xr:uid="{00000000-0005-0000-0000-00006E0B0000}"/>
    <cellStyle name="Normal 13 2 3 2 2_2.DATA" xfId="5320" xr:uid="{00000000-0005-0000-0000-00006F0B0000}"/>
    <cellStyle name="Normal 13 2 3 2 3" xfId="2268" xr:uid="{00000000-0005-0000-0000-0000700B0000}"/>
    <cellStyle name="Normal 13 2 3 2_2.DATA" xfId="5319" xr:uid="{00000000-0005-0000-0000-0000710B0000}"/>
    <cellStyle name="Normal 13 2 3 3" xfId="2269" xr:uid="{00000000-0005-0000-0000-0000720B0000}"/>
    <cellStyle name="Normal 13 2 3 3 2" xfId="2270" xr:uid="{00000000-0005-0000-0000-0000730B0000}"/>
    <cellStyle name="Normal 13 2 3 3 2 2" xfId="2271" xr:uid="{00000000-0005-0000-0000-0000740B0000}"/>
    <cellStyle name="Normal 13 2 3 3 2_2.DATA" xfId="5322" xr:uid="{00000000-0005-0000-0000-0000750B0000}"/>
    <cellStyle name="Normal 13 2 3 3 3" xfId="2272" xr:uid="{00000000-0005-0000-0000-0000760B0000}"/>
    <cellStyle name="Normal 13 2 3 3_2.DATA" xfId="5321" xr:uid="{00000000-0005-0000-0000-0000770B0000}"/>
    <cellStyle name="Normal 13 2 3 4" xfId="2273" xr:uid="{00000000-0005-0000-0000-0000780B0000}"/>
    <cellStyle name="Normal 13 2 3 4 2" xfId="2274" xr:uid="{00000000-0005-0000-0000-0000790B0000}"/>
    <cellStyle name="Normal 13 2 3 4_2.DATA" xfId="5323" xr:uid="{00000000-0005-0000-0000-00007A0B0000}"/>
    <cellStyle name="Normal 13 2 3 5" xfId="2275" xr:uid="{00000000-0005-0000-0000-00007B0B0000}"/>
    <cellStyle name="Normal 13 2 3_2.DATA" xfId="5318" xr:uid="{00000000-0005-0000-0000-00007C0B0000}"/>
    <cellStyle name="Normal 13 2 4" xfId="2276" xr:uid="{00000000-0005-0000-0000-00007D0B0000}"/>
    <cellStyle name="Normal 13 2 4 2" xfId="2277" xr:uid="{00000000-0005-0000-0000-00007E0B0000}"/>
    <cellStyle name="Normal 13 2 4 2 2" xfId="2278" xr:uid="{00000000-0005-0000-0000-00007F0B0000}"/>
    <cellStyle name="Normal 13 2 4 2 2 2" xfId="2279" xr:uid="{00000000-0005-0000-0000-0000800B0000}"/>
    <cellStyle name="Normal 13 2 4 2 2_2.DATA" xfId="5326" xr:uid="{00000000-0005-0000-0000-0000810B0000}"/>
    <cellStyle name="Normal 13 2 4 2 3" xfId="2280" xr:uid="{00000000-0005-0000-0000-0000820B0000}"/>
    <cellStyle name="Normal 13 2 4 2_2.DATA" xfId="5325" xr:uid="{00000000-0005-0000-0000-0000830B0000}"/>
    <cellStyle name="Normal 13 2 4 3" xfId="2281" xr:uid="{00000000-0005-0000-0000-0000840B0000}"/>
    <cellStyle name="Normal 13 2 4 3 2" xfId="2282" xr:uid="{00000000-0005-0000-0000-0000850B0000}"/>
    <cellStyle name="Normal 13 2 4 3_2.DATA" xfId="5327" xr:uid="{00000000-0005-0000-0000-0000860B0000}"/>
    <cellStyle name="Normal 13 2 4 4" xfId="2283" xr:uid="{00000000-0005-0000-0000-0000870B0000}"/>
    <cellStyle name="Normal 13 2 4_2.DATA" xfId="5324" xr:uid="{00000000-0005-0000-0000-0000880B0000}"/>
    <cellStyle name="Normal 13 2 5" xfId="2284" xr:uid="{00000000-0005-0000-0000-0000890B0000}"/>
    <cellStyle name="Normal 13 2 5 2" xfId="2285" xr:uid="{00000000-0005-0000-0000-00008A0B0000}"/>
    <cellStyle name="Normal 13 2 5 2 2" xfId="2286" xr:uid="{00000000-0005-0000-0000-00008B0B0000}"/>
    <cellStyle name="Normal 13 2 5 2_2.DATA" xfId="5329" xr:uid="{00000000-0005-0000-0000-00008C0B0000}"/>
    <cellStyle name="Normal 13 2 5 3" xfId="2287" xr:uid="{00000000-0005-0000-0000-00008D0B0000}"/>
    <cellStyle name="Normal 13 2 5_2.DATA" xfId="5328" xr:uid="{00000000-0005-0000-0000-00008E0B0000}"/>
    <cellStyle name="Normal 13 2 6" xfId="2288" xr:uid="{00000000-0005-0000-0000-00008F0B0000}"/>
    <cellStyle name="Normal 13 2 7" xfId="4015" xr:uid="{00000000-0005-0000-0000-0000900B0000}"/>
    <cellStyle name="Normal 13 2_2.DATA" xfId="5311" xr:uid="{00000000-0005-0000-0000-0000910B0000}"/>
    <cellStyle name="Normal 13 3" xfId="986" xr:uid="{00000000-0005-0000-0000-0000920B0000}"/>
    <cellStyle name="Normal 13 3 2" xfId="987" xr:uid="{00000000-0005-0000-0000-0000930B0000}"/>
    <cellStyle name="Normal 13 3 2 2" xfId="2289" xr:uid="{00000000-0005-0000-0000-0000940B0000}"/>
    <cellStyle name="Normal 13 3 2 2 2" xfId="2290" xr:uid="{00000000-0005-0000-0000-0000950B0000}"/>
    <cellStyle name="Normal 13 3 2 2 2 2" xfId="2291" xr:uid="{00000000-0005-0000-0000-0000960B0000}"/>
    <cellStyle name="Normal 13 3 2 2 2_2.DATA" xfId="5333" xr:uid="{00000000-0005-0000-0000-0000970B0000}"/>
    <cellStyle name="Normal 13 3 2 2 3" xfId="2292" xr:uid="{00000000-0005-0000-0000-0000980B0000}"/>
    <cellStyle name="Normal 13 3 2 2_2.DATA" xfId="5332" xr:uid="{00000000-0005-0000-0000-0000990B0000}"/>
    <cellStyle name="Normal 13 3 2 3" xfId="2293" xr:uid="{00000000-0005-0000-0000-00009A0B0000}"/>
    <cellStyle name="Normal 13 3 2 3 2" xfId="2294" xr:uid="{00000000-0005-0000-0000-00009B0B0000}"/>
    <cellStyle name="Normal 13 3 2 3_2.DATA" xfId="5334" xr:uid="{00000000-0005-0000-0000-00009C0B0000}"/>
    <cellStyle name="Normal 13 3 2 4" xfId="2295" xr:uid="{00000000-0005-0000-0000-00009D0B0000}"/>
    <cellStyle name="Normal 13 3 2_2.DATA" xfId="5331" xr:uid="{00000000-0005-0000-0000-00009E0B0000}"/>
    <cellStyle name="Normal 13 3 3" xfId="2296" xr:uid="{00000000-0005-0000-0000-00009F0B0000}"/>
    <cellStyle name="Normal 13 3 3 2" xfId="2297" xr:uid="{00000000-0005-0000-0000-0000A00B0000}"/>
    <cellStyle name="Normal 13 3 3 2 2" xfId="2298" xr:uid="{00000000-0005-0000-0000-0000A10B0000}"/>
    <cellStyle name="Normal 13 3 3 2_2.DATA" xfId="5336" xr:uid="{00000000-0005-0000-0000-0000A20B0000}"/>
    <cellStyle name="Normal 13 3 3 3" xfId="2299" xr:uid="{00000000-0005-0000-0000-0000A30B0000}"/>
    <cellStyle name="Normal 13 3 3_2.DATA" xfId="5335" xr:uid="{00000000-0005-0000-0000-0000A40B0000}"/>
    <cellStyle name="Normal 13 3 4" xfId="2300" xr:uid="{00000000-0005-0000-0000-0000A50B0000}"/>
    <cellStyle name="Normal 13 3 4 2" xfId="2301" xr:uid="{00000000-0005-0000-0000-0000A60B0000}"/>
    <cellStyle name="Normal 13 3 4 2 2" xfId="2302" xr:uid="{00000000-0005-0000-0000-0000A70B0000}"/>
    <cellStyle name="Normal 13 3 4 2_2.DATA" xfId="5338" xr:uid="{00000000-0005-0000-0000-0000A80B0000}"/>
    <cellStyle name="Normal 13 3 4 3" xfId="2303" xr:uid="{00000000-0005-0000-0000-0000A90B0000}"/>
    <cellStyle name="Normal 13 3 4_2.DATA" xfId="5337" xr:uid="{00000000-0005-0000-0000-0000AA0B0000}"/>
    <cellStyle name="Normal 13 3 5" xfId="2304" xr:uid="{00000000-0005-0000-0000-0000AB0B0000}"/>
    <cellStyle name="Normal 13 3 5 2" xfId="2305" xr:uid="{00000000-0005-0000-0000-0000AC0B0000}"/>
    <cellStyle name="Normal 13 3 5 2 2" xfId="2306" xr:uid="{00000000-0005-0000-0000-0000AD0B0000}"/>
    <cellStyle name="Normal 13 3 5 2_2.DATA" xfId="5340" xr:uid="{00000000-0005-0000-0000-0000AE0B0000}"/>
    <cellStyle name="Normal 13 3 5 3" xfId="2307" xr:uid="{00000000-0005-0000-0000-0000AF0B0000}"/>
    <cellStyle name="Normal 13 3 5_2.DATA" xfId="5339" xr:uid="{00000000-0005-0000-0000-0000B00B0000}"/>
    <cellStyle name="Normal 13 3 6" xfId="2308" xr:uid="{00000000-0005-0000-0000-0000B10B0000}"/>
    <cellStyle name="Normal 13 3 6 2" xfId="2309" xr:uid="{00000000-0005-0000-0000-0000B20B0000}"/>
    <cellStyle name="Normal 13 3 6_2.DATA" xfId="5341" xr:uid="{00000000-0005-0000-0000-0000B30B0000}"/>
    <cellStyle name="Normal 13 3 7" xfId="2310" xr:uid="{00000000-0005-0000-0000-0000B40B0000}"/>
    <cellStyle name="Normal 13 3_2.DATA" xfId="5330" xr:uid="{00000000-0005-0000-0000-0000B50B0000}"/>
    <cellStyle name="Normal 13 4" xfId="988" xr:uid="{00000000-0005-0000-0000-0000B60B0000}"/>
    <cellStyle name="Normal 13 4 2" xfId="4683" xr:uid="{00000000-0005-0000-0000-0000B70B0000}"/>
    <cellStyle name="Normal 13 4 3" xfId="2311" xr:uid="{00000000-0005-0000-0000-0000B80B0000}"/>
    <cellStyle name="Normal 13 5" xfId="4014" xr:uid="{00000000-0005-0000-0000-0000B90B0000}"/>
    <cellStyle name="Normal 13_2.DATA" xfId="5310" xr:uid="{00000000-0005-0000-0000-0000BA0B0000}"/>
    <cellStyle name="Normal 137" xfId="2312" xr:uid="{00000000-0005-0000-0000-0000BB0B0000}"/>
    <cellStyle name="Normal 137 2" xfId="2313" xr:uid="{00000000-0005-0000-0000-0000BC0B0000}"/>
    <cellStyle name="Normal 14" xfId="989" xr:uid="{00000000-0005-0000-0000-0000BD0B0000}"/>
    <cellStyle name="Normal 14 2" xfId="990" xr:uid="{00000000-0005-0000-0000-0000BE0B0000}"/>
    <cellStyle name="Normal 14 2 2" xfId="2314" xr:uid="{00000000-0005-0000-0000-0000BF0B0000}"/>
    <cellStyle name="Normal 14 2 2 2" xfId="2315" xr:uid="{00000000-0005-0000-0000-0000C00B0000}"/>
    <cellStyle name="Normal 14 2 2 2 2" xfId="2316" xr:uid="{00000000-0005-0000-0000-0000C10B0000}"/>
    <cellStyle name="Normal 14 2 2 2 2 2" xfId="2317" xr:uid="{00000000-0005-0000-0000-0000C20B0000}"/>
    <cellStyle name="Normal 14 2 2 2 2_2.DATA" xfId="5346" xr:uid="{00000000-0005-0000-0000-0000C30B0000}"/>
    <cellStyle name="Normal 14 2 2 2 3" xfId="2318" xr:uid="{00000000-0005-0000-0000-0000C40B0000}"/>
    <cellStyle name="Normal 14 2 2 2_2.DATA" xfId="5345" xr:uid="{00000000-0005-0000-0000-0000C50B0000}"/>
    <cellStyle name="Normal 14 2 2 3" xfId="2319" xr:uid="{00000000-0005-0000-0000-0000C60B0000}"/>
    <cellStyle name="Normal 14 2 2 3 2" xfId="2320" xr:uid="{00000000-0005-0000-0000-0000C70B0000}"/>
    <cellStyle name="Normal 14 2 2 3 2 2" xfId="2321" xr:uid="{00000000-0005-0000-0000-0000C80B0000}"/>
    <cellStyle name="Normal 14 2 2 3 2_2.DATA" xfId="5348" xr:uid="{00000000-0005-0000-0000-0000C90B0000}"/>
    <cellStyle name="Normal 14 2 2 3 3" xfId="2322" xr:uid="{00000000-0005-0000-0000-0000CA0B0000}"/>
    <cellStyle name="Normal 14 2 2 3_2.DATA" xfId="5347" xr:uid="{00000000-0005-0000-0000-0000CB0B0000}"/>
    <cellStyle name="Normal 14 2 2 4" xfId="2323" xr:uid="{00000000-0005-0000-0000-0000CC0B0000}"/>
    <cellStyle name="Normal 14 2 2 4 2" xfId="2324" xr:uid="{00000000-0005-0000-0000-0000CD0B0000}"/>
    <cellStyle name="Normal 14 2 2 4_2.DATA" xfId="5349" xr:uid="{00000000-0005-0000-0000-0000CE0B0000}"/>
    <cellStyle name="Normal 14 2 2 5" xfId="2325" xr:uid="{00000000-0005-0000-0000-0000CF0B0000}"/>
    <cellStyle name="Normal 14 2 2_2.DATA" xfId="5344" xr:uid="{00000000-0005-0000-0000-0000D00B0000}"/>
    <cellStyle name="Normal 14 2 3" xfId="2326" xr:uid="{00000000-0005-0000-0000-0000D10B0000}"/>
    <cellStyle name="Normal 14 2 3 2" xfId="2327" xr:uid="{00000000-0005-0000-0000-0000D20B0000}"/>
    <cellStyle name="Normal 14 2 3 2 2" xfId="2328" xr:uid="{00000000-0005-0000-0000-0000D30B0000}"/>
    <cellStyle name="Normal 14 2 3 2 2 2" xfId="2329" xr:uid="{00000000-0005-0000-0000-0000D40B0000}"/>
    <cellStyle name="Normal 14 2 3 2 2_2.DATA" xfId="5352" xr:uid="{00000000-0005-0000-0000-0000D50B0000}"/>
    <cellStyle name="Normal 14 2 3 2 3" xfId="2330" xr:uid="{00000000-0005-0000-0000-0000D60B0000}"/>
    <cellStyle name="Normal 14 2 3 2_2.DATA" xfId="5351" xr:uid="{00000000-0005-0000-0000-0000D70B0000}"/>
    <cellStyle name="Normal 14 2 3 3" xfId="2331" xr:uid="{00000000-0005-0000-0000-0000D80B0000}"/>
    <cellStyle name="Normal 14 2 3 3 2" xfId="2332" xr:uid="{00000000-0005-0000-0000-0000D90B0000}"/>
    <cellStyle name="Normal 14 2 3 3 2 2" xfId="2333" xr:uid="{00000000-0005-0000-0000-0000DA0B0000}"/>
    <cellStyle name="Normal 14 2 3 3 2_2.DATA" xfId="5354" xr:uid="{00000000-0005-0000-0000-0000DB0B0000}"/>
    <cellStyle name="Normal 14 2 3 3 3" xfId="2334" xr:uid="{00000000-0005-0000-0000-0000DC0B0000}"/>
    <cellStyle name="Normal 14 2 3 3_2.DATA" xfId="5353" xr:uid="{00000000-0005-0000-0000-0000DD0B0000}"/>
    <cellStyle name="Normal 14 2 3 4" xfId="2335" xr:uid="{00000000-0005-0000-0000-0000DE0B0000}"/>
    <cellStyle name="Normal 14 2 3 4 2" xfId="2336" xr:uid="{00000000-0005-0000-0000-0000DF0B0000}"/>
    <cellStyle name="Normal 14 2 3 4_2.DATA" xfId="5355" xr:uid="{00000000-0005-0000-0000-0000E00B0000}"/>
    <cellStyle name="Normal 14 2 3 5" xfId="2337" xr:uid="{00000000-0005-0000-0000-0000E10B0000}"/>
    <cellStyle name="Normal 14 2 3_2.DATA" xfId="5350" xr:uid="{00000000-0005-0000-0000-0000E20B0000}"/>
    <cellStyle name="Normal 14 2 4" xfId="2338" xr:uid="{00000000-0005-0000-0000-0000E30B0000}"/>
    <cellStyle name="Normal 14 2 4 2" xfId="2339" xr:uid="{00000000-0005-0000-0000-0000E40B0000}"/>
    <cellStyle name="Normal 14 2 4 2 2" xfId="2340" xr:uid="{00000000-0005-0000-0000-0000E50B0000}"/>
    <cellStyle name="Normal 14 2 4 2 2 2" xfId="2341" xr:uid="{00000000-0005-0000-0000-0000E60B0000}"/>
    <cellStyle name="Normal 14 2 4 2 2_2.DATA" xfId="5358" xr:uid="{00000000-0005-0000-0000-0000E70B0000}"/>
    <cellStyle name="Normal 14 2 4 2 3" xfId="2342" xr:uid="{00000000-0005-0000-0000-0000E80B0000}"/>
    <cellStyle name="Normal 14 2 4 2_2.DATA" xfId="5357" xr:uid="{00000000-0005-0000-0000-0000E90B0000}"/>
    <cellStyle name="Normal 14 2 4 3" xfId="2343" xr:uid="{00000000-0005-0000-0000-0000EA0B0000}"/>
    <cellStyle name="Normal 14 2 4 3 2" xfId="2344" xr:uid="{00000000-0005-0000-0000-0000EB0B0000}"/>
    <cellStyle name="Normal 14 2 4 3_2.DATA" xfId="5359" xr:uid="{00000000-0005-0000-0000-0000EC0B0000}"/>
    <cellStyle name="Normal 14 2 4 4" xfId="2345" xr:uid="{00000000-0005-0000-0000-0000ED0B0000}"/>
    <cellStyle name="Normal 14 2 4_2.DATA" xfId="5356" xr:uid="{00000000-0005-0000-0000-0000EE0B0000}"/>
    <cellStyle name="Normal 14 2 5" xfId="2346" xr:uid="{00000000-0005-0000-0000-0000EF0B0000}"/>
    <cellStyle name="Normal 14 2 5 2" xfId="2347" xr:uid="{00000000-0005-0000-0000-0000F00B0000}"/>
    <cellStyle name="Normal 14 2 5 2 2" xfId="2348" xr:uid="{00000000-0005-0000-0000-0000F10B0000}"/>
    <cellStyle name="Normal 14 2 5 2_2.DATA" xfId="5361" xr:uid="{00000000-0005-0000-0000-0000F20B0000}"/>
    <cellStyle name="Normal 14 2 5 3" xfId="2349" xr:uid="{00000000-0005-0000-0000-0000F30B0000}"/>
    <cellStyle name="Normal 14 2 5_2.DATA" xfId="5360" xr:uid="{00000000-0005-0000-0000-0000F40B0000}"/>
    <cellStyle name="Normal 14 2 6" xfId="2350" xr:uid="{00000000-0005-0000-0000-0000F50B0000}"/>
    <cellStyle name="Normal 14 2 7" xfId="4017" xr:uid="{00000000-0005-0000-0000-0000F60B0000}"/>
    <cellStyle name="Normal 14 2 8" xfId="1641" xr:uid="{00000000-0005-0000-0000-0000F70B0000}"/>
    <cellStyle name="Normal 14 2_2.DATA" xfId="5343" xr:uid="{00000000-0005-0000-0000-0000F80B0000}"/>
    <cellStyle name="Normal 14 3" xfId="2351" xr:uid="{00000000-0005-0000-0000-0000F90B0000}"/>
    <cellStyle name="Normal 14 3 2" xfId="2352" xr:uid="{00000000-0005-0000-0000-0000FA0B0000}"/>
    <cellStyle name="Normal 14 3 2 2" xfId="2353" xr:uid="{00000000-0005-0000-0000-0000FB0B0000}"/>
    <cellStyle name="Normal 14 3 2 2 2" xfId="2354" xr:uid="{00000000-0005-0000-0000-0000FC0B0000}"/>
    <cellStyle name="Normal 14 3 2 2 2 2" xfId="2355" xr:uid="{00000000-0005-0000-0000-0000FD0B0000}"/>
    <cellStyle name="Normal 14 3 2 2 2_2.DATA" xfId="5365" xr:uid="{00000000-0005-0000-0000-0000FE0B0000}"/>
    <cellStyle name="Normal 14 3 2 2 3" xfId="2356" xr:uid="{00000000-0005-0000-0000-0000FF0B0000}"/>
    <cellStyle name="Normal 14 3 2 2_2.DATA" xfId="5364" xr:uid="{00000000-0005-0000-0000-0000000C0000}"/>
    <cellStyle name="Normal 14 3 2 3" xfId="2357" xr:uid="{00000000-0005-0000-0000-0000010C0000}"/>
    <cellStyle name="Normal 14 3 2 3 2" xfId="2358" xr:uid="{00000000-0005-0000-0000-0000020C0000}"/>
    <cellStyle name="Normal 14 3 2 3_2.DATA" xfId="5366" xr:uid="{00000000-0005-0000-0000-0000030C0000}"/>
    <cellStyle name="Normal 14 3 2 4" xfId="2359" xr:uid="{00000000-0005-0000-0000-0000040C0000}"/>
    <cellStyle name="Normal 14 3 2_2.DATA" xfId="5363" xr:uid="{00000000-0005-0000-0000-0000050C0000}"/>
    <cellStyle name="Normal 14 3 3" xfId="2360" xr:uid="{00000000-0005-0000-0000-0000060C0000}"/>
    <cellStyle name="Normal 14 3 3 2" xfId="2361" xr:uid="{00000000-0005-0000-0000-0000070C0000}"/>
    <cellStyle name="Normal 14 3 3 2 2" xfId="2362" xr:uid="{00000000-0005-0000-0000-0000080C0000}"/>
    <cellStyle name="Normal 14 3 3 2_2.DATA" xfId="5368" xr:uid="{00000000-0005-0000-0000-0000090C0000}"/>
    <cellStyle name="Normal 14 3 3 3" xfId="2363" xr:uid="{00000000-0005-0000-0000-00000A0C0000}"/>
    <cellStyle name="Normal 14 3 3_2.DATA" xfId="5367" xr:uid="{00000000-0005-0000-0000-00000B0C0000}"/>
    <cellStyle name="Normal 14 3 4" xfId="2364" xr:uid="{00000000-0005-0000-0000-00000C0C0000}"/>
    <cellStyle name="Normal 14 3 4 2" xfId="2365" xr:uid="{00000000-0005-0000-0000-00000D0C0000}"/>
    <cellStyle name="Normal 14 3 4 2 2" xfId="2366" xr:uid="{00000000-0005-0000-0000-00000E0C0000}"/>
    <cellStyle name="Normal 14 3 4 2_2.DATA" xfId="5370" xr:uid="{00000000-0005-0000-0000-00000F0C0000}"/>
    <cellStyle name="Normal 14 3 4 3" xfId="2367" xr:uid="{00000000-0005-0000-0000-0000100C0000}"/>
    <cellStyle name="Normal 14 3 4_2.DATA" xfId="5369" xr:uid="{00000000-0005-0000-0000-0000110C0000}"/>
    <cellStyle name="Normal 14 3 5" xfId="2368" xr:uid="{00000000-0005-0000-0000-0000120C0000}"/>
    <cellStyle name="Normal 14 3 5 2" xfId="2369" xr:uid="{00000000-0005-0000-0000-0000130C0000}"/>
    <cellStyle name="Normal 14 3 5 2 2" xfId="2370" xr:uid="{00000000-0005-0000-0000-0000140C0000}"/>
    <cellStyle name="Normal 14 3 5 2_2.DATA" xfId="5372" xr:uid="{00000000-0005-0000-0000-0000150C0000}"/>
    <cellStyle name="Normal 14 3 5 3" xfId="2371" xr:uid="{00000000-0005-0000-0000-0000160C0000}"/>
    <cellStyle name="Normal 14 3 5_2.DATA" xfId="5371" xr:uid="{00000000-0005-0000-0000-0000170C0000}"/>
    <cellStyle name="Normal 14 3 6" xfId="2372" xr:uid="{00000000-0005-0000-0000-0000180C0000}"/>
    <cellStyle name="Normal 14 3 6 2" xfId="2373" xr:uid="{00000000-0005-0000-0000-0000190C0000}"/>
    <cellStyle name="Normal 14 3 6_2.DATA" xfId="5373" xr:uid="{00000000-0005-0000-0000-00001A0C0000}"/>
    <cellStyle name="Normal 14 3 7" xfId="2374" xr:uid="{00000000-0005-0000-0000-00001B0C0000}"/>
    <cellStyle name="Normal 14 3_2.DATA" xfId="5362" xr:uid="{00000000-0005-0000-0000-00001C0C0000}"/>
    <cellStyle name="Normal 14 4" xfId="2375" xr:uid="{00000000-0005-0000-0000-00001D0C0000}"/>
    <cellStyle name="Normal 14 5" xfId="4016" xr:uid="{00000000-0005-0000-0000-00001E0C0000}"/>
    <cellStyle name="Normal 14 6" xfId="1494" xr:uid="{00000000-0005-0000-0000-00001F0C0000}"/>
    <cellStyle name="Normal 14_2.DATA" xfId="5342" xr:uid="{00000000-0005-0000-0000-0000200C0000}"/>
    <cellStyle name="Normal 15" xfId="991" xr:uid="{00000000-0005-0000-0000-0000210C0000}"/>
    <cellStyle name="Normal 15 2" xfId="992" xr:uid="{00000000-0005-0000-0000-0000220C0000}"/>
    <cellStyle name="Normal 15 2 2" xfId="993" xr:uid="{00000000-0005-0000-0000-0000230C0000}"/>
    <cellStyle name="Normal 15 2 2 2" xfId="2376" xr:uid="{00000000-0005-0000-0000-0000240C0000}"/>
    <cellStyle name="Normal 15 2 2 2 2" xfId="2377" xr:uid="{00000000-0005-0000-0000-0000250C0000}"/>
    <cellStyle name="Normal 15 2 2 2 2 2" xfId="2378" xr:uid="{00000000-0005-0000-0000-0000260C0000}"/>
    <cellStyle name="Normal 15 2 2 2 2_2.DATA" xfId="5378" xr:uid="{00000000-0005-0000-0000-0000270C0000}"/>
    <cellStyle name="Normal 15 2 2 2 3" xfId="2379" xr:uid="{00000000-0005-0000-0000-0000280C0000}"/>
    <cellStyle name="Normal 15 2 2 2_2.DATA" xfId="5377" xr:uid="{00000000-0005-0000-0000-0000290C0000}"/>
    <cellStyle name="Normal 15 2 2 3" xfId="2380" xr:uid="{00000000-0005-0000-0000-00002A0C0000}"/>
    <cellStyle name="Normal 15 2 2 3 2" xfId="2381" xr:uid="{00000000-0005-0000-0000-00002B0C0000}"/>
    <cellStyle name="Normal 15 2 2 3 2 2" xfId="2382" xr:uid="{00000000-0005-0000-0000-00002C0C0000}"/>
    <cellStyle name="Normal 15 2 2 3 2_2.DATA" xfId="5380" xr:uid="{00000000-0005-0000-0000-00002D0C0000}"/>
    <cellStyle name="Normal 15 2 2 3 3" xfId="2383" xr:uid="{00000000-0005-0000-0000-00002E0C0000}"/>
    <cellStyle name="Normal 15 2 2 3_2.DATA" xfId="5379" xr:uid="{00000000-0005-0000-0000-00002F0C0000}"/>
    <cellStyle name="Normal 15 2 2 4" xfId="2384" xr:uid="{00000000-0005-0000-0000-0000300C0000}"/>
    <cellStyle name="Normal 15 2 2 4 2" xfId="2385" xr:uid="{00000000-0005-0000-0000-0000310C0000}"/>
    <cellStyle name="Normal 15 2 2 4_2.DATA" xfId="5381" xr:uid="{00000000-0005-0000-0000-0000320C0000}"/>
    <cellStyle name="Normal 15 2 2 5" xfId="2386" xr:uid="{00000000-0005-0000-0000-0000330C0000}"/>
    <cellStyle name="Normal 15 2 2_2.DATA" xfId="5376" xr:uid="{00000000-0005-0000-0000-0000340C0000}"/>
    <cellStyle name="Normal 15 2 3" xfId="2387" xr:uid="{00000000-0005-0000-0000-0000350C0000}"/>
    <cellStyle name="Normal 15 2 3 2" xfId="2388" xr:uid="{00000000-0005-0000-0000-0000360C0000}"/>
    <cellStyle name="Normal 15 2 3 2 2" xfId="2389" xr:uid="{00000000-0005-0000-0000-0000370C0000}"/>
    <cellStyle name="Normal 15 2 3 2 2 2" xfId="2390" xr:uid="{00000000-0005-0000-0000-0000380C0000}"/>
    <cellStyle name="Normal 15 2 3 2 2_2.DATA" xfId="5384" xr:uid="{00000000-0005-0000-0000-0000390C0000}"/>
    <cellStyle name="Normal 15 2 3 2 3" xfId="2391" xr:uid="{00000000-0005-0000-0000-00003A0C0000}"/>
    <cellStyle name="Normal 15 2 3 2_2.DATA" xfId="5383" xr:uid="{00000000-0005-0000-0000-00003B0C0000}"/>
    <cellStyle name="Normal 15 2 3 3" xfId="2392" xr:uid="{00000000-0005-0000-0000-00003C0C0000}"/>
    <cellStyle name="Normal 15 2 3 3 2" xfId="2393" xr:uid="{00000000-0005-0000-0000-00003D0C0000}"/>
    <cellStyle name="Normal 15 2 3 3 2 2" xfId="2394" xr:uid="{00000000-0005-0000-0000-00003E0C0000}"/>
    <cellStyle name="Normal 15 2 3 3 2_2.DATA" xfId="5386" xr:uid="{00000000-0005-0000-0000-00003F0C0000}"/>
    <cellStyle name="Normal 15 2 3 3 3" xfId="2395" xr:uid="{00000000-0005-0000-0000-0000400C0000}"/>
    <cellStyle name="Normal 15 2 3 3_2.DATA" xfId="5385" xr:uid="{00000000-0005-0000-0000-0000410C0000}"/>
    <cellStyle name="Normal 15 2 3 4" xfId="2396" xr:uid="{00000000-0005-0000-0000-0000420C0000}"/>
    <cellStyle name="Normal 15 2 3 4 2" xfId="2397" xr:uid="{00000000-0005-0000-0000-0000430C0000}"/>
    <cellStyle name="Normal 15 2 3 4_2.DATA" xfId="5387" xr:uid="{00000000-0005-0000-0000-0000440C0000}"/>
    <cellStyle name="Normal 15 2 3 5" xfId="2398" xr:uid="{00000000-0005-0000-0000-0000450C0000}"/>
    <cellStyle name="Normal 15 2 3_2.DATA" xfId="5382" xr:uid="{00000000-0005-0000-0000-0000460C0000}"/>
    <cellStyle name="Normal 15 2 4" xfId="2399" xr:uid="{00000000-0005-0000-0000-0000470C0000}"/>
    <cellStyle name="Normal 15 2 4 2" xfId="2400" xr:uid="{00000000-0005-0000-0000-0000480C0000}"/>
    <cellStyle name="Normal 15 2 4 2 2" xfId="2401" xr:uid="{00000000-0005-0000-0000-0000490C0000}"/>
    <cellStyle name="Normal 15 2 4 2 2 2" xfId="2402" xr:uid="{00000000-0005-0000-0000-00004A0C0000}"/>
    <cellStyle name="Normal 15 2 4 2 2_2.DATA" xfId="5390" xr:uid="{00000000-0005-0000-0000-00004B0C0000}"/>
    <cellStyle name="Normal 15 2 4 2 3" xfId="2403" xr:uid="{00000000-0005-0000-0000-00004C0C0000}"/>
    <cellStyle name="Normal 15 2 4 2_2.DATA" xfId="5389" xr:uid="{00000000-0005-0000-0000-00004D0C0000}"/>
    <cellStyle name="Normal 15 2 4 3" xfId="2404" xr:uid="{00000000-0005-0000-0000-00004E0C0000}"/>
    <cellStyle name="Normal 15 2 4 3 2" xfId="2405" xr:uid="{00000000-0005-0000-0000-00004F0C0000}"/>
    <cellStyle name="Normal 15 2 4 3_2.DATA" xfId="5391" xr:uid="{00000000-0005-0000-0000-0000500C0000}"/>
    <cellStyle name="Normal 15 2 4 4" xfId="2406" xr:uid="{00000000-0005-0000-0000-0000510C0000}"/>
    <cellStyle name="Normal 15 2 4_2.DATA" xfId="5388" xr:uid="{00000000-0005-0000-0000-0000520C0000}"/>
    <cellStyle name="Normal 15 2 5" xfId="2407" xr:uid="{00000000-0005-0000-0000-0000530C0000}"/>
    <cellStyle name="Normal 15 2 5 2" xfId="2408" xr:uid="{00000000-0005-0000-0000-0000540C0000}"/>
    <cellStyle name="Normal 15 2 5 2 2" xfId="2409" xr:uid="{00000000-0005-0000-0000-0000550C0000}"/>
    <cellStyle name="Normal 15 2 5 2_2.DATA" xfId="5393" xr:uid="{00000000-0005-0000-0000-0000560C0000}"/>
    <cellStyle name="Normal 15 2 5 3" xfId="2410" xr:uid="{00000000-0005-0000-0000-0000570C0000}"/>
    <cellStyle name="Normal 15 2 5_2.DATA" xfId="5392" xr:uid="{00000000-0005-0000-0000-0000580C0000}"/>
    <cellStyle name="Normal 15 2 6" xfId="2411" xr:uid="{00000000-0005-0000-0000-0000590C0000}"/>
    <cellStyle name="Normal 15 2 6 2" xfId="2412" xr:uid="{00000000-0005-0000-0000-00005A0C0000}"/>
    <cellStyle name="Normal 15 2 6 2 2" xfId="2413" xr:uid="{00000000-0005-0000-0000-00005B0C0000}"/>
    <cellStyle name="Normal 15 2 6 2_2.DATA" xfId="5395" xr:uid="{00000000-0005-0000-0000-00005C0C0000}"/>
    <cellStyle name="Normal 15 2 6 3" xfId="2414" xr:uid="{00000000-0005-0000-0000-00005D0C0000}"/>
    <cellStyle name="Normal 15 2 6_2.DATA" xfId="5394" xr:uid="{00000000-0005-0000-0000-00005E0C0000}"/>
    <cellStyle name="Normal 15 2 7" xfId="2415" xr:uid="{00000000-0005-0000-0000-00005F0C0000}"/>
    <cellStyle name="Normal 15 2 7 2" xfId="2416" xr:uid="{00000000-0005-0000-0000-0000600C0000}"/>
    <cellStyle name="Normal 15 2 7_2.DATA" xfId="5396" xr:uid="{00000000-0005-0000-0000-0000610C0000}"/>
    <cellStyle name="Normal 15 2 8" xfId="2417" xr:uid="{00000000-0005-0000-0000-0000620C0000}"/>
    <cellStyle name="Normal 15 2_2.DATA" xfId="5375" xr:uid="{00000000-0005-0000-0000-0000630C0000}"/>
    <cellStyle name="Normal 15 3" xfId="994" xr:uid="{00000000-0005-0000-0000-0000640C0000}"/>
    <cellStyle name="Normal 15 3 2" xfId="2418" xr:uid="{00000000-0005-0000-0000-0000650C0000}"/>
    <cellStyle name="Normal 15 3 2 2" xfId="2419" xr:uid="{00000000-0005-0000-0000-0000660C0000}"/>
    <cellStyle name="Normal 15 3 2 2 2" xfId="2420" xr:uid="{00000000-0005-0000-0000-0000670C0000}"/>
    <cellStyle name="Normal 15 3 2 2_2.DATA" xfId="5399" xr:uid="{00000000-0005-0000-0000-0000680C0000}"/>
    <cellStyle name="Normal 15 3 2 3" xfId="2421" xr:uid="{00000000-0005-0000-0000-0000690C0000}"/>
    <cellStyle name="Normal 15 3 2_2.DATA" xfId="5398" xr:uid="{00000000-0005-0000-0000-00006A0C0000}"/>
    <cellStyle name="Normal 15 3 3" xfId="2422" xr:uid="{00000000-0005-0000-0000-00006B0C0000}"/>
    <cellStyle name="Normal 15 3 3 2" xfId="2423" xr:uid="{00000000-0005-0000-0000-00006C0C0000}"/>
    <cellStyle name="Normal 15 3 3_2.DATA" xfId="5400" xr:uid="{00000000-0005-0000-0000-00006D0C0000}"/>
    <cellStyle name="Normal 15 3 4" xfId="2424" xr:uid="{00000000-0005-0000-0000-00006E0C0000}"/>
    <cellStyle name="Normal 15 3_2.DATA" xfId="5397" xr:uid="{00000000-0005-0000-0000-00006F0C0000}"/>
    <cellStyle name="Normal 15 4" xfId="2425" xr:uid="{00000000-0005-0000-0000-0000700C0000}"/>
    <cellStyle name="Normal 15 4 2" xfId="2426" xr:uid="{00000000-0005-0000-0000-0000710C0000}"/>
    <cellStyle name="Normal 15 4 2 2" xfId="2427" xr:uid="{00000000-0005-0000-0000-0000720C0000}"/>
    <cellStyle name="Normal 15 4 2_2.DATA" xfId="5402" xr:uid="{00000000-0005-0000-0000-0000730C0000}"/>
    <cellStyle name="Normal 15 4 3" xfId="2428" xr:uid="{00000000-0005-0000-0000-0000740C0000}"/>
    <cellStyle name="Normal 15 4_2.DATA" xfId="5401" xr:uid="{00000000-0005-0000-0000-0000750C0000}"/>
    <cellStyle name="Normal 15 5" xfId="2429" xr:uid="{00000000-0005-0000-0000-0000760C0000}"/>
    <cellStyle name="Normal 15 5 2" xfId="2430" xr:uid="{00000000-0005-0000-0000-0000770C0000}"/>
    <cellStyle name="Normal 15 5_2.DATA" xfId="5403" xr:uid="{00000000-0005-0000-0000-0000780C0000}"/>
    <cellStyle name="Normal 15 6" xfId="2431" xr:uid="{00000000-0005-0000-0000-0000790C0000}"/>
    <cellStyle name="Normal 15 7" xfId="4684" xr:uid="{00000000-0005-0000-0000-00007A0C0000}"/>
    <cellStyle name="Normal 15_2.DATA" xfId="5374" xr:uid="{00000000-0005-0000-0000-00007B0C0000}"/>
    <cellStyle name="Normal 16" xfId="995" xr:uid="{00000000-0005-0000-0000-00007C0C0000}"/>
    <cellStyle name="Normal 16 2" xfId="1686" xr:uid="{00000000-0005-0000-0000-00007D0C0000}"/>
    <cellStyle name="Normal 16 2 2" xfId="2432" xr:uid="{00000000-0005-0000-0000-00007E0C0000}"/>
    <cellStyle name="Normal 16 2 2 2" xfId="2433" xr:uid="{00000000-0005-0000-0000-00007F0C0000}"/>
    <cellStyle name="Normal 16 2 2 2 2" xfId="2434" xr:uid="{00000000-0005-0000-0000-0000800C0000}"/>
    <cellStyle name="Normal 16 2 2 2 2 2" xfId="2435" xr:uid="{00000000-0005-0000-0000-0000810C0000}"/>
    <cellStyle name="Normal 16 2 2 2 2_2.DATA" xfId="5408" xr:uid="{00000000-0005-0000-0000-0000820C0000}"/>
    <cellStyle name="Normal 16 2 2 2 3" xfId="2436" xr:uid="{00000000-0005-0000-0000-0000830C0000}"/>
    <cellStyle name="Normal 16 2 2 2_2.DATA" xfId="5407" xr:uid="{00000000-0005-0000-0000-0000840C0000}"/>
    <cellStyle name="Normal 16 2 2 3" xfId="2437" xr:uid="{00000000-0005-0000-0000-0000850C0000}"/>
    <cellStyle name="Normal 16 2 2 3 2" xfId="2438" xr:uid="{00000000-0005-0000-0000-0000860C0000}"/>
    <cellStyle name="Normal 16 2 2 3 2 2" xfId="2439" xr:uid="{00000000-0005-0000-0000-0000870C0000}"/>
    <cellStyle name="Normal 16 2 2 3 2_2.DATA" xfId="5410" xr:uid="{00000000-0005-0000-0000-0000880C0000}"/>
    <cellStyle name="Normal 16 2 2 3 3" xfId="2440" xr:uid="{00000000-0005-0000-0000-0000890C0000}"/>
    <cellStyle name="Normal 16 2 2 3_2.DATA" xfId="5409" xr:uid="{00000000-0005-0000-0000-00008A0C0000}"/>
    <cellStyle name="Normal 16 2 2 4" xfId="2441" xr:uid="{00000000-0005-0000-0000-00008B0C0000}"/>
    <cellStyle name="Normal 16 2 2 4 2" xfId="2442" xr:uid="{00000000-0005-0000-0000-00008C0C0000}"/>
    <cellStyle name="Normal 16 2 2 4_2.DATA" xfId="5411" xr:uid="{00000000-0005-0000-0000-00008D0C0000}"/>
    <cellStyle name="Normal 16 2 2 5" xfId="2443" xr:uid="{00000000-0005-0000-0000-00008E0C0000}"/>
    <cellStyle name="Normal 16 2 2_2.DATA" xfId="5406" xr:uid="{00000000-0005-0000-0000-00008F0C0000}"/>
    <cellStyle name="Normal 16 2 3" xfId="2444" xr:uid="{00000000-0005-0000-0000-0000900C0000}"/>
    <cellStyle name="Normal 16 2 3 2" xfId="2445" xr:uid="{00000000-0005-0000-0000-0000910C0000}"/>
    <cellStyle name="Normal 16 2 3 2 2" xfId="2446" xr:uid="{00000000-0005-0000-0000-0000920C0000}"/>
    <cellStyle name="Normal 16 2 3 2 2 2" xfId="2447" xr:uid="{00000000-0005-0000-0000-0000930C0000}"/>
    <cellStyle name="Normal 16 2 3 2 2_2.DATA" xfId="5414" xr:uid="{00000000-0005-0000-0000-0000940C0000}"/>
    <cellStyle name="Normal 16 2 3 2 3" xfId="2448" xr:uid="{00000000-0005-0000-0000-0000950C0000}"/>
    <cellStyle name="Normal 16 2 3 2_2.DATA" xfId="5413" xr:uid="{00000000-0005-0000-0000-0000960C0000}"/>
    <cellStyle name="Normal 16 2 3 3" xfId="2449" xr:uid="{00000000-0005-0000-0000-0000970C0000}"/>
    <cellStyle name="Normal 16 2 3 3 2" xfId="2450" xr:uid="{00000000-0005-0000-0000-0000980C0000}"/>
    <cellStyle name="Normal 16 2 3 3 2 2" xfId="2451" xr:uid="{00000000-0005-0000-0000-0000990C0000}"/>
    <cellStyle name="Normal 16 2 3 3 2_2.DATA" xfId="5416" xr:uid="{00000000-0005-0000-0000-00009A0C0000}"/>
    <cellStyle name="Normal 16 2 3 3 3" xfId="2452" xr:uid="{00000000-0005-0000-0000-00009B0C0000}"/>
    <cellStyle name="Normal 16 2 3 3_2.DATA" xfId="5415" xr:uid="{00000000-0005-0000-0000-00009C0C0000}"/>
    <cellStyle name="Normal 16 2 3 4" xfId="2453" xr:uid="{00000000-0005-0000-0000-00009D0C0000}"/>
    <cellStyle name="Normal 16 2 3 4 2" xfId="2454" xr:uid="{00000000-0005-0000-0000-00009E0C0000}"/>
    <cellStyle name="Normal 16 2 3 4_2.DATA" xfId="5417" xr:uid="{00000000-0005-0000-0000-00009F0C0000}"/>
    <cellStyle name="Normal 16 2 3 5" xfId="2455" xr:uid="{00000000-0005-0000-0000-0000A00C0000}"/>
    <cellStyle name="Normal 16 2 3_2.DATA" xfId="5412" xr:uid="{00000000-0005-0000-0000-0000A10C0000}"/>
    <cellStyle name="Normal 16 2 4" xfId="2456" xr:uid="{00000000-0005-0000-0000-0000A20C0000}"/>
    <cellStyle name="Normal 16 2 4 2" xfId="2457" xr:uid="{00000000-0005-0000-0000-0000A30C0000}"/>
    <cellStyle name="Normal 16 2 4 2 2" xfId="2458" xr:uid="{00000000-0005-0000-0000-0000A40C0000}"/>
    <cellStyle name="Normal 16 2 4 2 2 2" xfId="2459" xr:uid="{00000000-0005-0000-0000-0000A50C0000}"/>
    <cellStyle name="Normal 16 2 4 2 2_2.DATA" xfId="5420" xr:uid="{00000000-0005-0000-0000-0000A60C0000}"/>
    <cellStyle name="Normal 16 2 4 2 3" xfId="2460" xr:uid="{00000000-0005-0000-0000-0000A70C0000}"/>
    <cellStyle name="Normal 16 2 4 2_2.DATA" xfId="5419" xr:uid="{00000000-0005-0000-0000-0000A80C0000}"/>
    <cellStyle name="Normal 16 2 4 3" xfId="2461" xr:uid="{00000000-0005-0000-0000-0000A90C0000}"/>
    <cellStyle name="Normal 16 2 4 3 2" xfId="2462" xr:uid="{00000000-0005-0000-0000-0000AA0C0000}"/>
    <cellStyle name="Normal 16 2 4 3_2.DATA" xfId="5421" xr:uid="{00000000-0005-0000-0000-0000AB0C0000}"/>
    <cellStyle name="Normal 16 2 4 4" xfId="2463" xr:uid="{00000000-0005-0000-0000-0000AC0C0000}"/>
    <cellStyle name="Normal 16 2 4_2.DATA" xfId="5418" xr:uid="{00000000-0005-0000-0000-0000AD0C0000}"/>
    <cellStyle name="Normal 16 2 5" xfId="2464" xr:uid="{00000000-0005-0000-0000-0000AE0C0000}"/>
    <cellStyle name="Normal 16 2 5 2" xfId="2465" xr:uid="{00000000-0005-0000-0000-0000AF0C0000}"/>
    <cellStyle name="Normal 16 2 5 2 2" xfId="2466" xr:uid="{00000000-0005-0000-0000-0000B00C0000}"/>
    <cellStyle name="Normal 16 2 5 2_2.DATA" xfId="5423" xr:uid="{00000000-0005-0000-0000-0000B10C0000}"/>
    <cellStyle name="Normal 16 2 5 3" xfId="2467" xr:uid="{00000000-0005-0000-0000-0000B20C0000}"/>
    <cellStyle name="Normal 16 2 5_2.DATA" xfId="5422" xr:uid="{00000000-0005-0000-0000-0000B30C0000}"/>
    <cellStyle name="Normal 16 2 6" xfId="2468" xr:uid="{00000000-0005-0000-0000-0000B40C0000}"/>
    <cellStyle name="Normal 16 2 6 2" xfId="2469" xr:uid="{00000000-0005-0000-0000-0000B50C0000}"/>
    <cellStyle name="Normal 16 2 6 2 2" xfId="2470" xr:uid="{00000000-0005-0000-0000-0000B60C0000}"/>
    <cellStyle name="Normal 16 2 6 2_2.DATA" xfId="5425" xr:uid="{00000000-0005-0000-0000-0000B70C0000}"/>
    <cellStyle name="Normal 16 2 6 3" xfId="2471" xr:uid="{00000000-0005-0000-0000-0000B80C0000}"/>
    <cellStyle name="Normal 16 2 6_2.DATA" xfId="5424" xr:uid="{00000000-0005-0000-0000-0000B90C0000}"/>
    <cellStyle name="Normal 16 2 7" xfId="2472" xr:uid="{00000000-0005-0000-0000-0000BA0C0000}"/>
    <cellStyle name="Normal 16 2 7 2" xfId="2473" xr:uid="{00000000-0005-0000-0000-0000BB0C0000}"/>
    <cellStyle name="Normal 16 2 7_2.DATA" xfId="5426" xr:uid="{00000000-0005-0000-0000-0000BC0C0000}"/>
    <cellStyle name="Normal 16 2 8" xfId="2474" xr:uid="{00000000-0005-0000-0000-0000BD0C0000}"/>
    <cellStyle name="Normal 16 2_2.DATA" xfId="5405" xr:uid="{00000000-0005-0000-0000-0000BE0C0000}"/>
    <cellStyle name="Normal 16 3" xfId="2475" xr:uid="{00000000-0005-0000-0000-0000BF0C0000}"/>
    <cellStyle name="Normal 16 3 2" xfId="2476" xr:uid="{00000000-0005-0000-0000-0000C00C0000}"/>
    <cellStyle name="Normal 16 3 2 2" xfId="2477" xr:uid="{00000000-0005-0000-0000-0000C10C0000}"/>
    <cellStyle name="Normal 16 3 2 2 2" xfId="2478" xr:uid="{00000000-0005-0000-0000-0000C20C0000}"/>
    <cellStyle name="Normal 16 3 2 2_2.DATA" xfId="5429" xr:uid="{00000000-0005-0000-0000-0000C30C0000}"/>
    <cellStyle name="Normal 16 3 2 3" xfId="2479" xr:uid="{00000000-0005-0000-0000-0000C40C0000}"/>
    <cellStyle name="Normal 16 3 2_2.DATA" xfId="5428" xr:uid="{00000000-0005-0000-0000-0000C50C0000}"/>
    <cellStyle name="Normal 16 3 3" xfId="2480" xr:uid="{00000000-0005-0000-0000-0000C60C0000}"/>
    <cellStyle name="Normal 16 3 3 2" xfId="2481" xr:uid="{00000000-0005-0000-0000-0000C70C0000}"/>
    <cellStyle name="Normal 16 3 3_2.DATA" xfId="5430" xr:uid="{00000000-0005-0000-0000-0000C80C0000}"/>
    <cellStyle name="Normal 16 3 4" xfId="2482" xr:uid="{00000000-0005-0000-0000-0000C90C0000}"/>
    <cellStyle name="Normal 16 3_2.DATA" xfId="5427" xr:uid="{00000000-0005-0000-0000-0000CA0C0000}"/>
    <cellStyle name="Normal 16 4" xfId="2483" xr:uid="{00000000-0005-0000-0000-0000CB0C0000}"/>
    <cellStyle name="Normal 16 4 2" xfId="2484" xr:uid="{00000000-0005-0000-0000-0000CC0C0000}"/>
    <cellStyle name="Normal 16 4 2 2" xfId="2485" xr:uid="{00000000-0005-0000-0000-0000CD0C0000}"/>
    <cellStyle name="Normal 16 4 2_2.DATA" xfId="5432" xr:uid="{00000000-0005-0000-0000-0000CE0C0000}"/>
    <cellStyle name="Normal 16 4 3" xfId="2486" xr:uid="{00000000-0005-0000-0000-0000CF0C0000}"/>
    <cellStyle name="Normal 16 4_2.DATA" xfId="5431" xr:uid="{00000000-0005-0000-0000-0000D00C0000}"/>
    <cellStyle name="Normal 16 5" xfId="2487" xr:uid="{00000000-0005-0000-0000-0000D10C0000}"/>
    <cellStyle name="Normal 16 5 2" xfId="2488" xr:uid="{00000000-0005-0000-0000-0000D20C0000}"/>
    <cellStyle name="Normal 16 5_2.DATA" xfId="5433" xr:uid="{00000000-0005-0000-0000-0000D30C0000}"/>
    <cellStyle name="Normal 16 6" xfId="2489" xr:uid="{00000000-0005-0000-0000-0000D40C0000}"/>
    <cellStyle name="Normal 16 7" xfId="4685" xr:uid="{00000000-0005-0000-0000-0000D50C0000}"/>
    <cellStyle name="Normal 16 8" xfId="1534" xr:uid="{00000000-0005-0000-0000-0000D60C0000}"/>
    <cellStyle name="Normal 16_2.DATA" xfId="5404" xr:uid="{00000000-0005-0000-0000-0000D70C0000}"/>
    <cellStyle name="Normal 17" xfId="996" xr:uid="{00000000-0005-0000-0000-0000D80C0000}"/>
    <cellStyle name="Normal 17 2" xfId="997" xr:uid="{00000000-0005-0000-0000-0000D90C0000}"/>
    <cellStyle name="Normal 17 2 2" xfId="2490" xr:uid="{00000000-0005-0000-0000-0000DA0C0000}"/>
    <cellStyle name="Normal 17 2 2 2" xfId="2491" xr:uid="{00000000-0005-0000-0000-0000DB0C0000}"/>
    <cellStyle name="Normal 17 2 2 2 2" xfId="2492" xr:uid="{00000000-0005-0000-0000-0000DC0C0000}"/>
    <cellStyle name="Normal 17 2 2 2 2 2" xfId="2493" xr:uid="{00000000-0005-0000-0000-0000DD0C0000}"/>
    <cellStyle name="Normal 17 2 2 2 2_2.DATA" xfId="5438" xr:uid="{00000000-0005-0000-0000-0000DE0C0000}"/>
    <cellStyle name="Normal 17 2 2 2 3" xfId="2494" xr:uid="{00000000-0005-0000-0000-0000DF0C0000}"/>
    <cellStyle name="Normal 17 2 2 2_2.DATA" xfId="5437" xr:uid="{00000000-0005-0000-0000-0000E00C0000}"/>
    <cellStyle name="Normal 17 2 2 3" xfId="2495" xr:uid="{00000000-0005-0000-0000-0000E10C0000}"/>
    <cellStyle name="Normal 17 2 2 3 2" xfId="2496" xr:uid="{00000000-0005-0000-0000-0000E20C0000}"/>
    <cellStyle name="Normal 17 2 2 3 2 2" xfId="2497" xr:uid="{00000000-0005-0000-0000-0000E30C0000}"/>
    <cellStyle name="Normal 17 2 2 3 2_2.DATA" xfId="5440" xr:uid="{00000000-0005-0000-0000-0000E40C0000}"/>
    <cellStyle name="Normal 17 2 2 3 3" xfId="2498" xr:uid="{00000000-0005-0000-0000-0000E50C0000}"/>
    <cellStyle name="Normal 17 2 2 3_2.DATA" xfId="5439" xr:uid="{00000000-0005-0000-0000-0000E60C0000}"/>
    <cellStyle name="Normal 17 2 2 4" xfId="2499" xr:uid="{00000000-0005-0000-0000-0000E70C0000}"/>
    <cellStyle name="Normal 17 2 2 4 2" xfId="2500" xr:uid="{00000000-0005-0000-0000-0000E80C0000}"/>
    <cellStyle name="Normal 17 2 2 4_2.DATA" xfId="5441" xr:uid="{00000000-0005-0000-0000-0000E90C0000}"/>
    <cellStyle name="Normal 17 2 2 5" xfId="2501" xr:uid="{00000000-0005-0000-0000-0000EA0C0000}"/>
    <cellStyle name="Normal 17 2 2_2.DATA" xfId="5436" xr:uid="{00000000-0005-0000-0000-0000EB0C0000}"/>
    <cellStyle name="Normal 17 2 3" xfId="2502" xr:uid="{00000000-0005-0000-0000-0000EC0C0000}"/>
    <cellStyle name="Normal 17 2 3 2" xfId="2503" xr:uid="{00000000-0005-0000-0000-0000ED0C0000}"/>
    <cellStyle name="Normal 17 2 3 2 2" xfId="2504" xr:uid="{00000000-0005-0000-0000-0000EE0C0000}"/>
    <cellStyle name="Normal 17 2 3 2 2 2" xfId="2505" xr:uid="{00000000-0005-0000-0000-0000EF0C0000}"/>
    <cellStyle name="Normal 17 2 3 2 2_2.DATA" xfId="5444" xr:uid="{00000000-0005-0000-0000-0000F00C0000}"/>
    <cellStyle name="Normal 17 2 3 2 3" xfId="2506" xr:uid="{00000000-0005-0000-0000-0000F10C0000}"/>
    <cellStyle name="Normal 17 2 3 2_2.DATA" xfId="5443" xr:uid="{00000000-0005-0000-0000-0000F20C0000}"/>
    <cellStyle name="Normal 17 2 3 3" xfId="2507" xr:uid="{00000000-0005-0000-0000-0000F30C0000}"/>
    <cellStyle name="Normal 17 2 3 3 2" xfId="2508" xr:uid="{00000000-0005-0000-0000-0000F40C0000}"/>
    <cellStyle name="Normal 17 2 3 3 2 2" xfId="2509" xr:uid="{00000000-0005-0000-0000-0000F50C0000}"/>
    <cellStyle name="Normal 17 2 3 3 2_2.DATA" xfId="5446" xr:uid="{00000000-0005-0000-0000-0000F60C0000}"/>
    <cellStyle name="Normal 17 2 3 3 3" xfId="2510" xr:uid="{00000000-0005-0000-0000-0000F70C0000}"/>
    <cellStyle name="Normal 17 2 3 3_2.DATA" xfId="5445" xr:uid="{00000000-0005-0000-0000-0000F80C0000}"/>
    <cellStyle name="Normal 17 2 3 4" xfId="2511" xr:uid="{00000000-0005-0000-0000-0000F90C0000}"/>
    <cellStyle name="Normal 17 2 3 4 2" xfId="2512" xr:uid="{00000000-0005-0000-0000-0000FA0C0000}"/>
    <cellStyle name="Normal 17 2 3 4_2.DATA" xfId="5447" xr:uid="{00000000-0005-0000-0000-0000FB0C0000}"/>
    <cellStyle name="Normal 17 2 3 5" xfId="2513" xr:uid="{00000000-0005-0000-0000-0000FC0C0000}"/>
    <cellStyle name="Normal 17 2 3_2.DATA" xfId="5442" xr:uid="{00000000-0005-0000-0000-0000FD0C0000}"/>
    <cellStyle name="Normal 17 2 4" xfId="2514" xr:uid="{00000000-0005-0000-0000-0000FE0C0000}"/>
    <cellStyle name="Normal 17 2 4 2" xfId="2515" xr:uid="{00000000-0005-0000-0000-0000FF0C0000}"/>
    <cellStyle name="Normal 17 2 4 2 2" xfId="2516" xr:uid="{00000000-0005-0000-0000-0000000D0000}"/>
    <cellStyle name="Normal 17 2 4 2 2 2" xfId="2517" xr:uid="{00000000-0005-0000-0000-0000010D0000}"/>
    <cellStyle name="Normal 17 2 4 2 2_2.DATA" xfId="5450" xr:uid="{00000000-0005-0000-0000-0000020D0000}"/>
    <cellStyle name="Normal 17 2 4 2 3" xfId="2518" xr:uid="{00000000-0005-0000-0000-0000030D0000}"/>
    <cellStyle name="Normal 17 2 4 2_2.DATA" xfId="5449" xr:uid="{00000000-0005-0000-0000-0000040D0000}"/>
    <cellStyle name="Normal 17 2 4 3" xfId="2519" xr:uid="{00000000-0005-0000-0000-0000050D0000}"/>
    <cellStyle name="Normal 17 2 4 3 2" xfId="2520" xr:uid="{00000000-0005-0000-0000-0000060D0000}"/>
    <cellStyle name="Normal 17 2 4 3_2.DATA" xfId="5451" xr:uid="{00000000-0005-0000-0000-0000070D0000}"/>
    <cellStyle name="Normal 17 2 4 4" xfId="2521" xr:uid="{00000000-0005-0000-0000-0000080D0000}"/>
    <cellStyle name="Normal 17 2 4_2.DATA" xfId="5448" xr:uid="{00000000-0005-0000-0000-0000090D0000}"/>
    <cellStyle name="Normal 17 2 5" xfId="2522" xr:uid="{00000000-0005-0000-0000-00000A0D0000}"/>
    <cellStyle name="Normal 17 2 5 2" xfId="2523" xr:uid="{00000000-0005-0000-0000-00000B0D0000}"/>
    <cellStyle name="Normal 17 2 5 2 2" xfId="2524" xr:uid="{00000000-0005-0000-0000-00000C0D0000}"/>
    <cellStyle name="Normal 17 2 5 2_2.DATA" xfId="5453" xr:uid="{00000000-0005-0000-0000-00000D0D0000}"/>
    <cellStyle name="Normal 17 2 5 3" xfId="2525" xr:uid="{00000000-0005-0000-0000-00000E0D0000}"/>
    <cellStyle name="Normal 17 2 5_2.DATA" xfId="5452" xr:uid="{00000000-0005-0000-0000-00000F0D0000}"/>
    <cellStyle name="Normal 17 2 6" xfId="2526" xr:uid="{00000000-0005-0000-0000-0000100D0000}"/>
    <cellStyle name="Normal 17 2 6 2" xfId="2527" xr:uid="{00000000-0005-0000-0000-0000110D0000}"/>
    <cellStyle name="Normal 17 2 6 2 2" xfId="2528" xr:uid="{00000000-0005-0000-0000-0000120D0000}"/>
    <cellStyle name="Normal 17 2 6 2_2.DATA" xfId="5455" xr:uid="{00000000-0005-0000-0000-0000130D0000}"/>
    <cellStyle name="Normal 17 2 6 3" xfId="2529" xr:uid="{00000000-0005-0000-0000-0000140D0000}"/>
    <cellStyle name="Normal 17 2 6_2.DATA" xfId="5454" xr:uid="{00000000-0005-0000-0000-0000150D0000}"/>
    <cellStyle name="Normal 17 2 7" xfId="2530" xr:uid="{00000000-0005-0000-0000-0000160D0000}"/>
    <cellStyle name="Normal 17 2 7 2" xfId="2531" xr:uid="{00000000-0005-0000-0000-0000170D0000}"/>
    <cellStyle name="Normal 17 2 7_2.DATA" xfId="5456" xr:uid="{00000000-0005-0000-0000-0000180D0000}"/>
    <cellStyle name="Normal 17 2 8" xfId="2532" xr:uid="{00000000-0005-0000-0000-0000190D0000}"/>
    <cellStyle name="Normal 17 2_2.DATA" xfId="5435" xr:uid="{00000000-0005-0000-0000-00001A0D0000}"/>
    <cellStyle name="Normal 17 3" xfId="2533" xr:uid="{00000000-0005-0000-0000-00001B0D0000}"/>
    <cellStyle name="Normal 17 3 2" xfId="2534" xr:uid="{00000000-0005-0000-0000-00001C0D0000}"/>
    <cellStyle name="Normal 17 3 2 2" xfId="2535" xr:uid="{00000000-0005-0000-0000-00001D0D0000}"/>
    <cellStyle name="Normal 17 3 2 2 2" xfId="2536" xr:uid="{00000000-0005-0000-0000-00001E0D0000}"/>
    <cellStyle name="Normal 17 3 2 2_2.DATA" xfId="5459" xr:uid="{00000000-0005-0000-0000-00001F0D0000}"/>
    <cellStyle name="Normal 17 3 2 3" xfId="2537" xr:uid="{00000000-0005-0000-0000-0000200D0000}"/>
    <cellStyle name="Normal 17 3 2_2.DATA" xfId="5458" xr:uid="{00000000-0005-0000-0000-0000210D0000}"/>
    <cellStyle name="Normal 17 3 3" xfId="2538" xr:uid="{00000000-0005-0000-0000-0000220D0000}"/>
    <cellStyle name="Normal 17 3 3 2" xfId="2539" xr:uid="{00000000-0005-0000-0000-0000230D0000}"/>
    <cellStyle name="Normal 17 3 3_2.DATA" xfId="5460" xr:uid="{00000000-0005-0000-0000-0000240D0000}"/>
    <cellStyle name="Normal 17 3 4" xfId="2540" xr:uid="{00000000-0005-0000-0000-0000250D0000}"/>
    <cellStyle name="Normal 17 3_2.DATA" xfId="5457" xr:uid="{00000000-0005-0000-0000-0000260D0000}"/>
    <cellStyle name="Normal 17 4" xfId="2541" xr:uid="{00000000-0005-0000-0000-0000270D0000}"/>
    <cellStyle name="Normal 17 4 2" xfId="2542" xr:uid="{00000000-0005-0000-0000-0000280D0000}"/>
    <cellStyle name="Normal 17 4 2 2" xfId="2543" xr:uid="{00000000-0005-0000-0000-0000290D0000}"/>
    <cellStyle name="Normal 17 4 2_2.DATA" xfId="5462" xr:uid="{00000000-0005-0000-0000-00002A0D0000}"/>
    <cellStyle name="Normal 17 4 3" xfId="2544" xr:uid="{00000000-0005-0000-0000-00002B0D0000}"/>
    <cellStyle name="Normal 17 4_2.DATA" xfId="5461" xr:uid="{00000000-0005-0000-0000-00002C0D0000}"/>
    <cellStyle name="Normal 17 5" xfId="2545" xr:uid="{00000000-0005-0000-0000-00002D0D0000}"/>
    <cellStyle name="Normal 17 5 2" xfId="2546" xr:uid="{00000000-0005-0000-0000-00002E0D0000}"/>
    <cellStyle name="Normal 17 5_2.DATA" xfId="5463" xr:uid="{00000000-0005-0000-0000-00002F0D0000}"/>
    <cellStyle name="Normal 17 6" xfId="2547" xr:uid="{00000000-0005-0000-0000-0000300D0000}"/>
    <cellStyle name="Normal 17 7" xfId="4686" xr:uid="{00000000-0005-0000-0000-0000310D0000}"/>
    <cellStyle name="Normal 17_2.DATA" xfId="5434" xr:uid="{00000000-0005-0000-0000-0000320D0000}"/>
    <cellStyle name="Normal 18" xfId="998" xr:uid="{00000000-0005-0000-0000-0000330D0000}"/>
    <cellStyle name="Normal 18 2" xfId="999" xr:uid="{00000000-0005-0000-0000-0000340D0000}"/>
    <cellStyle name="Normal 18 2 2" xfId="2548" xr:uid="{00000000-0005-0000-0000-0000350D0000}"/>
    <cellStyle name="Normal 18 2 2 2" xfId="2549" xr:uid="{00000000-0005-0000-0000-0000360D0000}"/>
    <cellStyle name="Normal 18 2 2 2 2" xfId="2550" xr:uid="{00000000-0005-0000-0000-0000370D0000}"/>
    <cellStyle name="Normal 18 2 2 2 2 2" xfId="2551" xr:uid="{00000000-0005-0000-0000-0000380D0000}"/>
    <cellStyle name="Normal 18 2 2 2 2_2.DATA" xfId="5468" xr:uid="{00000000-0005-0000-0000-0000390D0000}"/>
    <cellStyle name="Normal 18 2 2 2 3" xfId="2552" xr:uid="{00000000-0005-0000-0000-00003A0D0000}"/>
    <cellStyle name="Normal 18 2 2 2_2.DATA" xfId="5467" xr:uid="{00000000-0005-0000-0000-00003B0D0000}"/>
    <cellStyle name="Normal 18 2 2 3" xfId="2553" xr:uid="{00000000-0005-0000-0000-00003C0D0000}"/>
    <cellStyle name="Normal 18 2 2 3 2" xfId="2554" xr:uid="{00000000-0005-0000-0000-00003D0D0000}"/>
    <cellStyle name="Normal 18 2 2 3 2 2" xfId="2555" xr:uid="{00000000-0005-0000-0000-00003E0D0000}"/>
    <cellStyle name="Normal 18 2 2 3 2_2.DATA" xfId="5470" xr:uid="{00000000-0005-0000-0000-00003F0D0000}"/>
    <cellStyle name="Normal 18 2 2 3 3" xfId="2556" xr:uid="{00000000-0005-0000-0000-0000400D0000}"/>
    <cellStyle name="Normal 18 2 2 3_2.DATA" xfId="5469" xr:uid="{00000000-0005-0000-0000-0000410D0000}"/>
    <cellStyle name="Normal 18 2 2 4" xfId="2557" xr:uid="{00000000-0005-0000-0000-0000420D0000}"/>
    <cellStyle name="Normal 18 2 2 4 2" xfId="2558" xr:uid="{00000000-0005-0000-0000-0000430D0000}"/>
    <cellStyle name="Normal 18 2 2 4_2.DATA" xfId="5471" xr:uid="{00000000-0005-0000-0000-0000440D0000}"/>
    <cellStyle name="Normal 18 2 2 5" xfId="2559" xr:uid="{00000000-0005-0000-0000-0000450D0000}"/>
    <cellStyle name="Normal 18 2 2_2.DATA" xfId="5466" xr:uid="{00000000-0005-0000-0000-0000460D0000}"/>
    <cellStyle name="Normal 18 2 3" xfId="2560" xr:uid="{00000000-0005-0000-0000-0000470D0000}"/>
    <cellStyle name="Normal 18 2 3 2" xfId="2561" xr:uid="{00000000-0005-0000-0000-0000480D0000}"/>
    <cellStyle name="Normal 18 2 3 2 2" xfId="2562" xr:uid="{00000000-0005-0000-0000-0000490D0000}"/>
    <cellStyle name="Normal 18 2 3 2 2 2" xfId="2563" xr:uid="{00000000-0005-0000-0000-00004A0D0000}"/>
    <cellStyle name="Normal 18 2 3 2 2_2.DATA" xfId="5474" xr:uid="{00000000-0005-0000-0000-00004B0D0000}"/>
    <cellStyle name="Normal 18 2 3 2 3" xfId="2564" xr:uid="{00000000-0005-0000-0000-00004C0D0000}"/>
    <cellStyle name="Normal 18 2 3 2_2.DATA" xfId="5473" xr:uid="{00000000-0005-0000-0000-00004D0D0000}"/>
    <cellStyle name="Normal 18 2 3 3" xfId="2565" xr:uid="{00000000-0005-0000-0000-00004E0D0000}"/>
    <cellStyle name="Normal 18 2 3 3 2" xfId="2566" xr:uid="{00000000-0005-0000-0000-00004F0D0000}"/>
    <cellStyle name="Normal 18 2 3 3 2 2" xfId="2567" xr:uid="{00000000-0005-0000-0000-0000500D0000}"/>
    <cellStyle name="Normal 18 2 3 3 2_2.DATA" xfId="5476" xr:uid="{00000000-0005-0000-0000-0000510D0000}"/>
    <cellStyle name="Normal 18 2 3 3 3" xfId="2568" xr:uid="{00000000-0005-0000-0000-0000520D0000}"/>
    <cellStyle name="Normal 18 2 3 3_2.DATA" xfId="5475" xr:uid="{00000000-0005-0000-0000-0000530D0000}"/>
    <cellStyle name="Normal 18 2 3 4" xfId="2569" xr:uid="{00000000-0005-0000-0000-0000540D0000}"/>
    <cellStyle name="Normal 18 2 3 4 2" xfId="2570" xr:uid="{00000000-0005-0000-0000-0000550D0000}"/>
    <cellStyle name="Normal 18 2 3 4_2.DATA" xfId="5477" xr:uid="{00000000-0005-0000-0000-0000560D0000}"/>
    <cellStyle name="Normal 18 2 3 5" xfId="2571" xr:uid="{00000000-0005-0000-0000-0000570D0000}"/>
    <cellStyle name="Normal 18 2 3_2.DATA" xfId="5472" xr:uid="{00000000-0005-0000-0000-0000580D0000}"/>
    <cellStyle name="Normal 18 2 4" xfId="2572" xr:uid="{00000000-0005-0000-0000-0000590D0000}"/>
    <cellStyle name="Normal 18 2 4 2" xfId="2573" xr:uid="{00000000-0005-0000-0000-00005A0D0000}"/>
    <cellStyle name="Normal 18 2 4 2 2" xfId="2574" xr:uid="{00000000-0005-0000-0000-00005B0D0000}"/>
    <cellStyle name="Normal 18 2 4 2 2 2" xfId="2575" xr:uid="{00000000-0005-0000-0000-00005C0D0000}"/>
    <cellStyle name="Normal 18 2 4 2 2_2.DATA" xfId="5480" xr:uid="{00000000-0005-0000-0000-00005D0D0000}"/>
    <cellStyle name="Normal 18 2 4 2 3" xfId="2576" xr:uid="{00000000-0005-0000-0000-00005E0D0000}"/>
    <cellStyle name="Normal 18 2 4 2_2.DATA" xfId="5479" xr:uid="{00000000-0005-0000-0000-00005F0D0000}"/>
    <cellStyle name="Normal 18 2 4 3" xfId="2577" xr:uid="{00000000-0005-0000-0000-0000600D0000}"/>
    <cellStyle name="Normal 18 2 4 3 2" xfId="2578" xr:uid="{00000000-0005-0000-0000-0000610D0000}"/>
    <cellStyle name="Normal 18 2 4 3_2.DATA" xfId="5481" xr:uid="{00000000-0005-0000-0000-0000620D0000}"/>
    <cellStyle name="Normal 18 2 4 4" xfId="2579" xr:uid="{00000000-0005-0000-0000-0000630D0000}"/>
    <cellStyle name="Normal 18 2 4_2.DATA" xfId="5478" xr:uid="{00000000-0005-0000-0000-0000640D0000}"/>
    <cellStyle name="Normal 18 2 5" xfId="2580" xr:uid="{00000000-0005-0000-0000-0000650D0000}"/>
    <cellStyle name="Normal 18 2 5 2" xfId="2581" xr:uid="{00000000-0005-0000-0000-0000660D0000}"/>
    <cellStyle name="Normal 18 2 5 2 2" xfId="2582" xr:uid="{00000000-0005-0000-0000-0000670D0000}"/>
    <cellStyle name="Normal 18 2 5 2_2.DATA" xfId="5483" xr:uid="{00000000-0005-0000-0000-0000680D0000}"/>
    <cellStyle name="Normal 18 2 5 3" xfId="2583" xr:uid="{00000000-0005-0000-0000-0000690D0000}"/>
    <cellStyle name="Normal 18 2 5_2.DATA" xfId="5482" xr:uid="{00000000-0005-0000-0000-00006A0D0000}"/>
    <cellStyle name="Normal 18 2 6" xfId="2584" xr:uid="{00000000-0005-0000-0000-00006B0D0000}"/>
    <cellStyle name="Normal 18 2 6 2" xfId="2585" xr:uid="{00000000-0005-0000-0000-00006C0D0000}"/>
    <cellStyle name="Normal 18 2 6 2 2" xfId="2586" xr:uid="{00000000-0005-0000-0000-00006D0D0000}"/>
    <cellStyle name="Normal 18 2 6 2_2.DATA" xfId="5485" xr:uid="{00000000-0005-0000-0000-00006E0D0000}"/>
    <cellStyle name="Normal 18 2 6 3" xfId="2587" xr:uid="{00000000-0005-0000-0000-00006F0D0000}"/>
    <cellStyle name="Normal 18 2 6_2.DATA" xfId="5484" xr:uid="{00000000-0005-0000-0000-0000700D0000}"/>
    <cellStyle name="Normal 18 2 7" xfId="2588" xr:uid="{00000000-0005-0000-0000-0000710D0000}"/>
    <cellStyle name="Normal 18 2 7 2" xfId="2589" xr:uid="{00000000-0005-0000-0000-0000720D0000}"/>
    <cellStyle name="Normal 18 2 7_2.DATA" xfId="5486" xr:uid="{00000000-0005-0000-0000-0000730D0000}"/>
    <cellStyle name="Normal 18 2 8" xfId="2590" xr:uid="{00000000-0005-0000-0000-0000740D0000}"/>
    <cellStyle name="Normal 18 2_2.DATA" xfId="5465" xr:uid="{00000000-0005-0000-0000-0000750D0000}"/>
    <cellStyle name="Normal 18 3" xfId="2591" xr:uid="{00000000-0005-0000-0000-0000760D0000}"/>
    <cellStyle name="Normal 18 3 2" xfId="2592" xr:uid="{00000000-0005-0000-0000-0000770D0000}"/>
    <cellStyle name="Normal 18 3 2 2" xfId="2593" xr:uid="{00000000-0005-0000-0000-0000780D0000}"/>
    <cellStyle name="Normal 18 3 2 2 2" xfId="2594" xr:uid="{00000000-0005-0000-0000-0000790D0000}"/>
    <cellStyle name="Normal 18 3 2 2_2.DATA" xfId="5489" xr:uid="{00000000-0005-0000-0000-00007A0D0000}"/>
    <cellStyle name="Normal 18 3 2 3" xfId="2595" xr:uid="{00000000-0005-0000-0000-00007B0D0000}"/>
    <cellStyle name="Normal 18 3 2_2.DATA" xfId="5488" xr:uid="{00000000-0005-0000-0000-00007C0D0000}"/>
    <cellStyle name="Normal 18 3 3" xfId="2596" xr:uid="{00000000-0005-0000-0000-00007D0D0000}"/>
    <cellStyle name="Normal 18 3 3 2" xfId="2597" xr:uid="{00000000-0005-0000-0000-00007E0D0000}"/>
    <cellStyle name="Normal 18 3 3_2.DATA" xfId="5490" xr:uid="{00000000-0005-0000-0000-00007F0D0000}"/>
    <cellStyle name="Normal 18 3 4" xfId="2598" xr:uid="{00000000-0005-0000-0000-0000800D0000}"/>
    <cellStyle name="Normal 18 3_2.DATA" xfId="5487" xr:uid="{00000000-0005-0000-0000-0000810D0000}"/>
    <cellStyle name="Normal 18 4" xfId="2599" xr:uid="{00000000-0005-0000-0000-0000820D0000}"/>
    <cellStyle name="Normal 18 4 2" xfId="2600" xr:uid="{00000000-0005-0000-0000-0000830D0000}"/>
    <cellStyle name="Normal 18 4 2 2" xfId="2601" xr:uid="{00000000-0005-0000-0000-0000840D0000}"/>
    <cellStyle name="Normal 18 4 2_2.DATA" xfId="5492" xr:uid="{00000000-0005-0000-0000-0000850D0000}"/>
    <cellStyle name="Normal 18 4 3" xfId="2602" xr:uid="{00000000-0005-0000-0000-0000860D0000}"/>
    <cellStyle name="Normal 18 4_2.DATA" xfId="5491" xr:uid="{00000000-0005-0000-0000-0000870D0000}"/>
    <cellStyle name="Normal 18 5" xfId="2603" xr:uid="{00000000-0005-0000-0000-0000880D0000}"/>
    <cellStyle name="Normal 18 5 2" xfId="2604" xr:uid="{00000000-0005-0000-0000-0000890D0000}"/>
    <cellStyle name="Normal 18 5_2.DATA" xfId="5493" xr:uid="{00000000-0005-0000-0000-00008A0D0000}"/>
    <cellStyle name="Normal 18 6" xfId="2605" xr:uid="{00000000-0005-0000-0000-00008B0D0000}"/>
    <cellStyle name="Normal 18 7" xfId="4687" xr:uid="{00000000-0005-0000-0000-00008C0D0000}"/>
    <cellStyle name="Normal 18_2.DATA" xfId="5464" xr:uid="{00000000-0005-0000-0000-00008D0D0000}"/>
    <cellStyle name="Normal 189 2" xfId="2606" xr:uid="{00000000-0005-0000-0000-00008E0D0000}"/>
    <cellStyle name="Normal 189 2 2" xfId="2607" xr:uid="{00000000-0005-0000-0000-00008F0D0000}"/>
    <cellStyle name="Normal 189 2 2 2" xfId="2608" xr:uid="{00000000-0005-0000-0000-0000900D0000}"/>
    <cellStyle name="Normal 189 2 2 2 2" xfId="2609" xr:uid="{00000000-0005-0000-0000-0000910D0000}"/>
    <cellStyle name="Normal 189 2 2 2 2 2" xfId="2610" xr:uid="{00000000-0005-0000-0000-0000920D0000}"/>
    <cellStyle name="Normal 189 2 2 2 2_2.DATA" xfId="5497" xr:uid="{00000000-0005-0000-0000-0000930D0000}"/>
    <cellStyle name="Normal 189 2 2 2 3" xfId="2611" xr:uid="{00000000-0005-0000-0000-0000940D0000}"/>
    <cellStyle name="Normal 189 2 2 2_2.DATA" xfId="5496" xr:uid="{00000000-0005-0000-0000-0000950D0000}"/>
    <cellStyle name="Normal 189 2 2 3" xfId="2612" xr:uid="{00000000-0005-0000-0000-0000960D0000}"/>
    <cellStyle name="Normal 189 2 2 3 2" xfId="2613" xr:uid="{00000000-0005-0000-0000-0000970D0000}"/>
    <cellStyle name="Normal 189 2 2 3 2 2" xfId="2614" xr:uid="{00000000-0005-0000-0000-0000980D0000}"/>
    <cellStyle name="Normal 189 2 2 3 2_2.DATA" xfId="5499" xr:uid="{00000000-0005-0000-0000-0000990D0000}"/>
    <cellStyle name="Normal 189 2 2 3 3" xfId="2615" xr:uid="{00000000-0005-0000-0000-00009A0D0000}"/>
    <cellStyle name="Normal 189 2 2 3_2.DATA" xfId="5498" xr:uid="{00000000-0005-0000-0000-00009B0D0000}"/>
    <cellStyle name="Normal 189 2 2 4" xfId="2616" xr:uid="{00000000-0005-0000-0000-00009C0D0000}"/>
    <cellStyle name="Normal 189 2 2 4 2" xfId="2617" xr:uid="{00000000-0005-0000-0000-00009D0D0000}"/>
    <cellStyle name="Normal 189 2 2 4_2.DATA" xfId="5500" xr:uid="{00000000-0005-0000-0000-00009E0D0000}"/>
    <cellStyle name="Normal 189 2 2 5" xfId="2618" xr:uid="{00000000-0005-0000-0000-00009F0D0000}"/>
    <cellStyle name="Normal 189 2 2_2.DATA" xfId="5495" xr:uid="{00000000-0005-0000-0000-0000A00D0000}"/>
    <cellStyle name="Normal 189 2 3" xfId="2619" xr:uid="{00000000-0005-0000-0000-0000A10D0000}"/>
    <cellStyle name="Normal 189 2 3 2" xfId="2620" xr:uid="{00000000-0005-0000-0000-0000A20D0000}"/>
    <cellStyle name="Normal 189 2 3 2 2" xfId="2621" xr:uid="{00000000-0005-0000-0000-0000A30D0000}"/>
    <cellStyle name="Normal 189 2 3 2 2 2" xfId="2622" xr:uid="{00000000-0005-0000-0000-0000A40D0000}"/>
    <cellStyle name="Normal 189 2 3 2 2_2.DATA" xfId="5503" xr:uid="{00000000-0005-0000-0000-0000A50D0000}"/>
    <cellStyle name="Normal 189 2 3 2 3" xfId="2623" xr:uid="{00000000-0005-0000-0000-0000A60D0000}"/>
    <cellStyle name="Normal 189 2 3 2_2.DATA" xfId="5502" xr:uid="{00000000-0005-0000-0000-0000A70D0000}"/>
    <cellStyle name="Normal 189 2 3 3" xfId="2624" xr:uid="{00000000-0005-0000-0000-0000A80D0000}"/>
    <cellStyle name="Normal 189 2 3 3 2" xfId="2625" xr:uid="{00000000-0005-0000-0000-0000A90D0000}"/>
    <cellStyle name="Normal 189 2 3 3 2 2" xfId="2626" xr:uid="{00000000-0005-0000-0000-0000AA0D0000}"/>
    <cellStyle name="Normal 189 2 3 3 2_2.DATA" xfId="5505" xr:uid="{00000000-0005-0000-0000-0000AB0D0000}"/>
    <cellStyle name="Normal 189 2 3 3 3" xfId="2627" xr:uid="{00000000-0005-0000-0000-0000AC0D0000}"/>
    <cellStyle name="Normal 189 2 3 3_2.DATA" xfId="5504" xr:uid="{00000000-0005-0000-0000-0000AD0D0000}"/>
    <cellStyle name="Normal 189 2 3 4" xfId="2628" xr:uid="{00000000-0005-0000-0000-0000AE0D0000}"/>
    <cellStyle name="Normal 189 2 3 4 2" xfId="2629" xr:uid="{00000000-0005-0000-0000-0000AF0D0000}"/>
    <cellStyle name="Normal 189 2 3 4_2.DATA" xfId="5506" xr:uid="{00000000-0005-0000-0000-0000B00D0000}"/>
    <cellStyle name="Normal 189 2 3 5" xfId="2630" xr:uid="{00000000-0005-0000-0000-0000B10D0000}"/>
    <cellStyle name="Normal 189 2 3_2.DATA" xfId="5501" xr:uid="{00000000-0005-0000-0000-0000B20D0000}"/>
    <cellStyle name="Normal 189 2 4" xfId="2631" xr:uid="{00000000-0005-0000-0000-0000B30D0000}"/>
    <cellStyle name="Normal 189 2 4 2" xfId="2632" xr:uid="{00000000-0005-0000-0000-0000B40D0000}"/>
    <cellStyle name="Normal 189 2 4 2 2" xfId="2633" xr:uid="{00000000-0005-0000-0000-0000B50D0000}"/>
    <cellStyle name="Normal 189 2 4 2_2.DATA" xfId="5508" xr:uid="{00000000-0005-0000-0000-0000B60D0000}"/>
    <cellStyle name="Normal 189 2 4 3" xfId="2634" xr:uid="{00000000-0005-0000-0000-0000B70D0000}"/>
    <cellStyle name="Normal 189 2 4_2.DATA" xfId="5507" xr:uid="{00000000-0005-0000-0000-0000B80D0000}"/>
    <cellStyle name="Normal 189 2 5" xfId="2635" xr:uid="{00000000-0005-0000-0000-0000B90D0000}"/>
    <cellStyle name="Normal 189 2 5 2" xfId="2636" xr:uid="{00000000-0005-0000-0000-0000BA0D0000}"/>
    <cellStyle name="Normal 189 2 5 2 2" xfId="2637" xr:uid="{00000000-0005-0000-0000-0000BB0D0000}"/>
    <cellStyle name="Normal 189 2 5 2_2.DATA" xfId="5510" xr:uid="{00000000-0005-0000-0000-0000BC0D0000}"/>
    <cellStyle name="Normal 189 2 5 3" xfId="2638" xr:uid="{00000000-0005-0000-0000-0000BD0D0000}"/>
    <cellStyle name="Normal 189 2 5_2.DATA" xfId="5509" xr:uid="{00000000-0005-0000-0000-0000BE0D0000}"/>
    <cellStyle name="Normal 189 2 6" xfId="2639" xr:uid="{00000000-0005-0000-0000-0000BF0D0000}"/>
    <cellStyle name="Normal 189 2 6 2" xfId="2640" xr:uid="{00000000-0005-0000-0000-0000C00D0000}"/>
    <cellStyle name="Normal 189 2 6_2.DATA" xfId="5511" xr:uid="{00000000-0005-0000-0000-0000C10D0000}"/>
    <cellStyle name="Normal 189 2 7" xfId="2641" xr:uid="{00000000-0005-0000-0000-0000C20D0000}"/>
    <cellStyle name="Normal 189 2_2.DATA" xfId="5494" xr:uid="{00000000-0005-0000-0000-0000C30D0000}"/>
    <cellStyle name="Normal 189 3" xfId="2642" xr:uid="{00000000-0005-0000-0000-0000C40D0000}"/>
    <cellStyle name="Normal 19" xfId="1000" xr:uid="{00000000-0005-0000-0000-0000C50D0000}"/>
    <cellStyle name="Normal 19 2" xfId="1702" xr:uid="{00000000-0005-0000-0000-0000C60D0000}"/>
    <cellStyle name="Normal 19 2 2" xfId="2643" xr:uid="{00000000-0005-0000-0000-0000C70D0000}"/>
    <cellStyle name="Normal 19 2 2 2" xfId="2644" xr:uid="{00000000-0005-0000-0000-0000C80D0000}"/>
    <cellStyle name="Normal 19 2 2 2 2" xfId="2645" xr:uid="{00000000-0005-0000-0000-0000C90D0000}"/>
    <cellStyle name="Normal 19 2 2 2 2 2" xfId="2646" xr:uid="{00000000-0005-0000-0000-0000CA0D0000}"/>
    <cellStyle name="Normal 19 2 2 2 2_2.DATA" xfId="5516" xr:uid="{00000000-0005-0000-0000-0000CB0D0000}"/>
    <cellStyle name="Normal 19 2 2 2 3" xfId="2647" xr:uid="{00000000-0005-0000-0000-0000CC0D0000}"/>
    <cellStyle name="Normal 19 2 2 2_2.DATA" xfId="5515" xr:uid="{00000000-0005-0000-0000-0000CD0D0000}"/>
    <cellStyle name="Normal 19 2 2 3" xfId="2648" xr:uid="{00000000-0005-0000-0000-0000CE0D0000}"/>
    <cellStyle name="Normal 19 2 2 3 2" xfId="2649" xr:uid="{00000000-0005-0000-0000-0000CF0D0000}"/>
    <cellStyle name="Normal 19 2 2 3 2 2" xfId="2650" xr:uid="{00000000-0005-0000-0000-0000D00D0000}"/>
    <cellStyle name="Normal 19 2 2 3 2_2.DATA" xfId="5518" xr:uid="{00000000-0005-0000-0000-0000D10D0000}"/>
    <cellStyle name="Normal 19 2 2 3 3" xfId="2651" xr:uid="{00000000-0005-0000-0000-0000D20D0000}"/>
    <cellStyle name="Normal 19 2 2 3_2.DATA" xfId="5517" xr:uid="{00000000-0005-0000-0000-0000D30D0000}"/>
    <cellStyle name="Normal 19 2 2 4" xfId="2652" xr:uid="{00000000-0005-0000-0000-0000D40D0000}"/>
    <cellStyle name="Normal 19 2 2 4 2" xfId="2653" xr:uid="{00000000-0005-0000-0000-0000D50D0000}"/>
    <cellStyle name="Normal 19 2 2 4_2.DATA" xfId="5519" xr:uid="{00000000-0005-0000-0000-0000D60D0000}"/>
    <cellStyle name="Normal 19 2 2 5" xfId="2654" xr:uid="{00000000-0005-0000-0000-0000D70D0000}"/>
    <cellStyle name="Normal 19 2 2_2.DATA" xfId="5514" xr:uid="{00000000-0005-0000-0000-0000D80D0000}"/>
    <cellStyle name="Normal 19 2 3" xfId="2655" xr:uid="{00000000-0005-0000-0000-0000D90D0000}"/>
    <cellStyle name="Normal 19 2 3 2" xfId="2656" xr:uid="{00000000-0005-0000-0000-0000DA0D0000}"/>
    <cellStyle name="Normal 19 2 3 2 2" xfId="2657" xr:uid="{00000000-0005-0000-0000-0000DB0D0000}"/>
    <cellStyle name="Normal 19 2 3 2 2 2" xfId="2658" xr:uid="{00000000-0005-0000-0000-0000DC0D0000}"/>
    <cellStyle name="Normal 19 2 3 2 2_2.DATA" xfId="5522" xr:uid="{00000000-0005-0000-0000-0000DD0D0000}"/>
    <cellStyle name="Normal 19 2 3 2 3" xfId="2659" xr:uid="{00000000-0005-0000-0000-0000DE0D0000}"/>
    <cellStyle name="Normal 19 2 3 2_2.DATA" xfId="5521" xr:uid="{00000000-0005-0000-0000-0000DF0D0000}"/>
    <cellStyle name="Normal 19 2 3 3" xfId="2660" xr:uid="{00000000-0005-0000-0000-0000E00D0000}"/>
    <cellStyle name="Normal 19 2 3 3 2" xfId="2661" xr:uid="{00000000-0005-0000-0000-0000E10D0000}"/>
    <cellStyle name="Normal 19 2 3 3 2 2" xfId="2662" xr:uid="{00000000-0005-0000-0000-0000E20D0000}"/>
    <cellStyle name="Normal 19 2 3 3 2_2.DATA" xfId="5524" xr:uid="{00000000-0005-0000-0000-0000E30D0000}"/>
    <cellStyle name="Normal 19 2 3 3 3" xfId="2663" xr:uid="{00000000-0005-0000-0000-0000E40D0000}"/>
    <cellStyle name="Normal 19 2 3 3_2.DATA" xfId="5523" xr:uid="{00000000-0005-0000-0000-0000E50D0000}"/>
    <cellStyle name="Normal 19 2 3 4" xfId="2664" xr:uid="{00000000-0005-0000-0000-0000E60D0000}"/>
    <cellStyle name="Normal 19 2 3 4 2" xfId="2665" xr:uid="{00000000-0005-0000-0000-0000E70D0000}"/>
    <cellStyle name="Normal 19 2 3 4_2.DATA" xfId="5525" xr:uid="{00000000-0005-0000-0000-0000E80D0000}"/>
    <cellStyle name="Normal 19 2 3 5" xfId="2666" xr:uid="{00000000-0005-0000-0000-0000E90D0000}"/>
    <cellStyle name="Normal 19 2 3_2.DATA" xfId="5520" xr:uid="{00000000-0005-0000-0000-0000EA0D0000}"/>
    <cellStyle name="Normal 19 2 4" xfId="2667" xr:uid="{00000000-0005-0000-0000-0000EB0D0000}"/>
    <cellStyle name="Normal 19 2 4 2" xfId="2668" xr:uid="{00000000-0005-0000-0000-0000EC0D0000}"/>
    <cellStyle name="Normal 19 2 4 2 2" xfId="2669" xr:uid="{00000000-0005-0000-0000-0000ED0D0000}"/>
    <cellStyle name="Normal 19 2 4 2 2 2" xfId="2670" xr:uid="{00000000-0005-0000-0000-0000EE0D0000}"/>
    <cellStyle name="Normal 19 2 4 2 2_2.DATA" xfId="5528" xr:uid="{00000000-0005-0000-0000-0000EF0D0000}"/>
    <cellStyle name="Normal 19 2 4 2 3" xfId="2671" xr:uid="{00000000-0005-0000-0000-0000F00D0000}"/>
    <cellStyle name="Normal 19 2 4 2_2.DATA" xfId="5527" xr:uid="{00000000-0005-0000-0000-0000F10D0000}"/>
    <cellStyle name="Normal 19 2 4 3" xfId="2672" xr:uid="{00000000-0005-0000-0000-0000F20D0000}"/>
    <cellStyle name="Normal 19 2 4 3 2" xfId="2673" xr:uid="{00000000-0005-0000-0000-0000F30D0000}"/>
    <cellStyle name="Normal 19 2 4 3_2.DATA" xfId="5529" xr:uid="{00000000-0005-0000-0000-0000F40D0000}"/>
    <cellStyle name="Normal 19 2 4 4" xfId="2674" xr:uid="{00000000-0005-0000-0000-0000F50D0000}"/>
    <cellStyle name="Normal 19 2 4_2.DATA" xfId="5526" xr:uid="{00000000-0005-0000-0000-0000F60D0000}"/>
    <cellStyle name="Normal 19 2 5" xfId="2675" xr:uid="{00000000-0005-0000-0000-0000F70D0000}"/>
    <cellStyle name="Normal 19 2 5 2" xfId="2676" xr:uid="{00000000-0005-0000-0000-0000F80D0000}"/>
    <cellStyle name="Normal 19 2 5 2 2" xfId="2677" xr:uid="{00000000-0005-0000-0000-0000F90D0000}"/>
    <cellStyle name="Normal 19 2 5 2_2.DATA" xfId="5531" xr:uid="{00000000-0005-0000-0000-0000FA0D0000}"/>
    <cellStyle name="Normal 19 2 5 3" xfId="2678" xr:uid="{00000000-0005-0000-0000-0000FB0D0000}"/>
    <cellStyle name="Normal 19 2 5_2.DATA" xfId="5530" xr:uid="{00000000-0005-0000-0000-0000FC0D0000}"/>
    <cellStyle name="Normal 19 2 6" xfId="2679" xr:uid="{00000000-0005-0000-0000-0000FD0D0000}"/>
    <cellStyle name="Normal 19 2 6 2" xfId="2680" xr:uid="{00000000-0005-0000-0000-0000FE0D0000}"/>
    <cellStyle name="Normal 19 2 6 2 2" xfId="2681" xr:uid="{00000000-0005-0000-0000-0000FF0D0000}"/>
    <cellStyle name="Normal 19 2 6 2_2.DATA" xfId="5533" xr:uid="{00000000-0005-0000-0000-0000000E0000}"/>
    <cellStyle name="Normal 19 2 6 3" xfId="2682" xr:uid="{00000000-0005-0000-0000-0000010E0000}"/>
    <cellStyle name="Normal 19 2 6_2.DATA" xfId="5532" xr:uid="{00000000-0005-0000-0000-0000020E0000}"/>
    <cellStyle name="Normal 19 2 7" xfId="2683" xr:uid="{00000000-0005-0000-0000-0000030E0000}"/>
    <cellStyle name="Normal 19 2 7 2" xfId="2684" xr:uid="{00000000-0005-0000-0000-0000040E0000}"/>
    <cellStyle name="Normal 19 2 7_2.DATA" xfId="5534" xr:uid="{00000000-0005-0000-0000-0000050E0000}"/>
    <cellStyle name="Normal 19 2 8" xfId="2685" xr:uid="{00000000-0005-0000-0000-0000060E0000}"/>
    <cellStyle name="Normal 19 2_2.DATA" xfId="5513" xr:uid="{00000000-0005-0000-0000-0000070E0000}"/>
    <cellStyle name="Normal 19 3" xfId="2686" xr:uid="{00000000-0005-0000-0000-0000080E0000}"/>
    <cellStyle name="Normal 19 3 2" xfId="2687" xr:uid="{00000000-0005-0000-0000-0000090E0000}"/>
    <cellStyle name="Normal 19 3 2 2" xfId="2688" xr:uid="{00000000-0005-0000-0000-00000A0E0000}"/>
    <cellStyle name="Normal 19 3 2 2 2" xfId="2689" xr:uid="{00000000-0005-0000-0000-00000B0E0000}"/>
    <cellStyle name="Normal 19 3 2 2_2.DATA" xfId="5537" xr:uid="{00000000-0005-0000-0000-00000C0E0000}"/>
    <cellStyle name="Normal 19 3 2 3" xfId="2690" xr:uid="{00000000-0005-0000-0000-00000D0E0000}"/>
    <cellStyle name="Normal 19 3 2_2.DATA" xfId="5536" xr:uid="{00000000-0005-0000-0000-00000E0E0000}"/>
    <cellStyle name="Normal 19 3 3" xfId="2691" xr:uid="{00000000-0005-0000-0000-00000F0E0000}"/>
    <cellStyle name="Normal 19 3 3 2" xfId="2692" xr:uid="{00000000-0005-0000-0000-0000100E0000}"/>
    <cellStyle name="Normal 19 3 3_2.DATA" xfId="5538" xr:uid="{00000000-0005-0000-0000-0000110E0000}"/>
    <cellStyle name="Normal 19 3 4" xfId="2693" xr:uid="{00000000-0005-0000-0000-0000120E0000}"/>
    <cellStyle name="Normal 19 3_2.DATA" xfId="5535" xr:uid="{00000000-0005-0000-0000-0000130E0000}"/>
    <cellStyle name="Normal 19 4" xfId="2694" xr:uid="{00000000-0005-0000-0000-0000140E0000}"/>
    <cellStyle name="Normal 19 4 2" xfId="2695" xr:uid="{00000000-0005-0000-0000-0000150E0000}"/>
    <cellStyle name="Normal 19 4 2 2" xfId="2696" xr:uid="{00000000-0005-0000-0000-0000160E0000}"/>
    <cellStyle name="Normal 19 4 2_2.DATA" xfId="5540" xr:uid="{00000000-0005-0000-0000-0000170E0000}"/>
    <cellStyle name="Normal 19 4 3" xfId="2697" xr:uid="{00000000-0005-0000-0000-0000180E0000}"/>
    <cellStyle name="Normal 19 4_2.DATA" xfId="5539" xr:uid="{00000000-0005-0000-0000-0000190E0000}"/>
    <cellStyle name="Normal 19 5" xfId="2698" xr:uid="{00000000-0005-0000-0000-00001A0E0000}"/>
    <cellStyle name="Normal 19 5 2" xfId="2699" xr:uid="{00000000-0005-0000-0000-00001B0E0000}"/>
    <cellStyle name="Normal 19 5_2.DATA" xfId="5541" xr:uid="{00000000-0005-0000-0000-00001C0E0000}"/>
    <cellStyle name="Normal 19 6" xfId="2700" xr:uid="{00000000-0005-0000-0000-00001D0E0000}"/>
    <cellStyle name="Normal 19 7" xfId="4688" xr:uid="{00000000-0005-0000-0000-00001E0E0000}"/>
    <cellStyle name="Normal 19 8" xfId="1537" xr:uid="{00000000-0005-0000-0000-00001F0E0000}"/>
    <cellStyle name="Normal 19_2.DATA" xfId="5512" xr:uid="{00000000-0005-0000-0000-0000200E0000}"/>
    <cellStyle name="Normal 2" xfId="1001" xr:uid="{00000000-0005-0000-0000-0000210E0000}"/>
    <cellStyle name="Normal 2 10" xfId="1002" xr:uid="{00000000-0005-0000-0000-0000220E0000}"/>
    <cellStyle name="Normal 2 10 2" xfId="4689" xr:uid="{00000000-0005-0000-0000-0000230E0000}"/>
    <cellStyle name="Normal 2 10 3" xfId="2701" xr:uid="{00000000-0005-0000-0000-0000240E0000}"/>
    <cellStyle name="Normal 2 10_2.DATA" xfId="5543" xr:uid="{00000000-0005-0000-0000-0000250E0000}"/>
    <cellStyle name="Normal 2 11" xfId="1003" xr:uid="{00000000-0005-0000-0000-0000260E0000}"/>
    <cellStyle name="Normal 2 11 2" xfId="4690" xr:uid="{00000000-0005-0000-0000-0000270E0000}"/>
    <cellStyle name="Normal 2 11 2 2 3" xfId="2703" xr:uid="{00000000-0005-0000-0000-0000280E0000}"/>
    <cellStyle name="Normal 2 11 3" xfId="2702" xr:uid="{00000000-0005-0000-0000-0000290E0000}"/>
    <cellStyle name="Normal 2 11_2.DATA" xfId="5544" xr:uid="{00000000-0005-0000-0000-00002A0E0000}"/>
    <cellStyle name="Normal 2 12" xfId="1004" xr:uid="{00000000-0005-0000-0000-00002B0E0000}"/>
    <cellStyle name="Normal 2 12 2" xfId="4691" xr:uid="{00000000-0005-0000-0000-00002C0E0000}"/>
    <cellStyle name="Normal 2 12 3" xfId="2704" xr:uid="{00000000-0005-0000-0000-00002D0E0000}"/>
    <cellStyle name="Normal 2 12_2.DATA" xfId="5545" xr:uid="{00000000-0005-0000-0000-00002E0E0000}"/>
    <cellStyle name="Normal 2 13" xfId="2705" xr:uid="{00000000-0005-0000-0000-00002F0E0000}"/>
    <cellStyle name="Normal 2 14" xfId="1005" xr:uid="{00000000-0005-0000-0000-0000300E0000}"/>
    <cellStyle name="Normal 2 14 2" xfId="2707" xr:uid="{00000000-0005-0000-0000-0000310E0000}"/>
    <cellStyle name="Normal 2 14 2 2" xfId="2708" xr:uid="{00000000-0005-0000-0000-0000320E0000}"/>
    <cellStyle name="Normal 2 14 2 2 2" xfId="2709" xr:uid="{00000000-0005-0000-0000-0000330E0000}"/>
    <cellStyle name="Normal 2 14 2 2 2 2" xfId="2710" xr:uid="{00000000-0005-0000-0000-0000340E0000}"/>
    <cellStyle name="Normal 2 14 2 2 2_2.DATA" xfId="5549" xr:uid="{00000000-0005-0000-0000-0000350E0000}"/>
    <cellStyle name="Normal 2 14 2 2 3" xfId="2711" xr:uid="{00000000-0005-0000-0000-0000360E0000}"/>
    <cellStyle name="Normal 2 14 2 2_2.DATA" xfId="5548" xr:uid="{00000000-0005-0000-0000-0000370E0000}"/>
    <cellStyle name="Normal 2 14 2 3" xfId="2712" xr:uid="{00000000-0005-0000-0000-0000380E0000}"/>
    <cellStyle name="Normal 2 14 2 3 2" xfId="2713" xr:uid="{00000000-0005-0000-0000-0000390E0000}"/>
    <cellStyle name="Normal 2 14 2 3 2 2" xfId="2714" xr:uid="{00000000-0005-0000-0000-00003A0E0000}"/>
    <cellStyle name="Normal 2 14 2 3 2_2.DATA" xfId="5551" xr:uid="{00000000-0005-0000-0000-00003B0E0000}"/>
    <cellStyle name="Normal 2 14 2 3 3" xfId="2715" xr:uid="{00000000-0005-0000-0000-00003C0E0000}"/>
    <cellStyle name="Normal 2 14 2 3_2.DATA" xfId="5550" xr:uid="{00000000-0005-0000-0000-00003D0E0000}"/>
    <cellStyle name="Normal 2 14 2 4" xfId="2716" xr:uid="{00000000-0005-0000-0000-00003E0E0000}"/>
    <cellStyle name="Normal 2 14 2 4 2" xfId="2717" xr:uid="{00000000-0005-0000-0000-00003F0E0000}"/>
    <cellStyle name="Normal 2 14 2 4_2.DATA" xfId="5552" xr:uid="{00000000-0005-0000-0000-0000400E0000}"/>
    <cellStyle name="Normal 2 14 2 5" xfId="2718" xr:uid="{00000000-0005-0000-0000-0000410E0000}"/>
    <cellStyle name="Normal 2 14 2_2.DATA" xfId="5547" xr:uid="{00000000-0005-0000-0000-0000420E0000}"/>
    <cellStyle name="Normal 2 14 3" xfId="2719" xr:uid="{00000000-0005-0000-0000-0000430E0000}"/>
    <cellStyle name="Normal 2 14 3 2" xfId="2720" xr:uid="{00000000-0005-0000-0000-0000440E0000}"/>
    <cellStyle name="Normal 2 14 3 2 2" xfId="2721" xr:uid="{00000000-0005-0000-0000-0000450E0000}"/>
    <cellStyle name="Normal 2 14 3 2 2 2" xfId="2722" xr:uid="{00000000-0005-0000-0000-0000460E0000}"/>
    <cellStyle name="Normal 2 14 3 2 2_2.DATA" xfId="5555" xr:uid="{00000000-0005-0000-0000-0000470E0000}"/>
    <cellStyle name="Normal 2 14 3 2 3" xfId="2723" xr:uid="{00000000-0005-0000-0000-0000480E0000}"/>
    <cellStyle name="Normal 2 14 3 2_2.DATA" xfId="5554" xr:uid="{00000000-0005-0000-0000-0000490E0000}"/>
    <cellStyle name="Normal 2 14 3 3" xfId="2724" xr:uid="{00000000-0005-0000-0000-00004A0E0000}"/>
    <cellStyle name="Normal 2 14 3 3 2" xfId="2725" xr:uid="{00000000-0005-0000-0000-00004B0E0000}"/>
    <cellStyle name="Normal 2 14 3 3 2 2" xfId="2726" xr:uid="{00000000-0005-0000-0000-00004C0E0000}"/>
    <cellStyle name="Normal 2 14 3 3 2_2.DATA" xfId="5557" xr:uid="{00000000-0005-0000-0000-00004D0E0000}"/>
    <cellStyle name="Normal 2 14 3 3 3" xfId="2727" xr:uid="{00000000-0005-0000-0000-00004E0E0000}"/>
    <cellStyle name="Normal 2 14 3 3_2.DATA" xfId="5556" xr:uid="{00000000-0005-0000-0000-00004F0E0000}"/>
    <cellStyle name="Normal 2 14 3 4" xfId="2728" xr:uid="{00000000-0005-0000-0000-0000500E0000}"/>
    <cellStyle name="Normal 2 14 3 4 2" xfId="2729" xr:uid="{00000000-0005-0000-0000-0000510E0000}"/>
    <cellStyle name="Normal 2 14 3 4_2.DATA" xfId="5558" xr:uid="{00000000-0005-0000-0000-0000520E0000}"/>
    <cellStyle name="Normal 2 14 3 5" xfId="2730" xr:uid="{00000000-0005-0000-0000-0000530E0000}"/>
    <cellStyle name="Normal 2 14 3_2.DATA" xfId="5553" xr:uid="{00000000-0005-0000-0000-0000540E0000}"/>
    <cellStyle name="Normal 2 14 4" xfId="2731" xr:uid="{00000000-0005-0000-0000-0000550E0000}"/>
    <cellStyle name="Normal 2 14 4 2" xfId="2732" xr:uid="{00000000-0005-0000-0000-0000560E0000}"/>
    <cellStyle name="Normal 2 14 4 2 2" xfId="2733" xr:uid="{00000000-0005-0000-0000-0000570E0000}"/>
    <cellStyle name="Normal 2 14 4 2_2.DATA" xfId="5560" xr:uid="{00000000-0005-0000-0000-0000580E0000}"/>
    <cellStyle name="Normal 2 14 4 3" xfId="2734" xr:uid="{00000000-0005-0000-0000-0000590E0000}"/>
    <cellStyle name="Normal 2 14 4_2.DATA" xfId="5559" xr:uid="{00000000-0005-0000-0000-00005A0E0000}"/>
    <cellStyle name="Normal 2 14 5" xfId="2735" xr:uid="{00000000-0005-0000-0000-00005B0E0000}"/>
    <cellStyle name="Normal 2 14 5 2" xfId="2736" xr:uid="{00000000-0005-0000-0000-00005C0E0000}"/>
    <cellStyle name="Normal 2 14 5 2 2" xfId="2737" xr:uid="{00000000-0005-0000-0000-00005D0E0000}"/>
    <cellStyle name="Normal 2 14 5 2_2.DATA" xfId="5562" xr:uid="{00000000-0005-0000-0000-00005E0E0000}"/>
    <cellStyle name="Normal 2 14 5 3" xfId="2738" xr:uid="{00000000-0005-0000-0000-00005F0E0000}"/>
    <cellStyle name="Normal 2 14 5_2.DATA" xfId="5561" xr:uid="{00000000-0005-0000-0000-0000600E0000}"/>
    <cellStyle name="Normal 2 14 6" xfId="2739" xr:uid="{00000000-0005-0000-0000-0000610E0000}"/>
    <cellStyle name="Normal 2 14 6 2" xfId="2740" xr:uid="{00000000-0005-0000-0000-0000620E0000}"/>
    <cellStyle name="Normal 2 14 6_2.DATA" xfId="5563" xr:uid="{00000000-0005-0000-0000-0000630E0000}"/>
    <cellStyle name="Normal 2 14 7" xfId="2741" xr:uid="{00000000-0005-0000-0000-0000640E0000}"/>
    <cellStyle name="Normal 2 14 8" xfId="4692" xr:uid="{00000000-0005-0000-0000-0000650E0000}"/>
    <cellStyle name="Normal 2 14 9" xfId="2706" xr:uid="{00000000-0005-0000-0000-0000660E0000}"/>
    <cellStyle name="Normal 2 14_2.DATA" xfId="5546" xr:uid="{00000000-0005-0000-0000-0000670E0000}"/>
    <cellStyle name="Normal 2 15" xfId="2742" xr:uid="{00000000-0005-0000-0000-0000680E0000}"/>
    <cellStyle name="Normal 2 15 2" xfId="2743" xr:uid="{00000000-0005-0000-0000-0000690E0000}"/>
    <cellStyle name="Normal 2 15 2 2" xfId="2744" xr:uid="{00000000-0005-0000-0000-00006A0E0000}"/>
    <cellStyle name="Normal 2 15 2_2.DATA" xfId="5565" xr:uid="{00000000-0005-0000-0000-00006B0E0000}"/>
    <cellStyle name="Normal 2 15 3" xfId="2745" xr:uid="{00000000-0005-0000-0000-00006C0E0000}"/>
    <cellStyle name="Normal 2 15_2.DATA" xfId="5564" xr:uid="{00000000-0005-0000-0000-00006D0E0000}"/>
    <cellStyle name="Normal 2 16" xfId="1006" xr:uid="{00000000-0005-0000-0000-00006E0E0000}"/>
    <cellStyle name="Normal 2 16 2" xfId="2747" xr:uid="{00000000-0005-0000-0000-00006F0E0000}"/>
    <cellStyle name="Normal 2 16 3" xfId="4693" xr:uid="{00000000-0005-0000-0000-0000700E0000}"/>
    <cellStyle name="Normal 2 16 4" xfId="2746" xr:uid="{00000000-0005-0000-0000-0000710E0000}"/>
    <cellStyle name="Normal 2 16_2.DATA" xfId="5566" xr:uid="{00000000-0005-0000-0000-0000720E0000}"/>
    <cellStyle name="Normal 2 17" xfId="2748" xr:uid="{00000000-0005-0000-0000-0000730E0000}"/>
    <cellStyle name="Normal 2 18" xfId="1007" xr:uid="{00000000-0005-0000-0000-0000740E0000}"/>
    <cellStyle name="Normal 2 19" xfId="3982" xr:uid="{00000000-0005-0000-0000-0000750E0000}"/>
    <cellStyle name="Normal 2 2" xfId="1008" xr:uid="{00000000-0005-0000-0000-0000760E0000}"/>
    <cellStyle name="Normal 2 2 2" xfId="1009" xr:uid="{00000000-0005-0000-0000-0000770E0000}"/>
    <cellStyle name="Normal 2 2 2 2" xfId="4694" xr:uid="{00000000-0005-0000-0000-0000780E0000}"/>
    <cellStyle name="Normal 2 2 2 3" xfId="2749" xr:uid="{00000000-0005-0000-0000-0000790E0000}"/>
    <cellStyle name="Normal 2 2 2_2.DATA" xfId="5567" xr:uid="{00000000-0005-0000-0000-00007A0E0000}"/>
    <cellStyle name="Normal 2 2 3" xfId="1010" xr:uid="{00000000-0005-0000-0000-00007B0E0000}"/>
    <cellStyle name="Normal 2 2 3 2" xfId="4695" xr:uid="{00000000-0005-0000-0000-00007C0E0000}"/>
    <cellStyle name="Normal 2 2 3 3" xfId="2750" xr:uid="{00000000-0005-0000-0000-00007D0E0000}"/>
    <cellStyle name="Normal 2 2 3_2.DATA" xfId="5568" xr:uid="{00000000-0005-0000-0000-00007E0E0000}"/>
    <cellStyle name="Normal 2 2 4" xfId="2751" xr:uid="{00000000-0005-0000-0000-00007F0E0000}"/>
    <cellStyle name="Normal 2 2 5" xfId="1412" xr:uid="{00000000-0005-0000-0000-0000800E0000}"/>
    <cellStyle name="Normal 2 2_BLU" xfId="2752" xr:uid="{00000000-0005-0000-0000-0000810E0000}"/>
    <cellStyle name="Normal 2 20" xfId="1011" xr:uid="{00000000-0005-0000-0000-0000820E0000}"/>
    <cellStyle name="Normal 2 21" xfId="3984" xr:uid="{00000000-0005-0000-0000-0000830E0000}"/>
    <cellStyle name="Normal 2 22" xfId="1012" xr:uid="{00000000-0005-0000-0000-0000840E0000}"/>
    <cellStyle name="Normal 2 23" xfId="4019" xr:uid="{00000000-0005-0000-0000-0000850E0000}"/>
    <cellStyle name="Normal 2 24" xfId="1013" xr:uid="{00000000-0005-0000-0000-0000860E0000}"/>
    <cellStyle name="Normal 2 24 2" xfId="4696" xr:uid="{00000000-0005-0000-0000-0000870E0000}"/>
    <cellStyle name="Normal 2 24 3" xfId="2753" xr:uid="{00000000-0005-0000-0000-0000880E0000}"/>
    <cellStyle name="Normal 2 26" xfId="1014" xr:uid="{00000000-0005-0000-0000-0000890E0000}"/>
    <cellStyle name="Normal 2 28" xfId="1015" xr:uid="{00000000-0005-0000-0000-00008A0E0000}"/>
    <cellStyle name="Normal 2 3" xfId="1016" xr:uid="{00000000-0005-0000-0000-00008B0E0000}"/>
    <cellStyle name="Normal 2 3 2" xfId="1017" xr:uid="{00000000-0005-0000-0000-00008C0E0000}"/>
    <cellStyle name="Normal 2 3 2 2" xfId="1482" xr:uid="{00000000-0005-0000-0000-00008D0E0000}"/>
    <cellStyle name="Normal 2 3 2 2 2" xfId="1619" xr:uid="{00000000-0005-0000-0000-00008E0E0000}"/>
    <cellStyle name="Normal 2 3 2 2 2 2" xfId="4429" xr:uid="{00000000-0005-0000-0000-00008F0E0000}"/>
    <cellStyle name="Normal 2 3 2 2 2_2.DATA" xfId="5572" xr:uid="{00000000-0005-0000-0000-0000900E0000}"/>
    <cellStyle name="Normal 2 3 2 2 3" xfId="4080" xr:uid="{00000000-0005-0000-0000-0000910E0000}"/>
    <cellStyle name="Normal 2 3 2 2_2.DATA" xfId="5571" xr:uid="{00000000-0005-0000-0000-0000920E0000}"/>
    <cellStyle name="Normal 2 3 2 3" xfId="1519" xr:uid="{00000000-0005-0000-0000-0000930E0000}"/>
    <cellStyle name="Normal 2 3 2 3 2" xfId="1668" xr:uid="{00000000-0005-0000-0000-0000940E0000}"/>
    <cellStyle name="Normal 2 3 2 3 2 2" xfId="4284" xr:uid="{00000000-0005-0000-0000-0000950E0000}"/>
    <cellStyle name="Normal 2 3 2 3 2_2.DATA" xfId="5574" xr:uid="{00000000-0005-0000-0000-0000960E0000}"/>
    <cellStyle name="Normal 2 3 2 3 3" xfId="4202" xr:uid="{00000000-0005-0000-0000-0000970E0000}"/>
    <cellStyle name="Normal 2 3 2 3_2.DATA" xfId="5573" xr:uid="{00000000-0005-0000-0000-0000980E0000}"/>
    <cellStyle name="Normal 2 3 2 4" xfId="1583" xr:uid="{00000000-0005-0000-0000-0000990E0000}"/>
    <cellStyle name="Normal 2 3 2 4 2" xfId="4280" xr:uid="{00000000-0005-0000-0000-00009A0E0000}"/>
    <cellStyle name="Normal 2 3 2 4_2.DATA" xfId="5575" xr:uid="{00000000-0005-0000-0000-00009B0E0000}"/>
    <cellStyle name="Normal 2 3 2 5" xfId="2754" xr:uid="{00000000-0005-0000-0000-00009C0E0000}"/>
    <cellStyle name="Normal 2 3 2_2.DATA" xfId="5570" xr:uid="{00000000-0005-0000-0000-00009D0E0000}"/>
    <cellStyle name="Normal 2 3 3" xfId="1018" xr:uid="{00000000-0005-0000-0000-00009E0E0000}"/>
    <cellStyle name="Normal 2 3 3 2" xfId="1620" xr:uid="{00000000-0005-0000-0000-00009F0E0000}"/>
    <cellStyle name="Normal 2 3 3 2 2" xfId="2755" xr:uid="{00000000-0005-0000-0000-0000A00E0000}"/>
    <cellStyle name="Normal 2 3 3 2_2.DATA" xfId="5577" xr:uid="{00000000-0005-0000-0000-0000A10E0000}"/>
    <cellStyle name="Normal 2 3 3 3" xfId="2756" xr:uid="{00000000-0005-0000-0000-0000A20E0000}"/>
    <cellStyle name="Normal 2 3 3_2.DATA" xfId="5576" xr:uid="{00000000-0005-0000-0000-0000A30E0000}"/>
    <cellStyle name="Normal 2 3 4" xfId="1504" xr:uid="{00000000-0005-0000-0000-0000A40E0000}"/>
    <cellStyle name="Normal 2 3 4 2" xfId="1651" xr:uid="{00000000-0005-0000-0000-0000A50E0000}"/>
    <cellStyle name="Normal 2 3 4 2 2" xfId="4176" xr:uid="{00000000-0005-0000-0000-0000A60E0000}"/>
    <cellStyle name="Normal 2 3 4 2_2.DATA" xfId="5579" xr:uid="{00000000-0005-0000-0000-0000A70E0000}"/>
    <cellStyle name="Normal 2 3 4 3" xfId="2757" xr:uid="{00000000-0005-0000-0000-0000A80E0000}"/>
    <cellStyle name="Normal 2 3 4_2.DATA" xfId="5578" xr:uid="{00000000-0005-0000-0000-0000A90E0000}"/>
    <cellStyle name="Normal 2 3 5" xfId="1566" xr:uid="{00000000-0005-0000-0000-0000AA0E0000}"/>
    <cellStyle name="Normal 2 3 5 2" xfId="2758" xr:uid="{00000000-0005-0000-0000-0000AB0E0000}"/>
    <cellStyle name="Normal 2 3 5_2.DATA" xfId="5580" xr:uid="{00000000-0005-0000-0000-0000AC0E0000}"/>
    <cellStyle name="Normal 2 3 6" xfId="2759" xr:uid="{00000000-0005-0000-0000-0000AD0E0000}"/>
    <cellStyle name="Normal 2 3_2.DATA" xfId="5569" xr:uid="{00000000-0005-0000-0000-0000AE0E0000}"/>
    <cellStyle name="Normal 2 4" xfId="1019" xr:uid="{00000000-0005-0000-0000-0000AF0E0000}"/>
    <cellStyle name="Normal 2 4 2" xfId="1020" xr:uid="{00000000-0005-0000-0000-0000B00E0000}"/>
    <cellStyle name="Normal 2 4 2 2" xfId="1484" xr:uid="{00000000-0005-0000-0000-0000B10E0000}"/>
    <cellStyle name="Normal 2 4 2 2 2" xfId="1621" xr:uid="{00000000-0005-0000-0000-0000B20E0000}"/>
    <cellStyle name="Normal 2 4 2 2 2 2" xfId="4415" xr:uid="{00000000-0005-0000-0000-0000B30E0000}"/>
    <cellStyle name="Normal 2 4 2 2 2_2.DATA" xfId="5584" xr:uid="{00000000-0005-0000-0000-0000B40E0000}"/>
    <cellStyle name="Normal 2 4 2 2 3" xfId="4086" xr:uid="{00000000-0005-0000-0000-0000B50E0000}"/>
    <cellStyle name="Normal 2 4 2 2_2.DATA" xfId="5583" xr:uid="{00000000-0005-0000-0000-0000B60E0000}"/>
    <cellStyle name="Normal 2 4 2 3" xfId="1520" xr:uid="{00000000-0005-0000-0000-0000B70E0000}"/>
    <cellStyle name="Normal 2 4 2 3 2" xfId="1669" xr:uid="{00000000-0005-0000-0000-0000B80E0000}"/>
    <cellStyle name="Normal 2 4 2 3 2 2" xfId="4403" xr:uid="{00000000-0005-0000-0000-0000B90E0000}"/>
    <cellStyle name="Normal 2 4 2 3 2_2.DATA" xfId="5586" xr:uid="{00000000-0005-0000-0000-0000BA0E0000}"/>
    <cellStyle name="Normal 2 4 2 3 3" xfId="4203" xr:uid="{00000000-0005-0000-0000-0000BB0E0000}"/>
    <cellStyle name="Normal 2 4 2 3_2.DATA" xfId="5585" xr:uid="{00000000-0005-0000-0000-0000BC0E0000}"/>
    <cellStyle name="Normal 2 4 2 4" xfId="1584" xr:uid="{00000000-0005-0000-0000-0000BD0E0000}"/>
    <cellStyle name="Normal 2 4 2 4 2" xfId="4307" xr:uid="{00000000-0005-0000-0000-0000BE0E0000}"/>
    <cellStyle name="Normal 2 4 2 4_2.DATA" xfId="5587" xr:uid="{00000000-0005-0000-0000-0000BF0E0000}"/>
    <cellStyle name="Normal 2 4 2 5" xfId="2760" xr:uid="{00000000-0005-0000-0000-0000C00E0000}"/>
    <cellStyle name="Normal 2 4 2 5 2" xfId="4698" xr:uid="{00000000-0005-0000-0000-0000C10E0000}"/>
    <cellStyle name="Normal 2 4 2 6" xfId="1450" xr:uid="{00000000-0005-0000-0000-0000C20E0000}"/>
    <cellStyle name="Normal 2 4 2_2.DATA" xfId="5582" xr:uid="{00000000-0005-0000-0000-0000C30E0000}"/>
    <cellStyle name="Normal 2 4 3" xfId="1483" xr:uid="{00000000-0005-0000-0000-0000C40E0000}"/>
    <cellStyle name="Normal 2 4 3 2" xfId="1622" xr:uid="{00000000-0005-0000-0000-0000C50E0000}"/>
    <cellStyle name="Normal 2 4 3 2 2" xfId="4338" xr:uid="{00000000-0005-0000-0000-0000C60E0000}"/>
    <cellStyle name="Normal 2 4 3 2_2.DATA" xfId="5589" xr:uid="{00000000-0005-0000-0000-0000C70E0000}"/>
    <cellStyle name="Normal 2 4 3 3" xfId="4119" xr:uid="{00000000-0005-0000-0000-0000C80E0000}"/>
    <cellStyle name="Normal 2 4 3_2.DATA" xfId="5588" xr:uid="{00000000-0005-0000-0000-0000C90E0000}"/>
    <cellStyle name="Normal 2 4 4" xfId="1505" xr:uid="{00000000-0005-0000-0000-0000CA0E0000}"/>
    <cellStyle name="Normal 2 4 4 2" xfId="1652" xr:uid="{00000000-0005-0000-0000-0000CB0E0000}"/>
    <cellStyle name="Normal 2 4 4 2 2" xfId="4433" xr:uid="{00000000-0005-0000-0000-0000CC0E0000}"/>
    <cellStyle name="Normal 2 4 4 2_2.DATA" xfId="5591" xr:uid="{00000000-0005-0000-0000-0000CD0E0000}"/>
    <cellStyle name="Normal 2 4 4 3" xfId="4177" xr:uid="{00000000-0005-0000-0000-0000CE0E0000}"/>
    <cellStyle name="Normal 2 4 4_2.DATA" xfId="5590" xr:uid="{00000000-0005-0000-0000-0000CF0E0000}"/>
    <cellStyle name="Normal 2 4 5" xfId="1567" xr:uid="{00000000-0005-0000-0000-0000D00E0000}"/>
    <cellStyle name="Normal 2 4 5 2" xfId="4407" xr:uid="{00000000-0005-0000-0000-0000D10E0000}"/>
    <cellStyle name="Normal 2 4 5_2.DATA" xfId="5592" xr:uid="{00000000-0005-0000-0000-0000D20E0000}"/>
    <cellStyle name="Normal 2 4 6" xfId="4697" xr:uid="{00000000-0005-0000-0000-0000D30E0000}"/>
    <cellStyle name="Normal 2 4 7" xfId="3983" xr:uid="{00000000-0005-0000-0000-0000D40E0000}"/>
    <cellStyle name="Normal 2 4 8" xfId="1413" xr:uid="{00000000-0005-0000-0000-0000D50E0000}"/>
    <cellStyle name="Normal 2 4_2.DATA" xfId="5581" xr:uid="{00000000-0005-0000-0000-0000D60E0000}"/>
    <cellStyle name="Normal 2 5" xfId="1021" xr:uid="{00000000-0005-0000-0000-0000D70E0000}"/>
    <cellStyle name="Normal 2 5 2" xfId="1485" xr:uid="{00000000-0005-0000-0000-0000D80E0000}"/>
    <cellStyle name="Normal 2 5 2 2" xfId="1623" xr:uid="{00000000-0005-0000-0000-0000D90E0000}"/>
    <cellStyle name="Normal 2 5 2 2 2" xfId="4120" xr:uid="{00000000-0005-0000-0000-0000DA0E0000}"/>
    <cellStyle name="Normal 2 5 2 2_2.DATA" xfId="5595" xr:uid="{00000000-0005-0000-0000-0000DB0E0000}"/>
    <cellStyle name="Normal 2 5 2 3" xfId="2761" xr:uid="{00000000-0005-0000-0000-0000DC0E0000}"/>
    <cellStyle name="Normal 2 5 2_2.DATA" xfId="5594" xr:uid="{00000000-0005-0000-0000-0000DD0E0000}"/>
    <cellStyle name="Normal 2 5 3" xfId="1518" xr:uid="{00000000-0005-0000-0000-0000DE0E0000}"/>
    <cellStyle name="Normal 2 5 3 2" xfId="1667" xr:uid="{00000000-0005-0000-0000-0000DF0E0000}"/>
    <cellStyle name="Normal 2 5 3 2 2" xfId="4345" xr:uid="{00000000-0005-0000-0000-0000E00E0000}"/>
    <cellStyle name="Normal 2 5 3 2_2.DATA" xfId="5597" xr:uid="{00000000-0005-0000-0000-0000E10E0000}"/>
    <cellStyle name="Normal 2 5 3 3" xfId="4076" xr:uid="{00000000-0005-0000-0000-0000E20E0000}"/>
    <cellStyle name="Normal 2 5 3_2.DATA" xfId="5596" xr:uid="{00000000-0005-0000-0000-0000E30E0000}"/>
    <cellStyle name="Normal 2 5 4" xfId="1582" xr:uid="{00000000-0005-0000-0000-0000E40E0000}"/>
    <cellStyle name="Normal 2 5 4 2" xfId="4449" xr:uid="{00000000-0005-0000-0000-0000E50E0000}"/>
    <cellStyle name="Normal 2 5 4_2.DATA" xfId="5598" xr:uid="{00000000-0005-0000-0000-0000E60E0000}"/>
    <cellStyle name="Normal 2 5 5" xfId="2762" xr:uid="{00000000-0005-0000-0000-0000E70E0000}"/>
    <cellStyle name="Normal 2 5 6" xfId="1449" xr:uid="{00000000-0005-0000-0000-0000E80E0000}"/>
    <cellStyle name="Normal 2 5_2.DATA" xfId="5593" xr:uid="{00000000-0005-0000-0000-0000E90E0000}"/>
    <cellStyle name="Normal 2 6" xfId="1022" xr:uid="{00000000-0005-0000-0000-0000EA0E0000}"/>
    <cellStyle name="Normal 2 6 2" xfId="1486" xr:uid="{00000000-0005-0000-0000-0000EB0E0000}"/>
    <cellStyle name="Normal 2 6 2 2" xfId="1625" xr:uid="{00000000-0005-0000-0000-0000EC0E0000}"/>
    <cellStyle name="Normal 2 6 2 2 2" xfId="4386" xr:uid="{00000000-0005-0000-0000-0000ED0E0000}"/>
    <cellStyle name="Normal 2 6 2 2_2.DATA" xfId="5601" xr:uid="{00000000-0005-0000-0000-0000EE0E0000}"/>
    <cellStyle name="Normal 2 6 2 3" xfId="4093" xr:uid="{00000000-0005-0000-0000-0000EF0E0000}"/>
    <cellStyle name="Normal 2 6 2_2.DATA" xfId="5600" xr:uid="{00000000-0005-0000-0000-0000F00E0000}"/>
    <cellStyle name="Normal 2 6 3" xfId="1532" xr:uid="{00000000-0005-0000-0000-0000F10E0000}"/>
    <cellStyle name="Normal 2 6 3 2" xfId="1684" xr:uid="{00000000-0005-0000-0000-0000F20E0000}"/>
    <cellStyle name="Normal 2 6 3 2 2" xfId="4327" xr:uid="{00000000-0005-0000-0000-0000F30E0000}"/>
    <cellStyle name="Normal 2 6 3 2_2.DATA" xfId="5603" xr:uid="{00000000-0005-0000-0000-0000F40E0000}"/>
    <cellStyle name="Normal 2 6 3 3" xfId="4212" xr:uid="{00000000-0005-0000-0000-0000F50E0000}"/>
    <cellStyle name="Normal 2 6 3_2.DATA" xfId="5602" xr:uid="{00000000-0005-0000-0000-0000F60E0000}"/>
    <cellStyle name="Normal 2 6 4" xfId="1624" xr:uid="{00000000-0005-0000-0000-0000F70E0000}"/>
    <cellStyle name="Normal 2 6 4 2" xfId="4272" xr:uid="{00000000-0005-0000-0000-0000F80E0000}"/>
    <cellStyle name="Normal 2 6 4_2.DATA" xfId="5604" xr:uid="{00000000-0005-0000-0000-0000F90E0000}"/>
    <cellStyle name="Normal 2 6 5" xfId="2763" xr:uid="{00000000-0005-0000-0000-0000FA0E0000}"/>
    <cellStyle name="Normal 2 6 5 2" xfId="4699" xr:uid="{00000000-0005-0000-0000-0000FB0E0000}"/>
    <cellStyle name="Normal 2 6 6" xfId="1411" xr:uid="{00000000-0005-0000-0000-0000FC0E0000}"/>
    <cellStyle name="Normal 2 6_2.DATA" xfId="5599" xr:uid="{00000000-0005-0000-0000-0000FD0E0000}"/>
    <cellStyle name="Normal 2 7" xfId="1023" xr:uid="{00000000-0005-0000-0000-0000FE0E0000}"/>
    <cellStyle name="Normal 2 7 2" xfId="1626" xr:uid="{00000000-0005-0000-0000-0000FF0E0000}"/>
    <cellStyle name="Normal 2 7 2 2" xfId="4118" xr:uid="{00000000-0005-0000-0000-0000000F0000}"/>
    <cellStyle name="Normal 2 7 2_2.DATA" xfId="5606" xr:uid="{00000000-0005-0000-0000-0000010F0000}"/>
    <cellStyle name="Normal 2 7 3" xfId="2764" xr:uid="{00000000-0005-0000-0000-0000020F0000}"/>
    <cellStyle name="Normal 2 7 3 2" xfId="4700" xr:uid="{00000000-0005-0000-0000-0000030F0000}"/>
    <cellStyle name="Normal 2 7 4" xfId="1481" xr:uid="{00000000-0005-0000-0000-0000040F0000}"/>
    <cellStyle name="Normal 2 7_2.DATA" xfId="5605" xr:uid="{00000000-0005-0000-0000-0000050F0000}"/>
    <cellStyle name="Normal 2 8" xfId="1024" xr:uid="{00000000-0005-0000-0000-0000060F0000}"/>
    <cellStyle name="Normal 2 8 2" xfId="1650" xr:uid="{00000000-0005-0000-0000-0000070F0000}"/>
    <cellStyle name="Normal 2 8 2 2" xfId="4175" xr:uid="{00000000-0005-0000-0000-0000080F0000}"/>
    <cellStyle name="Normal 2 8 2_2.DATA" xfId="5608" xr:uid="{00000000-0005-0000-0000-0000090F0000}"/>
    <cellStyle name="Normal 2 8 3" xfId="2765" xr:uid="{00000000-0005-0000-0000-00000A0F0000}"/>
    <cellStyle name="Normal 2 8 3 2" xfId="4701" xr:uid="{00000000-0005-0000-0000-00000B0F0000}"/>
    <cellStyle name="Normal 2 8 4" xfId="1503" xr:uid="{00000000-0005-0000-0000-00000C0F0000}"/>
    <cellStyle name="Normal 2 8_2.DATA" xfId="5607" xr:uid="{00000000-0005-0000-0000-00000D0F0000}"/>
    <cellStyle name="Normal 2 9" xfId="1025" xr:uid="{00000000-0005-0000-0000-00000E0F0000}"/>
    <cellStyle name="Normal 2 9 2" xfId="2766" xr:uid="{00000000-0005-0000-0000-00000F0F0000}"/>
    <cellStyle name="Normal 2 9 3" xfId="2767" xr:uid="{00000000-0005-0000-0000-0000100F0000}"/>
    <cellStyle name="Normal 2 9 3 2" xfId="4702" xr:uid="{00000000-0005-0000-0000-0000110F0000}"/>
    <cellStyle name="Normal 2 9 4" xfId="1565" xr:uid="{00000000-0005-0000-0000-0000120F0000}"/>
    <cellStyle name="Normal 2 9_2.DATA" xfId="5609" xr:uid="{00000000-0005-0000-0000-0000130F0000}"/>
    <cellStyle name="Normal 2_2.DATA" xfId="5542" xr:uid="{00000000-0005-0000-0000-0000140F0000}"/>
    <cellStyle name="Normal 20" xfId="1026" xr:uid="{00000000-0005-0000-0000-0000150F0000}"/>
    <cellStyle name="Normal 20 2" xfId="2768" xr:uid="{00000000-0005-0000-0000-0000160F0000}"/>
    <cellStyle name="Normal 20 2 2" xfId="2769" xr:uid="{00000000-0005-0000-0000-0000170F0000}"/>
    <cellStyle name="Normal 20 2 2 2" xfId="2770" xr:uid="{00000000-0005-0000-0000-0000180F0000}"/>
    <cellStyle name="Normal 20 2 2 2 2" xfId="2771" xr:uid="{00000000-0005-0000-0000-0000190F0000}"/>
    <cellStyle name="Normal 20 2 2 2 2 2" xfId="2772" xr:uid="{00000000-0005-0000-0000-00001A0F0000}"/>
    <cellStyle name="Normal 20 2 2 2 2_2.DATA" xfId="5614" xr:uid="{00000000-0005-0000-0000-00001B0F0000}"/>
    <cellStyle name="Normal 20 2 2 2 3" xfId="2773" xr:uid="{00000000-0005-0000-0000-00001C0F0000}"/>
    <cellStyle name="Normal 20 2 2 2_2.DATA" xfId="5613" xr:uid="{00000000-0005-0000-0000-00001D0F0000}"/>
    <cellStyle name="Normal 20 2 2 3" xfId="2774" xr:uid="{00000000-0005-0000-0000-00001E0F0000}"/>
    <cellStyle name="Normal 20 2 2 3 2" xfId="2775" xr:uid="{00000000-0005-0000-0000-00001F0F0000}"/>
    <cellStyle name="Normal 20 2 2 3 2 2" xfId="2776" xr:uid="{00000000-0005-0000-0000-0000200F0000}"/>
    <cellStyle name="Normal 20 2 2 3 2_2.DATA" xfId="5616" xr:uid="{00000000-0005-0000-0000-0000210F0000}"/>
    <cellStyle name="Normal 20 2 2 3 3" xfId="2777" xr:uid="{00000000-0005-0000-0000-0000220F0000}"/>
    <cellStyle name="Normal 20 2 2 3_2.DATA" xfId="5615" xr:uid="{00000000-0005-0000-0000-0000230F0000}"/>
    <cellStyle name="Normal 20 2 2 4" xfId="2778" xr:uid="{00000000-0005-0000-0000-0000240F0000}"/>
    <cellStyle name="Normal 20 2 2 4 2" xfId="2779" xr:uid="{00000000-0005-0000-0000-0000250F0000}"/>
    <cellStyle name="Normal 20 2 2 4_2.DATA" xfId="5617" xr:uid="{00000000-0005-0000-0000-0000260F0000}"/>
    <cellStyle name="Normal 20 2 2 5" xfId="2780" xr:uid="{00000000-0005-0000-0000-0000270F0000}"/>
    <cellStyle name="Normal 20 2 2_2.DATA" xfId="5612" xr:uid="{00000000-0005-0000-0000-0000280F0000}"/>
    <cellStyle name="Normal 20 2 3" xfId="2781" xr:uid="{00000000-0005-0000-0000-0000290F0000}"/>
    <cellStyle name="Normal 20 2 3 2" xfId="2782" xr:uid="{00000000-0005-0000-0000-00002A0F0000}"/>
    <cellStyle name="Normal 20 2 3 2 2" xfId="2783" xr:uid="{00000000-0005-0000-0000-00002B0F0000}"/>
    <cellStyle name="Normal 20 2 3 2 2 2" xfId="2784" xr:uid="{00000000-0005-0000-0000-00002C0F0000}"/>
    <cellStyle name="Normal 20 2 3 2 2_2.DATA" xfId="5620" xr:uid="{00000000-0005-0000-0000-00002D0F0000}"/>
    <cellStyle name="Normal 20 2 3 2 3" xfId="2785" xr:uid="{00000000-0005-0000-0000-00002E0F0000}"/>
    <cellStyle name="Normal 20 2 3 2_2.DATA" xfId="5619" xr:uid="{00000000-0005-0000-0000-00002F0F0000}"/>
    <cellStyle name="Normal 20 2 3 3" xfId="2786" xr:uid="{00000000-0005-0000-0000-0000300F0000}"/>
    <cellStyle name="Normal 20 2 3 3 2" xfId="2787" xr:uid="{00000000-0005-0000-0000-0000310F0000}"/>
    <cellStyle name="Normal 20 2 3 3 2 2" xfId="2788" xr:uid="{00000000-0005-0000-0000-0000320F0000}"/>
    <cellStyle name="Normal 20 2 3 3 2_2.DATA" xfId="5622" xr:uid="{00000000-0005-0000-0000-0000330F0000}"/>
    <cellStyle name="Normal 20 2 3 3 3" xfId="2789" xr:uid="{00000000-0005-0000-0000-0000340F0000}"/>
    <cellStyle name="Normal 20 2 3 3_2.DATA" xfId="5621" xr:uid="{00000000-0005-0000-0000-0000350F0000}"/>
    <cellStyle name="Normal 20 2 3 4" xfId="2790" xr:uid="{00000000-0005-0000-0000-0000360F0000}"/>
    <cellStyle name="Normal 20 2 3 4 2" xfId="2791" xr:uid="{00000000-0005-0000-0000-0000370F0000}"/>
    <cellStyle name="Normal 20 2 3 4_2.DATA" xfId="5623" xr:uid="{00000000-0005-0000-0000-0000380F0000}"/>
    <cellStyle name="Normal 20 2 3 5" xfId="2792" xr:uid="{00000000-0005-0000-0000-0000390F0000}"/>
    <cellStyle name="Normal 20 2 3_2.DATA" xfId="5618" xr:uid="{00000000-0005-0000-0000-00003A0F0000}"/>
    <cellStyle name="Normal 20 2 4" xfId="2793" xr:uid="{00000000-0005-0000-0000-00003B0F0000}"/>
    <cellStyle name="Normal 20 2 4 2" xfId="2794" xr:uid="{00000000-0005-0000-0000-00003C0F0000}"/>
    <cellStyle name="Normal 20 2 4 2 2" xfId="2795" xr:uid="{00000000-0005-0000-0000-00003D0F0000}"/>
    <cellStyle name="Normal 20 2 4 2 2 2" xfId="2796" xr:uid="{00000000-0005-0000-0000-00003E0F0000}"/>
    <cellStyle name="Normal 20 2 4 2 2_2.DATA" xfId="5626" xr:uid="{00000000-0005-0000-0000-00003F0F0000}"/>
    <cellStyle name="Normal 20 2 4 2 3" xfId="2797" xr:uid="{00000000-0005-0000-0000-0000400F0000}"/>
    <cellStyle name="Normal 20 2 4 2_2.DATA" xfId="5625" xr:uid="{00000000-0005-0000-0000-0000410F0000}"/>
    <cellStyle name="Normal 20 2 4 3" xfId="2798" xr:uid="{00000000-0005-0000-0000-0000420F0000}"/>
    <cellStyle name="Normal 20 2 4 3 2" xfId="2799" xr:uid="{00000000-0005-0000-0000-0000430F0000}"/>
    <cellStyle name="Normal 20 2 4 3_2.DATA" xfId="5627" xr:uid="{00000000-0005-0000-0000-0000440F0000}"/>
    <cellStyle name="Normal 20 2 4 4" xfId="2800" xr:uid="{00000000-0005-0000-0000-0000450F0000}"/>
    <cellStyle name="Normal 20 2 4_2.DATA" xfId="5624" xr:uid="{00000000-0005-0000-0000-0000460F0000}"/>
    <cellStyle name="Normal 20 2 5" xfId="2801" xr:uid="{00000000-0005-0000-0000-0000470F0000}"/>
    <cellStyle name="Normal 20 2 5 2" xfId="2802" xr:uid="{00000000-0005-0000-0000-0000480F0000}"/>
    <cellStyle name="Normal 20 2 5 2 2" xfId="2803" xr:uid="{00000000-0005-0000-0000-0000490F0000}"/>
    <cellStyle name="Normal 20 2 5 2_2.DATA" xfId="5629" xr:uid="{00000000-0005-0000-0000-00004A0F0000}"/>
    <cellStyle name="Normal 20 2 5 3" xfId="2804" xr:uid="{00000000-0005-0000-0000-00004B0F0000}"/>
    <cellStyle name="Normal 20 2 5_2.DATA" xfId="5628" xr:uid="{00000000-0005-0000-0000-00004C0F0000}"/>
    <cellStyle name="Normal 20 2 6" xfId="2805" xr:uid="{00000000-0005-0000-0000-00004D0F0000}"/>
    <cellStyle name="Normal 20 2 6 2" xfId="2806" xr:uid="{00000000-0005-0000-0000-00004E0F0000}"/>
    <cellStyle name="Normal 20 2 6 2 2" xfId="2807" xr:uid="{00000000-0005-0000-0000-00004F0F0000}"/>
    <cellStyle name="Normal 20 2 6 2_2.DATA" xfId="5631" xr:uid="{00000000-0005-0000-0000-0000500F0000}"/>
    <cellStyle name="Normal 20 2 6 3" xfId="2808" xr:uid="{00000000-0005-0000-0000-0000510F0000}"/>
    <cellStyle name="Normal 20 2 6_2.DATA" xfId="5630" xr:uid="{00000000-0005-0000-0000-0000520F0000}"/>
    <cellStyle name="Normal 20 2 7" xfId="2809" xr:uid="{00000000-0005-0000-0000-0000530F0000}"/>
    <cellStyle name="Normal 20 2 7 2" xfId="2810" xr:uid="{00000000-0005-0000-0000-0000540F0000}"/>
    <cellStyle name="Normal 20 2 7_2.DATA" xfId="5632" xr:uid="{00000000-0005-0000-0000-0000550F0000}"/>
    <cellStyle name="Normal 20 2 8" xfId="2811" xr:uid="{00000000-0005-0000-0000-0000560F0000}"/>
    <cellStyle name="Normal 20 2_2.DATA" xfId="5611" xr:uid="{00000000-0005-0000-0000-0000570F0000}"/>
    <cellStyle name="Normal 20 3" xfId="2812" xr:uid="{00000000-0005-0000-0000-0000580F0000}"/>
    <cellStyle name="Normal 20 3 2" xfId="2813" xr:uid="{00000000-0005-0000-0000-0000590F0000}"/>
    <cellStyle name="Normal 20 3 2 2" xfId="2814" xr:uid="{00000000-0005-0000-0000-00005A0F0000}"/>
    <cellStyle name="Normal 20 3 2 2 2" xfId="2815" xr:uid="{00000000-0005-0000-0000-00005B0F0000}"/>
    <cellStyle name="Normal 20 3 2 2_2.DATA" xfId="5635" xr:uid="{00000000-0005-0000-0000-00005C0F0000}"/>
    <cellStyle name="Normal 20 3 2 3" xfId="2816" xr:uid="{00000000-0005-0000-0000-00005D0F0000}"/>
    <cellStyle name="Normal 20 3 2_2.DATA" xfId="5634" xr:uid="{00000000-0005-0000-0000-00005E0F0000}"/>
    <cellStyle name="Normal 20 3 3" xfId="2817" xr:uid="{00000000-0005-0000-0000-00005F0F0000}"/>
    <cellStyle name="Normal 20 3 3 2" xfId="2818" xr:uid="{00000000-0005-0000-0000-0000600F0000}"/>
    <cellStyle name="Normal 20 3 3_2.DATA" xfId="5636" xr:uid="{00000000-0005-0000-0000-0000610F0000}"/>
    <cellStyle name="Normal 20 3 4" xfId="2819" xr:uid="{00000000-0005-0000-0000-0000620F0000}"/>
    <cellStyle name="Normal 20 3_2.DATA" xfId="5633" xr:uid="{00000000-0005-0000-0000-0000630F0000}"/>
    <cellStyle name="Normal 20 4" xfId="2820" xr:uid="{00000000-0005-0000-0000-0000640F0000}"/>
    <cellStyle name="Normal 20 4 2" xfId="2821" xr:uid="{00000000-0005-0000-0000-0000650F0000}"/>
    <cellStyle name="Normal 20 4 2 2" xfId="2822" xr:uid="{00000000-0005-0000-0000-0000660F0000}"/>
    <cellStyle name="Normal 20 4 2_2.DATA" xfId="5638" xr:uid="{00000000-0005-0000-0000-0000670F0000}"/>
    <cellStyle name="Normal 20 4 3" xfId="2823" xr:uid="{00000000-0005-0000-0000-0000680F0000}"/>
    <cellStyle name="Normal 20 4_2.DATA" xfId="5637" xr:uid="{00000000-0005-0000-0000-0000690F0000}"/>
    <cellStyle name="Normal 20 5" xfId="2824" xr:uid="{00000000-0005-0000-0000-00006A0F0000}"/>
    <cellStyle name="Normal 20 5 2" xfId="2825" xr:uid="{00000000-0005-0000-0000-00006B0F0000}"/>
    <cellStyle name="Normal 20 5_2.DATA" xfId="5639" xr:uid="{00000000-0005-0000-0000-00006C0F0000}"/>
    <cellStyle name="Normal 20 6" xfId="2826" xr:uid="{00000000-0005-0000-0000-00006D0F0000}"/>
    <cellStyle name="Normal 20 7" xfId="4703" xr:uid="{00000000-0005-0000-0000-00006E0F0000}"/>
    <cellStyle name="Normal 20 8" xfId="1542" xr:uid="{00000000-0005-0000-0000-00006F0F0000}"/>
    <cellStyle name="Normal 20_2.DATA" xfId="5610" xr:uid="{00000000-0005-0000-0000-0000700F0000}"/>
    <cellStyle name="Normal 21" xfId="1027" xr:uid="{00000000-0005-0000-0000-0000710F0000}"/>
    <cellStyle name="Normal 21 2" xfId="2827" xr:uid="{00000000-0005-0000-0000-0000720F0000}"/>
    <cellStyle name="Normal 21 2 2" xfId="2828" xr:uid="{00000000-0005-0000-0000-0000730F0000}"/>
    <cellStyle name="Normal 21 2 2 2" xfId="2829" xr:uid="{00000000-0005-0000-0000-0000740F0000}"/>
    <cellStyle name="Normal 21 2 2 2 2" xfId="2830" xr:uid="{00000000-0005-0000-0000-0000750F0000}"/>
    <cellStyle name="Normal 21 2 2 2 2 2" xfId="2831" xr:uid="{00000000-0005-0000-0000-0000760F0000}"/>
    <cellStyle name="Normal 21 2 2 2 2_2.DATA" xfId="5644" xr:uid="{00000000-0005-0000-0000-0000770F0000}"/>
    <cellStyle name="Normal 21 2 2 2 3" xfId="2832" xr:uid="{00000000-0005-0000-0000-0000780F0000}"/>
    <cellStyle name="Normal 21 2 2 2_2.DATA" xfId="5643" xr:uid="{00000000-0005-0000-0000-0000790F0000}"/>
    <cellStyle name="Normal 21 2 2 3" xfId="2833" xr:uid="{00000000-0005-0000-0000-00007A0F0000}"/>
    <cellStyle name="Normal 21 2 2 3 2" xfId="2834" xr:uid="{00000000-0005-0000-0000-00007B0F0000}"/>
    <cellStyle name="Normal 21 2 2 3 2 2" xfId="2835" xr:uid="{00000000-0005-0000-0000-00007C0F0000}"/>
    <cellStyle name="Normal 21 2 2 3 2_2.DATA" xfId="5646" xr:uid="{00000000-0005-0000-0000-00007D0F0000}"/>
    <cellStyle name="Normal 21 2 2 3 3" xfId="2836" xr:uid="{00000000-0005-0000-0000-00007E0F0000}"/>
    <cellStyle name="Normal 21 2 2 3_2.DATA" xfId="5645" xr:uid="{00000000-0005-0000-0000-00007F0F0000}"/>
    <cellStyle name="Normal 21 2 2 4" xfId="2837" xr:uid="{00000000-0005-0000-0000-0000800F0000}"/>
    <cellStyle name="Normal 21 2 2 4 2" xfId="2838" xr:uid="{00000000-0005-0000-0000-0000810F0000}"/>
    <cellStyle name="Normal 21 2 2 4_2.DATA" xfId="5647" xr:uid="{00000000-0005-0000-0000-0000820F0000}"/>
    <cellStyle name="Normal 21 2 2 5" xfId="2839" xr:uid="{00000000-0005-0000-0000-0000830F0000}"/>
    <cellStyle name="Normal 21 2 2_2.DATA" xfId="5642" xr:uid="{00000000-0005-0000-0000-0000840F0000}"/>
    <cellStyle name="Normal 21 2 3" xfId="2840" xr:uid="{00000000-0005-0000-0000-0000850F0000}"/>
    <cellStyle name="Normal 21 2 3 2" xfId="2841" xr:uid="{00000000-0005-0000-0000-0000860F0000}"/>
    <cellStyle name="Normal 21 2 3 2 2" xfId="2842" xr:uid="{00000000-0005-0000-0000-0000870F0000}"/>
    <cellStyle name="Normal 21 2 3 2 2 2" xfId="2843" xr:uid="{00000000-0005-0000-0000-0000880F0000}"/>
    <cellStyle name="Normal 21 2 3 2 2_2.DATA" xfId="5650" xr:uid="{00000000-0005-0000-0000-0000890F0000}"/>
    <cellStyle name="Normal 21 2 3 2 3" xfId="2844" xr:uid="{00000000-0005-0000-0000-00008A0F0000}"/>
    <cellStyle name="Normal 21 2 3 2_2.DATA" xfId="5649" xr:uid="{00000000-0005-0000-0000-00008B0F0000}"/>
    <cellStyle name="Normal 21 2 3 3" xfId="2845" xr:uid="{00000000-0005-0000-0000-00008C0F0000}"/>
    <cellStyle name="Normal 21 2 3 3 2" xfId="2846" xr:uid="{00000000-0005-0000-0000-00008D0F0000}"/>
    <cellStyle name="Normal 21 2 3 3 2 2" xfId="2847" xr:uid="{00000000-0005-0000-0000-00008E0F0000}"/>
    <cellStyle name="Normal 21 2 3 3 2_2.DATA" xfId="5652" xr:uid="{00000000-0005-0000-0000-00008F0F0000}"/>
    <cellStyle name="Normal 21 2 3 3 3" xfId="2848" xr:uid="{00000000-0005-0000-0000-0000900F0000}"/>
    <cellStyle name="Normal 21 2 3 3_2.DATA" xfId="5651" xr:uid="{00000000-0005-0000-0000-0000910F0000}"/>
    <cellStyle name="Normal 21 2 3 4" xfId="2849" xr:uid="{00000000-0005-0000-0000-0000920F0000}"/>
    <cellStyle name="Normal 21 2 3 4 2" xfId="2850" xr:uid="{00000000-0005-0000-0000-0000930F0000}"/>
    <cellStyle name="Normal 21 2 3 4_2.DATA" xfId="5653" xr:uid="{00000000-0005-0000-0000-0000940F0000}"/>
    <cellStyle name="Normal 21 2 3 5" xfId="2851" xr:uid="{00000000-0005-0000-0000-0000950F0000}"/>
    <cellStyle name="Normal 21 2 3_2.DATA" xfId="5648" xr:uid="{00000000-0005-0000-0000-0000960F0000}"/>
    <cellStyle name="Normal 21 2 4" xfId="2852" xr:uid="{00000000-0005-0000-0000-0000970F0000}"/>
    <cellStyle name="Normal 21 2 4 2" xfId="2853" xr:uid="{00000000-0005-0000-0000-0000980F0000}"/>
    <cellStyle name="Normal 21 2 4 2 2" xfId="2854" xr:uid="{00000000-0005-0000-0000-0000990F0000}"/>
    <cellStyle name="Normal 21 2 4 2 2 2" xfId="2855" xr:uid="{00000000-0005-0000-0000-00009A0F0000}"/>
    <cellStyle name="Normal 21 2 4 2 2_2.DATA" xfId="5656" xr:uid="{00000000-0005-0000-0000-00009B0F0000}"/>
    <cellStyle name="Normal 21 2 4 2 3" xfId="2856" xr:uid="{00000000-0005-0000-0000-00009C0F0000}"/>
    <cellStyle name="Normal 21 2 4 2_2.DATA" xfId="5655" xr:uid="{00000000-0005-0000-0000-00009D0F0000}"/>
    <cellStyle name="Normal 21 2 4 3" xfId="2857" xr:uid="{00000000-0005-0000-0000-00009E0F0000}"/>
    <cellStyle name="Normal 21 2 4 3 2" xfId="2858" xr:uid="{00000000-0005-0000-0000-00009F0F0000}"/>
    <cellStyle name="Normal 21 2 4 3_2.DATA" xfId="5657" xr:uid="{00000000-0005-0000-0000-0000A00F0000}"/>
    <cellStyle name="Normal 21 2 4 4" xfId="2859" xr:uid="{00000000-0005-0000-0000-0000A10F0000}"/>
    <cellStyle name="Normal 21 2 4_2.DATA" xfId="5654" xr:uid="{00000000-0005-0000-0000-0000A20F0000}"/>
    <cellStyle name="Normal 21 2 5" xfId="2860" xr:uid="{00000000-0005-0000-0000-0000A30F0000}"/>
    <cellStyle name="Normal 21 2 5 2" xfId="2861" xr:uid="{00000000-0005-0000-0000-0000A40F0000}"/>
    <cellStyle name="Normal 21 2 5 2 2" xfId="2862" xr:uid="{00000000-0005-0000-0000-0000A50F0000}"/>
    <cellStyle name="Normal 21 2 5 2_2.DATA" xfId="5659" xr:uid="{00000000-0005-0000-0000-0000A60F0000}"/>
    <cellStyle name="Normal 21 2 5 3" xfId="2863" xr:uid="{00000000-0005-0000-0000-0000A70F0000}"/>
    <cellStyle name="Normal 21 2 5_2.DATA" xfId="5658" xr:uid="{00000000-0005-0000-0000-0000A80F0000}"/>
    <cellStyle name="Normal 21 2 6" xfId="2864" xr:uid="{00000000-0005-0000-0000-0000A90F0000}"/>
    <cellStyle name="Normal 21 2 6 2" xfId="2865" xr:uid="{00000000-0005-0000-0000-0000AA0F0000}"/>
    <cellStyle name="Normal 21 2 6 2 2" xfId="2866" xr:uid="{00000000-0005-0000-0000-0000AB0F0000}"/>
    <cellStyle name="Normal 21 2 6 2_2.DATA" xfId="5661" xr:uid="{00000000-0005-0000-0000-0000AC0F0000}"/>
    <cellStyle name="Normal 21 2 6 3" xfId="2867" xr:uid="{00000000-0005-0000-0000-0000AD0F0000}"/>
    <cellStyle name="Normal 21 2 6_2.DATA" xfId="5660" xr:uid="{00000000-0005-0000-0000-0000AE0F0000}"/>
    <cellStyle name="Normal 21 2 7" xfId="2868" xr:uid="{00000000-0005-0000-0000-0000AF0F0000}"/>
    <cellStyle name="Normal 21 2 7 2" xfId="2869" xr:uid="{00000000-0005-0000-0000-0000B00F0000}"/>
    <cellStyle name="Normal 21 2 7_2.DATA" xfId="5662" xr:uid="{00000000-0005-0000-0000-0000B10F0000}"/>
    <cellStyle name="Normal 21 2 8" xfId="2870" xr:uid="{00000000-0005-0000-0000-0000B20F0000}"/>
    <cellStyle name="Normal 21 2_2.DATA" xfId="5641" xr:uid="{00000000-0005-0000-0000-0000B30F0000}"/>
    <cellStyle name="Normal 21 3" xfId="2871" xr:uid="{00000000-0005-0000-0000-0000B40F0000}"/>
    <cellStyle name="Normal 21 3 2" xfId="2872" xr:uid="{00000000-0005-0000-0000-0000B50F0000}"/>
    <cellStyle name="Normal 21 3 2 2" xfId="2873" xr:uid="{00000000-0005-0000-0000-0000B60F0000}"/>
    <cellStyle name="Normal 21 3 2 2 2" xfId="2874" xr:uid="{00000000-0005-0000-0000-0000B70F0000}"/>
    <cellStyle name="Normal 21 3 2 2_2.DATA" xfId="5665" xr:uid="{00000000-0005-0000-0000-0000B80F0000}"/>
    <cellStyle name="Normal 21 3 2 3" xfId="2875" xr:uid="{00000000-0005-0000-0000-0000B90F0000}"/>
    <cellStyle name="Normal 21 3 2_2.DATA" xfId="5664" xr:uid="{00000000-0005-0000-0000-0000BA0F0000}"/>
    <cellStyle name="Normal 21 3 3" xfId="2876" xr:uid="{00000000-0005-0000-0000-0000BB0F0000}"/>
    <cellStyle name="Normal 21 3 3 2" xfId="2877" xr:uid="{00000000-0005-0000-0000-0000BC0F0000}"/>
    <cellStyle name="Normal 21 3 3_2.DATA" xfId="5666" xr:uid="{00000000-0005-0000-0000-0000BD0F0000}"/>
    <cellStyle name="Normal 21 3 4" xfId="2878" xr:uid="{00000000-0005-0000-0000-0000BE0F0000}"/>
    <cellStyle name="Normal 21 3_2.DATA" xfId="5663" xr:uid="{00000000-0005-0000-0000-0000BF0F0000}"/>
    <cellStyle name="Normal 21 4" xfId="2879" xr:uid="{00000000-0005-0000-0000-0000C00F0000}"/>
    <cellStyle name="Normal 21 4 2" xfId="2880" xr:uid="{00000000-0005-0000-0000-0000C10F0000}"/>
    <cellStyle name="Normal 21 4 2 2" xfId="2881" xr:uid="{00000000-0005-0000-0000-0000C20F0000}"/>
    <cellStyle name="Normal 21 4 2_2.DATA" xfId="5668" xr:uid="{00000000-0005-0000-0000-0000C30F0000}"/>
    <cellStyle name="Normal 21 4 3" xfId="2882" xr:uid="{00000000-0005-0000-0000-0000C40F0000}"/>
    <cellStyle name="Normal 21 4_2.DATA" xfId="5667" xr:uid="{00000000-0005-0000-0000-0000C50F0000}"/>
    <cellStyle name="Normal 21 5" xfId="2883" xr:uid="{00000000-0005-0000-0000-0000C60F0000}"/>
    <cellStyle name="Normal 21 5 2" xfId="2884" xr:uid="{00000000-0005-0000-0000-0000C70F0000}"/>
    <cellStyle name="Normal 21 5_2.DATA" xfId="5669" xr:uid="{00000000-0005-0000-0000-0000C80F0000}"/>
    <cellStyle name="Normal 21 6" xfId="2885" xr:uid="{00000000-0005-0000-0000-0000C90F0000}"/>
    <cellStyle name="Normal 21 7" xfId="4704" xr:uid="{00000000-0005-0000-0000-0000CA0F0000}"/>
    <cellStyle name="Normal 21 8" xfId="1719" xr:uid="{00000000-0005-0000-0000-0000CB0F0000}"/>
    <cellStyle name="Normal 21_2.DATA" xfId="5640" xr:uid="{00000000-0005-0000-0000-0000CC0F0000}"/>
    <cellStyle name="Normal 210" xfId="2886" xr:uid="{00000000-0005-0000-0000-0000CD0F0000}"/>
    <cellStyle name="Normal 210 2" xfId="2887" xr:uid="{00000000-0005-0000-0000-0000CE0F0000}"/>
    <cellStyle name="Normal 22" xfId="1028" xr:uid="{00000000-0005-0000-0000-0000CF0F0000}"/>
    <cellStyle name="Normal 22 2" xfId="2888" xr:uid="{00000000-0005-0000-0000-0000D00F0000}"/>
    <cellStyle name="Normal 22 2 2" xfId="2889" xr:uid="{00000000-0005-0000-0000-0000D10F0000}"/>
    <cellStyle name="Normal 22 2 2 2" xfId="2890" xr:uid="{00000000-0005-0000-0000-0000D20F0000}"/>
    <cellStyle name="Normal 22 2 2 2 2" xfId="2891" xr:uid="{00000000-0005-0000-0000-0000D30F0000}"/>
    <cellStyle name="Normal 22 2 2 2 2 2" xfId="2892" xr:uid="{00000000-0005-0000-0000-0000D40F0000}"/>
    <cellStyle name="Normal 22 2 2 2 2_2.DATA" xfId="5674" xr:uid="{00000000-0005-0000-0000-0000D50F0000}"/>
    <cellStyle name="Normal 22 2 2 2 3" xfId="2893" xr:uid="{00000000-0005-0000-0000-0000D60F0000}"/>
    <cellStyle name="Normal 22 2 2 2_2.DATA" xfId="5673" xr:uid="{00000000-0005-0000-0000-0000D70F0000}"/>
    <cellStyle name="Normal 22 2 2 3" xfId="2894" xr:uid="{00000000-0005-0000-0000-0000D80F0000}"/>
    <cellStyle name="Normal 22 2 2 3 2" xfId="2895" xr:uid="{00000000-0005-0000-0000-0000D90F0000}"/>
    <cellStyle name="Normal 22 2 2 3 2 2" xfId="2896" xr:uid="{00000000-0005-0000-0000-0000DA0F0000}"/>
    <cellStyle name="Normal 22 2 2 3 2_2.DATA" xfId="5676" xr:uid="{00000000-0005-0000-0000-0000DB0F0000}"/>
    <cellStyle name="Normal 22 2 2 3 3" xfId="2897" xr:uid="{00000000-0005-0000-0000-0000DC0F0000}"/>
    <cellStyle name="Normal 22 2 2 3_2.DATA" xfId="5675" xr:uid="{00000000-0005-0000-0000-0000DD0F0000}"/>
    <cellStyle name="Normal 22 2 2 4" xfId="2898" xr:uid="{00000000-0005-0000-0000-0000DE0F0000}"/>
    <cellStyle name="Normal 22 2 2 4 2" xfId="2899" xr:uid="{00000000-0005-0000-0000-0000DF0F0000}"/>
    <cellStyle name="Normal 22 2 2 4_2.DATA" xfId="5677" xr:uid="{00000000-0005-0000-0000-0000E00F0000}"/>
    <cellStyle name="Normal 22 2 2 5" xfId="2900" xr:uid="{00000000-0005-0000-0000-0000E10F0000}"/>
    <cellStyle name="Normal 22 2 2_2.DATA" xfId="5672" xr:uid="{00000000-0005-0000-0000-0000E20F0000}"/>
    <cellStyle name="Normal 22 2 3" xfId="2901" xr:uid="{00000000-0005-0000-0000-0000E30F0000}"/>
    <cellStyle name="Normal 22 2 3 2" xfId="2902" xr:uid="{00000000-0005-0000-0000-0000E40F0000}"/>
    <cellStyle name="Normal 22 2 3 2 2" xfId="2903" xr:uid="{00000000-0005-0000-0000-0000E50F0000}"/>
    <cellStyle name="Normal 22 2 3 2 2 2" xfId="2904" xr:uid="{00000000-0005-0000-0000-0000E60F0000}"/>
    <cellStyle name="Normal 22 2 3 2 2_2.DATA" xfId="5680" xr:uid="{00000000-0005-0000-0000-0000E70F0000}"/>
    <cellStyle name="Normal 22 2 3 2 3" xfId="2905" xr:uid="{00000000-0005-0000-0000-0000E80F0000}"/>
    <cellStyle name="Normal 22 2 3 2_2.DATA" xfId="5679" xr:uid="{00000000-0005-0000-0000-0000E90F0000}"/>
    <cellStyle name="Normal 22 2 3 3" xfId="2906" xr:uid="{00000000-0005-0000-0000-0000EA0F0000}"/>
    <cellStyle name="Normal 22 2 3 3 2" xfId="2907" xr:uid="{00000000-0005-0000-0000-0000EB0F0000}"/>
    <cellStyle name="Normal 22 2 3 3 2 2" xfId="2908" xr:uid="{00000000-0005-0000-0000-0000EC0F0000}"/>
    <cellStyle name="Normal 22 2 3 3 2_2.DATA" xfId="5682" xr:uid="{00000000-0005-0000-0000-0000ED0F0000}"/>
    <cellStyle name="Normal 22 2 3 3 3" xfId="2909" xr:uid="{00000000-0005-0000-0000-0000EE0F0000}"/>
    <cellStyle name="Normal 22 2 3 3_2.DATA" xfId="5681" xr:uid="{00000000-0005-0000-0000-0000EF0F0000}"/>
    <cellStyle name="Normal 22 2 3 4" xfId="2910" xr:uid="{00000000-0005-0000-0000-0000F00F0000}"/>
    <cellStyle name="Normal 22 2 3 4 2" xfId="2911" xr:uid="{00000000-0005-0000-0000-0000F10F0000}"/>
    <cellStyle name="Normal 22 2 3 4_2.DATA" xfId="5683" xr:uid="{00000000-0005-0000-0000-0000F20F0000}"/>
    <cellStyle name="Normal 22 2 3 5" xfId="2912" xr:uid="{00000000-0005-0000-0000-0000F30F0000}"/>
    <cellStyle name="Normal 22 2 3_2.DATA" xfId="5678" xr:uid="{00000000-0005-0000-0000-0000F40F0000}"/>
    <cellStyle name="Normal 22 2 4" xfId="2913" xr:uid="{00000000-0005-0000-0000-0000F50F0000}"/>
    <cellStyle name="Normal 22 2 4 2" xfId="2914" xr:uid="{00000000-0005-0000-0000-0000F60F0000}"/>
    <cellStyle name="Normal 22 2 4 2 2" xfId="2915" xr:uid="{00000000-0005-0000-0000-0000F70F0000}"/>
    <cellStyle name="Normal 22 2 4 2 2 2" xfId="2916" xr:uid="{00000000-0005-0000-0000-0000F80F0000}"/>
    <cellStyle name="Normal 22 2 4 2 2_2.DATA" xfId="5686" xr:uid="{00000000-0005-0000-0000-0000F90F0000}"/>
    <cellStyle name="Normal 22 2 4 2 3" xfId="2917" xr:uid="{00000000-0005-0000-0000-0000FA0F0000}"/>
    <cellStyle name="Normal 22 2 4 2_2.DATA" xfId="5685" xr:uid="{00000000-0005-0000-0000-0000FB0F0000}"/>
    <cellStyle name="Normal 22 2 4 3" xfId="2918" xr:uid="{00000000-0005-0000-0000-0000FC0F0000}"/>
    <cellStyle name="Normal 22 2 4 3 2" xfId="2919" xr:uid="{00000000-0005-0000-0000-0000FD0F0000}"/>
    <cellStyle name="Normal 22 2 4 3_2.DATA" xfId="5687" xr:uid="{00000000-0005-0000-0000-0000FE0F0000}"/>
    <cellStyle name="Normal 22 2 4 4" xfId="2920" xr:uid="{00000000-0005-0000-0000-0000FF0F0000}"/>
    <cellStyle name="Normal 22 2 4_2.DATA" xfId="5684" xr:uid="{00000000-0005-0000-0000-000000100000}"/>
    <cellStyle name="Normal 22 2 5" xfId="2921" xr:uid="{00000000-0005-0000-0000-000001100000}"/>
    <cellStyle name="Normal 22 2 5 2" xfId="2922" xr:uid="{00000000-0005-0000-0000-000002100000}"/>
    <cellStyle name="Normal 22 2 5 2 2" xfId="2923" xr:uid="{00000000-0005-0000-0000-000003100000}"/>
    <cellStyle name="Normal 22 2 5 2_2.DATA" xfId="5689" xr:uid="{00000000-0005-0000-0000-000004100000}"/>
    <cellStyle name="Normal 22 2 5 3" xfId="2924" xr:uid="{00000000-0005-0000-0000-000005100000}"/>
    <cellStyle name="Normal 22 2 5_2.DATA" xfId="5688" xr:uid="{00000000-0005-0000-0000-000006100000}"/>
    <cellStyle name="Normal 22 2 6" xfId="2925" xr:uid="{00000000-0005-0000-0000-000007100000}"/>
    <cellStyle name="Normal 22 2 6 2" xfId="2926" xr:uid="{00000000-0005-0000-0000-000008100000}"/>
    <cellStyle name="Normal 22 2 6 2 2" xfId="2927" xr:uid="{00000000-0005-0000-0000-000009100000}"/>
    <cellStyle name="Normal 22 2 6 2_2.DATA" xfId="5691" xr:uid="{00000000-0005-0000-0000-00000A100000}"/>
    <cellStyle name="Normal 22 2 6 3" xfId="2928" xr:uid="{00000000-0005-0000-0000-00000B100000}"/>
    <cellStyle name="Normal 22 2 6_2.DATA" xfId="5690" xr:uid="{00000000-0005-0000-0000-00000C100000}"/>
    <cellStyle name="Normal 22 2 7" xfId="2929" xr:uid="{00000000-0005-0000-0000-00000D100000}"/>
    <cellStyle name="Normal 22 2 7 2" xfId="2930" xr:uid="{00000000-0005-0000-0000-00000E100000}"/>
    <cellStyle name="Normal 22 2 7_2.DATA" xfId="5692" xr:uid="{00000000-0005-0000-0000-00000F100000}"/>
    <cellStyle name="Normal 22 2 8" xfId="2931" xr:uid="{00000000-0005-0000-0000-000010100000}"/>
    <cellStyle name="Normal 22 2_2.DATA" xfId="5671" xr:uid="{00000000-0005-0000-0000-000011100000}"/>
    <cellStyle name="Normal 22 3" xfId="2932" xr:uid="{00000000-0005-0000-0000-000012100000}"/>
    <cellStyle name="Normal 22 3 2" xfId="2933" xr:uid="{00000000-0005-0000-0000-000013100000}"/>
    <cellStyle name="Normal 22 3 2 2" xfId="2934" xr:uid="{00000000-0005-0000-0000-000014100000}"/>
    <cellStyle name="Normal 22 3 2 2 2" xfId="2935" xr:uid="{00000000-0005-0000-0000-000015100000}"/>
    <cellStyle name="Normal 22 3 2 2_2.DATA" xfId="5695" xr:uid="{00000000-0005-0000-0000-000016100000}"/>
    <cellStyle name="Normal 22 3 2 3" xfId="2936" xr:uid="{00000000-0005-0000-0000-000017100000}"/>
    <cellStyle name="Normal 22 3 2_2.DATA" xfId="5694" xr:uid="{00000000-0005-0000-0000-000018100000}"/>
    <cellStyle name="Normal 22 3 3" xfId="2937" xr:uid="{00000000-0005-0000-0000-000019100000}"/>
    <cellStyle name="Normal 22 3 3 2" xfId="2938" xr:uid="{00000000-0005-0000-0000-00001A100000}"/>
    <cellStyle name="Normal 22 3 3_2.DATA" xfId="5696" xr:uid="{00000000-0005-0000-0000-00001B100000}"/>
    <cellStyle name="Normal 22 3 4" xfId="2939" xr:uid="{00000000-0005-0000-0000-00001C100000}"/>
    <cellStyle name="Normal 22 3_2.DATA" xfId="5693" xr:uid="{00000000-0005-0000-0000-00001D100000}"/>
    <cellStyle name="Normal 22 4" xfId="2940" xr:uid="{00000000-0005-0000-0000-00001E100000}"/>
    <cellStyle name="Normal 22 4 2" xfId="2941" xr:uid="{00000000-0005-0000-0000-00001F100000}"/>
    <cellStyle name="Normal 22 4 2 2" xfId="2942" xr:uid="{00000000-0005-0000-0000-000020100000}"/>
    <cellStyle name="Normal 22 4 2_2.DATA" xfId="5698" xr:uid="{00000000-0005-0000-0000-000021100000}"/>
    <cellStyle name="Normal 22 4 3" xfId="2943" xr:uid="{00000000-0005-0000-0000-000022100000}"/>
    <cellStyle name="Normal 22 4_2.DATA" xfId="5697" xr:uid="{00000000-0005-0000-0000-000023100000}"/>
    <cellStyle name="Normal 22 5" xfId="2944" xr:uid="{00000000-0005-0000-0000-000024100000}"/>
    <cellStyle name="Normal 22 5 2" xfId="2945" xr:uid="{00000000-0005-0000-0000-000025100000}"/>
    <cellStyle name="Normal 22 5_2.DATA" xfId="5699" xr:uid="{00000000-0005-0000-0000-000026100000}"/>
    <cellStyle name="Normal 22 6" xfId="2946" xr:uid="{00000000-0005-0000-0000-000027100000}"/>
    <cellStyle name="Normal 22 7" xfId="4705" xr:uid="{00000000-0005-0000-0000-000028100000}"/>
    <cellStyle name="Normal 22 8" xfId="1723" xr:uid="{00000000-0005-0000-0000-000029100000}"/>
    <cellStyle name="Normal 22_2.DATA" xfId="5670" xr:uid="{00000000-0005-0000-0000-00002A100000}"/>
    <cellStyle name="Normal 225" xfId="2947" xr:uid="{00000000-0005-0000-0000-00002B100000}"/>
    <cellStyle name="Normal 225 2" xfId="2948" xr:uid="{00000000-0005-0000-0000-00002C100000}"/>
    <cellStyle name="Normal 225 2 2" xfId="2949" xr:uid="{00000000-0005-0000-0000-00002D100000}"/>
    <cellStyle name="Normal 225 2 2 2" xfId="2950" xr:uid="{00000000-0005-0000-0000-00002E100000}"/>
    <cellStyle name="Normal 225 2 2 2 2" xfId="2951" xr:uid="{00000000-0005-0000-0000-00002F100000}"/>
    <cellStyle name="Normal 225 2 2 2_2.DATA" xfId="5703" xr:uid="{00000000-0005-0000-0000-000030100000}"/>
    <cellStyle name="Normal 225 2 2 3" xfId="2952" xr:uid="{00000000-0005-0000-0000-000031100000}"/>
    <cellStyle name="Normal 225 2 2_2.DATA" xfId="5702" xr:uid="{00000000-0005-0000-0000-000032100000}"/>
    <cellStyle name="Normal 225 2 3" xfId="2953" xr:uid="{00000000-0005-0000-0000-000033100000}"/>
    <cellStyle name="Normal 225 2 3 2" xfId="2954" xr:uid="{00000000-0005-0000-0000-000034100000}"/>
    <cellStyle name="Normal 225 2 3 2 2" xfId="2955" xr:uid="{00000000-0005-0000-0000-000035100000}"/>
    <cellStyle name="Normal 225 2 3 2_2.DATA" xfId="5705" xr:uid="{00000000-0005-0000-0000-000036100000}"/>
    <cellStyle name="Normal 225 2 3 3" xfId="2956" xr:uid="{00000000-0005-0000-0000-000037100000}"/>
    <cellStyle name="Normal 225 2 3_2.DATA" xfId="5704" xr:uid="{00000000-0005-0000-0000-000038100000}"/>
    <cellStyle name="Normal 225 2 4" xfId="2957" xr:uid="{00000000-0005-0000-0000-000039100000}"/>
    <cellStyle name="Normal 225 2 4 2" xfId="2958" xr:uid="{00000000-0005-0000-0000-00003A100000}"/>
    <cellStyle name="Normal 225 2 4_2.DATA" xfId="5706" xr:uid="{00000000-0005-0000-0000-00003B100000}"/>
    <cellStyle name="Normal 225 2 5" xfId="2959" xr:uid="{00000000-0005-0000-0000-00003C100000}"/>
    <cellStyle name="Normal 225 2_2.DATA" xfId="5701" xr:uid="{00000000-0005-0000-0000-00003D100000}"/>
    <cellStyle name="Normal 225 3" xfId="2960" xr:uid="{00000000-0005-0000-0000-00003E100000}"/>
    <cellStyle name="Normal 225 3 2" xfId="2961" xr:uid="{00000000-0005-0000-0000-00003F100000}"/>
    <cellStyle name="Normal 225 3 2 2" xfId="2962" xr:uid="{00000000-0005-0000-0000-000040100000}"/>
    <cellStyle name="Normal 225 3 2 2 2" xfId="2963" xr:uid="{00000000-0005-0000-0000-000041100000}"/>
    <cellStyle name="Normal 225 3 2 2_2.DATA" xfId="5709" xr:uid="{00000000-0005-0000-0000-000042100000}"/>
    <cellStyle name="Normal 225 3 2 3" xfId="2964" xr:uid="{00000000-0005-0000-0000-000043100000}"/>
    <cellStyle name="Normal 225 3 2_2.DATA" xfId="5708" xr:uid="{00000000-0005-0000-0000-000044100000}"/>
    <cellStyle name="Normal 225 3 3" xfId="2965" xr:uid="{00000000-0005-0000-0000-000045100000}"/>
    <cellStyle name="Normal 225 3 3 2" xfId="2966" xr:uid="{00000000-0005-0000-0000-000046100000}"/>
    <cellStyle name="Normal 225 3 3 2 2" xfId="2967" xr:uid="{00000000-0005-0000-0000-000047100000}"/>
    <cellStyle name="Normal 225 3 3 2_2.DATA" xfId="5711" xr:uid="{00000000-0005-0000-0000-000048100000}"/>
    <cellStyle name="Normal 225 3 3 3" xfId="2968" xr:uid="{00000000-0005-0000-0000-000049100000}"/>
    <cellStyle name="Normal 225 3 3_2.DATA" xfId="5710" xr:uid="{00000000-0005-0000-0000-00004A100000}"/>
    <cellStyle name="Normal 225 3 4" xfId="2969" xr:uid="{00000000-0005-0000-0000-00004B100000}"/>
    <cellStyle name="Normal 225 3 4 2" xfId="2970" xr:uid="{00000000-0005-0000-0000-00004C100000}"/>
    <cellStyle name="Normal 225 3 4_2.DATA" xfId="5712" xr:uid="{00000000-0005-0000-0000-00004D100000}"/>
    <cellStyle name="Normal 225 3 5" xfId="2971" xr:uid="{00000000-0005-0000-0000-00004E100000}"/>
    <cellStyle name="Normal 225 3_2.DATA" xfId="5707" xr:uid="{00000000-0005-0000-0000-00004F100000}"/>
    <cellStyle name="Normal 225 4" xfId="2972" xr:uid="{00000000-0005-0000-0000-000050100000}"/>
    <cellStyle name="Normal 225 4 2" xfId="2973" xr:uid="{00000000-0005-0000-0000-000051100000}"/>
    <cellStyle name="Normal 225 4 2 2" xfId="2974" xr:uid="{00000000-0005-0000-0000-000052100000}"/>
    <cellStyle name="Normal 225 4 2_2.DATA" xfId="5714" xr:uid="{00000000-0005-0000-0000-000053100000}"/>
    <cellStyle name="Normal 225 4 3" xfId="2975" xr:uid="{00000000-0005-0000-0000-000054100000}"/>
    <cellStyle name="Normal 225 4_2.DATA" xfId="5713" xr:uid="{00000000-0005-0000-0000-000055100000}"/>
    <cellStyle name="Normal 225 5" xfId="2976" xr:uid="{00000000-0005-0000-0000-000056100000}"/>
    <cellStyle name="Normal 225 5 2" xfId="2977" xr:uid="{00000000-0005-0000-0000-000057100000}"/>
    <cellStyle name="Normal 225 5 2 2" xfId="2978" xr:uid="{00000000-0005-0000-0000-000058100000}"/>
    <cellStyle name="Normal 225 5 2_2.DATA" xfId="5716" xr:uid="{00000000-0005-0000-0000-000059100000}"/>
    <cellStyle name="Normal 225 5 3" xfId="2979" xr:uid="{00000000-0005-0000-0000-00005A100000}"/>
    <cellStyle name="Normal 225 5_2.DATA" xfId="5715" xr:uid="{00000000-0005-0000-0000-00005B100000}"/>
    <cellStyle name="Normal 225 6" xfId="2980" xr:uid="{00000000-0005-0000-0000-00005C100000}"/>
    <cellStyle name="Normal 225 6 2" xfId="2981" xr:uid="{00000000-0005-0000-0000-00005D100000}"/>
    <cellStyle name="Normal 225 6_2.DATA" xfId="5717" xr:uid="{00000000-0005-0000-0000-00005E100000}"/>
    <cellStyle name="Normal 225 7" xfId="2982" xr:uid="{00000000-0005-0000-0000-00005F100000}"/>
    <cellStyle name="Normal 225_2.DATA" xfId="5700" xr:uid="{00000000-0005-0000-0000-000060100000}"/>
    <cellStyle name="Normal 226" xfId="2983" xr:uid="{00000000-0005-0000-0000-000061100000}"/>
    <cellStyle name="Normal 23" xfId="1029" xr:uid="{00000000-0005-0000-0000-000062100000}"/>
    <cellStyle name="Normal 23 2" xfId="2984" xr:uid="{00000000-0005-0000-0000-000063100000}"/>
    <cellStyle name="Normal 23 2 2" xfId="2985" xr:uid="{00000000-0005-0000-0000-000064100000}"/>
    <cellStyle name="Normal 23 2 2 2" xfId="2986" xr:uid="{00000000-0005-0000-0000-000065100000}"/>
    <cellStyle name="Normal 23 2 2 2 2" xfId="2987" xr:uid="{00000000-0005-0000-0000-000066100000}"/>
    <cellStyle name="Normal 23 2 2 2 2 2" xfId="2988" xr:uid="{00000000-0005-0000-0000-000067100000}"/>
    <cellStyle name="Normal 23 2 2 2 2_2.DATA" xfId="5722" xr:uid="{00000000-0005-0000-0000-000068100000}"/>
    <cellStyle name="Normal 23 2 2 2 3" xfId="2989" xr:uid="{00000000-0005-0000-0000-000069100000}"/>
    <cellStyle name="Normal 23 2 2 2_2.DATA" xfId="5721" xr:uid="{00000000-0005-0000-0000-00006A100000}"/>
    <cellStyle name="Normal 23 2 2 3" xfId="2990" xr:uid="{00000000-0005-0000-0000-00006B100000}"/>
    <cellStyle name="Normal 23 2 2 3 2" xfId="2991" xr:uid="{00000000-0005-0000-0000-00006C100000}"/>
    <cellStyle name="Normal 23 2 2 3 2 2" xfId="2992" xr:uid="{00000000-0005-0000-0000-00006D100000}"/>
    <cellStyle name="Normal 23 2 2 3 2_2.DATA" xfId="5724" xr:uid="{00000000-0005-0000-0000-00006E100000}"/>
    <cellStyle name="Normal 23 2 2 3 3" xfId="2993" xr:uid="{00000000-0005-0000-0000-00006F100000}"/>
    <cellStyle name="Normal 23 2 2 3_2.DATA" xfId="5723" xr:uid="{00000000-0005-0000-0000-000070100000}"/>
    <cellStyle name="Normal 23 2 2 4" xfId="2994" xr:uid="{00000000-0005-0000-0000-000071100000}"/>
    <cellStyle name="Normal 23 2 2 4 2" xfId="2995" xr:uid="{00000000-0005-0000-0000-000072100000}"/>
    <cellStyle name="Normal 23 2 2 4_2.DATA" xfId="5725" xr:uid="{00000000-0005-0000-0000-000073100000}"/>
    <cellStyle name="Normal 23 2 2 5" xfId="2996" xr:uid="{00000000-0005-0000-0000-000074100000}"/>
    <cellStyle name="Normal 23 2 2_2.DATA" xfId="5720" xr:uid="{00000000-0005-0000-0000-000075100000}"/>
    <cellStyle name="Normal 23 2 3" xfId="2997" xr:uid="{00000000-0005-0000-0000-000076100000}"/>
    <cellStyle name="Normal 23 2 3 2" xfId="2998" xr:uid="{00000000-0005-0000-0000-000077100000}"/>
    <cellStyle name="Normal 23 2 3 2 2" xfId="2999" xr:uid="{00000000-0005-0000-0000-000078100000}"/>
    <cellStyle name="Normal 23 2 3 2 2 2" xfId="3000" xr:uid="{00000000-0005-0000-0000-000079100000}"/>
    <cellStyle name="Normal 23 2 3 2 2_2.DATA" xfId="5728" xr:uid="{00000000-0005-0000-0000-00007A100000}"/>
    <cellStyle name="Normal 23 2 3 2 3" xfId="3001" xr:uid="{00000000-0005-0000-0000-00007B100000}"/>
    <cellStyle name="Normal 23 2 3 2_2.DATA" xfId="5727" xr:uid="{00000000-0005-0000-0000-00007C100000}"/>
    <cellStyle name="Normal 23 2 3 3" xfId="3002" xr:uid="{00000000-0005-0000-0000-00007D100000}"/>
    <cellStyle name="Normal 23 2 3 3 2" xfId="3003" xr:uid="{00000000-0005-0000-0000-00007E100000}"/>
    <cellStyle name="Normal 23 2 3 3 2 2" xfId="3004" xr:uid="{00000000-0005-0000-0000-00007F100000}"/>
    <cellStyle name="Normal 23 2 3 3 2_2.DATA" xfId="5730" xr:uid="{00000000-0005-0000-0000-000080100000}"/>
    <cellStyle name="Normal 23 2 3 3 3" xfId="3005" xr:uid="{00000000-0005-0000-0000-000081100000}"/>
    <cellStyle name="Normal 23 2 3 3_2.DATA" xfId="5729" xr:uid="{00000000-0005-0000-0000-000082100000}"/>
    <cellStyle name="Normal 23 2 3 4" xfId="3006" xr:uid="{00000000-0005-0000-0000-000083100000}"/>
    <cellStyle name="Normal 23 2 3 4 2" xfId="3007" xr:uid="{00000000-0005-0000-0000-000084100000}"/>
    <cellStyle name="Normal 23 2 3 4_2.DATA" xfId="5731" xr:uid="{00000000-0005-0000-0000-000085100000}"/>
    <cellStyle name="Normal 23 2 3 5" xfId="3008" xr:uid="{00000000-0005-0000-0000-000086100000}"/>
    <cellStyle name="Normal 23 2 3_2.DATA" xfId="5726" xr:uid="{00000000-0005-0000-0000-000087100000}"/>
    <cellStyle name="Normal 23 2 4" xfId="3009" xr:uid="{00000000-0005-0000-0000-000088100000}"/>
    <cellStyle name="Normal 23 2 4 2" xfId="3010" xr:uid="{00000000-0005-0000-0000-000089100000}"/>
    <cellStyle name="Normal 23 2 4 2 2" xfId="3011" xr:uid="{00000000-0005-0000-0000-00008A100000}"/>
    <cellStyle name="Normal 23 2 4 2 2 2" xfId="3012" xr:uid="{00000000-0005-0000-0000-00008B100000}"/>
    <cellStyle name="Normal 23 2 4 2 2_2.DATA" xfId="5734" xr:uid="{00000000-0005-0000-0000-00008C100000}"/>
    <cellStyle name="Normal 23 2 4 2 3" xfId="3013" xr:uid="{00000000-0005-0000-0000-00008D100000}"/>
    <cellStyle name="Normal 23 2 4 2_2.DATA" xfId="5733" xr:uid="{00000000-0005-0000-0000-00008E100000}"/>
    <cellStyle name="Normal 23 2 4 3" xfId="3014" xr:uid="{00000000-0005-0000-0000-00008F100000}"/>
    <cellStyle name="Normal 23 2 4 3 2" xfId="3015" xr:uid="{00000000-0005-0000-0000-000090100000}"/>
    <cellStyle name="Normal 23 2 4 3_2.DATA" xfId="5735" xr:uid="{00000000-0005-0000-0000-000091100000}"/>
    <cellStyle name="Normal 23 2 4 4" xfId="3016" xr:uid="{00000000-0005-0000-0000-000092100000}"/>
    <cellStyle name="Normal 23 2 4_2.DATA" xfId="5732" xr:uid="{00000000-0005-0000-0000-000093100000}"/>
    <cellStyle name="Normal 23 2 5" xfId="3017" xr:uid="{00000000-0005-0000-0000-000094100000}"/>
    <cellStyle name="Normal 23 2 5 2" xfId="3018" xr:uid="{00000000-0005-0000-0000-000095100000}"/>
    <cellStyle name="Normal 23 2 5 2 2" xfId="3019" xr:uid="{00000000-0005-0000-0000-000096100000}"/>
    <cellStyle name="Normal 23 2 5 2_2.DATA" xfId="5737" xr:uid="{00000000-0005-0000-0000-000097100000}"/>
    <cellStyle name="Normal 23 2 5 3" xfId="3020" xr:uid="{00000000-0005-0000-0000-000098100000}"/>
    <cellStyle name="Normal 23 2 5_2.DATA" xfId="5736" xr:uid="{00000000-0005-0000-0000-000099100000}"/>
    <cellStyle name="Normal 23 2 6" xfId="3021" xr:uid="{00000000-0005-0000-0000-00009A100000}"/>
    <cellStyle name="Normal 23 2 6 2" xfId="3022" xr:uid="{00000000-0005-0000-0000-00009B100000}"/>
    <cellStyle name="Normal 23 2 6 2 2" xfId="3023" xr:uid="{00000000-0005-0000-0000-00009C100000}"/>
    <cellStyle name="Normal 23 2 6 2_2.DATA" xfId="5739" xr:uid="{00000000-0005-0000-0000-00009D100000}"/>
    <cellStyle name="Normal 23 2 6 3" xfId="3024" xr:uid="{00000000-0005-0000-0000-00009E100000}"/>
    <cellStyle name="Normal 23 2 6_2.DATA" xfId="5738" xr:uid="{00000000-0005-0000-0000-00009F100000}"/>
    <cellStyle name="Normal 23 2 7" xfId="3025" xr:uid="{00000000-0005-0000-0000-0000A0100000}"/>
    <cellStyle name="Normal 23 2 7 2" xfId="3026" xr:uid="{00000000-0005-0000-0000-0000A1100000}"/>
    <cellStyle name="Normal 23 2 7_2.DATA" xfId="5740" xr:uid="{00000000-0005-0000-0000-0000A2100000}"/>
    <cellStyle name="Normal 23 2 8" xfId="3027" xr:uid="{00000000-0005-0000-0000-0000A3100000}"/>
    <cellStyle name="Normal 23 2_2.DATA" xfId="5719" xr:uid="{00000000-0005-0000-0000-0000A4100000}"/>
    <cellStyle name="Normal 23 3" xfId="3028" xr:uid="{00000000-0005-0000-0000-0000A5100000}"/>
    <cellStyle name="Normal 23 3 2" xfId="3029" xr:uid="{00000000-0005-0000-0000-0000A6100000}"/>
    <cellStyle name="Normal 23 3 2 2" xfId="3030" xr:uid="{00000000-0005-0000-0000-0000A7100000}"/>
    <cellStyle name="Normal 23 3 2 2 2" xfId="3031" xr:uid="{00000000-0005-0000-0000-0000A8100000}"/>
    <cellStyle name="Normal 23 3 2 2_2.DATA" xfId="5743" xr:uid="{00000000-0005-0000-0000-0000A9100000}"/>
    <cellStyle name="Normal 23 3 2 3" xfId="3032" xr:uid="{00000000-0005-0000-0000-0000AA100000}"/>
    <cellStyle name="Normal 23 3 2_2.DATA" xfId="5742" xr:uid="{00000000-0005-0000-0000-0000AB100000}"/>
    <cellStyle name="Normal 23 3 3" xfId="3033" xr:uid="{00000000-0005-0000-0000-0000AC100000}"/>
    <cellStyle name="Normal 23 3 3 2" xfId="3034" xr:uid="{00000000-0005-0000-0000-0000AD100000}"/>
    <cellStyle name="Normal 23 3 3_2.DATA" xfId="5744" xr:uid="{00000000-0005-0000-0000-0000AE100000}"/>
    <cellStyle name="Normal 23 3 4" xfId="3035" xr:uid="{00000000-0005-0000-0000-0000AF100000}"/>
    <cellStyle name="Normal 23 3_2.DATA" xfId="5741" xr:uid="{00000000-0005-0000-0000-0000B0100000}"/>
    <cellStyle name="Normal 23 4" xfId="3036" xr:uid="{00000000-0005-0000-0000-0000B1100000}"/>
    <cellStyle name="Normal 23 4 2" xfId="3037" xr:uid="{00000000-0005-0000-0000-0000B2100000}"/>
    <cellStyle name="Normal 23 4 2 2" xfId="3038" xr:uid="{00000000-0005-0000-0000-0000B3100000}"/>
    <cellStyle name="Normal 23 4 2_2.DATA" xfId="5746" xr:uid="{00000000-0005-0000-0000-0000B4100000}"/>
    <cellStyle name="Normal 23 4 3" xfId="3039" xr:uid="{00000000-0005-0000-0000-0000B5100000}"/>
    <cellStyle name="Normal 23 4_2.DATA" xfId="5745" xr:uid="{00000000-0005-0000-0000-0000B6100000}"/>
    <cellStyle name="Normal 23 5" xfId="3040" xr:uid="{00000000-0005-0000-0000-0000B7100000}"/>
    <cellStyle name="Normal 23 5 2" xfId="3041" xr:uid="{00000000-0005-0000-0000-0000B8100000}"/>
    <cellStyle name="Normal 23 5_2.DATA" xfId="5747" xr:uid="{00000000-0005-0000-0000-0000B9100000}"/>
    <cellStyle name="Normal 23 6" xfId="3042" xr:uid="{00000000-0005-0000-0000-0000BA100000}"/>
    <cellStyle name="Normal 23 7" xfId="4706" xr:uid="{00000000-0005-0000-0000-0000BB100000}"/>
    <cellStyle name="Normal 23 8" xfId="1728" xr:uid="{00000000-0005-0000-0000-0000BC100000}"/>
    <cellStyle name="Normal 23_2.DATA" xfId="5718" xr:uid="{00000000-0005-0000-0000-0000BD100000}"/>
    <cellStyle name="Normal 24" xfId="1030" xr:uid="{00000000-0005-0000-0000-0000BE100000}"/>
    <cellStyle name="Normal 24 2" xfId="3043" xr:uid="{00000000-0005-0000-0000-0000BF100000}"/>
    <cellStyle name="Normal 24 2 2" xfId="3044" xr:uid="{00000000-0005-0000-0000-0000C0100000}"/>
    <cellStyle name="Normal 24 2 2 2" xfId="3045" xr:uid="{00000000-0005-0000-0000-0000C1100000}"/>
    <cellStyle name="Normal 24 2 2 2 2" xfId="3046" xr:uid="{00000000-0005-0000-0000-0000C2100000}"/>
    <cellStyle name="Normal 24 2 2 2 2 2" xfId="3047" xr:uid="{00000000-0005-0000-0000-0000C3100000}"/>
    <cellStyle name="Normal 24 2 2 2 2_2.DATA" xfId="5752" xr:uid="{00000000-0005-0000-0000-0000C4100000}"/>
    <cellStyle name="Normal 24 2 2 2 3" xfId="3048" xr:uid="{00000000-0005-0000-0000-0000C5100000}"/>
    <cellStyle name="Normal 24 2 2 2_2.DATA" xfId="5751" xr:uid="{00000000-0005-0000-0000-0000C6100000}"/>
    <cellStyle name="Normal 24 2 2 3" xfId="3049" xr:uid="{00000000-0005-0000-0000-0000C7100000}"/>
    <cellStyle name="Normal 24 2 2 3 2" xfId="3050" xr:uid="{00000000-0005-0000-0000-0000C8100000}"/>
    <cellStyle name="Normal 24 2 2 3 2 2" xfId="3051" xr:uid="{00000000-0005-0000-0000-0000C9100000}"/>
    <cellStyle name="Normal 24 2 2 3 2_2.DATA" xfId="5754" xr:uid="{00000000-0005-0000-0000-0000CA100000}"/>
    <cellStyle name="Normal 24 2 2 3 3" xfId="3052" xr:uid="{00000000-0005-0000-0000-0000CB100000}"/>
    <cellStyle name="Normal 24 2 2 3_2.DATA" xfId="5753" xr:uid="{00000000-0005-0000-0000-0000CC100000}"/>
    <cellStyle name="Normal 24 2 2 4" xfId="3053" xr:uid="{00000000-0005-0000-0000-0000CD100000}"/>
    <cellStyle name="Normal 24 2 2 4 2" xfId="3054" xr:uid="{00000000-0005-0000-0000-0000CE100000}"/>
    <cellStyle name="Normal 24 2 2 4_2.DATA" xfId="5755" xr:uid="{00000000-0005-0000-0000-0000CF100000}"/>
    <cellStyle name="Normal 24 2 2 5" xfId="3055" xr:uid="{00000000-0005-0000-0000-0000D0100000}"/>
    <cellStyle name="Normal 24 2 2_2.DATA" xfId="5750" xr:uid="{00000000-0005-0000-0000-0000D1100000}"/>
    <cellStyle name="Normal 24 2 3" xfId="3056" xr:uid="{00000000-0005-0000-0000-0000D2100000}"/>
    <cellStyle name="Normal 24 2 3 2" xfId="3057" xr:uid="{00000000-0005-0000-0000-0000D3100000}"/>
    <cellStyle name="Normal 24 2 3 2 2" xfId="3058" xr:uid="{00000000-0005-0000-0000-0000D4100000}"/>
    <cellStyle name="Normal 24 2 3 2 2 2" xfId="3059" xr:uid="{00000000-0005-0000-0000-0000D5100000}"/>
    <cellStyle name="Normal 24 2 3 2 2_2.DATA" xfId="5758" xr:uid="{00000000-0005-0000-0000-0000D6100000}"/>
    <cellStyle name="Normal 24 2 3 2 3" xfId="3060" xr:uid="{00000000-0005-0000-0000-0000D7100000}"/>
    <cellStyle name="Normal 24 2 3 2_2.DATA" xfId="5757" xr:uid="{00000000-0005-0000-0000-0000D8100000}"/>
    <cellStyle name="Normal 24 2 3 3" xfId="3061" xr:uid="{00000000-0005-0000-0000-0000D9100000}"/>
    <cellStyle name="Normal 24 2 3 3 2" xfId="3062" xr:uid="{00000000-0005-0000-0000-0000DA100000}"/>
    <cellStyle name="Normal 24 2 3 3 2 2" xfId="3063" xr:uid="{00000000-0005-0000-0000-0000DB100000}"/>
    <cellStyle name="Normal 24 2 3 3 2_2.DATA" xfId="5760" xr:uid="{00000000-0005-0000-0000-0000DC100000}"/>
    <cellStyle name="Normal 24 2 3 3 3" xfId="3064" xr:uid="{00000000-0005-0000-0000-0000DD100000}"/>
    <cellStyle name="Normal 24 2 3 3_2.DATA" xfId="5759" xr:uid="{00000000-0005-0000-0000-0000DE100000}"/>
    <cellStyle name="Normal 24 2 3 4" xfId="3065" xr:uid="{00000000-0005-0000-0000-0000DF100000}"/>
    <cellStyle name="Normal 24 2 3 4 2" xfId="3066" xr:uid="{00000000-0005-0000-0000-0000E0100000}"/>
    <cellStyle name="Normal 24 2 3 4_2.DATA" xfId="5761" xr:uid="{00000000-0005-0000-0000-0000E1100000}"/>
    <cellStyle name="Normal 24 2 3 5" xfId="3067" xr:uid="{00000000-0005-0000-0000-0000E2100000}"/>
    <cellStyle name="Normal 24 2 3_2.DATA" xfId="5756" xr:uid="{00000000-0005-0000-0000-0000E3100000}"/>
    <cellStyle name="Normal 24 2 4" xfId="3068" xr:uid="{00000000-0005-0000-0000-0000E4100000}"/>
    <cellStyle name="Normal 24 2 4 2" xfId="3069" xr:uid="{00000000-0005-0000-0000-0000E5100000}"/>
    <cellStyle name="Normal 24 2 4 2 2" xfId="3070" xr:uid="{00000000-0005-0000-0000-0000E6100000}"/>
    <cellStyle name="Normal 24 2 4 2 2 2" xfId="3071" xr:uid="{00000000-0005-0000-0000-0000E7100000}"/>
    <cellStyle name="Normal 24 2 4 2 2_2.DATA" xfId="5764" xr:uid="{00000000-0005-0000-0000-0000E8100000}"/>
    <cellStyle name="Normal 24 2 4 2 3" xfId="3072" xr:uid="{00000000-0005-0000-0000-0000E9100000}"/>
    <cellStyle name="Normal 24 2 4 2_2.DATA" xfId="5763" xr:uid="{00000000-0005-0000-0000-0000EA100000}"/>
    <cellStyle name="Normal 24 2 4 3" xfId="3073" xr:uid="{00000000-0005-0000-0000-0000EB100000}"/>
    <cellStyle name="Normal 24 2 4 3 2" xfId="3074" xr:uid="{00000000-0005-0000-0000-0000EC100000}"/>
    <cellStyle name="Normal 24 2 4 3_2.DATA" xfId="5765" xr:uid="{00000000-0005-0000-0000-0000ED100000}"/>
    <cellStyle name="Normal 24 2 4 4" xfId="3075" xr:uid="{00000000-0005-0000-0000-0000EE100000}"/>
    <cellStyle name="Normal 24 2 4_2.DATA" xfId="5762" xr:uid="{00000000-0005-0000-0000-0000EF100000}"/>
    <cellStyle name="Normal 24 2 5" xfId="3076" xr:uid="{00000000-0005-0000-0000-0000F0100000}"/>
    <cellStyle name="Normal 24 2 5 2" xfId="3077" xr:uid="{00000000-0005-0000-0000-0000F1100000}"/>
    <cellStyle name="Normal 24 2 5 2 2" xfId="3078" xr:uid="{00000000-0005-0000-0000-0000F2100000}"/>
    <cellStyle name="Normal 24 2 5 2_2.DATA" xfId="5767" xr:uid="{00000000-0005-0000-0000-0000F3100000}"/>
    <cellStyle name="Normal 24 2 5 3" xfId="3079" xr:uid="{00000000-0005-0000-0000-0000F4100000}"/>
    <cellStyle name="Normal 24 2 5_2.DATA" xfId="5766" xr:uid="{00000000-0005-0000-0000-0000F5100000}"/>
    <cellStyle name="Normal 24 2 6" xfId="3080" xr:uid="{00000000-0005-0000-0000-0000F6100000}"/>
    <cellStyle name="Normal 24 2 6 2" xfId="3081" xr:uid="{00000000-0005-0000-0000-0000F7100000}"/>
    <cellStyle name="Normal 24 2 6 2 2" xfId="3082" xr:uid="{00000000-0005-0000-0000-0000F8100000}"/>
    <cellStyle name="Normal 24 2 6 2_2.DATA" xfId="5769" xr:uid="{00000000-0005-0000-0000-0000F9100000}"/>
    <cellStyle name="Normal 24 2 6 3" xfId="3083" xr:uid="{00000000-0005-0000-0000-0000FA100000}"/>
    <cellStyle name="Normal 24 2 6_2.DATA" xfId="5768" xr:uid="{00000000-0005-0000-0000-0000FB100000}"/>
    <cellStyle name="Normal 24 2 7" xfId="3084" xr:uid="{00000000-0005-0000-0000-0000FC100000}"/>
    <cellStyle name="Normal 24 2 7 2" xfId="3085" xr:uid="{00000000-0005-0000-0000-0000FD100000}"/>
    <cellStyle name="Normal 24 2 7_2.DATA" xfId="5770" xr:uid="{00000000-0005-0000-0000-0000FE100000}"/>
    <cellStyle name="Normal 24 2 8" xfId="3086" xr:uid="{00000000-0005-0000-0000-0000FF100000}"/>
    <cellStyle name="Normal 24 2_2.DATA" xfId="5749" xr:uid="{00000000-0005-0000-0000-000000110000}"/>
    <cellStyle name="Normal 24 3" xfId="3087" xr:uid="{00000000-0005-0000-0000-000001110000}"/>
    <cellStyle name="Normal 24 3 2" xfId="3088" xr:uid="{00000000-0005-0000-0000-000002110000}"/>
    <cellStyle name="Normal 24 3 2 2" xfId="3089" xr:uid="{00000000-0005-0000-0000-000003110000}"/>
    <cellStyle name="Normal 24 3 2 2 2" xfId="3090" xr:uid="{00000000-0005-0000-0000-000004110000}"/>
    <cellStyle name="Normal 24 3 2 2_2.DATA" xfId="5773" xr:uid="{00000000-0005-0000-0000-000005110000}"/>
    <cellStyle name="Normal 24 3 2 3" xfId="3091" xr:uid="{00000000-0005-0000-0000-000006110000}"/>
    <cellStyle name="Normal 24 3 2_2.DATA" xfId="5772" xr:uid="{00000000-0005-0000-0000-000007110000}"/>
    <cellStyle name="Normal 24 3 3" xfId="3092" xr:uid="{00000000-0005-0000-0000-000008110000}"/>
    <cellStyle name="Normal 24 3 3 2" xfId="3093" xr:uid="{00000000-0005-0000-0000-000009110000}"/>
    <cellStyle name="Normal 24 3 3_2.DATA" xfId="5774" xr:uid="{00000000-0005-0000-0000-00000A110000}"/>
    <cellStyle name="Normal 24 3 4" xfId="3094" xr:uid="{00000000-0005-0000-0000-00000B110000}"/>
    <cellStyle name="Normal 24 3_2.DATA" xfId="5771" xr:uid="{00000000-0005-0000-0000-00000C110000}"/>
    <cellStyle name="Normal 24 4" xfId="3095" xr:uid="{00000000-0005-0000-0000-00000D110000}"/>
    <cellStyle name="Normal 24 4 2" xfId="3096" xr:uid="{00000000-0005-0000-0000-00000E110000}"/>
    <cellStyle name="Normal 24 4 2 2" xfId="3097" xr:uid="{00000000-0005-0000-0000-00000F110000}"/>
    <cellStyle name="Normal 24 4 2_2.DATA" xfId="5776" xr:uid="{00000000-0005-0000-0000-000010110000}"/>
    <cellStyle name="Normal 24 4 3" xfId="3098" xr:uid="{00000000-0005-0000-0000-000011110000}"/>
    <cellStyle name="Normal 24 4_2.DATA" xfId="5775" xr:uid="{00000000-0005-0000-0000-000012110000}"/>
    <cellStyle name="Normal 24 5" xfId="3099" xr:uid="{00000000-0005-0000-0000-000013110000}"/>
    <cellStyle name="Normal 24 5 2" xfId="3100" xr:uid="{00000000-0005-0000-0000-000014110000}"/>
    <cellStyle name="Normal 24 5_2.DATA" xfId="5777" xr:uid="{00000000-0005-0000-0000-000015110000}"/>
    <cellStyle name="Normal 24 6" xfId="3101" xr:uid="{00000000-0005-0000-0000-000016110000}"/>
    <cellStyle name="Normal 24 7" xfId="4707" xr:uid="{00000000-0005-0000-0000-000017110000}"/>
    <cellStyle name="Normal 24 8" xfId="1733" xr:uid="{00000000-0005-0000-0000-000018110000}"/>
    <cellStyle name="Normal 24_2.DATA" xfId="5748" xr:uid="{00000000-0005-0000-0000-000019110000}"/>
    <cellStyle name="Normal 25" xfId="1031" xr:uid="{00000000-0005-0000-0000-00001A110000}"/>
    <cellStyle name="Normal 25 2" xfId="3102" xr:uid="{00000000-0005-0000-0000-00001B110000}"/>
    <cellStyle name="Normal 25 2 2" xfId="3103" xr:uid="{00000000-0005-0000-0000-00001C110000}"/>
    <cellStyle name="Normal 25 2 2 2" xfId="3104" xr:uid="{00000000-0005-0000-0000-00001D110000}"/>
    <cellStyle name="Normal 25 2 2 2 2" xfId="3105" xr:uid="{00000000-0005-0000-0000-00001E110000}"/>
    <cellStyle name="Normal 25 2 2 2 2 2" xfId="3106" xr:uid="{00000000-0005-0000-0000-00001F110000}"/>
    <cellStyle name="Normal 25 2 2 2 2_2.DATA" xfId="5782" xr:uid="{00000000-0005-0000-0000-000020110000}"/>
    <cellStyle name="Normal 25 2 2 2 3" xfId="3107" xr:uid="{00000000-0005-0000-0000-000021110000}"/>
    <cellStyle name="Normal 25 2 2 2_2.DATA" xfId="5781" xr:uid="{00000000-0005-0000-0000-000022110000}"/>
    <cellStyle name="Normal 25 2 2 3" xfId="3108" xr:uid="{00000000-0005-0000-0000-000023110000}"/>
    <cellStyle name="Normal 25 2 2 3 2" xfId="3109" xr:uid="{00000000-0005-0000-0000-000024110000}"/>
    <cellStyle name="Normal 25 2 2 3 2 2" xfId="3110" xr:uid="{00000000-0005-0000-0000-000025110000}"/>
    <cellStyle name="Normal 25 2 2 3 2_2.DATA" xfId="5784" xr:uid="{00000000-0005-0000-0000-000026110000}"/>
    <cellStyle name="Normal 25 2 2 3 3" xfId="3111" xr:uid="{00000000-0005-0000-0000-000027110000}"/>
    <cellStyle name="Normal 25 2 2 3_2.DATA" xfId="5783" xr:uid="{00000000-0005-0000-0000-000028110000}"/>
    <cellStyle name="Normal 25 2 2 4" xfId="3112" xr:uid="{00000000-0005-0000-0000-000029110000}"/>
    <cellStyle name="Normal 25 2 2 4 2" xfId="3113" xr:uid="{00000000-0005-0000-0000-00002A110000}"/>
    <cellStyle name="Normal 25 2 2 4_2.DATA" xfId="5785" xr:uid="{00000000-0005-0000-0000-00002B110000}"/>
    <cellStyle name="Normal 25 2 2 5" xfId="3114" xr:uid="{00000000-0005-0000-0000-00002C110000}"/>
    <cellStyle name="Normal 25 2 2_2.DATA" xfId="5780" xr:uid="{00000000-0005-0000-0000-00002D110000}"/>
    <cellStyle name="Normal 25 2 3" xfId="3115" xr:uid="{00000000-0005-0000-0000-00002E110000}"/>
    <cellStyle name="Normal 25 2 3 2" xfId="3116" xr:uid="{00000000-0005-0000-0000-00002F110000}"/>
    <cellStyle name="Normal 25 2 3 2 2" xfId="3117" xr:uid="{00000000-0005-0000-0000-000030110000}"/>
    <cellStyle name="Normal 25 2 3 2 2 2" xfId="3118" xr:uid="{00000000-0005-0000-0000-000031110000}"/>
    <cellStyle name="Normal 25 2 3 2 2_2.DATA" xfId="5788" xr:uid="{00000000-0005-0000-0000-000032110000}"/>
    <cellStyle name="Normal 25 2 3 2 3" xfId="3119" xr:uid="{00000000-0005-0000-0000-000033110000}"/>
    <cellStyle name="Normal 25 2 3 2_2.DATA" xfId="5787" xr:uid="{00000000-0005-0000-0000-000034110000}"/>
    <cellStyle name="Normal 25 2 3 3" xfId="3120" xr:uid="{00000000-0005-0000-0000-000035110000}"/>
    <cellStyle name="Normal 25 2 3 3 2" xfId="3121" xr:uid="{00000000-0005-0000-0000-000036110000}"/>
    <cellStyle name="Normal 25 2 3 3 2 2" xfId="3122" xr:uid="{00000000-0005-0000-0000-000037110000}"/>
    <cellStyle name="Normal 25 2 3 3 2_2.DATA" xfId="5790" xr:uid="{00000000-0005-0000-0000-000038110000}"/>
    <cellStyle name="Normal 25 2 3 3 3" xfId="3123" xr:uid="{00000000-0005-0000-0000-000039110000}"/>
    <cellStyle name="Normal 25 2 3 3_2.DATA" xfId="5789" xr:uid="{00000000-0005-0000-0000-00003A110000}"/>
    <cellStyle name="Normal 25 2 3 4" xfId="3124" xr:uid="{00000000-0005-0000-0000-00003B110000}"/>
    <cellStyle name="Normal 25 2 3 4 2" xfId="3125" xr:uid="{00000000-0005-0000-0000-00003C110000}"/>
    <cellStyle name="Normal 25 2 3 4_2.DATA" xfId="5791" xr:uid="{00000000-0005-0000-0000-00003D110000}"/>
    <cellStyle name="Normal 25 2 3 5" xfId="3126" xr:uid="{00000000-0005-0000-0000-00003E110000}"/>
    <cellStyle name="Normal 25 2 3_2.DATA" xfId="5786" xr:uid="{00000000-0005-0000-0000-00003F110000}"/>
    <cellStyle name="Normal 25 2 4" xfId="3127" xr:uid="{00000000-0005-0000-0000-000040110000}"/>
    <cellStyle name="Normal 25 2 4 2" xfId="3128" xr:uid="{00000000-0005-0000-0000-000041110000}"/>
    <cellStyle name="Normal 25 2 4 2 2" xfId="3129" xr:uid="{00000000-0005-0000-0000-000042110000}"/>
    <cellStyle name="Normal 25 2 4 2 2 2" xfId="3130" xr:uid="{00000000-0005-0000-0000-000043110000}"/>
    <cellStyle name="Normal 25 2 4 2 2_2.DATA" xfId="5794" xr:uid="{00000000-0005-0000-0000-000044110000}"/>
    <cellStyle name="Normal 25 2 4 2 3" xfId="3131" xr:uid="{00000000-0005-0000-0000-000045110000}"/>
    <cellStyle name="Normal 25 2 4 2_2.DATA" xfId="5793" xr:uid="{00000000-0005-0000-0000-000046110000}"/>
    <cellStyle name="Normal 25 2 4 3" xfId="3132" xr:uid="{00000000-0005-0000-0000-000047110000}"/>
    <cellStyle name="Normal 25 2 4 3 2" xfId="3133" xr:uid="{00000000-0005-0000-0000-000048110000}"/>
    <cellStyle name="Normal 25 2 4 3_2.DATA" xfId="5795" xr:uid="{00000000-0005-0000-0000-000049110000}"/>
    <cellStyle name="Normal 25 2 4 4" xfId="3134" xr:uid="{00000000-0005-0000-0000-00004A110000}"/>
    <cellStyle name="Normal 25 2 4_2.DATA" xfId="5792" xr:uid="{00000000-0005-0000-0000-00004B110000}"/>
    <cellStyle name="Normal 25 2 5" xfId="3135" xr:uid="{00000000-0005-0000-0000-00004C110000}"/>
    <cellStyle name="Normal 25 2 5 2" xfId="3136" xr:uid="{00000000-0005-0000-0000-00004D110000}"/>
    <cellStyle name="Normal 25 2 5 2 2" xfId="3137" xr:uid="{00000000-0005-0000-0000-00004E110000}"/>
    <cellStyle name="Normal 25 2 5 2_2.DATA" xfId="5797" xr:uid="{00000000-0005-0000-0000-00004F110000}"/>
    <cellStyle name="Normal 25 2 5 3" xfId="3138" xr:uid="{00000000-0005-0000-0000-000050110000}"/>
    <cellStyle name="Normal 25 2 5_2.DATA" xfId="5796" xr:uid="{00000000-0005-0000-0000-000051110000}"/>
    <cellStyle name="Normal 25 2 6" xfId="3139" xr:uid="{00000000-0005-0000-0000-000052110000}"/>
    <cellStyle name="Normal 25 2 6 2" xfId="3140" xr:uid="{00000000-0005-0000-0000-000053110000}"/>
    <cellStyle name="Normal 25 2 6 2 2" xfId="3141" xr:uid="{00000000-0005-0000-0000-000054110000}"/>
    <cellStyle name="Normal 25 2 6 2_2.DATA" xfId="5799" xr:uid="{00000000-0005-0000-0000-000055110000}"/>
    <cellStyle name="Normal 25 2 6 3" xfId="3142" xr:uid="{00000000-0005-0000-0000-000056110000}"/>
    <cellStyle name="Normal 25 2 6_2.DATA" xfId="5798" xr:uid="{00000000-0005-0000-0000-000057110000}"/>
    <cellStyle name="Normal 25 2 7" xfId="3143" xr:uid="{00000000-0005-0000-0000-000058110000}"/>
    <cellStyle name="Normal 25 2 7 2" xfId="3144" xr:uid="{00000000-0005-0000-0000-000059110000}"/>
    <cellStyle name="Normal 25 2 7_2.DATA" xfId="5800" xr:uid="{00000000-0005-0000-0000-00005A110000}"/>
    <cellStyle name="Normal 25 2 8" xfId="3145" xr:uid="{00000000-0005-0000-0000-00005B110000}"/>
    <cellStyle name="Normal 25 2_2.DATA" xfId="5779" xr:uid="{00000000-0005-0000-0000-00005C110000}"/>
    <cellStyle name="Normal 25 3" xfId="3146" xr:uid="{00000000-0005-0000-0000-00005D110000}"/>
    <cellStyle name="Normal 25 3 2" xfId="3147" xr:uid="{00000000-0005-0000-0000-00005E110000}"/>
    <cellStyle name="Normal 25 3 2 2" xfId="3148" xr:uid="{00000000-0005-0000-0000-00005F110000}"/>
    <cellStyle name="Normal 25 3 2 2 2" xfId="3149" xr:uid="{00000000-0005-0000-0000-000060110000}"/>
    <cellStyle name="Normal 25 3 2 2_2.DATA" xfId="5803" xr:uid="{00000000-0005-0000-0000-000061110000}"/>
    <cellStyle name="Normal 25 3 2 3" xfId="3150" xr:uid="{00000000-0005-0000-0000-000062110000}"/>
    <cellStyle name="Normal 25 3 2_2.DATA" xfId="5802" xr:uid="{00000000-0005-0000-0000-000063110000}"/>
    <cellStyle name="Normal 25 3 3" xfId="3151" xr:uid="{00000000-0005-0000-0000-000064110000}"/>
    <cellStyle name="Normal 25 3 3 2" xfId="3152" xr:uid="{00000000-0005-0000-0000-000065110000}"/>
    <cellStyle name="Normal 25 3 3_2.DATA" xfId="5804" xr:uid="{00000000-0005-0000-0000-000066110000}"/>
    <cellStyle name="Normal 25 3 4" xfId="3153" xr:uid="{00000000-0005-0000-0000-000067110000}"/>
    <cellStyle name="Normal 25 3_2.DATA" xfId="5801" xr:uid="{00000000-0005-0000-0000-000068110000}"/>
    <cellStyle name="Normal 25 4" xfId="3154" xr:uid="{00000000-0005-0000-0000-000069110000}"/>
    <cellStyle name="Normal 25 4 2" xfId="3155" xr:uid="{00000000-0005-0000-0000-00006A110000}"/>
    <cellStyle name="Normal 25 4 2 2" xfId="3156" xr:uid="{00000000-0005-0000-0000-00006B110000}"/>
    <cellStyle name="Normal 25 4 2_2.DATA" xfId="5806" xr:uid="{00000000-0005-0000-0000-00006C110000}"/>
    <cellStyle name="Normal 25 4 3" xfId="3157" xr:uid="{00000000-0005-0000-0000-00006D110000}"/>
    <cellStyle name="Normal 25 4_2.DATA" xfId="5805" xr:uid="{00000000-0005-0000-0000-00006E110000}"/>
    <cellStyle name="Normal 25 5" xfId="3158" xr:uid="{00000000-0005-0000-0000-00006F110000}"/>
    <cellStyle name="Normal 25 5 2" xfId="3159" xr:uid="{00000000-0005-0000-0000-000070110000}"/>
    <cellStyle name="Normal 25 5_2.DATA" xfId="5807" xr:uid="{00000000-0005-0000-0000-000071110000}"/>
    <cellStyle name="Normal 25 6" xfId="3160" xr:uid="{00000000-0005-0000-0000-000072110000}"/>
    <cellStyle name="Normal 25 7" xfId="4708" xr:uid="{00000000-0005-0000-0000-000073110000}"/>
    <cellStyle name="Normal 25 8" xfId="1738" xr:uid="{00000000-0005-0000-0000-000074110000}"/>
    <cellStyle name="Normal 25_2.DATA" xfId="5778" xr:uid="{00000000-0005-0000-0000-000075110000}"/>
    <cellStyle name="Normal 26" xfId="1032" xr:uid="{00000000-0005-0000-0000-000076110000}"/>
    <cellStyle name="Normal 26 2" xfId="3161" xr:uid="{00000000-0005-0000-0000-000077110000}"/>
    <cellStyle name="Normal 26 2 2" xfId="3162" xr:uid="{00000000-0005-0000-0000-000078110000}"/>
    <cellStyle name="Normal 26 2 2 2" xfId="3163" xr:uid="{00000000-0005-0000-0000-000079110000}"/>
    <cellStyle name="Normal 26 2 2 2 2" xfId="3164" xr:uid="{00000000-0005-0000-0000-00007A110000}"/>
    <cellStyle name="Normal 26 2 2 2 2 2" xfId="3165" xr:uid="{00000000-0005-0000-0000-00007B110000}"/>
    <cellStyle name="Normal 26 2 2 2 2_2.DATA" xfId="5812" xr:uid="{00000000-0005-0000-0000-00007C110000}"/>
    <cellStyle name="Normal 26 2 2 2 3" xfId="3166" xr:uid="{00000000-0005-0000-0000-00007D110000}"/>
    <cellStyle name="Normal 26 2 2 2_2.DATA" xfId="5811" xr:uid="{00000000-0005-0000-0000-00007E110000}"/>
    <cellStyle name="Normal 26 2 2 3" xfId="3167" xr:uid="{00000000-0005-0000-0000-00007F110000}"/>
    <cellStyle name="Normal 26 2 2 3 2" xfId="3168" xr:uid="{00000000-0005-0000-0000-000080110000}"/>
    <cellStyle name="Normal 26 2 2 3 2 2" xfId="3169" xr:uid="{00000000-0005-0000-0000-000081110000}"/>
    <cellStyle name="Normal 26 2 2 3 2_2.DATA" xfId="5814" xr:uid="{00000000-0005-0000-0000-000082110000}"/>
    <cellStyle name="Normal 26 2 2 3 3" xfId="3170" xr:uid="{00000000-0005-0000-0000-000083110000}"/>
    <cellStyle name="Normal 26 2 2 3_2.DATA" xfId="5813" xr:uid="{00000000-0005-0000-0000-000084110000}"/>
    <cellStyle name="Normal 26 2 2 4" xfId="3171" xr:uid="{00000000-0005-0000-0000-000085110000}"/>
    <cellStyle name="Normal 26 2 2 4 2" xfId="3172" xr:uid="{00000000-0005-0000-0000-000086110000}"/>
    <cellStyle name="Normal 26 2 2 4_2.DATA" xfId="5815" xr:uid="{00000000-0005-0000-0000-000087110000}"/>
    <cellStyle name="Normal 26 2 2 5" xfId="3173" xr:uid="{00000000-0005-0000-0000-000088110000}"/>
    <cellStyle name="Normal 26 2 2_2.DATA" xfId="5810" xr:uid="{00000000-0005-0000-0000-000089110000}"/>
    <cellStyle name="Normal 26 2 3" xfId="3174" xr:uid="{00000000-0005-0000-0000-00008A110000}"/>
    <cellStyle name="Normal 26 2 3 2" xfId="3175" xr:uid="{00000000-0005-0000-0000-00008B110000}"/>
    <cellStyle name="Normal 26 2 3 2 2" xfId="3176" xr:uid="{00000000-0005-0000-0000-00008C110000}"/>
    <cellStyle name="Normal 26 2 3 2 2 2" xfId="3177" xr:uid="{00000000-0005-0000-0000-00008D110000}"/>
    <cellStyle name="Normal 26 2 3 2 2_2.DATA" xfId="5818" xr:uid="{00000000-0005-0000-0000-00008E110000}"/>
    <cellStyle name="Normal 26 2 3 2 3" xfId="3178" xr:uid="{00000000-0005-0000-0000-00008F110000}"/>
    <cellStyle name="Normal 26 2 3 2_2.DATA" xfId="5817" xr:uid="{00000000-0005-0000-0000-000090110000}"/>
    <cellStyle name="Normal 26 2 3 3" xfId="3179" xr:uid="{00000000-0005-0000-0000-000091110000}"/>
    <cellStyle name="Normal 26 2 3 3 2" xfId="3180" xr:uid="{00000000-0005-0000-0000-000092110000}"/>
    <cellStyle name="Normal 26 2 3 3 2 2" xfId="3181" xr:uid="{00000000-0005-0000-0000-000093110000}"/>
    <cellStyle name="Normal 26 2 3 3 2_2.DATA" xfId="5820" xr:uid="{00000000-0005-0000-0000-000094110000}"/>
    <cellStyle name="Normal 26 2 3 3 3" xfId="3182" xr:uid="{00000000-0005-0000-0000-000095110000}"/>
    <cellStyle name="Normal 26 2 3 3_2.DATA" xfId="5819" xr:uid="{00000000-0005-0000-0000-000096110000}"/>
    <cellStyle name="Normal 26 2 3 4" xfId="3183" xr:uid="{00000000-0005-0000-0000-000097110000}"/>
    <cellStyle name="Normal 26 2 3 4 2" xfId="3184" xr:uid="{00000000-0005-0000-0000-000098110000}"/>
    <cellStyle name="Normal 26 2 3 4_2.DATA" xfId="5821" xr:uid="{00000000-0005-0000-0000-000099110000}"/>
    <cellStyle name="Normal 26 2 3 5" xfId="3185" xr:uid="{00000000-0005-0000-0000-00009A110000}"/>
    <cellStyle name="Normal 26 2 3_2.DATA" xfId="5816" xr:uid="{00000000-0005-0000-0000-00009B110000}"/>
    <cellStyle name="Normal 26 2 4" xfId="3186" xr:uid="{00000000-0005-0000-0000-00009C110000}"/>
    <cellStyle name="Normal 26 2 4 2" xfId="3187" xr:uid="{00000000-0005-0000-0000-00009D110000}"/>
    <cellStyle name="Normal 26 2 4 2 2" xfId="3188" xr:uid="{00000000-0005-0000-0000-00009E110000}"/>
    <cellStyle name="Normal 26 2 4 2 2 2" xfId="3189" xr:uid="{00000000-0005-0000-0000-00009F110000}"/>
    <cellStyle name="Normal 26 2 4 2 2_2.DATA" xfId="5824" xr:uid="{00000000-0005-0000-0000-0000A0110000}"/>
    <cellStyle name="Normal 26 2 4 2 3" xfId="3190" xr:uid="{00000000-0005-0000-0000-0000A1110000}"/>
    <cellStyle name="Normal 26 2 4 2_2.DATA" xfId="5823" xr:uid="{00000000-0005-0000-0000-0000A2110000}"/>
    <cellStyle name="Normal 26 2 4 3" xfId="3191" xr:uid="{00000000-0005-0000-0000-0000A3110000}"/>
    <cellStyle name="Normal 26 2 4 3 2" xfId="3192" xr:uid="{00000000-0005-0000-0000-0000A4110000}"/>
    <cellStyle name="Normal 26 2 4 3_2.DATA" xfId="5825" xr:uid="{00000000-0005-0000-0000-0000A5110000}"/>
    <cellStyle name="Normal 26 2 4 4" xfId="3193" xr:uid="{00000000-0005-0000-0000-0000A6110000}"/>
    <cellStyle name="Normal 26 2 4_2.DATA" xfId="5822" xr:uid="{00000000-0005-0000-0000-0000A7110000}"/>
    <cellStyle name="Normal 26 2 5" xfId="3194" xr:uid="{00000000-0005-0000-0000-0000A8110000}"/>
    <cellStyle name="Normal 26 2 5 2" xfId="3195" xr:uid="{00000000-0005-0000-0000-0000A9110000}"/>
    <cellStyle name="Normal 26 2 5 2 2" xfId="3196" xr:uid="{00000000-0005-0000-0000-0000AA110000}"/>
    <cellStyle name="Normal 26 2 5 2_2.DATA" xfId="5827" xr:uid="{00000000-0005-0000-0000-0000AB110000}"/>
    <cellStyle name="Normal 26 2 5 3" xfId="3197" xr:uid="{00000000-0005-0000-0000-0000AC110000}"/>
    <cellStyle name="Normal 26 2 5_2.DATA" xfId="5826" xr:uid="{00000000-0005-0000-0000-0000AD110000}"/>
    <cellStyle name="Normal 26 2 6" xfId="3198" xr:uid="{00000000-0005-0000-0000-0000AE110000}"/>
    <cellStyle name="Normal 26 2 6 2" xfId="3199" xr:uid="{00000000-0005-0000-0000-0000AF110000}"/>
    <cellStyle name="Normal 26 2 6 2 2" xfId="3200" xr:uid="{00000000-0005-0000-0000-0000B0110000}"/>
    <cellStyle name="Normal 26 2 6 2_2.DATA" xfId="5829" xr:uid="{00000000-0005-0000-0000-0000B1110000}"/>
    <cellStyle name="Normal 26 2 6 3" xfId="3201" xr:uid="{00000000-0005-0000-0000-0000B2110000}"/>
    <cellStyle name="Normal 26 2 6_2.DATA" xfId="5828" xr:uid="{00000000-0005-0000-0000-0000B3110000}"/>
    <cellStyle name="Normal 26 2 7" xfId="3202" xr:uid="{00000000-0005-0000-0000-0000B4110000}"/>
    <cellStyle name="Normal 26 2 7 2" xfId="3203" xr:uid="{00000000-0005-0000-0000-0000B5110000}"/>
    <cellStyle name="Normal 26 2 7_2.DATA" xfId="5830" xr:uid="{00000000-0005-0000-0000-0000B6110000}"/>
    <cellStyle name="Normal 26 2 8" xfId="3204" xr:uid="{00000000-0005-0000-0000-0000B7110000}"/>
    <cellStyle name="Normal 26 2_2.DATA" xfId="5809" xr:uid="{00000000-0005-0000-0000-0000B8110000}"/>
    <cellStyle name="Normal 26 3" xfId="3205" xr:uid="{00000000-0005-0000-0000-0000B9110000}"/>
    <cellStyle name="Normal 26 3 2" xfId="3206" xr:uid="{00000000-0005-0000-0000-0000BA110000}"/>
    <cellStyle name="Normal 26 3 2 2" xfId="3207" xr:uid="{00000000-0005-0000-0000-0000BB110000}"/>
    <cellStyle name="Normal 26 3 2 2 2" xfId="3208" xr:uid="{00000000-0005-0000-0000-0000BC110000}"/>
    <cellStyle name="Normal 26 3 2 2_2.DATA" xfId="5833" xr:uid="{00000000-0005-0000-0000-0000BD110000}"/>
    <cellStyle name="Normal 26 3 2 3" xfId="3209" xr:uid="{00000000-0005-0000-0000-0000BE110000}"/>
    <cellStyle name="Normal 26 3 2_2.DATA" xfId="5832" xr:uid="{00000000-0005-0000-0000-0000BF110000}"/>
    <cellStyle name="Normal 26 3 3" xfId="3210" xr:uid="{00000000-0005-0000-0000-0000C0110000}"/>
    <cellStyle name="Normal 26 3 3 2" xfId="3211" xr:uid="{00000000-0005-0000-0000-0000C1110000}"/>
    <cellStyle name="Normal 26 3 3_2.DATA" xfId="5834" xr:uid="{00000000-0005-0000-0000-0000C2110000}"/>
    <cellStyle name="Normal 26 3 4" xfId="3212" xr:uid="{00000000-0005-0000-0000-0000C3110000}"/>
    <cellStyle name="Normal 26 3_2.DATA" xfId="5831" xr:uid="{00000000-0005-0000-0000-0000C4110000}"/>
    <cellStyle name="Normal 26 4" xfId="3213" xr:uid="{00000000-0005-0000-0000-0000C5110000}"/>
    <cellStyle name="Normal 26 4 2" xfId="3214" xr:uid="{00000000-0005-0000-0000-0000C6110000}"/>
    <cellStyle name="Normal 26 4 2 2" xfId="3215" xr:uid="{00000000-0005-0000-0000-0000C7110000}"/>
    <cellStyle name="Normal 26 4 2_2.DATA" xfId="5836" xr:uid="{00000000-0005-0000-0000-0000C8110000}"/>
    <cellStyle name="Normal 26 4 3" xfId="3216" xr:uid="{00000000-0005-0000-0000-0000C9110000}"/>
    <cellStyle name="Normal 26 4_2.DATA" xfId="5835" xr:uid="{00000000-0005-0000-0000-0000CA110000}"/>
    <cellStyle name="Normal 26 5" xfId="3217" xr:uid="{00000000-0005-0000-0000-0000CB110000}"/>
    <cellStyle name="Normal 26 5 2" xfId="3218" xr:uid="{00000000-0005-0000-0000-0000CC110000}"/>
    <cellStyle name="Normal 26 5_2.DATA" xfId="5837" xr:uid="{00000000-0005-0000-0000-0000CD110000}"/>
    <cellStyle name="Normal 26 6" xfId="3219" xr:uid="{00000000-0005-0000-0000-0000CE110000}"/>
    <cellStyle name="Normal 26 7" xfId="4709" xr:uid="{00000000-0005-0000-0000-0000CF110000}"/>
    <cellStyle name="Normal 26 8" xfId="1742" xr:uid="{00000000-0005-0000-0000-0000D0110000}"/>
    <cellStyle name="Normal 26_2.DATA" xfId="5808" xr:uid="{00000000-0005-0000-0000-0000D1110000}"/>
    <cellStyle name="Normal 260" xfId="1033" xr:uid="{00000000-0005-0000-0000-0000D2110000}"/>
    <cellStyle name="Normal 27" xfId="1034" xr:uid="{00000000-0005-0000-0000-0000D3110000}"/>
    <cellStyle name="Normal 27 2" xfId="3221" xr:uid="{00000000-0005-0000-0000-0000D4110000}"/>
    <cellStyle name="Normal 27 2 2" xfId="3222" xr:uid="{00000000-0005-0000-0000-0000D5110000}"/>
    <cellStyle name="Normal 27 2 2 2" xfId="3223" xr:uid="{00000000-0005-0000-0000-0000D6110000}"/>
    <cellStyle name="Normal 27 2 2 2 2" xfId="3224" xr:uid="{00000000-0005-0000-0000-0000D7110000}"/>
    <cellStyle name="Normal 27 2 2 2 2 2" xfId="3225" xr:uid="{00000000-0005-0000-0000-0000D8110000}"/>
    <cellStyle name="Normal 27 2 2 2 2_2.DATA" xfId="5842" xr:uid="{00000000-0005-0000-0000-0000D9110000}"/>
    <cellStyle name="Normal 27 2 2 2 3" xfId="3226" xr:uid="{00000000-0005-0000-0000-0000DA110000}"/>
    <cellStyle name="Normal 27 2 2 2_2.DATA" xfId="5841" xr:uid="{00000000-0005-0000-0000-0000DB110000}"/>
    <cellStyle name="Normal 27 2 2 3" xfId="3227" xr:uid="{00000000-0005-0000-0000-0000DC110000}"/>
    <cellStyle name="Normal 27 2 2 3 2" xfId="3228" xr:uid="{00000000-0005-0000-0000-0000DD110000}"/>
    <cellStyle name="Normal 27 2 2 3 2 2" xfId="3229" xr:uid="{00000000-0005-0000-0000-0000DE110000}"/>
    <cellStyle name="Normal 27 2 2 3 2_2.DATA" xfId="5844" xr:uid="{00000000-0005-0000-0000-0000DF110000}"/>
    <cellStyle name="Normal 27 2 2 3 3" xfId="3230" xr:uid="{00000000-0005-0000-0000-0000E0110000}"/>
    <cellStyle name="Normal 27 2 2 3_2.DATA" xfId="5843" xr:uid="{00000000-0005-0000-0000-0000E1110000}"/>
    <cellStyle name="Normal 27 2 2 4" xfId="3231" xr:uid="{00000000-0005-0000-0000-0000E2110000}"/>
    <cellStyle name="Normal 27 2 2 4 2" xfId="3232" xr:uid="{00000000-0005-0000-0000-0000E3110000}"/>
    <cellStyle name="Normal 27 2 2 4_2.DATA" xfId="5845" xr:uid="{00000000-0005-0000-0000-0000E4110000}"/>
    <cellStyle name="Normal 27 2 2 5" xfId="3233" xr:uid="{00000000-0005-0000-0000-0000E5110000}"/>
    <cellStyle name="Normal 27 2 2_2.DATA" xfId="5840" xr:uid="{00000000-0005-0000-0000-0000E6110000}"/>
    <cellStyle name="Normal 27 2 3" xfId="3234" xr:uid="{00000000-0005-0000-0000-0000E7110000}"/>
    <cellStyle name="Normal 27 2 3 2" xfId="3235" xr:uid="{00000000-0005-0000-0000-0000E8110000}"/>
    <cellStyle name="Normal 27 2 3 2 2" xfId="3236" xr:uid="{00000000-0005-0000-0000-0000E9110000}"/>
    <cellStyle name="Normal 27 2 3 2 2 2" xfId="3237" xr:uid="{00000000-0005-0000-0000-0000EA110000}"/>
    <cellStyle name="Normal 27 2 3 2 2_2.DATA" xfId="5848" xr:uid="{00000000-0005-0000-0000-0000EB110000}"/>
    <cellStyle name="Normal 27 2 3 2 3" xfId="3238" xr:uid="{00000000-0005-0000-0000-0000EC110000}"/>
    <cellStyle name="Normal 27 2 3 2_2.DATA" xfId="5847" xr:uid="{00000000-0005-0000-0000-0000ED110000}"/>
    <cellStyle name="Normal 27 2 3 3" xfId="3239" xr:uid="{00000000-0005-0000-0000-0000EE110000}"/>
    <cellStyle name="Normal 27 2 3 3 2" xfId="3240" xr:uid="{00000000-0005-0000-0000-0000EF110000}"/>
    <cellStyle name="Normal 27 2 3 3 2 2" xfId="3241" xr:uid="{00000000-0005-0000-0000-0000F0110000}"/>
    <cellStyle name="Normal 27 2 3 3 2_2.DATA" xfId="5850" xr:uid="{00000000-0005-0000-0000-0000F1110000}"/>
    <cellStyle name="Normal 27 2 3 3 3" xfId="3242" xr:uid="{00000000-0005-0000-0000-0000F2110000}"/>
    <cellStyle name="Normal 27 2 3 3_2.DATA" xfId="5849" xr:uid="{00000000-0005-0000-0000-0000F3110000}"/>
    <cellStyle name="Normal 27 2 3 4" xfId="3243" xr:uid="{00000000-0005-0000-0000-0000F4110000}"/>
    <cellStyle name="Normal 27 2 3 4 2" xfId="3244" xr:uid="{00000000-0005-0000-0000-0000F5110000}"/>
    <cellStyle name="Normal 27 2 3 4_2.DATA" xfId="5851" xr:uid="{00000000-0005-0000-0000-0000F6110000}"/>
    <cellStyle name="Normal 27 2 3 5" xfId="3245" xr:uid="{00000000-0005-0000-0000-0000F7110000}"/>
    <cellStyle name="Normal 27 2 3_2.DATA" xfId="5846" xr:uid="{00000000-0005-0000-0000-0000F8110000}"/>
    <cellStyle name="Normal 27 2 4" xfId="3246" xr:uid="{00000000-0005-0000-0000-0000F9110000}"/>
    <cellStyle name="Normal 27 2 4 2" xfId="3247" xr:uid="{00000000-0005-0000-0000-0000FA110000}"/>
    <cellStyle name="Normal 27 2 4 2 2" xfId="3248" xr:uid="{00000000-0005-0000-0000-0000FB110000}"/>
    <cellStyle name="Normal 27 2 4 2 2 2" xfId="3249" xr:uid="{00000000-0005-0000-0000-0000FC110000}"/>
    <cellStyle name="Normal 27 2 4 2 2_2.DATA" xfId="5854" xr:uid="{00000000-0005-0000-0000-0000FD110000}"/>
    <cellStyle name="Normal 27 2 4 2 3" xfId="3250" xr:uid="{00000000-0005-0000-0000-0000FE110000}"/>
    <cellStyle name="Normal 27 2 4 2_2.DATA" xfId="5853" xr:uid="{00000000-0005-0000-0000-0000FF110000}"/>
    <cellStyle name="Normal 27 2 4 3" xfId="3251" xr:uid="{00000000-0005-0000-0000-000000120000}"/>
    <cellStyle name="Normal 27 2 4 3 2" xfId="3252" xr:uid="{00000000-0005-0000-0000-000001120000}"/>
    <cellStyle name="Normal 27 2 4 3_2.DATA" xfId="5855" xr:uid="{00000000-0005-0000-0000-000002120000}"/>
    <cellStyle name="Normal 27 2 4 4" xfId="3253" xr:uid="{00000000-0005-0000-0000-000003120000}"/>
    <cellStyle name="Normal 27 2 4_2.DATA" xfId="5852" xr:uid="{00000000-0005-0000-0000-000004120000}"/>
    <cellStyle name="Normal 27 2 5" xfId="3254" xr:uid="{00000000-0005-0000-0000-000005120000}"/>
    <cellStyle name="Normal 27 2 5 2" xfId="3255" xr:uid="{00000000-0005-0000-0000-000006120000}"/>
    <cellStyle name="Normal 27 2 5 2 2" xfId="3256" xr:uid="{00000000-0005-0000-0000-000007120000}"/>
    <cellStyle name="Normal 27 2 5 2_2.DATA" xfId="5857" xr:uid="{00000000-0005-0000-0000-000008120000}"/>
    <cellStyle name="Normal 27 2 5 3" xfId="3257" xr:uid="{00000000-0005-0000-0000-000009120000}"/>
    <cellStyle name="Normal 27 2 5_2.DATA" xfId="5856" xr:uid="{00000000-0005-0000-0000-00000A120000}"/>
    <cellStyle name="Normal 27 2 6" xfId="3258" xr:uid="{00000000-0005-0000-0000-00000B120000}"/>
    <cellStyle name="Normal 27 2 6 2" xfId="3259" xr:uid="{00000000-0005-0000-0000-00000C120000}"/>
    <cellStyle name="Normal 27 2 6 2 2" xfId="3260" xr:uid="{00000000-0005-0000-0000-00000D120000}"/>
    <cellStyle name="Normal 27 2 6 2_2.DATA" xfId="5859" xr:uid="{00000000-0005-0000-0000-00000E120000}"/>
    <cellStyle name="Normal 27 2 6 3" xfId="3261" xr:uid="{00000000-0005-0000-0000-00000F120000}"/>
    <cellStyle name="Normal 27 2 6_2.DATA" xfId="5858" xr:uid="{00000000-0005-0000-0000-000010120000}"/>
    <cellStyle name="Normal 27 2 7" xfId="3262" xr:uid="{00000000-0005-0000-0000-000011120000}"/>
    <cellStyle name="Normal 27 2 7 2" xfId="3263" xr:uid="{00000000-0005-0000-0000-000012120000}"/>
    <cellStyle name="Normal 27 2 7_2.DATA" xfId="5860" xr:uid="{00000000-0005-0000-0000-000013120000}"/>
    <cellStyle name="Normal 27 2 8" xfId="3264" xr:uid="{00000000-0005-0000-0000-000014120000}"/>
    <cellStyle name="Normal 27 2_2.DATA" xfId="5839" xr:uid="{00000000-0005-0000-0000-000015120000}"/>
    <cellStyle name="Normal 27 3" xfId="3265" xr:uid="{00000000-0005-0000-0000-000016120000}"/>
    <cellStyle name="Normal 27 3 2" xfId="3266" xr:uid="{00000000-0005-0000-0000-000017120000}"/>
    <cellStyle name="Normal 27 3 2 2" xfId="3267" xr:uid="{00000000-0005-0000-0000-000018120000}"/>
    <cellStyle name="Normal 27 3 2 2 2" xfId="3268" xr:uid="{00000000-0005-0000-0000-000019120000}"/>
    <cellStyle name="Normal 27 3 2 2_2.DATA" xfId="5863" xr:uid="{00000000-0005-0000-0000-00001A120000}"/>
    <cellStyle name="Normal 27 3 2 3" xfId="3269" xr:uid="{00000000-0005-0000-0000-00001B120000}"/>
    <cellStyle name="Normal 27 3 2_2.DATA" xfId="5862" xr:uid="{00000000-0005-0000-0000-00001C120000}"/>
    <cellStyle name="Normal 27 3 3" xfId="3270" xr:uid="{00000000-0005-0000-0000-00001D120000}"/>
    <cellStyle name="Normal 27 3 3 2" xfId="3271" xr:uid="{00000000-0005-0000-0000-00001E120000}"/>
    <cellStyle name="Normal 27 3 3_2.DATA" xfId="5864" xr:uid="{00000000-0005-0000-0000-00001F120000}"/>
    <cellStyle name="Normal 27 3 4" xfId="3272" xr:uid="{00000000-0005-0000-0000-000020120000}"/>
    <cellStyle name="Normal 27 3_2.DATA" xfId="5861" xr:uid="{00000000-0005-0000-0000-000021120000}"/>
    <cellStyle name="Normal 27 4" xfId="3273" xr:uid="{00000000-0005-0000-0000-000022120000}"/>
    <cellStyle name="Normal 27 4 2" xfId="3274" xr:uid="{00000000-0005-0000-0000-000023120000}"/>
    <cellStyle name="Normal 27 4 2 2" xfId="3275" xr:uid="{00000000-0005-0000-0000-000024120000}"/>
    <cellStyle name="Normal 27 4 2_2.DATA" xfId="5866" xr:uid="{00000000-0005-0000-0000-000025120000}"/>
    <cellStyle name="Normal 27 4 3" xfId="3276" xr:uid="{00000000-0005-0000-0000-000026120000}"/>
    <cellStyle name="Normal 27 4_2.DATA" xfId="5865" xr:uid="{00000000-0005-0000-0000-000027120000}"/>
    <cellStyle name="Normal 27 5" xfId="3277" xr:uid="{00000000-0005-0000-0000-000028120000}"/>
    <cellStyle name="Normal 27 5 2" xfId="3278" xr:uid="{00000000-0005-0000-0000-000029120000}"/>
    <cellStyle name="Normal 27 5_2.DATA" xfId="5867" xr:uid="{00000000-0005-0000-0000-00002A120000}"/>
    <cellStyle name="Normal 27 6" xfId="3279" xr:uid="{00000000-0005-0000-0000-00002B120000}"/>
    <cellStyle name="Normal 27 7" xfId="3280" xr:uid="{00000000-0005-0000-0000-00002C120000}"/>
    <cellStyle name="Normal 27 8" xfId="4710" xr:uid="{00000000-0005-0000-0000-00002D120000}"/>
    <cellStyle name="Normal 27 9" xfId="3220" xr:uid="{00000000-0005-0000-0000-00002E120000}"/>
    <cellStyle name="Normal 27_2.DATA" xfId="5838" xr:uid="{00000000-0005-0000-0000-00002F120000}"/>
    <cellStyle name="Normal 28" xfId="1035" xr:uid="{00000000-0005-0000-0000-000030120000}"/>
    <cellStyle name="Normal 28 2" xfId="3282" xr:uid="{00000000-0005-0000-0000-000031120000}"/>
    <cellStyle name="Normal 28 2 2" xfId="3283" xr:uid="{00000000-0005-0000-0000-000032120000}"/>
    <cellStyle name="Normal 28 2 2 2" xfId="3284" xr:uid="{00000000-0005-0000-0000-000033120000}"/>
    <cellStyle name="Normal 28 2 2 2 2" xfId="3285" xr:uid="{00000000-0005-0000-0000-000034120000}"/>
    <cellStyle name="Normal 28 2 2 2 2 2" xfId="3286" xr:uid="{00000000-0005-0000-0000-000035120000}"/>
    <cellStyle name="Normal 28 2 2 2 2_2.DATA" xfId="5872" xr:uid="{00000000-0005-0000-0000-000036120000}"/>
    <cellStyle name="Normal 28 2 2 2 3" xfId="3287" xr:uid="{00000000-0005-0000-0000-000037120000}"/>
    <cellStyle name="Normal 28 2 2 2_2.DATA" xfId="5871" xr:uid="{00000000-0005-0000-0000-000038120000}"/>
    <cellStyle name="Normal 28 2 2 3" xfId="3288" xr:uid="{00000000-0005-0000-0000-000039120000}"/>
    <cellStyle name="Normal 28 2 2 3 2" xfId="3289" xr:uid="{00000000-0005-0000-0000-00003A120000}"/>
    <cellStyle name="Normal 28 2 2 3 2 2" xfId="3290" xr:uid="{00000000-0005-0000-0000-00003B120000}"/>
    <cellStyle name="Normal 28 2 2 3 2_2.DATA" xfId="5874" xr:uid="{00000000-0005-0000-0000-00003C120000}"/>
    <cellStyle name="Normal 28 2 2 3 3" xfId="3291" xr:uid="{00000000-0005-0000-0000-00003D120000}"/>
    <cellStyle name="Normal 28 2 2 3_2.DATA" xfId="5873" xr:uid="{00000000-0005-0000-0000-00003E120000}"/>
    <cellStyle name="Normal 28 2 2 4" xfId="3292" xr:uid="{00000000-0005-0000-0000-00003F120000}"/>
    <cellStyle name="Normal 28 2 2 4 2" xfId="3293" xr:uid="{00000000-0005-0000-0000-000040120000}"/>
    <cellStyle name="Normal 28 2 2 4_2.DATA" xfId="5875" xr:uid="{00000000-0005-0000-0000-000041120000}"/>
    <cellStyle name="Normal 28 2 2 5" xfId="3294" xr:uid="{00000000-0005-0000-0000-000042120000}"/>
    <cellStyle name="Normal 28 2 2_2.DATA" xfId="5870" xr:uid="{00000000-0005-0000-0000-000043120000}"/>
    <cellStyle name="Normal 28 2 3" xfId="3295" xr:uid="{00000000-0005-0000-0000-000044120000}"/>
    <cellStyle name="Normal 28 2 3 2" xfId="3296" xr:uid="{00000000-0005-0000-0000-000045120000}"/>
    <cellStyle name="Normal 28 2 3 2 2" xfId="3297" xr:uid="{00000000-0005-0000-0000-000046120000}"/>
    <cellStyle name="Normal 28 2 3 2 2 2" xfId="3298" xr:uid="{00000000-0005-0000-0000-000047120000}"/>
    <cellStyle name="Normal 28 2 3 2 2_2.DATA" xfId="5878" xr:uid="{00000000-0005-0000-0000-000048120000}"/>
    <cellStyle name="Normal 28 2 3 2 3" xfId="3299" xr:uid="{00000000-0005-0000-0000-000049120000}"/>
    <cellStyle name="Normal 28 2 3 2_2.DATA" xfId="5877" xr:uid="{00000000-0005-0000-0000-00004A120000}"/>
    <cellStyle name="Normal 28 2 3 3" xfId="3300" xr:uid="{00000000-0005-0000-0000-00004B120000}"/>
    <cellStyle name="Normal 28 2 3 3 2" xfId="3301" xr:uid="{00000000-0005-0000-0000-00004C120000}"/>
    <cellStyle name="Normal 28 2 3 3 2 2" xfId="3302" xr:uid="{00000000-0005-0000-0000-00004D120000}"/>
    <cellStyle name="Normal 28 2 3 3 2_2.DATA" xfId="5880" xr:uid="{00000000-0005-0000-0000-00004E120000}"/>
    <cellStyle name="Normal 28 2 3 3 3" xfId="3303" xr:uid="{00000000-0005-0000-0000-00004F120000}"/>
    <cellStyle name="Normal 28 2 3 3_2.DATA" xfId="5879" xr:uid="{00000000-0005-0000-0000-000050120000}"/>
    <cellStyle name="Normal 28 2 3 4" xfId="3304" xr:uid="{00000000-0005-0000-0000-000051120000}"/>
    <cellStyle name="Normal 28 2 3 4 2" xfId="3305" xr:uid="{00000000-0005-0000-0000-000052120000}"/>
    <cellStyle name="Normal 28 2 3 4_2.DATA" xfId="5881" xr:uid="{00000000-0005-0000-0000-000053120000}"/>
    <cellStyle name="Normal 28 2 3 5" xfId="3306" xr:uid="{00000000-0005-0000-0000-000054120000}"/>
    <cellStyle name="Normal 28 2 3_2.DATA" xfId="5876" xr:uid="{00000000-0005-0000-0000-000055120000}"/>
    <cellStyle name="Normal 28 2 4" xfId="3307" xr:uid="{00000000-0005-0000-0000-000056120000}"/>
    <cellStyle name="Normal 28 2 4 2" xfId="3308" xr:uid="{00000000-0005-0000-0000-000057120000}"/>
    <cellStyle name="Normal 28 2 4 2 2" xfId="3309" xr:uid="{00000000-0005-0000-0000-000058120000}"/>
    <cellStyle name="Normal 28 2 4 2 2 2" xfId="3310" xr:uid="{00000000-0005-0000-0000-000059120000}"/>
    <cellStyle name="Normal 28 2 4 2 2_2.DATA" xfId="5884" xr:uid="{00000000-0005-0000-0000-00005A120000}"/>
    <cellStyle name="Normal 28 2 4 2 3" xfId="3311" xr:uid="{00000000-0005-0000-0000-00005B120000}"/>
    <cellStyle name="Normal 28 2 4 2_2.DATA" xfId="5883" xr:uid="{00000000-0005-0000-0000-00005C120000}"/>
    <cellStyle name="Normal 28 2 4 3" xfId="3312" xr:uid="{00000000-0005-0000-0000-00005D120000}"/>
    <cellStyle name="Normal 28 2 4 3 2" xfId="3313" xr:uid="{00000000-0005-0000-0000-00005E120000}"/>
    <cellStyle name="Normal 28 2 4 3_2.DATA" xfId="5885" xr:uid="{00000000-0005-0000-0000-00005F120000}"/>
    <cellStyle name="Normal 28 2 4 4" xfId="3314" xr:uid="{00000000-0005-0000-0000-000060120000}"/>
    <cellStyle name="Normal 28 2 4_2.DATA" xfId="5882" xr:uid="{00000000-0005-0000-0000-000061120000}"/>
    <cellStyle name="Normal 28 2 5" xfId="3315" xr:uid="{00000000-0005-0000-0000-000062120000}"/>
    <cellStyle name="Normal 28 2 5 2" xfId="3316" xr:uid="{00000000-0005-0000-0000-000063120000}"/>
    <cellStyle name="Normal 28 2 5 2 2" xfId="3317" xr:uid="{00000000-0005-0000-0000-000064120000}"/>
    <cellStyle name="Normal 28 2 5 2_2.DATA" xfId="5887" xr:uid="{00000000-0005-0000-0000-000065120000}"/>
    <cellStyle name="Normal 28 2 5 3" xfId="3318" xr:uid="{00000000-0005-0000-0000-000066120000}"/>
    <cellStyle name="Normal 28 2 5_2.DATA" xfId="5886" xr:uid="{00000000-0005-0000-0000-000067120000}"/>
    <cellStyle name="Normal 28 2 6" xfId="3319" xr:uid="{00000000-0005-0000-0000-000068120000}"/>
    <cellStyle name="Normal 28 2 6 2" xfId="3320" xr:uid="{00000000-0005-0000-0000-000069120000}"/>
    <cellStyle name="Normal 28 2 6 2 2" xfId="3321" xr:uid="{00000000-0005-0000-0000-00006A120000}"/>
    <cellStyle name="Normal 28 2 6 2_2.DATA" xfId="5889" xr:uid="{00000000-0005-0000-0000-00006B120000}"/>
    <cellStyle name="Normal 28 2 6 3" xfId="3322" xr:uid="{00000000-0005-0000-0000-00006C120000}"/>
    <cellStyle name="Normal 28 2 6_2.DATA" xfId="5888" xr:uid="{00000000-0005-0000-0000-00006D120000}"/>
    <cellStyle name="Normal 28 2 7" xfId="3323" xr:uid="{00000000-0005-0000-0000-00006E120000}"/>
    <cellStyle name="Normal 28 2 7 2" xfId="3324" xr:uid="{00000000-0005-0000-0000-00006F120000}"/>
    <cellStyle name="Normal 28 2 7_2.DATA" xfId="5890" xr:uid="{00000000-0005-0000-0000-000070120000}"/>
    <cellStyle name="Normal 28 2 8" xfId="3325" xr:uid="{00000000-0005-0000-0000-000071120000}"/>
    <cellStyle name="Normal 28 2_2.DATA" xfId="5869" xr:uid="{00000000-0005-0000-0000-000072120000}"/>
    <cellStyle name="Normal 28 3" xfId="3326" xr:uid="{00000000-0005-0000-0000-000073120000}"/>
    <cellStyle name="Normal 28 3 2" xfId="3327" xr:uid="{00000000-0005-0000-0000-000074120000}"/>
    <cellStyle name="Normal 28 3 2 2" xfId="3328" xr:uid="{00000000-0005-0000-0000-000075120000}"/>
    <cellStyle name="Normal 28 3 2 2 2" xfId="3329" xr:uid="{00000000-0005-0000-0000-000076120000}"/>
    <cellStyle name="Normal 28 3 2 2_2.DATA" xfId="5893" xr:uid="{00000000-0005-0000-0000-000077120000}"/>
    <cellStyle name="Normal 28 3 2 3" xfId="3330" xr:uid="{00000000-0005-0000-0000-000078120000}"/>
    <cellStyle name="Normal 28 3 2_2.DATA" xfId="5892" xr:uid="{00000000-0005-0000-0000-000079120000}"/>
    <cellStyle name="Normal 28 3 3" xfId="3331" xr:uid="{00000000-0005-0000-0000-00007A120000}"/>
    <cellStyle name="Normal 28 3 3 2" xfId="3332" xr:uid="{00000000-0005-0000-0000-00007B120000}"/>
    <cellStyle name="Normal 28 3 3_2.DATA" xfId="5894" xr:uid="{00000000-0005-0000-0000-00007C120000}"/>
    <cellStyle name="Normal 28 3 4" xfId="3333" xr:uid="{00000000-0005-0000-0000-00007D120000}"/>
    <cellStyle name="Normal 28 3_2.DATA" xfId="5891" xr:uid="{00000000-0005-0000-0000-00007E120000}"/>
    <cellStyle name="Normal 28 4" xfId="3334" xr:uid="{00000000-0005-0000-0000-00007F120000}"/>
    <cellStyle name="Normal 28 4 2" xfId="3335" xr:uid="{00000000-0005-0000-0000-000080120000}"/>
    <cellStyle name="Normal 28 4 2 2" xfId="3336" xr:uid="{00000000-0005-0000-0000-000081120000}"/>
    <cellStyle name="Normal 28 4 2_2.DATA" xfId="5896" xr:uid="{00000000-0005-0000-0000-000082120000}"/>
    <cellStyle name="Normal 28 4 3" xfId="3337" xr:uid="{00000000-0005-0000-0000-000083120000}"/>
    <cellStyle name="Normal 28 4_2.DATA" xfId="5895" xr:uid="{00000000-0005-0000-0000-000084120000}"/>
    <cellStyle name="Normal 28 5" xfId="3338" xr:uid="{00000000-0005-0000-0000-000085120000}"/>
    <cellStyle name="Normal 28 5 2" xfId="3339" xr:uid="{00000000-0005-0000-0000-000086120000}"/>
    <cellStyle name="Normal 28 5_2.DATA" xfId="5897" xr:uid="{00000000-0005-0000-0000-000087120000}"/>
    <cellStyle name="Normal 28 6" xfId="3340" xr:uid="{00000000-0005-0000-0000-000088120000}"/>
    <cellStyle name="Normal 28 7" xfId="4711" xr:uid="{00000000-0005-0000-0000-000089120000}"/>
    <cellStyle name="Normal 28 8" xfId="3281" xr:uid="{00000000-0005-0000-0000-00008A120000}"/>
    <cellStyle name="Normal 28_2.DATA" xfId="5868" xr:uid="{00000000-0005-0000-0000-00008B120000}"/>
    <cellStyle name="Normal 29" xfId="1036" xr:uid="{00000000-0005-0000-0000-00008C120000}"/>
    <cellStyle name="Normal 29 2" xfId="1037" xr:uid="{00000000-0005-0000-0000-00008D120000}"/>
    <cellStyle name="Normal 29 2 2" xfId="3341" xr:uid="{00000000-0005-0000-0000-00008E120000}"/>
    <cellStyle name="Normal 29 2 2 2" xfId="3342" xr:uid="{00000000-0005-0000-0000-00008F120000}"/>
    <cellStyle name="Normal 29 2 2 2 2" xfId="3343" xr:uid="{00000000-0005-0000-0000-000090120000}"/>
    <cellStyle name="Normal 29 2 2 2 2 2" xfId="3344" xr:uid="{00000000-0005-0000-0000-000091120000}"/>
    <cellStyle name="Normal 29 2 2 2 2_2.DATA" xfId="5902" xr:uid="{00000000-0005-0000-0000-000092120000}"/>
    <cellStyle name="Normal 29 2 2 2 3" xfId="3345" xr:uid="{00000000-0005-0000-0000-000093120000}"/>
    <cellStyle name="Normal 29 2 2 2_2.DATA" xfId="5901" xr:uid="{00000000-0005-0000-0000-000094120000}"/>
    <cellStyle name="Normal 29 2 2 3" xfId="3346" xr:uid="{00000000-0005-0000-0000-000095120000}"/>
    <cellStyle name="Normal 29 2 2 3 2" xfId="3347" xr:uid="{00000000-0005-0000-0000-000096120000}"/>
    <cellStyle name="Normal 29 2 2 3 2 2" xfId="3348" xr:uid="{00000000-0005-0000-0000-000097120000}"/>
    <cellStyle name="Normal 29 2 2 3 2_2.DATA" xfId="5904" xr:uid="{00000000-0005-0000-0000-000098120000}"/>
    <cellStyle name="Normal 29 2 2 3 3" xfId="3349" xr:uid="{00000000-0005-0000-0000-000099120000}"/>
    <cellStyle name="Normal 29 2 2 3_2.DATA" xfId="5903" xr:uid="{00000000-0005-0000-0000-00009A120000}"/>
    <cellStyle name="Normal 29 2 2 4" xfId="3350" xr:uid="{00000000-0005-0000-0000-00009B120000}"/>
    <cellStyle name="Normal 29 2 2 4 2" xfId="3351" xr:uid="{00000000-0005-0000-0000-00009C120000}"/>
    <cellStyle name="Normal 29 2 2 4_2.DATA" xfId="5905" xr:uid="{00000000-0005-0000-0000-00009D120000}"/>
    <cellStyle name="Normal 29 2 2 5" xfId="3352" xr:uid="{00000000-0005-0000-0000-00009E120000}"/>
    <cellStyle name="Normal 29 2 2_2.DATA" xfId="5900" xr:uid="{00000000-0005-0000-0000-00009F120000}"/>
    <cellStyle name="Normal 29 2 3" xfId="3353" xr:uid="{00000000-0005-0000-0000-0000A0120000}"/>
    <cellStyle name="Normal 29 2 3 2" xfId="3354" xr:uid="{00000000-0005-0000-0000-0000A1120000}"/>
    <cellStyle name="Normal 29 2 3 2 2" xfId="3355" xr:uid="{00000000-0005-0000-0000-0000A2120000}"/>
    <cellStyle name="Normal 29 2 3 2 2 2" xfId="3356" xr:uid="{00000000-0005-0000-0000-0000A3120000}"/>
    <cellStyle name="Normal 29 2 3 2 2_2.DATA" xfId="5908" xr:uid="{00000000-0005-0000-0000-0000A4120000}"/>
    <cellStyle name="Normal 29 2 3 2 3" xfId="3357" xr:uid="{00000000-0005-0000-0000-0000A5120000}"/>
    <cellStyle name="Normal 29 2 3 2_2.DATA" xfId="5907" xr:uid="{00000000-0005-0000-0000-0000A6120000}"/>
    <cellStyle name="Normal 29 2 3 3" xfId="3358" xr:uid="{00000000-0005-0000-0000-0000A7120000}"/>
    <cellStyle name="Normal 29 2 3 3 2" xfId="3359" xr:uid="{00000000-0005-0000-0000-0000A8120000}"/>
    <cellStyle name="Normal 29 2 3 3 2 2" xfId="3360" xr:uid="{00000000-0005-0000-0000-0000A9120000}"/>
    <cellStyle name="Normal 29 2 3 3 2_2.DATA" xfId="5910" xr:uid="{00000000-0005-0000-0000-0000AA120000}"/>
    <cellStyle name="Normal 29 2 3 3 3" xfId="3361" xr:uid="{00000000-0005-0000-0000-0000AB120000}"/>
    <cellStyle name="Normal 29 2 3 3_2.DATA" xfId="5909" xr:uid="{00000000-0005-0000-0000-0000AC120000}"/>
    <cellStyle name="Normal 29 2 3 4" xfId="3362" xr:uid="{00000000-0005-0000-0000-0000AD120000}"/>
    <cellStyle name="Normal 29 2 3 4 2" xfId="3363" xr:uid="{00000000-0005-0000-0000-0000AE120000}"/>
    <cellStyle name="Normal 29 2 3 4_2.DATA" xfId="5911" xr:uid="{00000000-0005-0000-0000-0000AF120000}"/>
    <cellStyle name="Normal 29 2 3 5" xfId="3364" xr:uid="{00000000-0005-0000-0000-0000B0120000}"/>
    <cellStyle name="Normal 29 2 3_2.DATA" xfId="5906" xr:uid="{00000000-0005-0000-0000-0000B1120000}"/>
    <cellStyle name="Normal 29 2 4" xfId="3365" xr:uid="{00000000-0005-0000-0000-0000B2120000}"/>
    <cellStyle name="Normal 29 2 4 2" xfId="3366" xr:uid="{00000000-0005-0000-0000-0000B3120000}"/>
    <cellStyle name="Normal 29 2 4 2 2" xfId="3367" xr:uid="{00000000-0005-0000-0000-0000B4120000}"/>
    <cellStyle name="Normal 29 2 4 2 2 2" xfId="3368" xr:uid="{00000000-0005-0000-0000-0000B5120000}"/>
    <cellStyle name="Normal 29 2 4 2 2_2.DATA" xfId="5914" xr:uid="{00000000-0005-0000-0000-0000B6120000}"/>
    <cellStyle name="Normal 29 2 4 2 3" xfId="3369" xr:uid="{00000000-0005-0000-0000-0000B7120000}"/>
    <cellStyle name="Normal 29 2 4 2_2.DATA" xfId="5913" xr:uid="{00000000-0005-0000-0000-0000B8120000}"/>
    <cellStyle name="Normal 29 2 4 3" xfId="3370" xr:uid="{00000000-0005-0000-0000-0000B9120000}"/>
    <cellStyle name="Normal 29 2 4 3 2" xfId="3371" xr:uid="{00000000-0005-0000-0000-0000BA120000}"/>
    <cellStyle name="Normal 29 2 4 3_2.DATA" xfId="5915" xr:uid="{00000000-0005-0000-0000-0000BB120000}"/>
    <cellStyle name="Normal 29 2 4 4" xfId="3372" xr:uid="{00000000-0005-0000-0000-0000BC120000}"/>
    <cellStyle name="Normal 29 2 4_2.DATA" xfId="5912" xr:uid="{00000000-0005-0000-0000-0000BD120000}"/>
    <cellStyle name="Normal 29 2 5" xfId="3373" xr:uid="{00000000-0005-0000-0000-0000BE120000}"/>
    <cellStyle name="Normal 29 2 5 2" xfId="3374" xr:uid="{00000000-0005-0000-0000-0000BF120000}"/>
    <cellStyle name="Normal 29 2 5 2 2" xfId="3375" xr:uid="{00000000-0005-0000-0000-0000C0120000}"/>
    <cellStyle name="Normal 29 2 5 2_2.DATA" xfId="5917" xr:uid="{00000000-0005-0000-0000-0000C1120000}"/>
    <cellStyle name="Normal 29 2 5 3" xfId="3376" xr:uid="{00000000-0005-0000-0000-0000C2120000}"/>
    <cellStyle name="Normal 29 2 5_2.DATA" xfId="5916" xr:uid="{00000000-0005-0000-0000-0000C3120000}"/>
    <cellStyle name="Normal 29 2 6" xfId="3377" xr:uid="{00000000-0005-0000-0000-0000C4120000}"/>
    <cellStyle name="Normal 29 2 6 2" xfId="3378" xr:uid="{00000000-0005-0000-0000-0000C5120000}"/>
    <cellStyle name="Normal 29 2 6 2 2" xfId="3379" xr:uid="{00000000-0005-0000-0000-0000C6120000}"/>
    <cellStyle name="Normal 29 2 6 2_2.DATA" xfId="5919" xr:uid="{00000000-0005-0000-0000-0000C7120000}"/>
    <cellStyle name="Normal 29 2 6 3" xfId="3380" xr:uid="{00000000-0005-0000-0000-0000C8120000}"/>
    <cellStyle name="Normal 29 2 6_2.DATA" xfId="5918" xr:uid="{00000000-0005-0000-0000-0000C9120000}"/>
    <cellStyle name="Normal 29 2 7" xfId="3381" xr:uid="{00000000-0005-0000-0000-0000CA120000}"/>
    <cellStyle name="Normal 29 2 7 2" xfId="3382" xr:uid="{00000000-0005-0000-0000-0000CB120000}"/>
    <cellStyle name="Normal 29 2 7_2.DATA" xfId="5920" xr:uid="{00000000-0005-0000-0000-0000CC120000}"/>
    <cellStyle name="Normal 29 2 8" xfId="3383" xr:uid="{00000000-0005-0000-0000-0000CD120000}"/>
    <cellStyle name="Normal 29 2_2.DATA" xfId="5899" xr:uid="{00000000-0005-0000-0000-0000CE120000}"/>
    <cellStyle name="Normal 29 3" xfId="1038" xr:uid="{00000000-0005-0000-0000-0000CF120000}"/>
    <cellStyle name="Normal 29 3 2" xfId="3384" xr:uid="{00000000-0005-0000-0000-0000D0120000}"/>
    <cellStyle name="Normal 29 3 2 2" xfId="3385" xr:uid="{00000000-0005-0000-0000-0000D1120000}"/>
    <cellStyle name="Normal 29 3 2 2 2" xfId="3386" xr:uid="{00000000-0005-0000-0000-0000D2120000}"/>
    <cellStyle name="Normal 29 3 2 2_2.DATA" xfId="5923" xr:uid="{00000000-0005-0000-0000-0000D3120000}"/>
    <cellStyle name="Normal 29 3 2 3" xfId="3387" xr:uid="{00000000-0005-0000-0000-0000D4120000}"/>
    <cellStyle name="Normal 29 3 2_2.DATA" xfId="5922" xr:uid="{00000000-0005-0000-0000-0000D5120000}"/>
    <cellStyle name="Normal 29 3 3" xfId="3388" xr:uid="{00000000-0005-0000-0000-0000D6120000}"/>
    <cellStyle name="Normal 29 3 3 2" xfId="3389" xr:uid="{00000000-0005-0000-0000-0000D7120000}"/>
    <cellStyle name="Normal 29 3 3_2.DATA" xfId="5924" xr:uid="{00000000-0005-0000-0000-0000D8120000}"/>
    <cellStyle name="Normal 29 3 4" xfId="3390" xr:uid="{00000000-0005-0000-0000-0000D9120000}"/>
    <cellStyle name="Normal 29 3_2.DATA" xfId="5921" xr:uid="{00000000-0005-0000-0000-0000DA120000}"/>
    <cellStyle name="Normal 29 4" xfId="3391" xr:uid="{00000000-0005-0000-0000-0000DB120000}"/>
    <cellStyle name="Normal 29 4 2" xfId="3392" xr:uid="{00000000-0005-0000-0000-0000DC120000}"/>
    <cellStyle name="Normal 29 4 2 2" xfId="3393" xr:uid="{00000000-0005-0000-0000-0000DD120000}"/>
    <cellStyle name="Normal 29 4 2_2.DATA" xfId="5926" xr:uid="{00000000-0005-0000-0000-0000DE120000}"/>
    <cellStyle name="Normal 29 4 3" xfId="3394" xr:uid="{00000000-0005-0000-0000-0000DF120000}"/>
    <cellStyle name="Normal 29 4_2.DATA" xfId="5925" xr:uid="{00000000-0005-0000-0000-0000E0120000}"/>
    <cellStyle name="Normal 29 5" xfId="3395" xr:uid="{00000000-0005-0000-0000-0000E1120000}"/>
    <cellStyle name="Normal 29 5 2" xfId="3396" xr:uid="{00000000-0005-0000-0000-0000E2120000}"/>
    <cellStyle name="Normal 29 5_2.DATA" xfId="5927" xr:uid="{00000000-0005-0000-0000-0000E3120000}"/>
    <cellStyle name="Normal 29 6" xfId="3397" xr:uid="{00000000-0005-0000-0000-0000E4120000}"/>
    <cellStyle name="Normal 29_2.DATA" xfId="5898" xr:uid="{00000000-0005-0000-0000-0000E5120000}"/>
    <cellStyle name="Normal 3" xfId="1039" xr:uid="{00000000-0005-0000-0000-0000E6120000}"/>
    <cellStyle name="Normal 3 2" xfId="1040" xr:uid="{00000000-0005-0000-0000-0000E7120000}"/>
    <cellStyle name="Normal 3 2 10" xfId="3398" xr:uid="{00000000-0005-0000-0000-0000E8120000}"/>
    <cellStyle name="Normal 3 2 11" xfId="1415" xr:uid="{00000000-0005-0000-0000-0000E9120000}"/>
    <cellStyle name="Normal 3 2 2" xfId="1041" xr:uid="{00000000-0005-0000-0000-0000EA120000}"/>
    <cellStyle name="Normal 3 2 2 2" xfId="3400" xr:uid="{00000000-0005-0000-0000-0000EB120000}"/>
    <cellStyle name="Normal 3 2 2 2 2" xfId="3401" xr:uid="{00000000-0005-0000-0000-0000EC120000}"/>
    <cellStyle name="Normal 3 2 2 2 2 2" xfId="3402" xr:uid="{00000000-0005-0000-0000-0000ED120000}"/>
    <cellStyle name="Normal 3 2 2 2 2_2.DATA" xfId="5932" xr:uid="{00000000-0005-0000-0000-0000EE120000}"/>
    <cellStyle name="Normal 3 2 2 2 3" xfId="3403" xr:uid="{00000000-0005-0000-0000-0000EF120000}"/>
    <cellStyle name="Normal 3 2 2 2_2.DATA" xfId="5931" xr:uid="{00000000-0005-0000-0000-0000F0120000}"/>
    <cellStyle name="Normal 3 2 2 3" xfId="3404" xr:uid="{00000000-0005-0000-0000-0000F1120000}"/>
    <cellStyle name="Normal 3 2 2 3 2" xfId="3405" xr:uid="{00000000-0005-0000-0000-0000F2120000}"/>
    <cellStyle name="Normal 3 2 2 3 2 2" xfId="3406" xr:uid="{00000000-0005-0000-0000-0000F3120000}"/>
    <cellStyle name="Normal 3 2 2 3 2_2.DATA" xfId="5934" xr:uid="{00000000-0005-0000-0000-0000F4120000}"/>
    <cellStyle name="Normal 3 2 2 3 3" xfId="3407" xr:uid="{00000000-0005-0000-0000-0000F5120000}"/>
    <cellStyle name="Normal 3 2 2 3_2.DATA" xfId="5933" xr:uid="{00000000-0005-0000-0000-0000F6120000}"/>
    <cellStyle name="Normal 3 2 2 4" xfId="3408" xr:uid="{00000000-0005-0000-0000-0000F7120000}"/>
    <cellStyle name="Normal 3 2 2 4 2" xfId="3409" xr:uid="{00000000-0005-0000-0000-0000F8120000}"/>
    <cellStyle name="Normal 3 2 2 4_2.DATA" xfId="5935" xr:uid="{00000000-0005-0000-0000-0000F9120000}"/>
    <cellStyle name="Normal 3 2 2 5" xfId="3410" xr:uid="{00000000-0005-0000-0000-0000FA120000}"/>
    <cellStyle name="Normal 3 2 2 6" xfId="4712" xr:uid="{00000000-0005-0000-0000-0000FB120000}"/>
    <cellStyle name="Normal 3 2 2 7" xfId="3399" xr:uid="{00000000-0005-0000-0000-0000FC120000}"/>
    <cellStyle name="Normal 3 2 2_2.DATA" xfId="5930" xr:uid="{00000000-0005-0000-0000-0000FD120000}"/>
    <cellStyle name="Normal 3 2 3" xfId="3411" xr:uid="{00000000-0005-0000-0000-0000FE120000}"/>
    <cellStyle name="Normal 3 2 3 2" xfId="3412" xr:uid="{00000000-0005-0000-0000-0000FF120000}"/>
    <cellStyle name="Normal 3 2 3 2 2" xfId="3413" xr:uid="{00000000-0005-0000-0000-000000130000}"/>
    <cellStyle name="Normal 3 2 3 2 2 2" xfId="3414" xr:uid="{00000000-0005-0000-0000-000001130000}"/>
    <cellStyle name="Normal 3 2 3 2 2_2.DATA" xfId="5938" xr:uid="{00000000-0005-0000-0000-000002130000}"/>
    <cellStyle name="Normal 3 2 3 2 3" xfId="3415" xr:uid="{00000000-0005-0000-0000-000003130000}"/>
    <cellStyle name="Normal 3 2 3 2_2.DATA" xfId="5937" xr:uid="{00000000-0005-0000-0000-000004130000}"/>
    <cellStyle name="Normal 3 2 3 3" xfId="3416" xr:uid="{00000000-0005-0000-0000-000005130000}"/>
    <cellStyle name="Normal 3 2 3 3 2" xfId="3417" xr:uid="{00000000-0005-0000-0000-000006130000}"/>
    <cellStyle name="Normal 3 2 3 3 2 2" xfId="3418" xr:uid="{00000000-0005-0000-0000-000007130000}"/>
    <cellStyle name="Normal 3 2 3 3 2_2.DATA" xfId="5940" xr:uid="{00000000-0005-0000-0000-000008130000}"/>
    <cellStyle name="Normal 3 2 3 3 3" xfId="3419" xr:uid="{00000000-0005-0000-0000-000009130000}"/>
    <cellStyle name="Normal 3 2 3 3_2.DATA" xfId="5939" xr:uid="{00000000-0005-0000-0000-00000A130000}"/>
    <cellStyle name="Normal 3 2 3 4" xfId="3420" xr:uid="{00000000-0005-0000-0000-00000B130000}"/>
    <cellStyle name="Normal 3 2 3 4 2" xfId="3421" xr:uid="{00000000-0005-0000-0000-00000C130000}"/>
    <cellStyle name="Normal 3 2 3 4_2.DATA" xfId="5941" xr:uid="{00000000-0005-0000-0000-00000D130000}"/>
    <cellStyle name="Normal 3 2 3 5" xfId="3422" xr:uid="{00000000-0005-0000-0000-00000E130000}"/>
    <cellStyle name="Normal 3 2 3_2.DATA" xfId="5936" xr:uid="{00000000-0005-0000-0000-00000F130000}"/>
    <cellStyle name="Normal 3 2 4" xfId="3423" xr:uid="{00000000-0005-0000-0000-000010130000}"/>
    <cellStyle name="Normal 3 2 4 2" xfId="3424" xr:uid="{00000000-0005-0000-0000-000011130000}"/>
    <cellStyle name="Normal 3 2 4 2 2" xfId="3425" xr:uid="{00000000-0005-0000-0000-000012130000}"/>
    <cellStyle name="Normal 3 2 4 2 2 2" xfId="3426" xr:uid="{00000000-0005-0000-0000-000013130000}"/>
    <cellStyle name="Normal 3 2 4 2 2_2.DATA" xfId="5944" xr:uid="{00000000-0005-0000-0000-000014130000}"/>
    <cellStyle name="Normal 3 2 4 2 3" xfId="3427" xr:uid="{00000000-0005-0000-0000-000015130000}"/>
    <cellStyle name="Normal 3 2 4 2_2.DATA" xfId="5943" xr:uid="{00000000-0005-0000-0000-000016130000}"/>
    <cellStyle name="Normal 3 2 4 3" xfId="3428" xr:uid="{00000000-0005-0000-0000-000017130000}"/>
    <cellStyle name="Normal 3 2 4 3 2" xfId="3429" xr:uid="{00000000-0005-0000-0000-000018130000}"/>
    <cellStyle name="Normal 3 2 4 3_2.DATA" xfId="5945" xr:uid="{00000000-0005-0000-0000-000019130000}"/>
    <cellStyle name="Normal 3 2 4 4" xfId="3430" xr:uid="{00000000-0005-0000-0000-00001A130000}"/>
    <cellStyle name="Normal 3 2 4_2.DATA" xfId="5942" xr:uid="{00000000-0005-0000-0000-00001B130000}"/>
    <cellStyle name="Normal 3 2 5" xfId="3431" xr:uid="{00000000-0005-0000-0000-00001C130000}"/>
    <cellStyle name="Normal 3 2 5 2" xfId="3432" xr:uid="{00000000-0005-0000-0000-00001D130000}"/>
    <cellStyle name="Normal 3 2 5 2 2" xfId="3433" xr:uid="{00000000-0005-0000-0000-00001E130000}"/>
    <cellStyle name="Normal 3 2 5 2_2.DATA" xfId="5947" xr:uid="{00000000-0005-0000-0000-00001F130000}"/>
    <cellStyle name="Normal 3 2 5 3" xfId="3434" xr:uid="{00000000-0005-0000-0000-000020130000}"/>
    <cellStyle name="Normal 3 2 5_2.DATA" xfId="5946" xr:uid="{00000000-0005-0000-0000-000021130000}"/>
    <cellStyle name="Normal 3 2 6" xfId="3435" xr:uid="{00000000-0005-0000-0000-000022130000}"/>
    <cellStyle name="Normal 3 2 7" xfId="3436" xr:uid="{00000000-0005-0000-0000-000023130000}"/>
    <cellStyle name="Normal 3 2 8" xfId="3437" xr:uid="{00000000-0005-0000-0000-000024130000}"/>
    <cellStyle name="Normal 3 2 9" xfId="3438" xr:uid="{00000000-0005-0000-0000-000025130000}"/>
    <cellStyle name="Normal 3 2_2.DATA" xfId="5929" xr:uid="{00000000-0005-0000-0000-000026130000}"/>
    <cellStyle name="Normal 3 3" xfId="1042" xr:uid="{00000000-0005-0000-0000-000027130000}"/>
    <cellStyle name="Normal 3 3 2" xfId="1043" xr:uid="{00000000-0005-0000-0000-000028130000}"/>
    <cellStyle name="Normal 3 3 2 2" xfId="1628" xr:uid="{00000000-0005-0000-0000-000029130000}"/>
    <cellStyle name="Normal 3 3 2 2 2" xfId="3439" xr:uid="{00000000-0005-0000-0000-00002A130000}"/>
    <cellStyle name="Normal 3 3 2 2 3" xfId="3440" xr:uid="{00000000-0005-0000-0000-00002B130000}"/>
    <cellStyle name="Normal 3 3 2 2_2.DATA" xfId="5950" xr:uid="{00000000-0005-0000-0000-00002C130000}"/>
    <cellStyle name="Normal 3 3 2 3" xfId="3441" xr:uid="{00000000-0005-0000-0000-00002D130000}"/>
    <cellStyle name="Normal 3 3 2 3 2" xfId="3442" xr:uid="{00000000-0005-0000-0000-00002E130000}"/>
    <cellStyle name="Normal 3 3 2 3 2 2" xfId="3443" xr:uid="{00000000-0005-0000-0000-00002F130000}"/>
    <cellStyle name="Normal 3 3 2 3 2_2.DATA" xfId="5952" xr:uid="{00000000-0005-0000-0000-000030130000}"/>
    <cellStyle name="Normal 3 3 2 3 3" xfId="3444" xr:uid="{00000000-0005-0000-0000-000031130000}"/>
    <cellStyle name="Normal 3 3 2 3_2.DATA" xfId="5951" xr:uid="{00000000-0005-0000-0000-000032130000}"/>
    <cellStyle name="Normal 3 3 2 4" xfId="3445" xr:uid="{00000000-0005-0000-0000-000033130000}"/>
    <cellStyle name="Normal 3 3 2 5" xfId="3446" xr:uid="{00000000-0005-0000-0000-000034130000}"/>
    <cellStyle name="Normal 3 3 2 5 2" xfId="3447" xr:uid="{00000000-0005-0000-0000-000035130000}"/>
    <cellStyle name="Normal 3 3 2 5_2.DATA" xfId="5953" xr:uid="{00000000-0005-0000-0000-000036130000}"/>
    <cellStyle name="Normal 3 3 2 6" xfId="3448" xr:uid="{00000000-0005-0000-0000-000037130000}"/>
    <cellStyle name="Normal 3 3 2 7" xfId="1487" xr:uid="{00000000-0005-0000-0000-000038130000}"/>
    <cellStyle name="Normal 3 3 2_2.DATA" xfId="5949" xr:uid="{00000000-0005-0000-0000-000039130000}"/>
    <cellStyle name="Normal 3 3 3" xfId="1525" xr:uid="{00000000-0005-0000-0000-00003A130000}"/>
    <cellStyle name="Normal 3 3 3 2" xfId="1676" xr:uid="{00000000-0005-0000-0000-00003B130000}"/>
    <cellStyle name="Normal 3 3 3 2 2" xfId="3449" xr:uid="{00000000-0005-0000-0000-00003C130000}"/>
    <cellStyle name="Normal 3 3 3 2_2.DATA" xfId="5955" xr:uid="{00000000-0005-0000-0000-00003D130000}"/>
    <cellStyle name="Normal 3 3 3 3" xfId="3450" xr:uid="{00000000-0005-0000-0000-00003E130000}"/>
    <cellStyle name="Normal 3 3 3_2.DATA" xfId="5954" xr:uid="{00000000-0005-0000-0000-00003F130000}"/>
    <cellStyle name="Normal 3 3 4" xfId="1627" xr:uid="{00000000-0005-0000-0000-000040130000}"/>
    <cellStyle name="Normal 3 3 4 2" xfId="3451" xr:uid="{00000000-0005-0000-0000-000041130000}"/>
    <cellStyle name="Normal 3 3 4 2 2" xfId="3452" xr:uid="{00000000-0005-0000-0000-000042130000}"/>
    <cellStyle name="Normal 3 3 4 2_2.DATA" xfId="5957" xr:uid="{00000000-0005-0000-0000-000043130000}"/>
    <cellStyle name="Normal 3 3 4 3" xfId="3453" xr:uid="{00000000-0005-0000-0000-000044130000}"/>
    <cellStyle name="Normal 3 3 4_2.DATA" xfId="5956" xr:uid="{00000000-0005-0000-0000-000045130000}"/>
    <cellStyle name="Normal 3 3 5" xfId="3454" xr:uid="{00000000-0005-0000-0000-000046130000}"/>
    <cellStyle name="Normal 3 3 5 2" xfId="3455" xr:uid="{00000000-0005-0000-0000-000047130000}"/>
    <cellStyle name="Normal 3 3 5_2.DATA" xfId="5958" xr:uid="{00000000-0005-0000-0000-000048130000}"/>
    <cellStyle name="Normal 3 3 6" xfId="3456" xr:uid="{00000000-0005-0000-0000-000049130000}"/>
    <cellStyle name="Normal 3 3 7" xfId="4713" xr:uid="{00000000-0005-0000-0000-00004A130000}"/>
    <cellStyle name="Normal 3 3 8" xfId="1455" xr:uid="{00000000-0005-0000-0000-00004B130000}"/>
    <cellStyle name="Normal 3 3_2.DATA" xfId="5948" xr:uid="{00000000-0005-0000-0000-00004C130000}"/>
    <cellStyle name="Normal 3 4" xfId="1044" xr:uid="{00000000-0005-0000-0000-00004D130000}"/>
    <cellStyle name="Normal 3 4 10" xfId="3457" xr:uid="{00000000-0005-0000-0000-00004E130000}"/>
    <cellStyle name="Normal 3 4 11" xfId="3458" xr:uid="{00000000-0005-0000-0000-00004F130000}"/>
    <cellStyle name="Normal 3 4 11 2" xfId="4714" xr:uid="{00000000-0005-0000-0000-000050130000}"/>
    <cellStyle name="Normal 3 4 12" xfId="1414" xr:uid="{00000000-0005-0000-0000-000051130000}"/>
    <cellStyle name="Normal 3 4 2" xfId="3459" xr:uid="{00000000-0005-0000-0000-000052130000}"/>
    <cellStyle name="Normal 3 4 2 2" xfId="3460" xr:uid="{00000000-0005-0000-0000-000053130000}"/>
    <cellStyle name="Normal 3 4 2_2.DATA" xfId="5960" xr:uid="{00000000-0005-0000-0000-000054130000}"/>
    <cellStyle name="Normal 3 4 3" xfId="3461" xr:uid="{00000000-0005-0000-0000-000055130000}"/>
    <cellStyle name="Normal 3 4 4" xfId="3462" xr:uid="{00000000-0005-0000-0000-000056130000}"/>
    <cellStyle name="Normal 3 4 5" xfId="3463" xr:uid="{00000000-0005-0000-0000-000057130000}"/>
    <cellStyle name="Normal 3 4 6" xfId="3464" xr:uid="{00000000-0005-0000-0000-000058130000}"/>
    <cellStyle name="Normal 3 4 7" xfId="3465" xr:uid="{00000000-0005-0000-0000-000059130000}"/>
    <cellStyle name="Normal 3 4 8" xfId="3466" xr:uid="{00000000-0005-0000-0000-00005A130000}"/>
    <cellStyle name="Normal 3 4 9" xfId="3467" xr:uid="{00000000-0005-0000-0000-00005B130000}"/>
    <cellStyle name="Normal 3 4_2.DATA" xfId="5959" xr:uid="{00000000-0005-0000-0000-00005C130000}"/>
    <cellStyle name="Normal 3 5" xfId="1045" xr:uid="{00000000-0005-0000-0000-00005D130000}"/>
    <cellStyle name="Normal 3 5 2" xfId="4715" xr:uid="{00000000-0005-0000-0000-00005E130000}"/>
    <cellStyle name="Normal 3 5 3" xfId="3468" xr:uid="{00000000-0005-0000-0000-00005F130000}"/>
    <cellStyle name="Normal 3 6" xfId="3469" xr:uid="{00000000-0005-0000-0000-000060130000}"/>
    <cellStyle name="Normal 3 7" xfId="3470" xr:uid="{00000000-0005-0000-0000-000061130000}"/>
    <cellStyle name="Normal 3_2.DATA" xfId="5928" xr:uid="{00000000-0005-0000-0000-000062130000}"/>
    <cellStyle name="Normal 30" xfId="1046" xr:uid="{00000000-0005-0000-0000-000063130000}"/>
    <cellStyle name="Normal 30 2" xfId="1047" xr:uid="{00000000-0005-0000-0000-000064130000}"/>
    <cellStyle name="Normal 30 2 2" xfId="3471" xr:uid="{00000000-0005-0000-0000-000065130000}"/>
    <cellStyle name="Normal 30 2 3" xfId="3472" xr:uid="{00000000-0005-0000-0000-000066130000}"/>
    <cellStyle name="Normal 30 2 3 2" xfId="3473" xr:uid="{00000000-0005-0000-0000-000067130000}"/>
    <cellStyle name="Normal 30 2 3 2 2" xfId="3474" xr:uid="{00000000-0005-0000-0000-000068130000}"/>
    <cellStyle name="Normal 30 2 3 2_2.DATA" xfId="5964" xr:uid="{00000000-0005-0000-0000-000069130000}"/>
    <cellStyle name="Normal 30 2 3 3" xfId="3475" xr:uid="{00000000-0005-0000-0000-00006A130000}"/>
    <cellStyle name="Normal 30 2 3_2.DATA" xfId="5963" xr:uid="{00000000-0005-0000-0000-00006B130000}"/>
    <cellStyle name="Normal 30 2 4" xfId="3476" xr:uid="{00000000-0005-0000-0000-00006C130000}"/>
    <cellStyle name="Normal 30 2 5" xfId="3477" xr:uid="{00000000-0005-0000-0000-00006D130000}"/>
    <cellStyle name="Normal 30 2 5 2" xfId="3478" xr:uid="{00000000-0005-0000-0000-00006E130000}"/>
    <cellStyle name="Normal 30 2 5_2.DATA" xfId="5965" xr:uid="{00000000-0005-0000-0000-00006F130000}"/>
    <cellStyle name="Normal 30 2 6" xfId="3479" xr:uid="{00000000-0005-0000-0000-000070130000}"/>
    <cellStyle name="Normal 30 2_2.DATA" xfId="5962" xr:uid="{00000000-0005-0000-0000-000071130000}"/>
    <cellStyle name="Normal 30 3" xfId="1048" xr:uid="{00000000-0005-0000-0000-000072130000}"/>
    <cellStyle name="Normal 30 3 2" xfId="3481" xr:uid="{00000000-0005-0000-0000-000073130000}"/>
    <cellStyle name="Normal 30 3 3" xfId="4716" xr:uid="{00000000-0005-0000-0000-000074130000}"/>
    <cellStyle name="Normal 30 3 4" xfId="3480" xr:uid="{00000000-0005-0000-0000-000075130000}"/>
    <cellStyle name="Normal 30 4" xfId="3482" xr:uid="{00000000-0005-0000-0000-000076130000}"/>
    <cellStyle name="Normal 30 4 2" xfId="3483" xr:uid="{00000000-0005-0000-0000-000077130000}"/>
    <cellStyle name="Normal 30 4 3" xfId="3484" xr:uid="{00000000-0005-0000-0000-000078130000}"/>
    <cellStyle name="Normal 30 4 4" xfId="3485" xr:uid="{00000000-0005-0000-0000-000079130000}"/>
    <cellStyle name="Normal 30 4 4 2" xfId="3486" xr:uid="{00000000-0005-0000-0000-00007A130000}"/>
    <cellStyle name="Normal 30 4 4_2.DATA" xfId="5967" xr:uid="{00000000-0005-0000-0000-00007B130000}"/>
    <cellStyle name="Normal 30 4 5" xfId="3487" xr:uid="{00000000-0005-0000-0000-00007C130000}"/>
    <cellStyle name="Normal 30 4_2.DATA" xfId="5966" xr:uid="{00000000-0005-0000-0000-00007D130000}"/>
    <cellStyle name="Normal 30 5" xfId="3488" xr:uid="{00000000-0005-0000-0000-00007E130000}"/>
    <cellStyle name="Normal 30 6" xfId="3489" xr:uid="{00000000-0005-0000-0000-00007F130000}"/>
    <cellStyle name="Normal 30 6 2" xfId="3490" xr:uid="{00000000-0005-0000-0000-000080130000}"/>
    <cellStyle name="Normal 30 6_2.DATA" xfId="5968" xr:uid="{00000000-0005-0000-0000-000081130000}"/>
    <cellStyle name="Normal 30 7" xfId="3491" xr:uid="{00000000-0005-0000-0000-000082130000}"/>
    <cellStyle name="Normal 30_2.DATA" xfId="5961" xr:uid="{00000000-0005-0000-0000-000083130000}"/>
    <cellStyle name="Normal 31" xfId="1049" xr:uid="{00000000-0005-0000-0000-000084130000}"/>
    <cellStyle name="Normal 31 2" xfId="3493" xr:uid="{00000000-0005-0000-0000-000085130000}"/>
    <cellStyle name="Normal 31 2 2" xfId="3494" xr:uid="{00000000-0005-0000-0000-000086130000}"/>
    <cellStyle name="Normal 31 2 3" xfId="3495" xr:uid="{00000000-0005-0000-0000-000087130000}"/>
    <cellStyle name="Normal 31 2 3 2" xfId="3496" xr:uid="{00000000-0005-0000-0000-000088130000}"/>
    <cellStyle name="Normal 31 2 3 2 2" xfId="3497" xr:uid="{00000000-0005-0000-0000-000089130000}"/>
    <cellStyle name="Normal 31 2 3 2_2.DATA" xfId="5972" xr:uid="{00000000-0005-0000-0000-00008A130000}"/>
    <cellStyle name="Normal 31 2 3 3" xfId="3498" xr:uid="{00000000-0005-0000-0000-00008B130000}"/>
    <cellStyle name="Normal 31 2 3_2.DATA" xfId="5971" xr:uid="{00000000-0005-0000-0000-00008C130000}"/>
    <cellStyle name="Normal 31 2 4" xfId="3499" xr:uid="{00000000-0005-0000-0000-00008D130000}"/>
    <cellStyle name="Normal 31 2 5" xfId="3500" xr:uid="{00000000-0005-0000-0000-00008E130000}"/>
    <cellStyle name="Normal 31 2 5 2" xfId="3501" xr:uid="{00000000-0005-0000-0000-00008F130000}"/>
    <cellStyle name="Normal 31 2 5_2.DATA" xfId="5973" xr:uid="{00000000-0005-0000-0000-000090130000}"/>
    <cellStyle name="Normal 31 2 6" xfId="3502" xr:uid="{00000000-0005-0000-0000-000091130000}"/>
    <cellStyle name="Normal 31 2_2.DATA" xfId="5970" xr:uid="{00000000-0005-0000-0000-000092130000}"/>
    <cellStyle name="Normal 31 3" xfId="3503" xr:uid="{00000000-0005-0000-0000-000093130000}"/>
    <cellStyle name="Normal 31 3 2" xfId="3504" xr:uid="{00000000-0005-0000-0000-000094130000}"/>
    <cellStyle name="Normal 31 3 2 2" xfId="3505" xr:uid="{00000000-0005-0000-0000-000095130000}"/>
    <cellStyle name="Normal 31 3 2 2 2" xfId="3506" xr:uid="{00000000-0005-0000-0000-000096130000}"/>
    <cellStyle name="Normal 31 3 2 2_2.DATA" xfId="5976" xr:uid="{00000000-0005-0000-0000-000097130000}"/>
    <cellStyle name="Normal 31 3 2 3" xfId="3507" xr:uid="{00000000-0005-0000-0000-000098130000}"/>
    <cellStyle name="Normal 31 3 2_2.DATA" xfId="5975" xr:uid="{00000000-0005-0000-0000-000099130000}"/>
    <cellStyle name="Normal 31 3 3" xfId="3508" xr:uid="{00000000-0005-0000-0000-00009A130000}"/>
    <cellStyle name="Normal 31 3 3 2" xfId="3509" xr:uid="{00000000-0005-0000-0000-00009B130000}"/>
    <cellStyle name="Normal 31 3 3_2.DATA" xfId="5977" xr:uid="{00000000-0005-0000-0000-00009C130000}"/>
    <cellStyle name="Normal 31 3 4" xfId="3510" xr:uid="{00000000-0005-0000-0000-00009D130000}"/>
    <cellStyle name="Normal 31 3_2.DATA" xfId="5974" xr:uid="{00000000-0005-0000-0000-00009E130000}"/>
    <cellStyle name="Normal 31 4" xfId="3511" xr:uid="{00000000-0005-0000-0000-00009F130000}"/>
    <cellStyle name="Normal 31 4 2" xfId="3512" xr:uid="{00000000-0005-0000-0000-0000A0130000}"/>
    <cellStyle name="Normal 31 4 2 2" xfId="3513" xr:uid="{00000000-0005-0000-0000-0000A1130000}"/>
    <cellStyle name="Normal 31 4 2_2.DATA" xfId="5979" xr:uid="{00000000-0005-0000-0000-0000A2130000}"/>
    <cellStyle name="Normal 31 4 3" xfId="3514" xr:uid="{00000000-0005-0000-0000-0000A3130000}"/>
    <cellStyle name="Normal 31 4_2.DATA" xfId="5978" xr:uid="{00000000-0005-0000-0000-0000A4130000}"/>
    <cellStyle name="Normal 31 5" xfId="3515" xr:uid="{00000000-0005-0000-0000-0000A5130000}"/>
    <cellStyle name="Normal 31 5 2" xfId="3516" xr:uid="{00000000-0005-0000-0000-0000A6130000}"/>
    <cellStyle name="Normal 31 5_2.DATA" xfId="5980" xr:uid="{00000000-0005-0000-0000-0000A7130000}"/>
    <cellStyle name="Normal 31 6" xfId="3517" xr:uid="{00000000-0005-0000-0000-0000A8130000}"/>
    <cellStyle name="Normal 31 7" xfId="4717" xr:uid="{00000000-0005-0000-0000-0000A9130000}"/>
    <cellStyle name="Normal 31 8" xfId="3492" xr:uid="{00000000-0005-0000-0000-0000AA130000}"/>
    <cellStyle name="Normal 31_2.DATA" xfId="5969" xr:uid="{00000000-0005-0000-0000-0000AB130000}"/>
    <cellStyle name="Normal 32" xfId="1050" xr:uid="{00000000-0005-0000-0000-0000AC130000}"/>
    <cellStyle name="Normal 32 2" xfId="1051" xr:uid="{00000000-0005-0000-0000-0000AD130000}"/>
    <cellStyle name="Normal 32 2 2" xfId="1052" xr:uid="{00000000-0005-0000-0000-0000AE130000}"/>
    <cellStyle name="Normal 32 2 2 2" xfId="3519" xr:uid="{00000000-0005-0000-0000-0000AF130000}"/>
    <cellStyle name="Normal 32 2 2 2 2" xfId="3520" xr:uid="{00000000-0005-0000-0000-0000B0130000}"/>
    <cellStyle name="Normal 32 2 2 2 2 2" xfId="3521" xr:uid="{00000000-0005-0000-0000-0000B1130000}"/>
    <cellStyle name="Normal 32 2 2 2 2_2.DATA" xfId="5984" xr:uid="{00000000-0005-0000-0000-0000B2130000}"/>
    <cellStyle name="Normal 32 2 2 2 3" xfId="3522" xr:uid="{00000000-0005-0000-0000-0000B3130000}"/>
    <cellStyle name="Normal 32 2 2 2_2.DATA" xfId="5983" xr:uid="{00000000-0005-0000-0000-0000B4130000}"/>
    <cellStyle name="Normal 32 2 2 3" xfId="3523" xr:uid="{00000000-0005-0000-0000-0000B5130000}"/>
    <cellStyle name="Normal 32 2 2 3 2" xfId="3524" xr:uid="{00000000-0005-0000-0000-0000B6130000}"/>
    <cellStyle name="Normal 32 2 2 3 2 2" xfId="3525" xr:uid="{00000000-0005-0000-0000-0000B7130000}"/>
    <cellStyle name="Normal 32 2 2 3 2_2.DATA" xfId="5986" xr:uid="{00000000-0005-0000-0000-0000B8130000}"/>
    <cellStyle name="Normal 32 2 2 3 3" xfId="3526" xr:uid="{00000000-0005-0000-0000-0000B9130000}"/>
    <cellStyle name="Normal 32 2 2 3_2.DATA" xfId="5985" xr:uid="{00000000-0005-0000-0000-0000BA130000}"/>
    <cellStyle name="Normal 32 2 2 4" xfId="3527" xr:uid="{00000000-0005-0000-0000-0000BB130000}"/>
    <cellStyle name="Normal 32 2 2 4 2" xfId="3528" xr:uid="{00000000-0005-0000-0000-0000BC130000}"/>
    <cellStyle name="Normal 32 2 2 4_2.DATA" xfId="5987" xr:uid="{00000000-0005-0000-0000-0000BD130000}"/>
    <cellStyle name="Normal 32 2 2 5" xfId="3529" xr:uid="{00000000-0005-0000-0000-0000BE130000}"/>
    <cellStyle name="Normal 32 2 2_2.DATA" xfId="5982" xr:uid="{00000000-0005-0000-0000-0000BF130000}"/>
    <cellStyle name="Normal 32 2 3" xfId="1053" xr:uid="{00000000-0005-0000-0000-0000C0130000}"/>
    <cellStyle name="Normal 32 2 3 2" xfId="3530" xr:uid="{00000000-0005-0000-0000-0000C1130000}"/>
    <cellStyle name="Normal 32 2 3 2 2" xfId="3531" xr:uid="{00000000-0005-0000-0000-0000C2130000}"/>
    <cellStyle name="Normal 32 2 3 2 2 2" xfId="3532" xr:uid="{00000000-0005-0000-0000-0000C3130000}"/>
    <cellStyle name="Normal 32 2 3 2 2_2.DATA" xfId="5990" xr:uid="{00000000-0005-0000-0000-0000C4130000}"/>
    <cellStyle name="Normal 32 2 3 2 3" xfId="3533" xr:uid="{00000000-0005-0000-0000-0000C5130000}"/>
    <cellStyle name="Normal 32 2 3 2_2.DATA" xfId="5989" xr:uid="{00000000-0005-0000-0000-0000C6130000}"/>
    <cellStyle name="Normal 32 2 3 3" xfId="3534" xr:uid="{00000000-0005-0000-0000-0000C7130000}"/>
    <cellStyle name="Normal 32 2 3 3 2" xfId="3535" xr:uid="{00000000-0005-0000-0000-0000C8130000}"/>
    <cellStyle name="Normal 32 2 3 3 2 2" xfId="3536" xr:uid="{00000000-0005-0000-0000-0000C9130000}"/>
    <cellStyle name="Normal 32 2 3 3 2_2.DATA" xfId="5992" xr:uid="{00000000-0005-0000-0000-0000CA130000}"/>
    <cellStyle name="Normal 32 2 3 3 3" xfId="3537" xr:uid="{00000000-0005-0000-0000-0000CB130000}"/>
    <cellStyle name="Normal 32 2 3 3_2.DATA" xfId="5991" xr:uid="{00000000-0005-0000-0000-0000CC130000}"/>
    <cellStyle name="Normal 32 2 3 4" xfId="3538" xr:uid="{00000000-0005-0000-0000-0000CD130000}"/>
    <cellStyle name="Normal 32 2 3 4 2" xfId="3539" xr:uid="{00000000-0005-0000-0000-0000CE130000}"/>
    <cellStyle name="Normal 32 2 3 4_2.DATA" xfId="5993" xr:uid="{00000000-0005-0000-0000-0000CF130000}"/>
    <cellStyle name="Normal 32 2 3 5" xfId="3540" xr:uid="{00000000-0005-0000-0000-0000D0130000}"/>
    <cellStyle name="Normal 32 2 3_2.DATA" xfId="5988" xr:uid="{00000000-0005-0000-0000-0000D1130000}"/>
    <cellStyle name="Normal 32 2 4" xfId="1054" xr:uid="{00000000-0005-0000-0000-0000D2130000}"/>
    <cellStyle name="Normal 32 2 4 2" xfId="1055" xr:uid="{00000000-0005-0000-0000-0000D3130000}"/>
    <cellStyle name="Normal 32 2 4 2 2" xfId="3541" xr:uid="{00000000-0005-0000-0000-0000D4130000}"/>
    <cellStyle name="Normal 32 2 4 2_2.DATA" xfId="5995" xr:uid="{00000000-0005-0000-0000-0000D5130000}"/>
    <cellStyle name="Normal 32 2 4 3" xfId="3542" xr:uid="{00000000-0005-0000-0000-0000D6130000}"/>
    <cellStyle name="Normal 32 2 4_2.DATA" xfId="5994" xr:uid="{00000000-0005-0000-0000-0000D7130000}"/>
    <cellStyle name="Normal 32 2 5" xfId="3543" xr:uid="{00000000-0005-0000-0000-0000D8130000}"/>
    <cellStyle name="Normal 32 2 5 2" xfId="3544" xr:uid="{00000000-0005-0000-0000-0000D9130000}"/>
    <cellStyle name="Normal 32 2 5 2 2" xfId="3545" xr:uid="{00000000-0005-0000-0000-0000DA130000}"/>
    <cellStyle name="Normal 32 2 5 2_2.DATA" xfId="5997" xr:uid="{00000000-0005-0000-0000-0000DB130000}"/>
    <cellStyle name="Normal 32 2 5 3" xfId="3546" xr:uid="{00000000-0005-0000-0000-0000DC130000}"/>
    <cellStyle name="Normal 32 2 5_2.DATA" xfId="5996" xr:uid="{00000000-0005-0000-0000-0000DD130000}"/>
    <cellStyle name="Normal 32 2 6" xfId="3547" xr:uid="{00000000-0005-0000-0000-0000DE130000}"/>
    <cellStyle name="Normal 32 2 6 2" xfId="3548" xr:uid="{00000000-0005-0000-0000-0000DF130000}"/>
    <cellStyle name="Normal 32 2 6_2.DATA" xfId="5998" xr:uid="{00000000-0005-0000-0000-0000E0130000}"/>
    <cellStyle name="Normal 32 2 7" xfId="3549" xr:uid="{00000000-0005-0000-0000-0000E1130000}"/>
    <cellStyle name="Normal 32 2_2.DATA" xfId="5981" xr:uid="{00000000-0005-0000-0000-0000E2130000}"/>
    <cellStyle name="Normal 32 3" xfId="1056" xr:uid="{00000000-0005-0000-0000-0000E3130000}"/>
    <cellStyle name="Normal 32 3 2" xfId="3551" xr:uid="{00000000-0005-0000-0000-0000E4130000}"/>
    <cellStyle name="Normal 32 3 2 2" xfId="3552" xr:uid="{00000000-0005-0000-0000-0000E5130000}"/>
    <cellStyle name="Normal 32 3 2 2 2" xfId="3553" xr:uid="{00000000-0005-0000-0000-0000E6130000}"/>
    <cellStyle name="Normal 32 3 2 2_2.DATA" xfId="6000" xr:uid="{00000000-0005-0000-0000-0000E7130000}"/>
    <cellStyle name="Normal 32 3 2 3" xfId="3554" xr:uid="{00000000-0005-0000-0000-0000E8130000}"/>
    <cellStyle name="Normal 32 3 2_2.DATA" xfId="5999" xr:uid="{00000000-0005-0000-0000-0000E9130000}"/>
    <cellStyle name="Normal 32 3 3" xfId="3550" xr:uid="{00000000-0005-0000-0000-0000EA130000}"/>
    <cellStyle name="Normal 32 4" xfId="1057" xr:uid="{00000000-0005-0000-0000-0000EB130000}"/>
    <cellStyle name="Normal 32 4 2" xfId="4718" xr:uid="{00000000-0005-0000-0000-0000EC130000}"/>
    <cellStyle name="Normal 32 4 3" xfId="3555" xr:uid="{00000000-0005-0000-0000-0000ED130000}"/>
    <cellStyle name="Normal 32 5" xfId="1058" xr:uid="{00000000-0005-0000-0000-0000EE130000}"/>
    <cellStyle name="Normal 32 6" xfId="1059" xr:uid="{00000000-0005-0000-0000-0000EF130000}"/>
    <cellStyle name="Normal 32 7" xfId="3518" xr:uid="{00000000-0005-0000-0000-0000F0130000}"/>
    <cellStyle name="Normal 32_RND2-Property" xfId="3556" xr:uid="{00000000-0005-0000-0000-0000F1130000}"/>
    <cellStyle name="Normal 33" xfId="1060" xr:uid="{00000000-0005-0000-0000-0000F2130000}"/>
    <cellStyle name="Normal 33 2" xfId="1061" xr:uid="{00000000-0005-0000-0000-0000F3130000}"/>
    <cellStyle name="Normal 33 2 2" xfId="1062" xr:uid="{00000000-0005-0000-0000-0000F4130000}"/>
    <cellStyle name="Normal 33 2 2 2" xfId="3557" xr:uid="{00000000-0005-0000-0000-0000F5130000}"/>
    <cellStyle name="Normal 33 2 2 2 2" xfId="3558" xr:uid="{00000000-0005-0000-0000-0000F6130000}"/>
    <cellStyle name="Normal 33 2 2 2_2.DATA" xfId="6004" xr:uid="{00000000-0005-0000-0000-0000F7130000}"/>
    <cellStyle name="Normal 33 2 2 3" xfId="3559" xr:uid="{00000000-0005-0000-0000-0000F8130000}"/>
    <cellStyle name="Normal 33 2 2_2.DATA" xfId="6003" xr:uid="{00000000-0005-0000-0000-0000F9130000}"/>
    <cellStyle name="Normal 33 2 3" xfId="3560" xr:uid="{00000000-0005-0000-0000-0000FA130000}"/>
    <cellStyle name="Normal 33 2 3 2" xfId="3561" xr:uid="{00000000-0005-0000-0000-0000FB130000}"/>
    <cellStyle name="Normal 33 2 3_2.DATA" xfId="6005" xr:uid="{00000000-0005-0000-0000-0000FC130000}"/>
    <cellStyle name="Normal 33 2 4" xfId="3562" xr:uid="{00000000-0005-0000-0000-0000FD130000}"/>
    <cellStyle name="Normal 33 2_2.DATA" xfId="6002" xr:uid="{00000000-0005-0000-0000-0000FE130000}"/>
    <cellStyle name="Normal 33 3" xfId="1063" xr:uid="{00000000-0005-0000-0000-0000FF130000}"/>
    <cellStyle name="Normal 33 3 2" xfId="3563" xr:uid="{00000000-0005-0000-0000-000000140000}"/>
    <cellStyle name="Normal 33 3_2.DATA" xfId="6006" xr:uid="{00000000-0005-0000-0000-000001140000}"/>
    <cellStyle name="Normal 33 4" xfId="3564" xr:uid="{00000000-0005-0000-0000-000002140000}"/>
    <cellStyle name="Normal 33_2.DATA" xfId="6001" xr:uid="{00000000-0005-0000-0000-000003140000}"/>
    <cellStyle name="Normal 34" xfId="1064" xr:uid="{00000000-0005-0000-0000-000004140000}"/>
    <cellStyle name="Normal 34 2" xfId="1065" xr:uid="{00000000-0005-0000-0000-000005140000}"/>
    <cellStyle name="Normal 34 2 2" xfId="1066" xr:uid="{00000000-0005-0000-0000-000006140000}"/>
    <cellStyle name="Normal 34 2 2 2" xfId="1067" xr:uid="{00000000-0005-0000-0000-000007140000}"/>
    <cellStyle name="Normal 34 2 2 2 2" xfId="3565" xr:uid="{00000000-0005-0000-0000-000008140000}"/>
    <cellStyle name="Normal 34 2 2 2_2.DATA" xfId="6010" xr:uid="{00000000-0005-0000-0000-000009140000}"/>
    <cellStyle name="Normal 34 2 2 3" xfId="3566" xr:uid="{00000000-0005-0000-0000-00000A140000}"/>
    <cellStyle name="Normal 34 2 2_2.DATA" xfId="6009" xr:uid="{00000000-0005-0000-0000-00000B140000}"/>
    <cellStyle name="Normal 34 2 3" xfId="3567" xr:uid="{00000000-0005-0000-0000-00000C140000}"/>
    <cellStyle name="Normal 34 2 3 2" xfId="3568" xr:uid="{00000000-0005-0000-0000-00000D140000}"/>
    <cellStyle name="Normal 34 2 3_2.DATA" xfId="6011" xr:uid="{00000000-0005-0000-0000-00000E140000}"/>
    <cellStyle name="Normal 34 2 4" xfId="3569" xr:uid="{00000000-0005-0000-0000-00000F140000}"/>
    <cellStyle name="Normal 34 2_2.DATA" xfId="6008" xr:uid="{00000000-0005-0000-0000-000010140000}"/>
    <cellStyle name="Normal 34 3" xfId="1068" xr:uid="{00000000-0005-0000-0000-000011140000}"/>
    <cellStyle name="Normal 34 3 2" xfId="3570" xr:uid="{00000000-0005-0000-0000-000012140000}"/>
    <cellStyle name="Normal 34 3_2.DATA" xfId="6012" xr:uid="{00000000-0005-0000-0000-000013140000}"/>
    <cellStyle name="Normal 34 4" xfId="1069" xr:uid="{00000000-0005-0000-0000-000014140000}"/>
    <cellStyle name="Normal 34_2.DATA" xfId="6007" xr:uid="{00000000-0005-0000-0000-000015140000}"/>
    <cellStyle name="Normal 35" xfId="1070" xr:uid="{00000000-0005-0000-0000-000016140000}"/>
    <cellStyle name="Normal 35 2" xfId="1071" xr:uid="{00000000-0005-0000-0000-000017140000}"/>
    <cellStyle name="Normal 35 2 2" xfId="3571" xr:uid="{00000000-0005-0000-0000-000018140000}"/>
    <cellStyle name="Normal 35 2_2.DATA" xfId="6014" xr:uid="{00000000-0005-0000-0000-000019140000}"/>
    <cellStyle name="Normal 35 3" xfId="3572" xr:uid="{00000000-0005-0000-0000-00001A140000}"/>
    <cellStyle name="Normal 35_2.DATA" xfId="6013" xr:uid="{00000000-0005-0000-0000-00001B140000}"/>
    <cellStyle name="Normal 36" xfId="1072" xr:uid="{00000000-0005-0000-0000-00001C140000}"/>
    <cellStyle name="Normal 37" xfId="1073" xr:uid="{00000000-0005-0000-0000-00001D140000}"/>
    <cellStyle name="Normal 37 2" xfId="4719" xr:uid="{00000000-0005-0000-0000-00001E140000}"/>
    <cellStyle name="Normal 37 3" xfId="3573" xr:uid="{00000000-0005-0000-0000-00001F140000}"/>
    <cellStyle name="Normal 38" xfId="1074" xr:uid="{00000000-0005-0000-0000-000020140000}"/>
    <cellStyle name="Normal 38 2" xfId="3574" xr:uid="{00000000-0005-0000-0000-000021140000}"/>
    <cellStyle name="Normal 38 2 2" xfId="3575" xr:uid="{00000000-0005-0000-0000-000022140000}"/>
    <cellStyle name="Normal 38 2_2.DATA" xfId="6016" xr:uid="{00000000-0005-0000-0000-000023140000}"/>
    <cellStyle name="Normal 38 3" xfId="3576" xr:uid="{00000000-0005-0000-0000-000024140000}"/>
    <cellStyle name="Normal 38_2.DATA" xfId="6015" xr:uid="{00000000-0005-0000-0000-000025140000}"/>
    <cellStyle name="Normal 39" xfId="1075" xr:uid="{00000000-0005-0000-0000-000026140000}"/>
    <cellStyle name="Normal 39 2" xfId="3577" xr:uid="{00000000-0005-0000-0000-000027140000}"/>
    <cellStyle name="Normal 39 2 2" xfId="3578" xr:uid="{00000000-0005-0000-0000-000028140000}"/>
    <cellStyle name="Normal 39 2_2.DATA" xfId="6018" xr:uid="{00000000-0005-0000-0000-000029140000}"/>
    <cellStyle name="Normal 39 3" xfId="3579" xr:uid="{00000000-0005-0000-0000-00002A140000}"/>
    <cellStyle name="Normal 39_2.DATA" xfId="6017" xr:uid="{00000000-0005-0000-0000-00002B140000}"/>
    <cellStyle name="Normal 4" xfId="1076" xr:uid="{00000000-0005-0000-0000-00002C140000}"/>
    <cellStyle name="Normal 4 2" xfId="1077" xr:uid="{00000000-0005-0000-0000-00002D140000}"/>
    <cellStyle name="Normal 4 2 2" xfId="1078" xr:uid="{00000000-0005-0000-0000-00002E140000}"/>
    <cellStyle name="Normal 4 2 2 2" xfId="3581" xr:uid="{00000000-0005-0000-0000-00002F140000}"/>
    <cellStyle name="Normal 4 2 2 2 2" xfId="3582" xr:uid="{00000000-0005-0000-0000-000030140000}"/>
    <cellStyle name="Normal 4 2 2 2 2 2" xfId="3583" xr:uid="{00000000-0005-0000-0000-000031140000}"/>
    <cellStyle name="Normal 4 2 2 2 2_2.DATA" xfId="6021" xr:uid="{00000000-0005-0000-0000-000032140000}"/>
    <cellStyle name="Normal 4 2 2 2 3" xfId="3584" xr:uid="{00000000-0005-0000-0000-000033140000}"/>
    <cellStyle name="Normal 4 2 2 2_2.DATA" xfId="6020" xr:uid="{00000000-0005-0000-0000-000034140000}"/>
    <cellStyle name="Normal 4 2 2 3" xfId="3585" xr:uid="{00000000-0005-0000-0000-000035140000}"/>
    <cellStyle name="Normal 4 2 2 3 2" xfId="3586" xr:uid="{00000000-0005-0000-0000-000036140000}"/>
    <cellStyle name="Normal 4 2 2 3 2 2" xfId="3587" xr:uid="{00000000-0005-0000-0000-000037140000}"/>
    <cellStyle name="Normal 4 2 2 3 2_2.DATA" xfId="6023" xr:uid="{00000000-0005-0000-0000-000038140000}"/>
    <cellStyle name="Normal 4 2 2 3 3" xfId="3588" xr:uid="{00000000-0005-0000-0000-000039140000}"/>
    <cellStyle name="Normal 4 2 2 3_2.DATA" xfId="6022" xr:uid="{00000000-0005-0000-0000-00003A140000}"/>
    <cellStyle name="Normal 4 2 2 4" xfId="3589" xr:uid="{00000000-0005-0000-0000-00003B140000}"/>
    <cellStyle name="Normal 4 2 2 4 2" xfId="3590" xr:uid="{00000000-0005-0000-0000-00003C140000}"/>
    <cellStyle name="Normal 4 2 2 4_2.DATA" xfId="6024" xr:uid="{00000000-0005-0000-0000-00003D140000}"/>
    <cellStyle name="Normal 4 2 2 5" xfId="3591" xr:uid="{00000000-0005-0000-0000-00003E140000}"/>
    <cellStyle name="Normal 4 2 2 6" xfId="4721" xr:uid="{00000000-0005-0000-0000-00003F140000}"/>
    <cellStyle name="Normal 4 2 2 7" xfId="3580" xr:uid="{00000000-0005-0000-0000-000040140000}"/>
    <cellStyle name="Normal 4 2 2_2.DATA" xfId="6019" xr:uid="{00000000-0005-0000-0000-000041140000}"/>
    <cellStyle name="Normal 4 2 3" xfId="3592" xr:uid="{00000000-0005-0000-0000-000042140000}"/>
    <cellStyle name="Normal 4 2 3 2" xfId="3593" xr:uid="{00000000-0005-0000-0000-000043140000}"/>
    <cellStyle name="Normal 4 2 3 2 2" xfId="3594" xr:uid="{00000000-0005-0000-0000-000044140000}"/>
    <cellStyle name="Normal 4 2 3 2 2 2" xfId="3595" xr:uid="{00000000-0005-0000-0000-000045140000}"/>
    <cellStyle name="Normal 4 2 3 2 2_2.DATA" xfId="6027" xr:uid="{00000000-0005-0000-0000-000046140000}"/>
    <cellStyle name="Normal 4 2 3 2 3" xfId="3596" xr:uid="{00000000-0005-0000-0000-000047140000}"/>
    <cellStyle name="Normal 4 2 3 2_2.DATA" xfId="6026" xr:uid="{00000000-0005-0000-0000-000048140000}"/>
    <cellStyle name="Normal 4 2 3 3" xfId="3597" xr:uid="{00000000-0005-0000-0000-000049140000}"/>
    <cellStyle name="Normal 4 2 3 3 2" xfId="3598" xr:uid="{00000000-0005-0000-0000-00004A140000}"/>
    <cellStyle name="Normal 4 2 3 3 2 2" xfId="3599" xr:uid="{00000000-0005-0000-0000-00004B140000}"/>
    <cellStyle name="Normal 4 2 3 3 2_2.DATA" xfId="6029" xr:uid="{00000000-0005-0000-0000-00004C140000}"/>
    <cellStyle name="Normal 4 2 3 3 3" xfId="3600" xr:uid="{00000000-0005-0000-0000-00004D140000}"/>
    <cellStyle name="Normal 4 2 3 3_2.DATA" xfId="6028" xr:uid="{00000000-0005-0000-0000-00004E140000}"/>
    <cellStyle name="Normal 4 2 3 4" xfId="3601" xr:uid="{00000000-0005-0000-0000-00004F140000}"/>
    <cellStyle name="Normal 4 2 3 4 2" xfId="3602" xr:uid="{00000000-0005-0000-0000-000050140000}"/>
    <cellStyle name="Normal 4 2 3 4_2.DATA" xfId="6030" xr:uid="{00000000-0005-0000-0000-000051140000}"/>
    <cellStyle name="Normal 4 2 3 5" xfId="3603" xr:uid="{00000000-0005-0000-0000-000052140000}"/>
    <cellStyle name="Normal 4 2 3_2.DATA" xfId="6025" xr:uid="{00000000-0005-0000-0000-000053140000}"/>
    <cellStyle name="Normal 4 2 4" xfId="3604" xr:uid="{00000000-0005-0000-0000-000054140000}"/>
    <cellStyle name="Normal 4 2 4 2" xfId="3605" xr:uid="{00000000-0005-0000-0000-000055140000}"/>
    <cellStyle name="Normal 4 2 4 2 2" xfId="3606" xr:uid="{00000000-0005-0000-0000-000056140000}"/>
    <cellStyle name="Normal 4 2 4 2 2 2" xfId="3607" xr:uid="{00000000-0005-0000-0000-000057140000}"/>
    <cellStyle name="Normal 4 2 4 2 2_2.DATA" xfId="6033" xr:uid="{00000000-0005-0000-0000-000058140000}"/>
    <cellStyle name="Normal 4 2 4 2 3" xfId="3608" xr:uid="{00000000-0005-0000-0000-000059140000}"/>
    <cellStyle name="Normal 4 2 4 2_2.DATA" xfId="6032" xr:uid="{00000000-0005-0000-0000-00005A140000}"/>
    <cellStyle name="Normal 4 2 4 3" xfId="3609" xr:uid="{00000000-0005-0000-0000-00005B140000}"/>
    <cellStyle name="Normal 4 2 4 3 2" xfId="3610" xr:uid="{00000000-0005-0000-0000-00005C140000}"/>
    <cellStyle name="Normal 4 2 4 3_2.DATA" xfId="6034" xr:uid="{00000000-0005-0000-0000-00005D140000}"/>
    <cellStyle name="Normal 4 2 4 4" xfId="3611" xr:uid="{00000000-0005-0000-0000-00005E140000}"/>
    <cellStyle name="Normal 4 2 4_2.DATA" xfId="6031" xr:uid="{00000000-0005-0000-0000-00005F140000}"/>
    <cellStyle name="Normal 4 2 5" xfId="3612" xr:uid="{00000000-0005-0000-0000-000060140000}"/>
    <cellStyle name="Normal 4 2 5 2" xfId="3613" xr:uid="{00000000-0005-0000-0000-000061140000}"/>
    <cellStyle name="Normal 4 2 5 2 2" xfId="3614" xr:uid="{00000000-0005-0000-0000-000062140000}"/>
    <cellStyle name="Normal 4 2 5 2_2.DATA" xfId="6036" xr:uid="{00000000-0005-0000-0000-000063140000}"/>
    <cellStyle name="Normal 4 2 5 3" xfId="3615" xr:uid="{00000000-0005-0000-0000-000064140000}"/>
    <cellStyle name="Normal 4 2 5_2.DATA" xfId="6035" xr:uid="{00000000-0005-0000-0000-000065140000}"/>
    <cellStyle name="Normal 4 3" xfId="1079" xr:uid="{00000000-0005-0000-0000-000066140000}"/>
    <cellStyle name="Normal 4 3 2" xfId="3617" xr:uid="{00000000-0005-0000-0000-000067140000}"/>
    <cellStyle name="Normal 4 3 2 2" xfId="3618" xr:uid="{00000000-0005-0000-0000-000068140000}"/>
    <cellStyle name="Normal 4 3 2 2 2" xfId="3619" xr:uid="{00000000-0005-0000-0000-000069140000}"/>
    <cellStyle name="Normal 4 3 2 2 2 2" xfId="3620" xr:uid="{00000000-0005-0000-0000-00006A140000}"/>
    <cellStyle name="Normal 4 3 2 2 2_2.DATA" xfId="6040" xr:uid="{00000000-0005-0000-0000-00006B140000}"/>
    <cellStyle name="Normal 4 3 2 2 3" xfId="3621" xr:uid="{00000000-0005-0000-0000-00006C140000}"/>
    <cellStyle name="Normal 4 3 2 2_2.DATA" xfId="6039" xr:uid="{00000000-0005-0000-0000-00006D140000}"/>
    <cellStyle name="Normal 4 3 2 3" xfId="3622" xr:uid="{00000000-0005-0000-0000-00006E140000}"/>
    <cellStyle name="Normal 4 3 2 3 2" xfId="3623" xr:uid="{00000000-0005-0000-0000-00006F140000}"/>
    <cellStyle name="Normal 4 3 2 3_2.DATA" xfId="6041" xr:uid="{00000000-0005-0000-0000-000070140000}"/>
    <cellStyle name="Normal 4 3 2 4" xfId="3624" xr:uid="{00000000-0005-0000-0000-000071140000}"/>
    <cellStyle name="Normal 4 3 2_2.DATA" xfId="6038" xr:uid="{00000000-0005-0000-0000-000072140000}"/>
    <cellStyle name="Normal 4 3 3" xfId="3625" xr:uid="{00000000-0005-0000-0000-000073140000}"/>
    <cellStyle name="Normal 4 3 3 2" xfId="3626" xr:uid="{00000000-0005-0000-0000-000074140000}"/>
    <cellStyle name="Normal 4 3 3 2 2" xfId="3627" xr:uid="{00000000-0005-0000-0000-000075140000}"/>
    <cellStyle name="Normal 4 3 3 2_2.DATA" xfId="6043" xr:uid="{00000000-0005-0000-0000-000076140000}"/>
    <cellStyle name="Normal 4 3 3 3" xfId="3628" xr:uid="{00000000-0005-0000-0000-000077140000}"/>
    <cellStyle name="Normal 4 3 3_2.DATA" xfId="6042" xr:uid="{00000000-0005-0000-0000-000078140000}"/>
    <cellStyle name="Normal 4 3 4" xfId="3629" xr:uid="{00000000-0005-0000-0000-000079140000}"/>
    <cellStyle name="Normal 4 3 4 2" xfId="3630" xr:uid="{00000000-0005-0000-0000-00007A140000}"/>
    <cellStyle name="Normal 4 3 4 2 2" xfId="3631" xr:uid="{00000000-0005-0000-0000-00007B140000}"/>
    <cellStyle name="Normal 4 3 4 2_2.DATA" xfId="6045" xr:uid="{00000000-0005-0000-0000-00007C140000}"/>
    <cellStyle name="Normal 4 3 4 3" xfId="3632" xr:uid="{00000000-0005-0000-0000-00007D140000}"/>
    <cellStyle name="Normal 4 3 4_2.DATA" xfId="6044" xr:uid="{00000000-0005-0000-0000-00007E140000}"/>
    <cellStyle name="Normal 4 3 5" xfId="3633" xr:uid="{00000000-0005-0000-0000-00007F140000}"/>
    <cellStyle name="Normal 4 3 5 2" xfId="3634" xr:uid="{00000000-0005-0000-0000-000080140000}"/>
    <cellStyle name="Normal 4 3 5 2 2" xfId="3635" xr:uid="{00000000-0005-0000-0000-000081140000}"/>
    <cellStyle name="Normal 4 3 5 2_2.DATA" xfId="6047" xr:uid="{00000000-0005-0000-0000-000082140000}"/>
    <cellStyle name="Normal 4 3 5 3" xfId="3636" xr:uid="{00000000-0005-0000-0000-000083140000}"/>
    <cellStyle name="Normal 4 3 5_2.DATA" xfId="6046" xr:uid="{00000000-0005-0000-0000-000084140000}"/>
    <cellStyle name="Normal 4 3 6" xfId="3637" xr:uid="{00000000-0005-0000-0000-000085140000}"/>
    <cellStyle name="Normal 4 3 6 2" xfId="3638" xr:uid="{00000000-0005-0000-0000-000086140000}"/>
    <cellStyle name="Normal 4 3 6_2.DATA" xfId="6048" xr:uid="{00000000-0005-0000-0000-000087140000}"/>
    <cellStyle name="Normal 4 3 7" xfId="3639" xr:uid="{00000000-0005-0000-0000-000088140000}"/>
    <cellStyle name="Normal 4 3 8" xfId="4722" xr:uid="{00000000-0005-0000-0000-000089140000}"/>
    <cellStyle name="Normal 4 3 9" xfId="3616" xr:uid="{00000000-0005-0000-0000-00008A140000}"/>
    <cellStyle name="Normal 4 3_2.DATA" xfId="6037" xr:uid="{00000000-0005-0000-0000-00008B140000}"/>
    <cellStyle name="Normal 4 4" xfId="4720" xr:uid="{00000000-0005-0000-0000-00008C140000}"/>
    <cellStyle name="Normal 4_2012 Data Element Changes_v8" xfId="1080" xr:uid="{00000000-0005-0000-0000-00008D140000}"/>
    <cellStyle name="Normal 40" xfId="1081" xr:uid="{00000000-0005-0000-0000-00008E140000}"/>
    <cellStyle name="Normal 40 2" xfId="4723" xr:uid="{00000000-0005-0000-0000-00008F140000}"/>
    <cellStyle name="Normal 40 3" xfId="3640" xr:uid="{00000000-0005-0000-0000-000090140000}"/>
    <cellStyle name="Normal 41" xfId="1082" xr:uid="{00000000-0005-0000-0000-000091140000}"/>
    <cellStyle name="Normal 41 2" xfId="3642" xr:uid="{00000000-0005-0000-0000-000092140000}"/>
    <cellStyle name="Normal 41 2 2" xfId="3643" xr:uid="{00000000-0005-0000-0000-000093140000}"/>
    <cellStyle name="Normal 41 2_2.DATA" xfId="6050" xr:uid="{00000000-0005-0000-0000-000094140000}"/>
    <cellStyle name="Normal 41 3" xfId="3644" xr:uid="{00000000-0005-0000-0000-000095140000}"/>
    <cellStyle name="Normal 41 4" xfId="4724" xr:uid="{00000000-0005-0000-0000-000096140000}"/>
    <cellStyle name="Normal 41 5" xfId="3641" xr:uid="{00000000-0005-0000-0000-000097140000}"/>
    <cellStyle name="Normal 41_2.DATA" xfId="6049" xr:uid="{00000000-0005-0000-0000-000098140000}"/>
    <cellStyle name="Normal 42" xfId="3645" xr:uid="{00000000-0005-0000-0000-000099140000}"/>
    <cellStyle name="Normal 42 2" xfId="3646" xr:uid="{00000000-0005-0000-0000-00009A140000}"/>
    <cellStyle name="Normal 42 2 2" xfId="3647" xr:uid="{00000000-0005-0000-0000-00009B140000}"/>
    <cellStyle name="Normal 42 2_2.DATA" xfId="6052" xr:uid="{00000000-0005-0000-0000-00009C140000}"/>
    <cellStyle name="Normal 42 3" xfId="3648" xr:uid="{00000000-0005-0000-0000-00009D140000}"/>
    <cellStyle name="Normal 42_2.DATA" xfId="6051" xr:uid="{00000000-0005-0000-0000-00009E140000}"/>
    <cellStyle name="Normal 43" xfId="3649" xr:uid="{00000000-0005-0000-0000-00009F140000}"/>
    <cellStyle name="Normal 43 2" xfId="3650" xr:uid="{00000000-0005-0000-0000-0000A0140000}"/>
    <cellStyle name="Normal 43 2 2" xfId="3651" xr:uid="{00000000-0005-0000-0000-0000A1140000}"/>
    <cellStyle name="Normal 43 2_2.DATA" xfId="6054" xr:uid="{00000000-0005-0000-0000-0000A2140000}"/>
    <cellStyle name="Normal 43 3" xfId="3652" xr:uid="{00000000-0005-0000-0000-0000A3140000}"/>
    <cellStyle name="Normal 43_2.DATA" xfId="6053" xr:uid="{00000000-0005-0000-0000-0000A4140000}"/>
    <cellStyle name="Normal 44" xfId="3653" xr:uid="{00000000-0005-0000-0000-0000A5140000}"/>
    <cellStyle name="Normal 44 2" xfId="3654" xr:uid="{00000000-0005-0000-0000-0000A6140000}"/>
    <cellStyle name="Normal 44 2 2" xfId="3655" xr:uid="{00000000-0005-0000-0000-0000A7140000}"/>
    <cellStyle name="Normal 44 2_2.DATA" xfId="6056" xr:uid="{00000000-0005-0000-0000-0000A8140000}"/>
    <cellStyle name="Normal 44 3" xfId="3656" xr:uid="{00000000-0005-0000-0000-0000A9140000}"/>
    <cellStyle name="Normal 44_2.DATA" xfId="6055" xr:uid="{00000000-0005-0000-0000-0000AA140000}"/>
    <cellStyle name="Normal 45" xfId="3657" xr:uid="{00000000-0005-0000-0000-0000AB140000}"/>
    <cellStyle name="Normal 45 2" xfId="3658" xr:uid="{00000000-0005-0000-0000-0000AC140000}"/>
    <cellStyle name="Normal 45 2 2" xfId="3659" xr:uid="{00000000-0005-0000-0000-0000AD140000}"/>
    <cellStyle name="Normal 45 2_2.DATA" xfId="6058" xr:uid="{00000000-0005-0000-0000-0000AE140000}"/>
    <cellStyle name="Normal 45 3" xfId="3660" xr:uid="{00000000-0005-0000-0000-0000AF140000}"/>
    <cellStyle name="Normal 45 3 2" xfId="3661" xr:uid="{00000000-0005-0000-0000-0000B0140000}"/>
    <cellStyle name="Normal 45 3_2.DATA" xfId="6059" xr:uid="{00000000-0005-0000-0000-0000B1140000}"/>
    <cellStyle name="Normal 45 4" xfId="3662" xr:uid="{00000000-0005-0000-0000-0000B2140000}"/>
    <cellStyle name="Normal 45_2.DATA" xfId="6057" xr:uid="{00000000-0005-0000-0000-0000B3140000}"/>
    <cellStyle name="Normal 46" xfId="3663" xr:uid="{00000000-0005-0000-0000-0000B4140000}"/>
    <cellStyle name="Normal 46 2" xfId="3664" xr:uid="{00000000-0005-0000-0000-0000B5140000}"/>
    <cellStyle name="Normal 46_2.DATA" xfId="6060" xr:uid="{00000000-0005-0000-0000-0000B6140000}"/>
    <cellStyle name="Normal 47" xfId="3665" xr:uid="{00000000-0005-0000-0000-0000B7140000}"/>
    <cellStyle name="Normal 47 2" xfId="3666" xr:uid="{00000000-0005-0000-0000-0000B8140000}"/>
    <cellStyle name="Normal 47_2.DATA" xfId="6061" xr:uid="{00000000-0005-0000-0000-0000B9140000}"/>
    <cellStyle name="Normal 48" xfId="3667" xr:uid="{00000000-0005-0000-0000-0000BA140000}"/>
    <cellStyle name="Normal 49" xfId="3668" xr:uid="{00000000-0005-0000-0000-0000BB140000}"/>
    <cellStyle name="Normal 49 2" xfId="3669" xr:uid="{00000000-0005-0000-0000-0000BC140000}"/>
    <cellStyle name="Normal 5" xfId="1083" xr:uid="{00000000-0005-0000-0000-0000BD140000}"/>
    <cellStyle name="Normal 5 2" xfId="1084" xr:uid="{00000000-0005-0000-0000-0000BE140000}"/>
    <cellStyle name="Normal 5 2 10" xfId="3670" xr:uid="{00000000-0005-0000-0000-0000BF140000}"/>
    <cellStyle name="Normal 5 2 2" xfId="1085" xr:uid="{00000000-0005-0000-0000-0000C0140000}"/>
    <cellStyle name="Normal 5 2 2 2" xfId="1086" xr:uid="{00000000-0005-0000-0000-0000C1140000}"/>
    <cellStyle name="Normal 5 2 2 2 2" xfId="1087" xr:uid="{00000000-0005-0000-0000-0000C2140000}"/>
    <cellStyle name="Normal 5 2 2 2 2 2" xfId="3671" xr:uid="{00000000-0005-0000-0000-0000C3140000}"/>
    <cellStyle name="Normal 5 2 2 2 2_2.DATA" xfId="6066" xr:uid="{00000000-0005-0000-0000-0000C4140000}"/>
    <cellStyle name="Normal 5 2 2 2 3" xfId="3672" xr:uid="{00000000-0005-0000-0000-0000C5140000}"/>
    <cellStyle name="Normal 5 2 2 2_2.DATA" xfId="6065" xr:uid="{00000000-0005-0000-0000-0000C6140000}"/>
    <cellStyle name="Normal 5 2 2 3" xfId="1088" xr:uid="{00000000-0005-0000-0000-0000C7140000}"/>
    <cellStyle name="Normal 5 2 2 3 2" xfId="1670" xr:uid="{00000000-0005-0000-0000-0000C8140000}"/>
    <cellStyle name="Normal 5 2 2 3 2 2" xfId="3673" xr:uid="{00000000-0005-0000-0000-0000C9140000}"/>
    <cellStyle name="Normal 5 2 2 3 2_2.DATA" xfId="6068" xr:uid="{00000000-0005-0000-0000-0000CA140000}"/>
    <cellStyle name="Normal 5 2 2 3 3" xfId="3674" xr:uid="{00000000-0005-0000-0000-0000CB140000}"/>
    <cellStyle name="Normal 5 2 2 3_2.DATA" xfId="6067" xr:uid="{00000000-0005-0000-0000-0000CC140000}"/>
    <cellStyle name="Normal 5 2 2 4" xfId="1585" xr:uid="{00000000-0005-0000-0000-0000CD140000}"/>
    <cellStyle name="Normal 5 2 2 4 2" xfId="3675" xr:uid="{00000000-0005-0000-0000-0000CE140000}"/>
    <cellStyle name="Normal 5 2 2 4_2.DATA" xfId="6069" xr:uid="{00000000-0005-0000-0000-0000CF140000}"/>
    <cellStyle name="Normal 5 2 2 5" xfId="3676" xr:uid="{00000000-0005-0000-0000-0000D0140000}"/>
    <cellStyle name="Normal 5 2 2_2.DATA" xfId="6064" xr:uid="{00000000-0005-0000-0000-0000D1140000}"/>
    <cellStyle name="Normal 5 2 3" xfId="1089" xr:uid="{00000000-0005-0000-0000-0000D2140000}"/>
    <cellStyle name="Normal 5 2 3 2" xfId="1090" xr:uid="{00000000-0005-0000-0000-0000D3140000}"/>
    <cellStyle name="Normal 5 2 3 2 2" xfId="3677" xr:uid="{00000000-0005-0000-0000-0000D4140000}"/>
    <cellStyle name="Normal 5 2 3 2 2 2" xfId="3678" xr:uid="{00000000-0005-0000-0000-0000D5140000}"/>
    <cellStyle name="Normal 5 2 3 2 2_2.DATA" xfId="6072" xr:uid="{00000000-0005-0000-0000-0000D6140000}"/>
    <cellStyle name="Normal 5 2 3 2 3" xfId="3679" xr:uid="{00000000-0005-0000-0000-0000D7140000}"/>
    <cellStyle name="Normal 5 2 3 2_2.DATA" xfId="6071" xr:uid="{00000000-0005-0000-0000-0000D8140000}"/>
    <cellStyle name="Normal 5 2 3 3" xfId="3680" xr:uid="{00000000-0005-0000-0000-0000D9140000}"/>
    <cellStyle name="Normal 5 2 3 3 2" xfId="3681" xr:uid="{00000000-0005-0000-0000-0000DA140000}"/>
    <cellStyle name="Normal 5 2 3 3 2 2" xfId="3682" xr:uid="{00000000-0005-0000-0000-0000DB140000}"/>
    <cellStyle name="Normal 5 2 3 3 2_2.DATA" xfId="6074" xr:uid="{00000000-0005-0000-0000-0000DC140000}"/>
    <cellStyle name="Normal 5 2 3 3 3" xfId="3683" xr:uid="{00000000-0005-0000-0000-0000DD140000}"/>
    <cellStyle name="Normal 5 2 3 3_2.DATA" xfId="6073" xr:uid="{00000000-0005-0000-0000-0000DE140000}"/>
    <cellStyle name="Normal 5 2 3 4" xfId="3684" xr:uid="{00000000-0005-0000-0000-0000DF140000}"/>
    <cellStyle name="Normal 5 2 3 4 2" xfId="3685" xr:uid="{00000000-0005-0000-0000-0000E0140000}"/>
    <cellStyle name="Normal 5 2 3 4_2.DATA" xfId="6075" xr:uid="{00000000-0005-0000-0000-0000E1140000}"/>
    <cellStyle name="Normal 5 2 3 5" xfId="3686" xr:uid="{00000000-0005-0000-0000-0000E2140000}"/>
    <cellStyle name="Normal 5 2 3_2.DATA" xfId="6070" xr:uid="{00000000-0005-0000-0000-0000E3140000}"/>
    <cellStyle name="Normal 5 2 4" xfId="1091" xr:uid="{00000000-0005-0000-0000-0000E4140000}"/>
    <cellStyle name="Normal 5 2 4 2" xfId="1654" xr:uid="{00000000-0005-0000-0000-0000E5140000}"/>
    <cellStyle name="Normal 5 2 4 2 2" xfId="3687" xr:uid="{00000000-0005-0000-0000-0000E6140000}"/>
    <cellStyle name="Normal 5 2 4 2 2 2" xfId="3688" xr:uid="{00000000-0005-0000-0000-0000E7140000}"/>
    <cellStyle name="Normal 5 2 4 2 2_2.DATA" xfId="6078" xr:uid="{00000000-0005-0000-0000-0000E8140000}"/>
    <cellStyle name="Normal 5 2 4 2 3" xfId="3689" xr:uid="{00000000-0005-0000-0000-0000E9140000}"/>
    <cellStyle name="Normal 5 2 4 2_2.DATA" xfId="6077" xr:uid="{00000000-0005-0000-0000-0000EA140000}"/>
    <cellStyle name="Normal 5 2 4 3" xfId="3690" xr:uid="{00000000-0005-0000-0000-0000EB140000}"/>
    <cellStyle name="Normal 5 2 4 3 2" xfId="3691" xr:uid="{00000000-0005-0000-0000-0000EC140000}"/>
    <cellStyle name="Normal 5 2 4 3_2.DATA" xfId="6079" xr:uid="{00000000-0005-0000-0000-0000ED140000}"/>
    <cellStyle name="Normal 5 2 4 4" xfId="3692" xr:uid="{00000000-0005-0000-0000-0000EE140000}"/>
    <cellStyle name="Normal 5 2 4_2.DATA" xfId="6076" xr:uid="{00000000-0005-0000-0000-0000EF140000}"/>
    <cellStyle name="Normal 5 2 5" xfId="1569" xr:uid="{00000000-0005-0000-0000-0000F0140000}"/>
    <cellStyle name="Normal 5 2 5 2" xfId="3693" xr:uid="{00000000-0005-0000-0000-0000F1140000}"/>
    <cellStyle name="Normal 5 2 5 2 2" xfId="3694" xr:uid="{00000000-0005-0000-0000-0000F2140000}"/>
    <cellStyle name="Normal 5 2 5 2_2.DATA" xfId="6081" xr:uid="{00000000-0005-0000-0000-0000F3140000}"/>
    <cellStyle name="Normal 5 2 5 3" xfId="3695" xr:uid="{00000000-0005-0000-0000-0000F4140000}"/>
    <cellStyle name="Normal 5 2 5_2.DATA" xfId="6080" xr:uid="{00000000-0005-0000-0000-0000F5140000}"/>
    <cellStyle name="Normal 5 2 6" xfId="3696" xr:uid="{00000000-0005-0000-0000-0000F6140000}"/>
    <cellStyle name="Normal 5 2 7" xfId="3697" xr:uid="{00000000-0005-0000-0000-0000F7140000}"/>
    <cellStyle name="Normal 5 2 8" xfId="3698" xr:uid="{00000000-0005-0000-0000-0000F8140000}"/>
    <cellStyle name="Normal 5 2 9" xfId="3699" xr:uid="{00000000-0005-0000-0000-0000F9140000}"/>
    <cellStyle name="Normal 5 2_2.DATA" xfId="6063" xr:uid="{00000000-0005-0000-0000-0000FA140000}"/>
    <cellStyle name="Normal 5 3" xfId="1092" xr:uid="{00000000-0005-0000-0000-0000FB140000}"/>
    <cellStyle name="Normal 5 3 2" xfId="1093" xr:uid="{00000000-0005-0000-0000-0000FC140000}"/>
    <cellStyle name="Normal 5 3 2 2" xfId="1094" xr:uid="{00000000-0005-0000-0000-0000FD140000}"/>
    <cellStyle name="Normal 5 3 2 2 2" xfId="1095" xr:uid="{00000000-0005-0000-0000-0000FE140000}"/>
    <cellStyle name="Normal 5 3 2 2 2 2" xfId="3700" xr:uid="{00000000-0005-0000-0000-0000FF140000}"/>
    <cellStyle name="Normal 5 3 2 2 2_2.DATA" xfId="6085" xr:uid="{00000000-0005-0000-0000-000000150000}"/>
    <cellStyle name="Normal 5 3 2 2 3" xfId="3701" xr:uid="{00000000-0005-0000-0000-000001150000}"/>
    <cellStyle name="Normal 5 3 2 2_2.DATA" xfId="6084" xr:uid="{00000000-0005-0000-0000-000002150000}"/>
    <cellStyle name="Normal 5 3 2 3" xfId="1096" xr:uid="{00000000-0005-0000-0000-000003150000}"/>
    <cellStyle name="Normal 5 3 2 3 2" xfId="3702" xr:uid="{00000000-0005-0000-0000-000004150000}"/>
    <cellStyle name="Normal 5 3 2 3_2.DATA" xfId="6086" xr:uid="{00000000-0005-0000-0000-000005150000}"/>
    <cellStyle name="Normal 5 3 2 4" xfId="3703" xr:uid="{00000000-0005-0000-0000-000006150000}"/>
    <cellStyle name="Normal 5 3 2_2.DATA" xfId="6083" xr:uid="{00000000-0005-0000-0000-000007150000}"/>
    <cellStyle name="Normal 5 3 3" xfId="1097" xr:uid="{00000000-0005-0000-0000-000008150000}"/>
    <cellStyle name="Normal 5 3 3 2" xfId="1098" xr:uid="{00000000-0005-0000-0000-000009150000}"/>
    <cellStyle name="Normal 5 3 3 2 2" xfId="3704" xr:uid="{00000000-0005-0000-0000-00000A150000}"/>
    <cellStyle name="Normal 5 3 3 2_2.DATA" xfId="6088" xr:uid="{00000000-0005-0000-0000-00000B150000}"/>
    <cellStyle name="Normal 5 3 3 3" xfId="3705" xr:uid="{00000000-0005-0000-0000-00000C150000}"/>
    <cellStyle name="Normal 5 3 3_2.DATA" xfId="6087" xr:uid="{00000000-0005-0000-0000-00000D150000}"/>
    <cellStyle name="Normal 5 3 4" xfId="1099" xr:uid="{00000000-0005-0000-0000-00000E150000}"/>
    <cellStyle name="Normal 5 3 4 2" xfId="3706" xr:uid="{00000000-0005-0000-0000-00000F150000}"/>
    <cellStyle name="Normal 5 3 4 2 2" xfId="3707" xr:uid="{00000000-0005-0000-0000-000010150000}"/>
    <cellStyle name="Normal 5 3 4 2_2.DATA" xfId="6090" xr:uid="{00000000-0005-0000-0000-000011150000}"/>
    <cellStyle name="Normal 5 3 4 3" xfId="3708" xr:uid="{00000000-0005-0000-0000-000012150000}"/>
    <cellStyle name="Normal 5 3 4_2.DATA" xfId="6089" xr:uid="{00000000-0005-0000-0000-000013150000}"/>
    <cellStyle name="Normal 5 3 5" xfId="3709" xr:uid="{00000000-0005-0000-0000-000014150000}"/>
    <cellStyle name="Normal 5 3 5 2" xfId="3710" xr:uid="{00000000-0005-0000-0000-000015150000}"/>
    <cellStyle name="Normal 5 3 5 2 2" xfId="3711" xr:uid="{00000000-0005-0000-0000-000016150000}"/>
    <cellStyle name="Normal 5 3 5 2_2.DATA" xfId="6092" xr:uid="{00000000-0005-0000-0000-000017150000}"/>
    <cellStyle name="Normal 5 3 5 3" xfId="3712" xr:uid="{00000000-0005-0000-0000-000018150000}"/>
    <cellStyle name="Normal 5 3 5_2.DATA" xfId="6091" xr:uid="{00000000-0005-0000-0000-000019150000}"/>
    <cellStyle name="Normal 5 3 6" xfId="3713" xr:uid="{00000000-0005-0000-0000-00001A150000}"/>
    <cellStyle name="Normal 5 3 6 2" xfId="3714" xr:uid="{00000000-0005-0000-0000-00001B150000}"/>
    <cellStyle name="Normal 5 3 6_2.DATA" xfId="6093" xr:uid="{00000000-0005-0000-0000-00001C150000}"/>
    <cellStyle name="Normal 5 3 7" xfId="3715" xr:uid="{00000000-0005-0000-0000-00001D150000}"/>
    <cellStyle name="Normal 5 3_2.DATA" xfId="6082" xr:uid="{00000000-0005-0000-0000-00001E150000}"/>
    <cellStyle name="Normal 5 4" xfId="1100" xr:uid="{00000000-0005-0000-0000-00001F150000}"/>
    <cellStyle name="Normal 5 4 2" xfId="1101" xr:uid="{00000000-0005-0000-0000-000020150000}"/>
    <cellStyle name="Normal 5 4 2 2" xfId="1102" xr:uid="{00000000-0005-0000-0000-000021150000}"/>
    <cellStyle name="Normal 5 4 2 2 2" xfId="1103" xr:uid="{00000000-0005-0000-0000-000022150000}"/>
    <cellStyle name="Normal 5 4 2 3" xfId="1104" xr:uid="{00000000-0005-0000-0000-000023150000}"/>
    <cellStyle name="Normal 5 4 2 4" xfId="4121" xr:uid="{00000000-0005-0000-0000-000024150000}"/>
    <cellStyle name="Normal 5 4 2_2.DATA" xfId="6095" xr:uid="{00000000-0005-0000-0000-000025150000}"/>
    <cellStyle name="Normal 5 4 3" xfId="1105" xr:uid="{00000000-0005-0000-0000-000026150000}"/>
    <cellStyle name="Normal 5 4 3 2" xfId="1106" xr:uid="{00000000-0005-0000-0000-000027150000}"/>
    <cellStyle name="Normal 5 4 3 3" xfId="4726" xr:uid="{00000000-0005-0000-0000-000028150000}"/>
    <cellStyle name="Normal 5 4 3 4" xfId="3716" xr:uid="{00000000-0005-0000-0000-000029150000}"/>
    <cellStyle name="Normal 5 4 4" xfId="1107" xr:uid="{00000000-0005-0000-0000-00002A150000}"/>
    <cellStyle name="Normal 5 4_2.DATA" xfId="6094" xr:uid="{00000000-0005-0000-0000-00002B150000}"/>
    <cellStyle name="Normal 5 5" xfId="1506" xr:uid="{00000000-0005-0000-0000-00002C150000}"/>
    <cellStyle name="Normal 5 5 2" xfId="1653" xr:uid="{00000000-0005-0000-0000-00002D150000}"/>
    <cellStyle name="Normal 5 5 2 2" xfId="4178" xr:uid="{00000000-0005-0000-0000-00002E150000}"/>
    <cellStyle name="Normal 5 5 2_2.DATA" xfId="6097" xr:uid="{00000000-0005-0000-0000-00002F150000}"/>
    <cellStyle name="Normal 5 5 3" xfId="3717" xr:uid="{00000000-0005-0000-0000-000030150000}"/>
    <cellStyle name="Normal 5 5_2.DATA" xfId="6096" xr:uid="{00000000-0005-0000-0000-000031150000}"/>
    <cellStyle name="Normal 5 6" xfId="1568" xr:uid="{00000000-0005-0000-0000-000032150000}"/>
    <cellStyle name="Normal 5 6 2" xfId="3718" xr:uid="{00000000-0005-0000-0000-000033150000}"/>
    <cellStyle name="Normal 5 6 3" xfId="3719" xr:uid="{00000000-0005-0000-0000-000034150000}"/>
    <cellStyle name="Normal 5 6_2.DATA" xfId="6098" xr:uid="{00000000-0005-0000-0000-000035150000}"/>
    <cellStyle name="Normal 5 7" xfId="3720" xr:uid="{00000000-0005-0000-0000-000036150000}"/>
    <cellStyle name="Normal 5 8" xfId="3721" xr:uid="{00000000-0005-0000-0000-000037150000}"/>
    <cellStyle name="Normal 5 9" xfId="4725" xr:uid="{00000000-0005-0000-0000-000038150000}"/>
    <cellStyle name="Normal 5_2.DATA" xfId="6062" xr:uid="{00000000-0005-0000-0000-000039150000}"/>
    <cellStyle name="Normal 50" xfId="3722" xr:uid="{00000000-0005-0000-0000-00003A150000}"/>
    <cellStyle name="Normal 51" xfId="3723" xr:uid="{00000000-0005-0000-0000-00003B150000}"/>
    <cellStyle name="Normal 52" xfId="3724" xr:uid="{00000000-0005-0000-0000-00003C150000}"/>
    <cellStyle name="Normal 53" xfId="3725" xr:uid="{00000000-0005-0000-0000-00003D150000}"/>
    <cellStyle name="Normal 54" xfId="3726" xr:uid="{00000000-0005-0000-0000-00003E150000}"/>
    <cellStyle name="Normal 55" xfId="3727" xr:uid="{00000000-0005-0000-0000-00003F150000}"/>
    <cellStyle name="Normal 56" xfId="3728" xr:uid="{00000000-0005-0000-0000-000040150000}"/>
    <cellStyle name="Normal 57" xfId="3729" xr:uid="{00000000-0005-0000-0000-000041150000}"/>
    <cellStyle name="Normal 57 2" xfId="3730" xr:uid="{00000000-0005-0000-0000-000042150000}"/>
    <cellStyle name="Normal 57_2.DATA" xfId="6099" xr:uid="{00000000-0005-0000-0000-000043150000}"/>
    <cellStyle name="Normal 58" xfId="3731" xr:uid="{00000000-0005-0000-0000-000044150000}"/>
    <cellStyle name="Normal 59" xfId="3732" xr:uid="{00000000-0005-0000-0000-000045150000}"/>
    <cellStyle name="Normal 6" xfId="1108" xr:uid="{00000000-0005-0000-0000-000046150000}"/>
    <cellStyle name="Normal 6 2" xfId="1109" xr:uid="{00000000-0005-0000-0000-000047150000}"/>
    <cellStyle name="Normal 6 2 10" xfId="3733" xr:uid="{00000000-0005-0000-0000-000048150000}"/>
    <cellStyle name="Normal 6 2 2" xfId="1110" xr:uid="{00000000-0005-0000-0000-000049150000}"/>
    <cellStyle name="Normal 6 2 2 2" xfId="1111" xr:uid="{00000000-0005-0000-0000-00004A150000}"/>
    <cellStyle name="Normal 6 2 2 2 2" xfId="1112" xr:uid="{00000000-0005-0000-0000-00004B150000}"/>
    <cellStyle name="Normal 6 2 2 2 2 2" xfId="3734" xr:uid="{00000000-0005-0000-0000-00004C150000}"/>
    <cellStyle name="Normal 6 2 2 2 2_2.DATA" xfId="6104" xr:uid="{00000000-0005-0000-0000-00004D150000}"/>
    <cellStyle name="Normal 6 2 2 2 3" xfId="3735" xr:uid="{00000000-0005-0000-0000-00004E150000}"/>
    <cellStyle name="Normal 6 2 2 2_2.DATA" xfId="6103" xr:uid="{00000000-0005-0000-0000-00004F150000}"/>
    <cellStyle name="Normal 6 2 2 3" xfId="1113" xr:uid="{00000000-0005-0000-0000-000050150000}"/>
    <cellStyle name="Normal 6 2 2 3 2" xfId="1671" xr:uid="{00000000-0005-0000-0000-000051150000}"/>
    <cellStyle name="Normal 6 2 2 3 2 2" xfId="3736" xr:uid="{00000000-0005-0000-0000-000052150000}"/>
    <cellStyle name="Normal 6 2 2 3 2_2.DATA" xfId="6106" xr:uid="{00000000-0005-0000-0000-000053150000}"/>
    <cellStyle name="Normal 6 2 2 3 3" xfId="3737" xr:uid="{00000000-0005-0000-0000-000054150000}"/>
    <cellStyle name="Normal 6 2 2 3_2.DATA" xfId="6105" xr:uid="{00000000-0005-0000-0000-000055150000}"/>
    <cellStyle name="Normal 6 2 2 4" xfId="1586" xr:uid="{00000000-0005-0000-0000-000056150000}"/>
    <cellStyle name="Normal 6 2 2 4 2" xfId="3738" xr:uid="{00000000-0005-0000-0000-000057150000}"/>
    <cellStyle name="Normal 6 2 2 4_2.DATA" xfId="6107" xr:uid="{00000000-0005-0000-0000-000058150000}"/>
    <cellStyle name="Normal 6 2 2 5" xfId="3739" xr:uid="{00000000-0005-0000-0000-000059150000}"/>
    <cellStyle name="Normal 6 2 2_2.DATA" xfId="6102" xr:uid="{00000000-0005-0000-0000-00005A150000}"/>
    <cellStyle name="Normal 6 2 3" xfId="1114" xr:uid="{00000000-0005-0000-0000-00005B150000}"/>
    <cellStyle name="Normal 6 2 3 2" xfId="1115" xr:uid="{00000000-0005-0000-0000-00005C150000}"/>
    <cellStyle name="Normal 6 2 3 2 2" xfId="3740" xr:uid="{00000000-0005-0000-0000-00005D150000}"/>
    <cellStyle name="Normal 6 2 3 2 2 2" xfId="3741" xr:uid="{00000000-0005-0000-0000-00005E150000}"/>
    <cellStyle name="Normal 6 2 3 2 2_2.DATA" xfId="6110" xr:uid="{00000000-0005-0000-0000-00005F150000}"/>
    <cellStyle name="Normal 6 2 3 2 3" xfId="3742" xr:uid="{00000000-0005-0000-0000-000060150000}"/>
    <cellStyle name="Normal 6 2 3 2_2.DATA" xfId="6109" xr:uid="{00000000-0005-0000-0000-000061150000}"/>
    <cellStyle name="Normal 6 2 3 3" xfId="3743" xr:uid="{00000000-0005-0000-0000-000062150000}"/>
    <cellStyle name="Normal 6 2 3 3 2" xfId="3744" xr:uid="{00000000-0005-0000-0000-000063150000}"/>
    <cellStyle name="Normal 6 2 3 3 2 2" xfId="3745" xr:uid="{00000000-0005-0000-0000-000064150000}"/>
    <cellStyle name="Normal 6 2 3 3 2_2.DATA" xfId="6112" xr:uid="{00000000-0005-0000-0000-000065150000}"/>
    <cellStyle name="Normal 6 2 3 3 3" xfId="3746" xr:uid="{00000000-0005-0000-0000-000066150000}"/>
    <cellStyle name="Normal 6 2 3 3_2.DATA" xfId="6111" xr:uid="{00000000-0005-0000-0000-000067150000}"/>
    <cellStyle name="Normal 6 2 3 4" xfId="3747" xr:uid="{00000000-0005-0000-0000-000068150000}"/>
    <cellStyle name="Normal 6 2 3 4 2" xfId="3748" xr:uid="{00000000-0005-0000-0000-000069150000}"/>
    <cellStyle name="Normal 6 2 3 4_2.DATA" xfId="6113" xr:uid="{00000000-0005-0000-0000-00006A150000}"/>
    <cellStyle name="Normal 6 2 3 5" xfId="3749" xr:uid="{00000000-0005-0000-0000-00006B150000}"/>
    <cellStyle name="Normal 6 2 3_2.DATA" xfId="6108" xr:uid="{00000000-0005-0000-0000-00006C150000}"/>
    <cellStyle name="Normal 6 2 4" xfId="1116" xr:uid="{00000000-0005-0000-0000-00006D150000}"/>
    <cellStyle name="Normal 6 2 4 2" xfId="1655" xr:uid="{00000000-0005-0000-0000-00006E150000}"/>
    <cellStyle name="Normal 6 2 4 2 2" xfId="3750" xr:uid="{00000000-0005-0000-0000-00006F150000}"/>
    <cellStyle name="Normal 6 2 4 2 2 2" xfId="3751" xr:uid="{00000000-0005-0000-0000-000070150000}"/>
    <cellStyle name="Normal 6 2 4 2 2_2.DATA" xfId="6116" xr:uid="{00000000-0005-0000-0000-000071150000}"/>
    <cellStyle name="Normal 6 2 4 2 3" xfId="3752" xr:uid="{00000000-0005-0000-0000-000072150000}"/>
    <cellStyle name="Normal 6 2 4 2_2.DATA" xfId="6115" xr:uid="{00000000-0005-0000-0000-000073150000}"/>
    <cellStyle name="Normal 6 2 4 3" xfId="3753" xr:uid="{00000000-0005-0000-0000-000074150000}"/>
    <cellStyle name="Normal 6 2 4 3 2" xfId="3754" xr:uid="{00000000-0005-0000-0000-000075150000}"/>
    <cellStyle name="Normal 6 2 4 3_2.DATA" xfId="6117" xr:uid="{00000000-0005-0000-0000-000076150000}"/>
    <cellStyle name="Normal 6 2 4 4" xfId="3755" xr:uid="{00000000-0005-0000-0000-000077150000}"/>
    <cellStyle name="Normal 6 2 4_2.DATA" xfId="6114" xr:uid="{00000000-0005-0000-0000-000078150000}"/>
    <cellStyle name="Normal 6 2 5" xfId="1570" xr:uid="{00000000-0005-0000-0000-000079150000}"/>
    <cellStyle name="Normal 6 2 5 2" xfId="3756" xr:uid="{00000000-0005-0000-0000-00007A150000}"/>
    <cellStyle name="Normal 6 2 5 2 2" xfId="3757" xr:uid="{00000000-0005-0000-0000-00007B150000}"/>
    <cellStyle name="Normal 6 2 5 2_2.DATA" xfId="6119" xr:uid="{00000000-0005-0000-0000-00007C150000}"/>
    <cellStyle name="Normal 6 2 5 3" xfId="3758" xr:uid="{00000000-0005-0000-0000-00007D150000}"/>
    <cellStyle name="Normal 6 2 5_2.DATA" xfId="6118" xr:uid="{00000000-0005-0000-0000-00007E150000}"/>
    <cellStyle name="Normal 6 2 6" xfId="3759" xr:uid="{00000000-0005-0000-0000-00007F150000}"/>
    <cellStyle name="Normal 6 2 7" xfId="3760" xr:uid="{00000000-0005-0000-0000-000080150000}"/>
    <cellStyle name="Normal 6 2 8" xfId="3761" xr:uid="{00000000-0005-0000-0000-000081150000}"/>
    <cellStyle name="Normal 6 2 9" xfId="3762" xr:uid="{00000000-0005-0000-0000-000082150000}"/>
    <cellStyle name="Normal 6 2_2.DATA" xfId="6101" xr:uid="{00000000-0005-0000-0000-000083150000}"/>
    <cellStyle name="Normal 6 3" xfId="1117" xr:uid="{00000000-0005-0000-0000-000084150000}"/>
    <cellStyle name="Normal 6 3 2" xfId="1118" xr:uid="{00000000-0005-0000-0000-000085150000}"/>
    <cellStyle name="Normal 6 3 2 2" xfId="1119" xr:uid="{00000000-0005-0000-0000-000086150000}"/>
    <cellStyle name="Normal 6 3 2 2 2" xfId="1120" xr:uid="{00000000-0005-0000-0000-000087150000}"/>
    <cellStyle name="Normal 6 3 2 2 3" xfId="3763" xr:uid="{00000000-0005-0000-0000-000088150000}"/>
    <cellStyle name="Normal 6 3 2 2_2.DATA" xfId="6122" xr:uid="{00000000-0005-0000-0000-000089150000}"/>
    <cellStyle name="Normal 6 3 2 3" xfId="1121" xr:uid="{00000000-0005-0000-0000-00008A150000}"/>
    <cellStyle name="Normal 6 3 2 3 2" xfId="3764" xr:uid="{00000000-0005-0000-0000-00008B150000}"/>
    <cellStyle name="Normal 6 3 2 3 2 2" xfId="3765" xr:uid="{00000000-0005-0000-0000-00008C150000}"/>
    <cellStyle name="Normal 6 3 2 3 2_2.DATA" xfId="6124" xr:uid="{00000000-0005-0000-0000-00008D150000}"/>
    <cellStyle name="Normal 6 3 2 3 3" xfId="3766" xr:uid="{00000000-0005-0000-0000-00008E150000}"/>
    <cellStyle name="Normal 6 3 2 3_2.DATA" xfId="6123" xr:uid="{00000000-0005-0000-0000-00008F150000}"/>
    <cellStyle name="Normal 6 3 2 4" xfId="3767" xr:uid="{00000000-0005-0000-0000-000090150000}"/>
    <cellStyle name="Normal 6 3 2 5" xfId="3768" xr:uid="{00000000-0005-0000-0000-000091150000}"/>
    <cellStyle name="Normal 6 3 2 5 2" xfId="3769" xr:uid="{00000000-0005-0000-0000-000092150000}"/>
    <cellStyle name="Normal 6 3 2 5_2.DATA" xfId="6125" xr:uid="{00000000-0005-0000-0000-000093150000}"/>
    <cellStyle name="Normal 6 3 2 6" xfId="3770" xr:uid="{00000000-0005-0000-0000-000094150000}"/>
    <cellStyle name="Normal 6 3 2_2.DATA" xfId="6121" xr:uid="{00000000-0005-0000-0000-000095150000}"/>
    <cellStyle name="Normal 6 3 3" xfId="1122" xr:uid="{00000000-0005-0000-0000-000096150000}"/>
    <cellStyle name="Normal 6 3 3 2" xfId="1123" xr:uid="{00000000-0005-0000-0000-000097150000}"/>
    <cellStyle name="Normal 6 3 3 2 2" xfId="3771" xr:uid="{00000000-0005-0000-0000-000098150000}"/>
    <cellStyle name="Normal 6 3 3 2_2.DATA" xfId="6127" xr:uid="{00000000-0005-0000-0000-000099150000}"/>
    <cellStyle name="Normal 6 3 3 3" xfId="3772" xr:uid="{00000000-0005-0000-0000-00009A150000}"/>
    <cellStyle name="Normal 6 3 3_2.DATA" xfId="6126" xr:uid="{00000000-0005-0000-0000-00009B150000}"/>
    <cellStyle name="Normal 6 3 4" xfId="1124" xr:uid="{00000000-0005-0000-0000-00009C150000}"/>
    <cellStyle name="Normal 6 3 4 2" xfId="3773" xr:uid="{00000000-0005-0000-0000-00009D150000}"/>
    <cellStyle name="Normal 6 3 4 2 2" xfId="3774" xr:uid="{00000000-0005-0000-0000-00009E150000}"/>
    <cellStyle name="Normal 6 3 4 2_2.DATA" xfId="6129" xr:uid="{00000000-0005-0000-0000-00009F150000}"/>
    <cellStyle name="Normal 6 3 4 3" xfId="3775" xr:uid="{00000000-0005-0000-0000-0000A0150000}"/>
    <cellStyle name="Normal 6 3 4_2.DATA" xfId="6128" xr:uid="{00000000-0005-0000-0000-0000A1150000}"/>
    <cellStyle name="Normal 6 3 5" xfId="3776" xr:uid="{00000000-0005-0000-0000-0000A2150000}"/>
    <cellStyle name="Normal 6 3 5 2" xfId="3777" xr:uid="{00000000-0005-0000-0000-0000A3150000}"/>
    <cellStyle name="Normal 6 3 5 2 2" xfId="3778" xr:uid="{00000000-0005-0000-0000-0000A4150000}"/>
    <cellStyle name="Normal 6 3 5 2_2.DATA" xfId="6131" xr:uid="{00000000-0005-0000-0000-0000A5150000}"/>
    <cellStyle name="Normal 6 3 5 3" xfId="3779" xr:uid="{00000000-0005-0000-0000-0000A6150000}"/>
    <cellStyle name="Normal 6 3 5_2.DATA" xfId="6130" xr:uid="{00000000-0005-0000-0000-0000A7150000}"/>
    <cellStyle name="Normal 6 3 6" xfId="3780" xr:uid="{00000000-0005-0000-0000-0000A8150000}"/>
    <cellStyle name="Normal 6 3 6 2" xfId="3781" xr:uid="{00000000-0005-0000-0000-0000A9150000}"/>
    <cellStyle name="Normal 6 3 6_2.DATA" xfId="6132" xr:uid="{00000000-0005-0000-0000-0000AA150000}"/>
    <cellStyle name="Normal 6 3 7" xfId="3782" xr:uid="{00000000-0005-0000-0000-0000AB150000}"/>
    <cellStyle name="Normal 6 3_2.DATA" xfId="6120" xr:uid="{00000000-0005-0000-0000-0000AC150000}"/>
    <cellStyle name="Normal 6 4" xfId="1125" xr:uid="{00000000-0005-0000-0000-0000AD150000}"/>
    <cellStyle name="Normal 6 4 2" xfId="1126" xr:uid="{00000000-0005-0000-0000-0000AE150000}"/>
    <cellStyle name="Normal 6 4 2 2" xfId="1127" xr:uid="{00000000-0005-0000-0000-0000AF150000}"/>
    <cellStyle name="Normal 6 4 2 3" xfId="4122" xr:uid="{00000000-0005-0000-0000-0000B0150000}"/>
    <cellStyle name="Normal 6 4 2_2.DATA" xfId="6134" xr:uid="{00000000-0005-0000-0000-0000B1150000}"/>
    <cellStyle name="Normal 6 4 3" xfId="1128" xr:uid="{00000000-0005-0000-0000-0000B2150000}"/>
    <cellStyle name="Normal 6 4 3 2" xfId="4727" xr:uid="{00000000-0005-0000-0000-0000B3150000}"/>
    <cellStyle name="Normal 6 4 3 3" xfId="3783" xr:uid="{00000000-0005-0000-0000-0000B4150000}"/>
    <cellStyle name="Normal 6 4_2.DATA" xfId="6133" xr:uid="{00000000-0005-0000-0000-0000B5150000}"/>
    <cellStyle name="Normal 6 5" xfId="1129" xr:uid="{00000000-0005-0000-0000-0000B6150000}"/>
    <cellStyle name="Normal 6 5 2" xfId="1130" xr:uid="{00000000-0005-0000-0000-0000B7150000}"/>
    <cellStyle name="Normal 6 5 2 2" xfId="4179" xr:uid="{00000000-0005-0000-0000-0000B8150000}"/>
    <cellStyle name="Normal 6 5 2_2.DATA" xfId="6136" xr:uid="{00000000-0005-0000-0000-0000B9150000}"/>
    <cellStyle name="Normal 6 5 3" xfId="3784" xr:uid="{00000000-0005-0000-0000-0000BA150000}"/>
    <cellStyle name="Normal 6 5_2.DATA" xfId="6135" xr:uid="{00000000-0005-0000-0000-0000BB150000}"/>
    <cellStyle name="Normal 6 6" xfId="1131" xr:uid="{00000000-0005-0000-0000-0000BC150000}"/>
    <cellStyle name="Normal 6 6 2" xfId="3785" xr:uid="{00000000-0005-0000-0000-0000BD150000}"/>
    <cellStyle name="Normal 6 6 3" xfId="3786" xr:uid="{00000000-0005-0000-0000-0000BE150000}"/>
    <cellStyle name="Normal 6 6_2.DATA" xfId="6137" xr:uid="{00000000-0005-0000-0000-0000BF150000}"/>
    <cellStyle name="Normal 6 7" xfId="3787" xr:uid="{00000000-0005-0000-0000-0000C0150000}"/>
    <cellStyle name="Normal 6 8" xfId="3788" xr:uid="{00000000-0005-0000-0000-0000C1150000}"/>
    <cellStyle name="Normal 6_2.DATA" xfId="6100" xr:uid="{00000000-0005-0000-0000-0000C2150000}"/>
    <cellStyle name="Normal 60" xfId="3789" xr:uid="{00000000-0005-0000-0000-0000C3150000}"/>
    <cellStyle name="Normal 61" xfId="3790" xr:uid="{00000000-0005-0000-0000-0000C4150000}"/>
    <cellStyle name="Normal 62" xfId="1394" xr:uid="{00000000-0005-0000-0000-0000C5150000}"/>
    <cellStyle name="Normal 63" xfId="6262" xr:uid="{00000000-0005-0000-0000-0000C6150000}"/>
    <cellStyle name="Normal 7" xfId="1132" xr:uid="{00000000-0005-0000-0000-0000C7150000}"/>
    <cellStyle name="Normal 7 2" xfId="1133" xr:uid="{00000000-0005-0000-0000-0000C8150000}"/>
    <cellStyle name="Normal 7 2 2" xfId="1134" xr:uid="{00000000-0005-0000-0000-0000C9150000}"/>
    <cellStyle name="Normal 7 2 2 2" xfId="1135" xr:uid="{00000000-0005-0000-0000-0000CA150000}"/>
    <cellStyle name="Normal 7 2 2 2 2" xfId="1136" xr:uid="{00000000-0005-0000-0000-0000CB150000}"/>
    <cellStyle name="Normal 7 2 2 2 2 2" xfId="3791" xr:uid="{00000000-0005-0000-0000-0000CC150000}"/>
    <cellStyle name="Normal 7 2 2 2 2_2.DATA" xfId="6142" xr:uid="{00000000-0005-0000-0000-0000CD150000}"/>
    <cellStyle name="Normal 7 2 2 2 3" xfId="3792" xr:uid="{00000000-0005-0000-0000-0000CE150000}"/>
    <cellStyle name="Normal 7 2 2 2_2.DATA" xfId="6141" xr:uid="{00000000-0005-0000-0000-0000CF150000}"/>
    <cellStyle name="Normal 7 2 2 3" xfId="1137" xr:uid="{00000000-0005-0000-0000-0000D0150000}"/>
    <cellStyle name="Normal 7 2 2 3 2" xfId="3793" xr:uid="{00000000-0005-0000-0000-0000D1150000}"/>
    <cellStyle name="Normal 7 2 2 3 2 2" xfId="3794" xr:uid="{00000000-0005-0000-0000-0000D2150000}"/>
    <cellStyle name="Normal 7 2 2 3 2_2.DATA" xfId="6144" xr:uid="{00000000-0005-0000-0000-0000D3150000}"/>
    <cellStyle name="Normal 7 2 2 3 3" xfId="3795" xr:uid="{00000000-0005-0000-0000-0000D4150000}"/>
    <cellStyle name="Normal 7 2 2 3_2.DATA" xfId="6143" xr:uid="{00000000-0005-0000-0000-0000D5150000}"/>
    <cellStyle name="Normal 7 2 2 4" xfId="3796" xr:uid="{00000000-0005-0000-0000-0000D6150000}"/>
    <cellStyle name="Normal 7 2 2 4 2" xfId="3797" xr:uid="{00000000-0005-0000-0000-0000D7150000}"/>
    <cellStyle name="Normal 7 2 2 4_2.DATA" xfId="6145" xr:uid="{00000000-0005-0000-0000-0000D8150000}"/>
    <cellStyle name="Normal 7 2 2 5" xfId="3798" xr:uid="{00000000-0005-0000-0000-0000D9150000}"/>
    <cellStyle name="Normal 7 2 2_2.DATA" xfId="6140" xr:uid="{00000000-0005-0000-0000-0000DA150000}"/>
    <cellStyle name="Normal 7 2 3" xfId="1138" xr:uid="{00000000-0005-0000-0000-0000DB150000}"/>
    <cellStyle name="Normal 7 2 3 2" xfId="1139" xr:uid="{00000000-0005-0000-0000-0000DC150000}"/>
    <cellStyle name="Normal 7 2 3 2 2" xfId="3799" xr:uid="{00000000-0005-0000-0000-0000DD150000}"/>
    <cellStyle name="Normal 7 2 3 2 2 2" xfId="3800" xr:uid="{00000000-0005-0000-0000-0000DE150000}"/>
    <cellStyle name="Normal 7 2 3 2 2_2.DATA" xfId="6148" xr:uid="{00000000-0005-0000-0000-0000DF150000}"/>
    <cellStyle name="Normal 7 2 3 2 3" xfId="3801" xr:uid="{00000000-0005-0000-0000-0000E0150000}"/>
    <cellStyle name="Normal 7 2 3 2_2.DATA" xfId="6147" xr:uid="{00000000-0005-0000-0000-0000E1150000}"/>
    <cellStyle name="Normal 7 2 3 3" xfId="3802" xr:uid="{00000000-0005-0000-0000-0000E2150000}"/>
    <cellStyle name="Normal 7 2 3 3 2" xfId="3803" xr:uid="{00000000-0005-0000-0000-0000E3150000}"/>
    <cellStyle name="Normal 7 2 3 3 2 2" xfId="3804" xr:uid="{00000000-0005-0000-0000-0000E4150000}"/>
    <cellStyle name="Normal 7 2 3 3 2_2.DATA" xfId="6150" xr:uid="{00000000-0005-0000-0000-0000E5150000}"/>
    <cellStyle name="Normal 7 2 3 3 3" xfId="3805" xr:uid="{00000000-0005-0000-0000-0000E6150000}"/>
    <cellStyle name="Normal 7 2 3 3_2.DATA" xfId="6149" xr:uid="{00000000-0005-0000-0000-0000E7150000}"/>
    <cellStyle name="Normal 7 2 3 4" xfId="3806" xr:uid="{00000000-0005-0000-0000-0000E8150000}"/>
    <cellStyle name="Normal 7 2 3 4 2" xfId="3807" xr:uid="{00000000-0005-0000-0000-0000E9150000}"/>
    <cellStyle name="Normal 7 2 3 4_2.DATA" xfId="6151" xr:uid="{00000000-0005-0000-0000-0000EA150000}"/>
    <cellStyle name="Normal 7 2 3 5" xfId="3808" xr:uid="{00000000-0005-0000-0000-0000EB150000}"/>
    <cellStyle name="Normal 7 2 3_2.DATA" xfId="6146" xr:uid="{00000000-0005-0000-0000-0000EC150000}"/>
    <cellStyle name="Normal 7 2 4" xfId="1140" xr:uid="{00000000-0005-0000-0000-0000ED150000}"/>
    <cellStyle name="Normal 7 2 4 2" xfId="3809" xr:uid="{00000000-0005-0000-0000-0000EE150000}"/>
    <cellStyle name="Normal 7 2 4 2 2" xfId="3810" xr:uid="{00000000-0005-0000-0000-0000EF150000}"/>
    <cellStyle name="Normal 7 2 4 2 2 2" xfId="3811" xr:uid="{00000000-0005-0000-0000-0000F0150000}"/>
    <cellStyle name="Normal 7 2 4 2 2_2.DATA" xfId="6154" xr:uid="{00000000-0005-0000-0000-0000F1150000}"/>
    <cellStyle name="Normal 7 2 4 2 3" xfId="3812" xr:uid="{00000000-0005-0000-0000-0000F2150000}"/>
    <cellStyle name="Normal 7 2 4 2_2.DATA" xfId="6153" xr:uid="{00000000-0005-0000-0000-0000F3150000}"/>
    <cellStyle name="Normal 7 2 4 3" xfId="3813" xr:uid="{00000000-0005-0000-0000-0000F4150000}"/>
    <cellStyle name="Normal 7 2 4 3 2" xfId="3814" xr:uid="{00000000-0005-0000-0000-0000F5150000}"/>
    <cellStyle name="Normal 7 2 4 3_2.DATA" xfId="6155" xr:uid="{00000000-0005-0000-0000-0000F6150000}"/>
    <cellStyle name="Normal 7 2 4 4" xfId="3815" xr:uid="{00000000-0005-0000-0000-0000F7150000}"/>
    <cellStyle name="Normal 7 2 4_2.DATA" xfId="6152" xr:uid="{00000000-0005-0000-0000-0000F8150000}"/>
    <cellStyle name="Normal 7 2 5" xfId="3816" xr:uid="{00000000-0005-0000-0000-0000F9150000}"/>
    <cellStyle name="Normal 7 2 5 2" xfId="3817" xr:uid="{00000000-0005-0000-0000-0000FA150000}"/>
    <cellStyle name="Normal 7 2 5 2 2" xfId="3818" xr:uid="{00000000-0005-0000-0000-0000FB150000}"/>
    <cellStyle name="Normal 7 2 5 2_2.DATA" xfId="6157" xr:uid="{00000000-0005-0000-0000-0000FC150000}"/>
    <cellStyle name="Normal 7 2 5 3" xfId="3819" xr:uid="{00000000-0005-0000-0000-0000FD150000}"/>
    <cellStyle name="Normal 7 2 5_2.DATA" xfId="6156" xr:uid="{00000000-0005-0000-0000-0000FE150000}"/>
    <cellStyle name="Normal 7 2 6" xfId="3820" xr:uid="{00000000-0005-0000-0000-0000FF150000}"/>
    <cellStyle name="Normal 7 2 7" xfId="4018" xr:uid="{00000000-0005-0000-0000-000000160000}"/>
    <cellStyle name="Normal 7 2_2.DATA" xfId="6139" xr:uid="{00000000-0005-0000-0000-000001160000}"/>
    <cellStyle name="Normal 7 3" xfId="1141" xr:uid="{00000000-0005-0000-0000-000002160000}"/>
    <cellStyle name="Normal 7 3 2" xfId="1142" xr:uid="{00000000-0005-0000-0000-000003160000}"/>
    <cellStyle name="Normal 7 3 2 2" xfId="1143" xr:uid="{00000000-0005-0000-0000-000004160000}"/>
    <cellStyle name="Normal 7 3 2 2 2" xfId="1144" xr:uid="{00000000-0005-0000-0000-000005160000}"/>
    <cellStyle name="Normal 7 3 2 2 2 2" xfId="3821" xr:uid="{00000000-0005-0000-0000-000006160000}"/>
    <cellStyle name="Normal 7 3 2 2 2_2.DATA" xfId="6161" xr:uid="{00000000-0005-0000-0000-000007160000}"/>
    <cellStyle name="Normal 7 3 2 2 3" xfId="3822" xr:uid="{00000000-0005-0000-0000-000008160000}"/>
    <cellStyle name="Normal 7 3 2 2_2.DATA" xfId="6160" xr:uid="{00000000-0005-0000-0000-000009160000}"/>
    <cellStyle name="Normal 7 3 2 3" xfId="1145" xr:uid="{00000000-0005-0000-0000-00000A160000}"/>
    <cellStyle name="Normal 7 3 2 3 2" xfId="3823" xr:uid="{00000000-0005-0000-0000-00000B160000}"/>
    <cellStyle name="Normal 7 3 2 3_2.DATA" xfId="6162" xr:uid="{00000000-0005-0000-0000-00000C160000}"/>
    <cellStyle name="Normal 7 3 2 4" xfId="3824" xr:uid="{00000000-0005-0000-0000-00000D160000}"/>
    <cellStyle name="Normal 7 3 2_2.DATA" xfId="6159" xr:uid="{00000000-0005-0000-0000-00000E160000}"/>
    <cellStyle name="Normal 7 3 3" xfId="1146" xr:uid="{00000000-0005-0000-0000-00000F160000}"/>
    <cellStyle name="Normal 7 3 3 2" xfId="1147" xr:uid="{00000000-0005-0000-0000-000010160000}"/>
    <cellStyle name="Normal 7 3 3 2 2" xfId="3825" xr:uid="{00000000-0005-0000-0000-000011160000}"/>
    <cellStyle name="Normal 7 3 3 2_2.DATA" xfId="6164" xr:uid="{00000000-0005-0000-0000-000012160000}"/>
    <cellStyle name="Normal 7 3 3 3" xfId="3826" xr:uid="{00000000-0005-0000-0000-000013160000}"/>
    <cellStyle name="Normal 7 3 3_2.DATA" xfId="6163" xr:uid="{00000000-0005-0000-0000-000014160000}"/>
    <cellStyle name="Normal 7 3 4" xfId="1148" xr:uid="{00000000-0005-0000-0000-000015160000}"/>
    <cellStyle name="Normal 7 3 4 2" xfId="3827" xr:uid="{00000000-0005-0000-0000-000016160000}"/>
    <cellStyle name="Normal 7 3 4 2 2" xfId="3828" xr:uid="{00000000-0005-0000-0000-000017160000}"/>
    <cellStyle name="Normal 7 3 4 2_2.DATA" xfId="6166" xr:uid="{00000000-0005-0000-0000-000018160000}"/>
    <cellStyle name="Normal 7 3 4 3" xfId="3829" xr:uid="{00000000-0005-0000-0000-000019160000}"/>
    <cellStyle name="Normal 7 3 4_2.DATA" xfId="6165" xr:uid="{00000000-0005-0000-0000-00001A160000}"/>
    <cellStyle name="Normal 7 3 5" xfId="3830" xr:uid="{00000000-0005-0000-0000-00001B160000}"/>
    <cellStyle name="Normal 7 3 5 2" xfId="3831" xr:uid="{00000000-0005-0000-0000-00001C160000}"/>
    <cellStyle name="Normal 7 3 5 2 2" xfId="3832" xr:uid="{00000000-0005-0000-0000-00001D160000}"/>
    <cellStyle name="Normal 7 3 5 2_2.DATA" xfId="6168" xr:uid="{00000000-0005-0000-0000-00001E160000}"/>
    <cellStyle name="Normal 7 3 5 3" xfId="3833" xr:uid="{00000000-0005-0000-0000-00001F160000}"/>
    <cellStyle name="Normal 7 3 5_2.DATA" xfId="6167" xr:uid="{00000000-0005-0000-0000-000020160000}"/>
    <cellStyle name="Normal 7 3 6" xfId="3834" xr:uid="{00000000-0005-0000-0000-000021160000}"/>
    <cellStyle name="Normal 7 3 6 2" xfId="3835" xr:uid="{00000000-0005-0000-0000-000022160000}"/>
    <cellStyle name="Normal 7 3 6_2.DATA" xfId="6169" xr:uid="{00000000-0005-0000-0000-000023160000}"/>
    <cellStyle name="Normal 7 3 7" xfId="3836" xr:uid="{00000000-0005-0000-0000-000024160000}"/>
    <cellStyle name="Normal 7 3_2.DATA" xfId="6158" xr:uid="{00000000-0005-0000-0000-000025160000}"/>
    <cellStyle name="Normal 7 4" xfId="1149" xr:uid="{00000000-0005-0000-0000-000026160000}"/>
    <cellStyle name="Normal 7 4 2" xfId="1150" xr:uid="{00000000-0005-0000-0000-000027160000}"/>
    <cellStyle name="Normal 7 4 2 2" xfId="1151" xr:uid="{00000000-0005-0000-0000-000028160000}"/>
    <cellStyle name="Normal 7 4 2 3" xfId="4180" xr:uid="{00000000-0005-0000-0000-000029160000}"/>
    <cellStyle name="Normal 7 4 2_2.DATA" xfId="6171" xr:uid="{00000000-0005-0000-0000-00002A160000}"/>
    <cellStyle name="Normal 7 4 3" xfId="1152" xr:uid="{00000000-0005-0000-0000-00002B160000}"/>
    <cellStyle name="Normal 7 4 3 2" xfId="4728" xr:uid="{00000000-0005-0000-0000-00002C160000}"/>
    <cellStyle name="Normal 7 4 3 3" xfId="3837" xr:uid="{00000000-0005-0000-0000-00002D160000}"/>
    <cellStyle name="Normal 7 4_2.DATA" xfId="6170" xr:uid="{00000000-0005-0000-0000-00002E160000}"/>
    <cellStyle name="Normal 7 5" xfId="1153" xr:uid="{00000000-0005-0000-0000-00002F160000}"/>
    <cellStyle name="Normal 7 5 2" xfId="1154" xr:uid="{00000000-0005-0000-0000-000030160000}"/>
    <cellStyle name="Normal 7 5 3" xfId="4431" xr:uid="{00000000-0005-0000-0000-000031160000}"/>
    <cellStyle name="Normal 7 5_2.DATA" xfId="6172" xr:uid="{00000000-0005-0000-0000-000032160000}"/>
    <cellStyle name="Normal 7 6" xfId="1155" xr:uid="{00000000-0005-0000-0000-000033160000}"/>
    <cellStyle name="Normal 7_2.DATA" xfId="6138" xr:uid="{00000000-0005-0000-0000-000034160000}"/>
    <cellStyle name="Normal 8" xfId="1156" xr:uid="{00000000-0005-0000-0000-000035160000}"/>
    <cellStyle name="Normal 8 2" xfId="1157" xr:uid="{00000000-0005-0000-0000-000036160000}"/>
    <cellStyle name="Normal 8 2 2" xfId="1158" xr:uid="{00000000-0005-0000-0000-000037160000}"/>
    <cellStyle name="Normal 8 2 2 2" xfId="1159" xr:uid="{00000000-0005-0000-0000-000038160000}"/>
    <cellStyle name="Normal 8 2 2 2 2" xfId="1160" xr:uid="{00000000-0005-0000-0000-000039160000}"/>
    <cellStyle name="Normal 8 2 2 2 2 2" xfId="3838" xr:uid="{00000000-0005-0000-0000-00003A160000}"/>
    <cellStyle name="Normal 8 2 2 2 2_2.DATA" xfId="6177" xr:uid="{00000000-0005-0000-0000-00003B160000}"/>
    <cellStyle name="Normal 8 2 2 2 3" xfId="3839" xr:uid="{00000000-0005-0000-0000-00003C160000}"/>
    <cellStyle name="Normal 8 2 2 2_2.DATA" xfId="6176" xr:uid="{00000000-0005-0000-0000-00003D160000}"/>
    <cellStyle name="Normal 8 2 2 3" xfId="1161" xr:uid="{00000000-0005-0000-0000-00003E160000}"/>
    <cellStyle name="Normal 8 2 2 3 2" xfId="3840" xr:uid="{00000000-0005-0000-0000-00003F160000}"/>
    <cellStyle name="Normal 8 2 2 3 2 2" xfId="3841" xr:uid="{00000000-0005-0000-0000-000040160000}"/>
    <cellStyle name="Normal 8 2 2 3 2_2.DATA" xfId="6179" xr:uid="{00000000-0005-0000-0000-000041160000}"/>
    <cellStyle name="Normal 8 2 2 3 3" xfId="3842" xr:uid="{00000000-0005-0000-0000-000042160000}"/>
    <cellStyle name="Normal 8 2 2 3_2.DATA" xfId="6178" xr:uid="{00000000-0005-0000-0000-000043160000}"/>
    <cellStyle name="Normal 8 2 2 4" xfId="3843" xr:uid="{00000000-0005-0000-0000-000044160000}"/>
    <cellStyle name="Normal 8 2 2 4 2" xfId="3844" xr:uid="{00000000-0005-0000-0000-000045160000}"/>
    <cellStyle name="Normal 8 2 2 4_2.DATA" xfId="6180" xr:uid="{00000000-0005-0000-0000-000046160000}"/>
    <cellStyle name="Normal 8 2 2 5" xfId="3845" xr:uid="{00000000-0005-0000-0000-000047160000}"/>
    <cellStyle name="Normal 8 2 2_2.DATA" xfId="6175" xr:uid="{00000000-0005-0000-0000-000048160000}"/>
    <cellStyle name="Normal 8 2 3" xfId="1162" xr:uid="{00000000-0005-0000-0000-000049160000}"/>
    <cellStyle name="Normal 8 2 3 2" xfId="1163" xr:uid="{00000000-0005-0000-0000-00004A160000}"/>
    <cellStyle name="Normal 8 2 3 2 2" xfId="3846" xr:uid="{00000000-0005-0000-0000-00004B160000}"/>
    <cellStyle name="Normal 8 2 3 2 2 2" xfId="3847" xr:uid="{00000000-0005-0000-0000-00004C160000}"/>
    <cellStyle name="Normal 8 2 3 2 2_2.DATA" xfId="6183" xr:uid="{00000000-0005-0000-0000-00004D160000}"/>
    <cellStyle name="Normal 8 2 3 2 3" xfId="3848" xr:uid="{00000000-0005-0000-0000-00004E160000}"/>
    <cellStyle name="Normal 8 2 3 2_2.DATA" xfId="6182" xr:uid="{00000000-0005-0000-0000-00004F160000}"/>
    <cellStyle name="Normal 8 2 3 3" xfId="3849" xr:uid="{00000000-0005-0000-0000-000050160000}"/>
    <cellStyle name="Normal 8 2 3 3 2" xfId="3850" xr:uid="{00000000-0005-0000-0000-000051160000}"/>
    <cellStyle name="Normal 8 2 3 3 2 2" xfId="3851" xr:uid="{00000000-0005-0000-0000-000052160000}"/>
    <cellStyle name="Normal 8 2 3 3 2_2.DATA" xfId="6185" xr:uid="{00000000-0005-0000-0000-000053160000}"/>
    <cellStyle name="Normal 8 2 3 3 3" xfId="3852" xr:uid="{00000000-0005-0000-0000-000054160000}"/>
    <cellStyle name="Normal 8 2 3 3_2.DATA" xfId="6184" xr:uid="{00000000-0005-0000-0000-000055160000}"/>
    <cellStyle name="Normal 8 2 3 4" xfId="3853" xr:uid="{00000000-0005-0000-0000-000056160000}"/>
    <cellStyle name="Normal 8 2 3 4 2" xfId="3854" xr:uid="{00000000-0005-0000-0000-000057160000}"/>
    <cellStyle name="Normal 8 2 3 4_2.DATA" xfId="6186" xr:uid="{00000000-0005-0000-0000-000058160000}"/>
    <cellStyle name="Normal 8 2 3 5" xfId="3855" xr:uid="{00000000-0005-0000-0000-000059160000}"/>
    <cellStyle name="Normal 8 2 3_2.DATA" xfId="6181" xr:uid="{00000000-0005-0000-0000-00005A160000}"/>
    <cellStyle name="Normal 8 2 4" xfId="1164" xr:uid="{00000000-0005-0000-0000-00005B160000}"/>
    <cellStyle name="Normal 8 2 4 2" xfId="3856" xr:uid="{00000000-0005-0000-0000-00005C160000}"/>
    <cellStyle name="Normal 8 2 4 2 2" xfId="3857" xr:uid="{00000000-0005-0000-0000-00005D160000}"/>
    <cellStyle name="Normal 8 2 4 2 2 2" xfId="3858" xr:uid="{00000000-0005-0000-0000-00005E160000}"/>
    <cellStyle name="Normal 8 2 4 2 2_2.DATA" xfId="6189" xr:uid="{00000000-0005-0000-0000-00005F160000}"/>
    <cellStyle name="Normal 8 2 4 2 3" xfId="3859" xr:uid="{00000000-0005-0000-0000-000060160000}"/>
    <cellStyle name="Normal 8 2 4 2_2.DATA" xfId="6188" xr:uid="{00000000-0005-0000-0000-000061160000}"/>
    <cellStyle name="Normal 8 2 4 3" xfId="3860" xr:uid="{00000000-0005-0000-0000-000062160000}"/>
    <cellStyle name="Normal 8 2 4 3 2" xfId="3861" xr:uid="{00000000-0005-0000-0000-000063160000}"/>
    <cellStyle name="Normal 8 2 4 3_2.DATA" xfId="6190" xr:uid="{00000000-0005-0000-0000-000064160000}"/>
    <cellStyle name="Normal 8 2 4 4" xfId="3862" xr:uid="{00000000-0005-0000-0000-000065160000}"/>
    <cellStyle name="Normal 8 2 4_2.DATA" xfId="6187" xr:uid="{00000000-0005-0000-0000-000066160000}"/>
    <cellStyle name="Normal 8 2 5" xfId="3863" xr:uid="{00000000-0005-0000-0000-000067160000}"/>
    <cellStyle name="Normal 8 2 5 2" xfId="3864" xr:uid="{00000000-0005-0000-0000-000068160000}"/>
    <cellStyle name="Normal 8 2 5 2 2" xfId="3865" xr:uid="{00000000-0005-0000-0000-000069160000}"/>
    <cellStyle name="Normal 8 2 5 2_2.DATA" xfId="6192" xr:uid="{00000000-0005-0000-0000-00006A160000}"/>
    <cellStyle name="Normal 8 2 5 3" xfId="3866" xr:uid="{00000000-0005-0000-0000-00006B160000}"/>
    <cellStyle name="Normal 8 2 5_2.DATA" xfId="6191" xr:uid="{00000000-0005-0000-0000-00006C160000}"/>
    <cellStyle name="Normal 8 2 6" xfId="3867" xr:uid="{00000000-0005-0000-0000-00006D160000}"/>
    <cellStyle name="Normal 8 2 6 2" xfId="3868" xr:uid="{00000000-0005-0000-0000-00006E160000}"/>
    <cellStyle name="Normal 8 2 6 2 2" xfId="3869" xr:uid="{00000000-0005-0000-0000-00006F160000}"/>
    <cellStyle name="Normal 8 2 6 2_2.DATA" xfId="6194" xr:uid="{00000000-0005-0000-0000-000070160000}"/>
    <cellStyle name="Normal 8 2 6 3" xfId="3870" xr:uid="{00000000-0005-0000-0000-000071160000}"/>
    <cellStyle name="Normal 8 2 6_2.DATA" xfId="6193" xr:uid="{00000000-0005-0000-0000-000072160000}"/>
    <cellStyle name="Normal 8 2 7" xfId="3871" xr:uid="{00000000-0005-0000-0000-000073160000}"/>
    <cellStyle name="Normal 8 2 7 2" xfId="3872" xr:uid="{00000000-0005-0000-0000-000074160000}"/>
    <cellStyle name="Normal 8 2 7_2.DATA" xfId="6195" xr:uid="{00000000-0005-0000-0000-000075160000}"/>
    <cellStyle name="Normal 8 2 8" xfId="3873" xr:uid="{00000000-0005-0000-0000-000076160000}"/>
    <cellStyle name="Normal 8 2_2.DATA" xfId="6174" xr:uid="{00000000-0005-0000-0000-000077160000}"/>
    <cellStyle name="Normal 8 3" xfId="1165" xr:uid="{00000000-0005-0000-0000-000078160000}"/>
    <cellStyle name="Normal 8 3 2" xfId="1166" xr:uid="{00000000-0005-0000-0000-000079160000}"/>
    <cellStyle name="Normal 8 3 2 2" xfId="1167" xr:uid="{00000000-0005-0000-0000-00007A160000}"/>
    <cellStyle name="Normal 8 3 2 2 2" xfId="1168" xr:uid="{00000000-0005-0000-0000-00007B160000}"/>
    <cellStyle name="Normal 8 3 2 2_2.DATA" xfId="6198" xr:uid="{00000000-0005-0000-0000-00007C160000}"/>
    <cellStyle name="Normal 8 3 2 3" xfId="1169" xr:uid="{00000000-0005-0000-0000-00007D160000}"/>
    <cellStyle name="Normal 8 3 2_2.DATA" xfId="6197" xr:uid="{00000000-0005-0000-0000-00007E160000}"/>
    <cellStyle name="Normal 8 3 3" xfId="1170" xr:uid="{00000000-0005-0000-0000-00007F160000}"/>
    <cellStyle name="Normal 8 3 3 2" xfId="1171" xr:uid="{00000000-0005-0000-0000-000080160000}"/>
    <cellStyle name="Normal 8 3 3_2.DATA" xfId="6199" xr:uid="{00000000-0005-0000-0000-000081160000}"/>
    <cellStyle name="Normal 8 3 4" xfId="1172" xr:uid="{00000000-0005-0000-0000-000082160000}"/>
    <cellStyle name="Normal 8 3_2.DATA" xfId="6196" xr:uid="{00000000-0005-0000-0000-000083160000}"/>
    <cellStyle name="Normal 8 4" xfId="1173" xr:uid="{00000000-0005-0000-0000-000084160000}"/>
    <cellStyle name="Normal 8 4 2" xfId="1174" xr:uid="{00000000-0005-0000-0000-000085160000}"/>
    <cellStyle name="Normal 8 4 2 2" xfId="1175" xr:uid="{00000000-0005-0000-0000-000086160000}"/>
    <cellStyle name="Normal 8 4 2_2.DATA" xfId="6201" xr:uid="{00000000-0005-0000-0000-000087160000}"/>
    <cellStyle name="Normal 8 4 3" xfId="1176" xr:uid="{00000000-0005-0000-0000-000088160000}"/>
    <cellStyle name="Normal 8 4_2.DATA" xfId="6200" xr:uid="{00000000-0005-0000-0000-000089160000}"/>
    <cellStyle name="Normal 8 5" xfId="1177" xr:uid="{00000000-0005-0000-0000-00008A160000}"/>
    <cellStyle name="Normal 8 5 2" xfId="1178" xr:uid="{00000000-0005-0000-0000-00008B160000}"/>
    <cellStyle name="Normal 8 5_2.DATA" xfId="6202" xr:uid="{00000000-0005-0000-0000-00008C160000}"/>
    <cellStyle name="Normal 8 6" xfId="1179" xr:uid="{00000000-0005-0000-0000-00008D160000}"/>
    <cellStyle name="Normal 8_2.DATA" xfId="6173" xr:uid="{00000000-0005-0000-0000-00008E160000}"/>
    <cellStyle name="Normal 9" xfId="1180" xr:uid="{00000000-0005-0000-0000-00008F160000}"/>
    <cellStyle name="Normal 9 2" xfId="1181" xr:uid="{00000000-0005-0000-0000-000090160000}"/>
    <cellStyle name="Normal 9 2 2" xfId="1182" xr:uid="{00000000-0005-0000-0000-000091160000}"/>
    <cellStyle name="Normal 9 2 2 2" xfId="1183" xr:uid="{00000000-0005-0000-0000-000092160000}"/>
    <cellStyle name="Normal 9 2 2 2 2" xfId="1184" xr:uid="{00000000-0005-0000-0000-000093160000}"/>
    <cellStyle name="Normal 9 2 2 2 3" xfId="4316" xr:uid="{00000000-0005-0000-0000-000094160000}"/>
    <cellStyle name="Normal 9 2 2 2_2.DATA" xfId="6206" xr:uid="{00000000-0005-0000-0000-000095160000}"/>
    <cellStyle name="Normal 9 2 2 3" xfId="1185" xr:uid="{00000000-0005-0000-0000-000096160000}"/>
    <cellStyle name="Normal 9 2 2 4" xfId="4092" xr:uid="{00000000-0005-0000-0000-000097160000}"/>
    <cellStyle name="Normal 9 2 2_2.DATA" xfId="6205" xr:uid="{00000000-0005-0000-0000-000098160000}"/>
    <cellStyle name="Normal 9 2 3" xfId="1186" xr:uid="{00000000-0005-0000-0000-000099160000}"/>
    <cellStyle name="Normal 9 2 3 2" xfId="1187" xr:uid="{00000000-0005-0000-0000-00009A160000}"/>
    <cellStyle name="Normal 9 2 3 2 2" xfId="4484" xr:uid="{00000000-0005-0000-0000-00009B160000}"/>
    <cellStyle name="Normal 9 2 3 2_2.DATA" xfId="6208" xr:uid="{00000000-0005-0000-0000-00009C160000}"/>
    <cellStyle name="Normal 9 2 3 3" xfId="4197" xr:uid="{00000000-0005-0000-0000-00009D160000}"/>
    <cellStyle name="Normal 9 2 3_2.DATA" xfId="6207" xr:uid="{00000000-0005-0000-0000-00009E160000}"/>
    <cellStyle name="Normal 9 2 4" xfId="1188" xr:uid="{00000000-0005-0000-0000-00009F160000}"/>
    <cellStyle name="Normal 9 2 4 2" xfId="4400" xr:uid="{00000000-0005-0000-0000-0000A0160000}"/>
    <cellStyle name="Normal 9 2 4_2.DATA" xfId="6209" xr:uid="{00000000-0005-0000-0000-0000A1160000}"/>
    <cellStyle name="Normal 9 2 5" xfId="3874" xr:uid="{00000000-0005-0000-0000-0000A2160000}"/>
    <cellStyle name="Normal 9 2_2.DATA" xfId="6204" xr:uid="{00000000-0005-0000-0000-0000A3160000}"/>
    <cellStyle name="Normal 9 3" xfId="1189" xr:uid="{00000000-0005-0000-0000-0000A4160000}"/>
    <cellStyle name="Normal 9 3 2" xfId="1190" xr:uid="{00000000-0005-0000-0000-0000A5160000}"/>
    <cellStyle name="Normal 9 3 2 2" xfId="1191" xr:uid="{00000000-0005-0000-0000-0000A6160000}"/>
    <cellStyle name="Normal 9 3 2 2 2" xfId="1192" xr:uid="{00000000-0005-0000-0000-0000A7160000}"/>
    <cellStyle name="Normal 9 3 2 3" xfId="1193" xr:uid="{00000000-0005-0000-0000-0000A8160000}"/>
    <cellStyle name="Normal 9 3 2 4" xfId="4123" xr:uid="{00000000-0005-0000-0000-0000A9160000}"/>
    <cellStyle name="Normal 9 3 2_2.DATA" xfId="6211" xr:uid="{00000000-0005-0000-0000-0000AA160000}"/>
    <cellStyle name="Normal 9 3 3" xfId="1194" xr:uid="{00000000-0005-0000-0000-0000AB160000}"/>
    <cellStyle name="Normal 9 3 3 2" xfId="1195" xr:uid="{00000000-0005-0000-0000-0000AC160000}"/>
    <cellStyle name="Normal 9 3 3 3" xfId="4729" xr:uid="{00000000-0005-0000-0000-0000AD160000}"/>
    <cellStyle name="Normal 9 3 3 4" xfId="3875" xr:uid="{00000000-0005-0000-0000-0000AE160000}"/>
    <cellStyle name="Normal 9 3 4" xfId="1196" xr:uid="{00000000-0005-0000-0000-0000AF160000}"/>
    <cellStyle name="Normal 9 3_2.DATA" xfId="6210" xr:uid="{00000000-0005-0000-0000-0000B0160000}"/>
    <cellStyle name="Normal 9 4" xfId="1197" xr:uid="{00000000-0005-0000-0000-0000B1160000}"/>
    <cellStyle name="Normal 9 4 2" xfId="1198" xr:uid="{00000000-0005-0000-0000-0000B2160000}"/>
    <cellStyle name="Normal 9 4 2 2" xfId="1199" xr:uid="{00000000-0005-0000-0000-0000B3160000}"/>
    <cellStyle name="Normal 9 4 2 3" xfId="4479" xr:uid="{00000000-0005-0000-0000-0000B4160000}"/>
    <cellStyle name="Normal 9 4 2_2.DATA" xfId="6213" xr:uid="{00000000-0005-0000-0000-0000B5160000}"/>
    <cellStyle name="Normal 9 4 3" xfId="1200" xr:uid="{00000000-0005-0000-0000-0000B6160000}"/>
    <cellStyle name="Normal 9 4 4" xfId="4087" xr:uid="{00000000-0005-0000-0000-0000B7160000}"/>
    <cellStyle name="Normal 9 4_2.DATA" xfId="6212" xr:uid="{00000000-0005-0000-0000-0000B8160000}"/>
    <cellStyle name="Normal 9 5" xfId="1201" xr:uid="{00000000-0005-0000-0000-0000B9160000}"/>
    <cellStyle name="Normal 9 5 2" xfId="1202" xr:uid="{00000000-0005-0000-0000-0000BA160000}"/>
    <cellStyle name="Normal 9 5 3" xfId="4392" xr:uid="{00000000-0005-0000-0000-0000BB160000}"/>
    <cellStyle name="Normal 9 5_2.DATA" xfId="6214" xr:uid="{00000000-0005-0000-0000-0000BC160000}"/>
    <cellStyle name="Normal 9 6" xfId="1203" xr:uid="{00000000-0005-0000-0000-0000BD160000}"/>
    <cellStyle name="Normal 9 6 2" xfId="4730" xr:uid="{00000000-0005-0000-0000-0000BE160000}"/>
    <cellStyle name="Normal 9 6 3" xfId="3876" xr:uid="{00000000-0005-0000-0000-0000BF160000}"/>
    <cellStyle name="Normal 9_2.DATA" xfId="6203" xr:uid="{00000000-0005-0000-0000-0000C0160000}"/>
    <cellStyle name="Note" xfId="1367" builtinId="10" customBuiltin="1"/>
    <cellStyle name="Note 10" xfId="1545" xr:uid="{00000000-0005-0000-0000-0000C2160000}"/>
    <cellStyle name="Note 10 2" xfId="4329" xr:uid="{00000000-0005-0000-0000-0000C3160000}"/>
    <cellStyle name="Note 10_2.DATA" xfId="6215" xr:uid="{00000000-0005-0000-0000-0000C4160000}"/>
    <cellStyle name="Note 11" xfId="1722" xr:uid="{00000000-0005-0000-0000-0000C5160000}"/>
    <cellStyle name="Note 11 2" xfId="4317" xr:uid="{00000000-0005-0000-0000-0000C6160000}"/>
    <cellStyle name="Note 11_2.DATA" xfId="6216" xr:uid="{00000000-0005-0000-0000-0000C7160000}"/>
    <cellStyle name="Note 12" xfId="1726" xr:uid="{00000000-0005-0000-0000-0000C8160000}"/>
    <cellStyle name="Note 12 2" xfId="4265" xr:uid="{00000000-0005-0000-0000-0000C9160000}"/>
    <cellStyle name="Note 12_2.DATA" xfId="6217" xr:uid="{00000000-0005-0000-0000-0000CA160000}"/>
    <cellStyle name="Note 13" xfId="1731" xr:uid="{00000000-0005-0000-0000-0000CB160000}"/>
    <cellStyle name="Note 13 2" xfId="4399" xr:uid="{00000000-0005-0000-0000-0000CC160000}"/>
    <cellStyle name="Note 13_2.DATA" xfId="6218" xr:uid="{00000000-0005-0000-0000-0000CD160000}"/>
    <cellStyle name="Note 14" xfId="1736" xr:uid="{00000000-0005-0000-0000-0000CE160000}"/>
    <cellStyle name="Note 14 2" xfId="4384" xr:uid="{00000000-0005-0000-0000-0000CF160000}"/>
    <cellStyle name="Note 14_2.DATA" xfId="6219" xr:uid="{00000000-0005-0000-0000-0000D0160000}"/>
    <cellStyle name="Note 15" xfId="1741" xr:uid="{00000000-0005-0000-0000-0000D1160000}"/>
    <cellStyle name="Note 15 2" xfId="4428" xr:uid="{00000000-0005-0000-0000-0000D2160000}"/>
    <cellStyle name="Note 15_2.DATA" xfId="6220" xr:uid="{00000000-0005-0000-0000-0000D3160000}"/>
    <cellStyle name="Note 16" xfId="1746" xr:uid="{00000000-0005-0000-0000-0000D4160000}"/>
    <cellStyle name="Note 16 2" xfId="4362" xr:uid="{00000000-0005-0000-0000-0000D5160000}"/>
    <cellStyle name="Note 16_2.DATA" xfId="6221" xr:uid="{00000000-0005-0000-0000-0000D6160000}"/>
    <cellStyle name="Note 2" xfId="1204" xr:uid="{00000000-0005-0000-0000-0000D7160000}"/>
    <cellStyle name="Note 2 2" xfId="1205" xr:uid="{00000000-0005-0000-0000-0000D8160000}"/>
    <cellStyle name="Note 2 2 2" xfId="1489" xr:uid="{00000000-0005-0000-0000-0000D9160000}"/>
    <cellStyle name="Note 2 2 2 2" xfId="1629" xr:uid="{00000000-0005-0000-0000-0000DA160000}"/>
    <cellStyle name="Note 2 2 2 2 2" xfId="4124" xr:uid="{00000000-0005-0000-0000-0000DB160000}"/>
    <cellStyle name="Note 2 2 2 2_2.DATA" xfId="6225" xr:uid="{00000000-0005-0000-0000-0000DC160000}"/>
    <cellStyle name="Note 2 2 2 3" xfId="3877" xr:uid="{00000000-0005-0000-0000-0000DD160000}"/>
    <cellStyle name="Note 2 2 2_2.DATA" xfId="6224" xr:uid="{00000000-0005-0000-0000-0000DE160000}"/>
    <cellStyle name="Note 2 2 3" xfId="1522" xr:uid="{00000000-0005-0000-0000-0000DF160000}"/>
    <cellStyle name="Note 2 2 3 2" xfId="1673" xr:uid="{00000000-0005-0000-0000-0000E0160000}"/>
    <cellStyle name="Note 2 2 3 2 2" xfId="4204" xr:uid="{00000000-0005-0000-0000-0000E1160000}"/>
    <cellStyle name="Note 2 2 3 2_2.DATA" xfId="6227" xr:uid="{00000000-0005-0000-0000-0000E2160000}"/>
    <cellStyle name="Note 2 2 3 3" xfId="3878" xr:uid="{00000000-0005-0000-0000-0000E3160000}"/>
    <cellStyle name="Note 2 2 3_2.DATA" xfId="6226" xr:uid="{00000000-0005-0000-0000-0000E4160000}"/>
    <cellStyle name="Note 2 2 4" xfId="1588" xr:uid="{00000000-0005-0000-0000-0000E5160000}"/>
    <cellStyle name="Note 2 2 4 2" xfId="3879" xr:uid="{00000000-0005-0000-0000-0000E6160000}"/>
    <cellStyle name="Note 2 2 4 3" xfId="3880" xr:uid="{00000000-0005-0000-0000-0000E7160000}"/>
    <cellStyle name="Note 2 2 4_2.DATA" xfId="6228" xr:uid="{00000000-0005-0000-0000-0000E8160000}"/>
    <cellStyle name="Note 2 2 5" xfId="3881" xr:uid="{00000000-0005-0000-0000-0000E9160000}"/>
    <cellStyle name="Note 2 2 6" xfId="3882" xr:uid="{00000000-0005-0000-0000-0000EA160000}"/>
    <cellStyle name="Note 2 2 6 2" xfId="4732" xr:uid="{00000000-0005-0000-0000-0000EB160000}"/>
    <cellStyle name="Note 2 2 7" xfId="1452" xr:uid="{00000000-0005-0000-0000-0000EC160000}"/>
    <cellStyle name="Note 2 2_2.DATA" xfId="6223" xr:uid="{00000000-0005-0000-0000-0000ED160000}"/>
    <cellStyle name="Note 2 3" xfId="1206" xr:uid="{00000000-0005-0000-0000-0000EE160000}"/>
    <cellStyle name="Note 2 3 2" xfId="1490" xr:uid="{00000000-0005-0000-0000-0000EF160000}"/>
    <cellStyle name="Note 2 3 2 2" xfId="1631" xr:uid="{00000000-0005-0000-0000-0000F0160000}"/>
    <cellStyle name="Note 2 3 2 2 2" xfId="4055" xr:uid="{00000000-0005-0000-0000-0000F1160000}"/>
    <cellStyle name="Note 2 3 2 2_2.DATA" xfId="6231" xr:uid="{00000000-0005-0000-0000-0000F2160000}"/>
    <cellStyle name="Note 2 3 2 3" xfId="4021" xr:uid="{00000000-0005-0000-0000-0000F3160000}"/>
    <cellStyle name="Note 2 3 2_2.DATA" xfId="6230" xr:uid="{00000000-0005-0000-0000-0000F4160000}"/>
    <cellStyle name="Note 2 3 3" xfId="1533" xr:uid="{00000000-0005-0000-0000-0000F5160000}"/>
    <cellStyle name="Note 2 3 3 2" xfId="1685" xr:uid="{00000000-0005-0000-0000-0000F6160000}"/>
    <cellStyle name="Note 2 3 3 2 2" xfId="4376" xr:uid="{00000000-0005-0000-0000-0000F7160000}"/>
    <cellStyle name="Note 2 3 3 2_2.DATA" xfId="6233" xr:uid="{00000000-0005-0000-0000-0000F8160000}"/>
    <cellStyle name="Note 2 3 3 3" xfId="4039" xr:uid="{00000000-0005-0000-0000-0000F9160000}"/>
    <cellStyle name="Note 2 3 3_2.DATA" xfId="6232" xr:uid="{00000000-0005-0000-0000-0000FA160000}"/>
    <cellStyle name="Note 2 3 4" xfId="1630" xr:uid="{00000000-0005-0000-0000-0000FB160000}"/>
    <cellStyle name="Note 2 3 4 2" xfId="4452" xr:uid="{00000000-0005-0000-0000-0000FC160000}"/>
    <cellStyle name="Note 2 3 4_2.DATA" xfId="6234" xr:uid="{00000000-0005-0000-0000-0000FD160000}"/>
    <cellStyle name="Note 2 3 5" xfId="4733" xr:uid="{00000000-0005-0000-0000-0000FE160000}"/>
    <cellStyle name="Note 2 3 6" xfId="4020" xr:uid="{00000000-0005-0000-0000-0000FF160000}"/>
    <cellStyle name="Note 2 3 7" xfId="1440" xr:uid="{00000000-0005-0000-0000-000000170000}"/>
    <cellStyle name="Note 2 3_2.DATA" xfId="6229" xr:uid="{00000000-0005-0000-0000-000001170000}"/>
    <cellStyle name="Note 2 4" xfId="1488" xr:uid="{00000000-0005-0000-0000-000002170000}"/>
    <cellStyle name="Note 2 4 2" xfId="1632" xr:uid="{00000000-0005-0000-0000-000003170000}"/>
    <cellStyle name="Note 2 4 2 2" xfId="3883" xr:uid="{00000000-0005-0000-0000-000004170000}"/>
    <cellStyle name="Note 2 4 2 3" xfId="3884" xr:uid="{00000000-0005-0000-0000-000005170000}"/>
    <cellStyle name="Note 2 4 2_2.DATA" xfId="6236" xr:uid="{00000000-0005-0000-0000-000006170000}"/>
    <cellStyle name="Note 2 4 3" xfId="3885" xr:uid="{00000000-0005-0000-0000-000007170000}"/>
    <cellStyle name="Note 2 4 4" xfId="3886" xr:uid="{00000000-0005-0000-0000-000008170000}"/>
    <cellStyle name="Note 2 4 5" xfId="3887" xr:uid="{00000000-0005-0000-0000-000009170000}"/>
    <cellStyle name="Note 2 4 6" xfId="3888" xr:uid="{00000000-0005-0000-0000-00000A170000}"/>
    <cellStyle name="Note 2 4_2.DATA" xfId="6235" xr:uid="{00000000-0005-0000-0000-00000B170000}"/>
    <cellStyle name="Note 2 5" xfId="1508" xr:uid="{00000000-0005-0000-0000-00000C170000}"/>
    <cellStyle name="Note 2 5 2" xfId="1657" xr:uid="{00000000-0005-0000-0000-00000D170000}"/>
    <cellStyle name="Note 2 5 2 2" xfId="4054" xr:uid="{00000000-0005-0000-0000-00000E170000}"/>
    <cellStyle name="Note 2 5 2_2.DATA" xfId="6238" xr:uid="{00000000-0005-0000-0000-00000F170000}"/>
    <cellStyle name="Note 2 5 3" xfId="4022" xr:uid="{00000000-0005-0000-0000-000010170000}"/>
    <cellStyle name="Note 2 5_2.DATA" xfId="6237" xr:uid="{00000000-0005-0000-0000-000011170000}"/>
    <cellStyle name="Note 2 6" xfId="1572" xr:uid="{00000000-0005-0000-0000-000012170000}"/>
    <cellStyle name="Note 2 6 2" xfId="4038" xr:uid="{00000000-0005-0000-0000-000013170000}"/>
    <cellStyle name="Note 2 6_2.DATA" xfId="6239" xr:uid="{00000000-0005-0000-0000-000014170000}"/>
    <cellStyle name="Note 2 7" xfId="3889" xr:uid="{00000000-0005-0000-0000-000015170000}"/>
    <cellStyle name="Note 2 8" xfId="4731" xr:uid="{00000000-0005-0000-0000-000016170000}"/>
    <cellStyle name="Note 2 9" xfId="1396" xr:uid="{00000000-0005-0000-0000-000017170000}"/>
    <cellStyle name="Note 2_2.DATA" xfId="6222" xr:uid="{00000000-0005-0000-0000-000018170000}"/>
    <cellStyle name="Note 3" xfId="1207" xr:uid="{00000000-0005-0000-0000-000019170000}"/>
    <cellStyle name="Note 3 2" xfId="1208" xr:uid="{00000000-0005-0000-0000-00001A170000}"/>
    <cellStyle name="Note 3 2 2" xfId="1209" xr:uid="{00000000-0005-0000-0000-00001B170000}"/>
    <cellStyle name="Note 3 2 2 2" xfId="1210" xr:uid="{00000000-0005-0000-0000-00001C170000}"/>
    <cellStyle name="Note 3 2 2 2 2" xfId="1211" xr:uid="{00000000-0005-0000-0000-00001D170000}"/>
    <cellStyle name="Note 3 2 2 3" xfId="1212" xr:uid="{00000000-0005-0000-0000-00001E170000}"/>
    <cellStyle name="Note 3 2 2 4" xfId="4372" xr:uid="{00000000-0005-0000-0000-00001F170000}"/>
    <cellStyle name="Note 3 2 2_2.DATA" xfId="6242" xr:uid="{00000000-0005-0000-0000-000020170000}"/>
    <cellStyle name="Note 3 2 3" xfId="1213" xr:uid="{00000000-0005-0000-0000-000021170000}"/>
    <cellStyle name="Note 3 2 3 2" xfId="1214" xr:uid="{00000000-0005-0000-0000-000022170000}"/>
    <cellStyle name="Note 3 2 4" xfId="1215" xr:uid="{00000000-0005-0000-0000-000023170000}"/>
    <cellStyle name="Note 3 2 5" xfId="1216" xr:uid="{00000000-0005-0000-0000-000024170000}"/>
    <cellStyle name="Note 3 2 6" xfId="4125" xr:uid="{00000000-0005-0000-0000-000025170000}"/>
    <cellStyle name="Note 3 2_2.DATA" xfId="6241" xr:uid="{00000000-0005-0000-0000-000026170000}"/>
    <cellStyle name="Note 3 3" xfId="1217" xr:uid="{00000000-0005-0000-0000-000027170000}"/>
    <cellStyle name="Note 3 3 2" xfId="1218" xr:uid="{00000000-0005-0000-0000-000028170000}"/>
    <cellStyle name="Note 3 3 2 2" xfId="1219" xr:uid="{00000000-0005-0000-0000-000029170000}"/>
    <cellStyle name="Note 3 3 2 2 2" xfId="1220" xr:uid="{00000000-0005-0000-0000-00002A170000}"/>
    <cellStyle name="Note 3 3 2 3" xfId="1221" xr:uid="{00000000-0005-0000-0000-00002B170000}"/>
    <cellStyle name="Note 3 3 2 4" xfId="4312" xr:uid="{00000000-0005-0000-0000-00002C170000}"/>
    <cellStyle name="Note 3 3 2_2.DATA" xfId="6244" xr:uid="{00000000-0005-0000-0000-00002D170000}"/>
    <cellStyle name="Note 3 3 3" xfId="1222" xr:uid="{00000000-0005-0000-0000-00002E170000}"/>
    <cellStyle name="Note 3 3 3 2" xfId="1223" xr:uid="{00000000-0005-0000-0000-00002F170000}"/>
    <cellStyle name="Note 3 3 4" xfId="1224" xr:uid="{00000000-0005-0000-0000-000030170000}"/>
    <cellStyle name="Note 3 3 5" xfId="1225" xr:uid="{00000000-0005-0000-0000-000031170000}"/>
    <cellStyle name="Note 3 3 6" xfId="4183" xr:uid="{00000000-0005-0000-0000-000032170000}"/>
    <cellStyle name="Note 3 3_2.DATA" xfId="6243" xr:uid="{00000000-0005-0000-0000-000033170000}"/>
    <cellStyle name="Note 3 4" xfId="1226" xr:uid="{00000000-0005-0000-0000-000034170000}"/>
    <cellStyle name="Note 3 4 2" xfId="1227" xr:uid="{00000000-0005-0000-0000-000035170000}"/>
    <cellStyle name="Note 3 4 2 2" xfId="1228" xr:uid="{00000000-0005-0000-0000-000036170000}"/>
    <cellStyle name="Note 3 4 3" xfId="1229" xr:uid="{00000000-0005-0000-0000-000037170000}"/>
    <cellStyle name="Note 3 4 4" xfId="4448" xr:uid="{00000000-0005-0000-0000-000038170000}"/>
    <cellStyle name="Note 3 4_2.DATA" xfId="6245" xr:uid="{00000000-0005-0000-0000-000039170000}"/>
    <cellStyle name="Note 3 5" xfId="1230" xr:uid="{00000000-0005-0000-0000-00003A170000}"/>
    <cellStyle name="Note 3 5 2" xfId="1231" xr:uid="{00000000-0005-0000-0000-00003B170000}"/>
    <cellStyle name="Note 3 6" xfId="1232" xr:uid="{00000000-0005-0000-0000-00003C170000}"/>
    <cellStyle name="Note 3 7" xfId="1233" xr:uid="{00000000-0005-0000-0000-00003D170000}"/>
    <cellStyle name="Note 3 8" xfId="4104" xr:uid="{00000000-0005-0000-0000-00003E170000}"/>
    <cellStyle name="Note 3_2.DATA" xfId="6240" xr:uid="{00000000-0005-0000-0000-00003F170000}"/>
    <cellStyle name="Note 4" xfId="1234" xr:uid="{00000000-0005-0000-0000-000040170000}"/>
    <cellStyle name="Note 4 2" xfId="1235" xr:uid="{00000000-0005-0000-0000-000041170000}"/>
    <cellStyle name="Note 4 2 2" xfId="1236" xr:uid="{00000000-0005-0000-0000-000042170000}"/>
    <cellStyle name="Note 4 2 2 2" xfId="1237" xr:uid="{00000000-0005-0000-0000-000043170000}"/>
    <cellStyle name="Note 4 2 2 2 2" xfId="1238" xr:uid="{00000000-0005-0000-0000-000044170000}"/>
    <cellStyle name="Note 4 2 2 3" xfId="1239" xr:uid="{00000000-0005-0000-0000-000045170000}"/>
    <cellStyle name="Note 4 2 3" xfId="1240" xr:uid="{00000000-0005-0000-0000-000046170000}"/>
    <cellStyle name="Note 4 2 3 2" xfId="1241" xr:uid="{00000000-0005-0000-0000-000047170000}"/>
    <cellStyle name="Note 4 2 4" xfId="1242" xr:uid="{00000000-0005-0000-0000-000048170000}"/>
    <cellStyle name="Note 4 2 5" xfId="4410" xr:uid="{00000000-0005-0000-0000-000049170000}"/>
    <cellStyle name="Note 4 2_2.DATA" xfId="6247" xr:uid="{00000000-0005-0000-0000-00004A170000}"/>
    <cellStyle name="Note 4 3" xfId="1243" xr:uid="{00000000-0005-0000-0000-00004B170000}"/>
    <cellStyle name="Note 4 3 2" xfId="1244" xr:uid="{00000000-0005-0000-0000-00004C170000}"/>
    <cellStyle name="Note 4 3 2 2" xfId="1245" xr:uid="{00000000-0005-0000-0000-00004D170000}"/>
    <cellStyle name="Note 4 3 2 2 2" xfId="1246" xr:uid="{00000000-0005-0000-0000-00004E170000}"/>
    <cellStyle name="Note 4 3 2 3" xfId="1247" xr:uid="{00000000-0005-0000-0000-00004F170000}"/>
    <cellStyle name="Note 4 3 3" xfId="1248" xr:uid="{00000000-0005-0000-0000-000050170000}"/>
    <cellStyle name="Note 4 3 3 2" xfId="1249" xr:uid="{00000000-0005-0000-0000-000051170000}"/>
    <cellStyle name="Note 4 3 4" xfId="1250" xr:uid="{00000000-0005-0000-0000-000052170000}"/>
    <cellStyle name="Note 4 4" xfId="1251" xr:uid="{00000000-0005-0000-0000-000053170000}"/>
    <cellStyle name="Note 4 4 2" xfId="1252" xr:uid="{00000000-0005-0000-0000-000054170000}"/>
    <cellStyle name="Note 4 4 2 2" xfId="1253" xr:uid="{00000000-0005-0000-0000-000055170000}"/>
    <cellStyle name="Note 4 4 3" xfId="1254" xr:uid="{00000000-0005-0000-0000-000056170000}"/>
    <cellStyle name="Note 4 5" xfId="1255" xr:uid="{00000000-0005-0000-0000-000057170000}"/>
    <cellStyle name="Note 4 5 2" xfId="1256" xr:uid="{00000000-0005-0000-0000-000058170000}"/>
    <cellStyle name="Note 4 6" xfId="1257" xr:uid="{00000000-0005-0000-0000-000059170000}"/>
    <cellStyle name="Note 4 7" xfId="4126" xr:uid="{00000000-0005-0000-0000-00005A170000}"/>
    <cellStyle name="Note 4_2.DATA" xfId="6246" xr:uid="{00000000-0005-0000-0000-00005B170000}"/>
    <cellStyle name="Note 5" xfId="1258" xr:uid="{00000000-0005-0000-0000-00005C170000}"/>
    <cellStyle name="Note 5 2" xfId="1259" xr:uid="{00000000-0005-0000-0000-00005D170000}"/>
    <cellStyle name="Note 5 2 2" xfId="1260" xr:uid="{00000000-0005-0000-0000-00005E170000}"/>
    <cellStyle name="Note 5 2 2 2" xfId="1261" xr:uid="{00000000-0005-0000-0000-00005F170000}"/>
    <cellStyle name="Note 5 2 2 2 2" xfId="1262" xr:uid="{00000000-0005-0000-0000-000060170000}"/>
    <cellStyle name="Note 5 2 2 3" xfId="1263" xr:uid="{00000000-0005-0000-0000-000061170000}"/>
    <cellStyle name="Note 5 2 3" xfId="1264" xr:uid="{00000000-0005-0000-0000-000062170000}"/>
    <cellStyle name="Note 5 2 3 2" xfId="1265" xr:uid="{00000000-0005-0000-0000-000063170000}"/>
    <cellStyle name="Note 5 2 4" xfId="1266" xr:uid="{00000000-0005-0000-0000-000064170000}"/>
    <cellStyle name="Note 5 2 5" xfId="4359" xr:uid="{00000000-0005-0000-0000-000065170000}"/>
    <cellStyle name="Note 5 2_2.DATA" xfId="6249" xr:uid="{00000000-0005-0000-0000-000066170000}"/>
    <cellStyle name="Note 5 3" xfId="1267" xr:uid="{00000000-0005-0000-0000-000067170000}"/>
    <cellStyle name="Note 5 3 2" xfId="1268" xr:uid="{00000000-0005-0000-0000-000068170000}"/>
    <cellStyle name="Note 5 3 2 2" xfId="1269" xr:uid="{00000000-0005-0000-0000-000069170000}"/>
    <cellStyle name="Note 5 3 3" xfId="1270" xr:uid="{00000000-0005-0000-0000-00006A170000}"/>
    <cellStyle name="Note 5 4" xfId="1271" xr:uid="{00000000-0005-0000-0000-00006B170000}"/>
    <cellStyle name="Note 5 4 2" xfId="1272" xr:uid="{00000000-0005-0000-0000-00006C170000}"/>
    <cellStyle name="Note 5 5" xfId="1273" xr:uid="{00000000-0005-0000-0000-00006D170000}"/>
    <cellStyle name="Note 5 6" xfId="4127" xr:uid="{00000000-0005-0000-0000-00006E170000}"/>
    <cellStyle name="Note 5_2.DATA" xfId="6248" xr:uid="{00000000-0005-0000-0000-00006F170000}"/>
    <cellStyle name="Note 6" xfId="1274" xr:uid="{00000000-0005-0000-0000-000070170000}"/>
    <cellStyle name="Note 6 2" xfId="1275" xr:uid="{00000000-0005-0000-0000-000071170000}"/>
    <cellStyle name="Note 6 2 2" xfId="4513" xr:uid="{00000000-0005-0000-0000-000072170000}"/>
    <cellStyle name="Note 6 2_2.DATA" xfId="6251" xr:uid="{00000000-0005-0000-0000-000073170000}"/>
    <cellStyle name="Note 6 3" xfId="4140" xr:uid="{00000000-0005-0000-0000-000074170000}"/>
    <cellStyle name="Note 6_2.DATA" xfId="6250" xr:uid="{00000000-0005-0000-0000-000075170000}"/>
    <cellStyle name="Note 7" xfId="1276" xr:uid="{00000000-0005-0000-0000-000076170000}"/>
    <cellStyle name="Note 7 2" xfId="1277" xr:uid="{00000000-0005-0000-0000-000077170000}"/>
    <cellStyle name="Note 7 2 2" xfId="4334" xr:uid="{00000000-0005-0000-0000-000078170000}"/>
    <cellStyle name="Note 7 2_2.DATA" xfId="6253" xr:uid="{00000000-0005-0000-0000-000079170000}"/>
    <cellStyle name="Note 7 3" xfId="4156" xr:uid="{00000000-0005-0000-0000-00007A170000}"/>
    <cellStyle name="Note 7_2.DATA" xfId="6252" xr:uid="{00000000-0005-0000-0000-00007B170000}"/>
    <cellStyle name="Note 8" xfId="1278" xr:uid="{00000000-0005-0000-0000-00007C170000}"/>
    <cellStyle name="Note 8 2" xfId="1688" xr:uid="{00000000-0005-0000-0000-00007D170000}"/>
    <cellStyle name="Note 8 2 2" xfId="4498" xr:uid="{00000000-0005-0000-0000-00007E170000}"/>
    <cellStyle name="Note 8 2_2.DATA" xfId="6255" xr:uid="{00000000-0005-0000-0000-00007F170000}"/>
    <cellStyle name="Note 8 3" xfId="4226" xr:uid="{00000000-0005-0000-0000-000080170000}"/>
    <cellStyle name="Note 8_2.DATA" xfId="6254" xr:uid="{00000000-0005-0000-0000-000081170000}"/>
    <cellStyle name="Note 9" xfId="1540" xr:uid="{00000000-0005-0000-0000-000082170000}"/>
    <cellStyle name="Note 9 2" xfId="1705" xr:uid="{00000000-0005-0000-0000-000083170000}"/>
    <cellStyle name="Note 9 2 2" xfId="4441" xr:uid="{00000000-0005-0000-0000-000084170000}"/>
    <cellStyle name="Note 9 2_2.DATA" xfId="6257" xr:uid="{00000000-0005-0000-0000-000085170000}"/>
    <cellStyle name="Note 9 3" xfId="4242" xr:uid="{00000000-0005-0000-0000-000086170000}"/>
    <cellStyle name="Note 9_2.DATA" xfId="6256" xr:uid="{00000000-0005-0000-0000-000087170000}"/>
    <cellStyle name="Output" xfId="1362" builtinId="21" customBuiltin="1"/>
    <cellStyle name="Output 2" xfId="1279" xr:uid="{00000000-0005-0000-0000-000089170000}"/>
    <cellStyle name="Output 2 2" xfId="3891" xr:uid="{00000000-0005-0000-0000-00008A170000}"/>
    <cellStyle name="Output 2 2 2" xfId="3892" xr:uid="{00000000-0005-0000-0000-00008B170000}"/>
    <cellStyle name="Output 2 2 2 2" xfId="3893" xr:uid="{00000000-0005-0000-0000-00008C170000}"/>
    <cellStyle name="Output 2 2 2 3" xfId="3894" xr:uid="{00000000-0005-0000-0000-00008D170000}"/>
    <cellStyle name="Output 2 2 2 4" xfId="3895" xr:uid="{00000000-0005-0000-0000-00008E170000}"/>
    <cellStyle name="Output 2 2 2_BC Valid CC Listing" xfId="3896" xr:uid="{00000000-0005-0000-0000-00008F170000}"/>
    <cellStyle name="Output 2 2 3" xfId="3897" xr:uid="{00000000-0005-0000-0000-000090170000}"/>
    <cellStyle name="Output 2 2 4" xfId="3898" xr:uid="{00000000-0005-0000-0000-000091170000}"/>
    <cellStyle name="Output 2 2 5" xfId="3899" xr:uid="{00000000-0005-0000-0000-000092170000}"/>
    <cellStyle name="Output 2 2_BC Valid CC Listing" xfId="3900" xr:uid="{00000000-0005-0000-0000-000093170000}"/>
    <cellStyle name="Output 2 3" xfId="3901" xr:uid="{00000000-0005-0000-0000-000094170000}"/>
    <cellStyle name="Output 2 3 2" xfId="3902" xr:uid="{00000000-0005-0000-0000-000095170000}"/>
    <cellStyle name="Output 2 3 3" xfId="3903" xr:uid="{00000000-0005-0000-0000-000096170000}"/>
    <cellStyle name="Output 2 3 4" xfId="3904" xr:uid="{00000000-0005-0000-0000-000097170000}"/>
    <cellStyle name="Output 2 3_BC Valid CC Listing" xfId="3905" xr:uid="{00000000-0005-0000-0000-000098170000}"/>
    <cellStyle name="Output 2 4" xfId="3906" xr:uid="{00000000-0005-0000-0000-000099170000}"/>
    <cellStyle name="Output 2 5" xfId="3907" xr:uid="{00000000-0005-0000-0000-00009A170000}"/>
    <cellStyle name="Output 2 6" xfId="3908" xr:uid="{00000000-0005-0000-0000-00009B170000}"/>
    <cellStyle name="Output 2 7" xfId="4734" xr:uid="{00000000-0005-0000-0000-00009C170000}"/>
    <cellStyle name="Output 2 8" xfId="3890" xr:uid="{00000000-0005-0000-0000-00009D170000}"/>
    <cellStyle name="Output 2_BC Valid CC Listing" xfId="3909" xr:uid="{00000000-0005-0000-0000-00009E170000}"/>
    <cellStyle name="Output 3" xfId="1280" xr:uid="{00000000-0005-0000-0000-00009F170000}"/>
    <cellStyle name="Output 3 2" xfId="4735" xr:uid="{00000000-0005-0000-0000-0000A0170000}"/>
    <cellStyle name="Output 3 3" xfId="3910" xr:uid="{00000000-0005-0000-0000-0000A1170000}"/>
    <cellStyle name="Output 3_2.DATA" xfId="6258" xr:uid="{00000000-0005-0000-0000-0000A2170000}"/>
    <cellStyle name="Output 4" xfId="3911" xr:uid="{00000000-0005-0000-0000-0000A3170000}"/>
    <cellStyle name="Output 5" xfId="3912" xr:uid="{00000000-0005-0000-0000-0000A4170000}"/>
    <cellStyle name="Output Amounts" xfId="1281" xr:uid="{00000000-0005-0000-0000-0000A5170000}"/>
    <cellStyle name="Output Column Headings" xfId="1282" xr:uid="{00000000-0005-0000-0000-0000A6170000}"/>
    <cellStyle name="Output Line Items" xfId="1283" xr:uid="{00000000-0005-0000-0000-0000A7170000}"/>
    <cellStyle name="Output Report Heading" xfId="1284" xr:uid="{00000000-0005-0000-0000-0000A8170000}"/>
    <cellStyle name="Output Report Title" xfId="1285" xr:uid="{00000000-0005-0000-0000-0000A9170000}"/>
    <cellStyle name="Percent" xfId="2" builtinId="5"/>
    <cellStyle name="Percent 10" xfId="1725" xr:uid="{00000000-0005-0000-0000-0000AB170000}"/>
    <cellStyle name="Percent 10 2" xfId="4404" xr:uid="{00000000-0005-0000-0000-0000AC170000}"/>
    <cellStyle name="Percent 11" xfId="1730" xr:uid="{00000000-0005-0000-0000-0000AD170000}"/>
    <cellStyle name="Percent 11 2" xfId="4365" xr:uid="{00000000-0005-0000-0000-0000AE170000}"/>
    <cellStyle name="Percent 12" xfId="1735" xr:uid="{00000000-0005-0000-0000-0000AF170000}"/>
    <cellStyle name="Percent 12 2" xfId="4264" xr:uid="{00000000-0005-0000-0000-0000B0170000}"/>
    <cellStyle name="Percent 13" xfId="1740" xr:uid="{00000000-0005-0000-0000-0000B1170000}"/>
    <cellStyle name="Percent 13 2" xfId="4487" xr:uid="{00000000-0005-0000-0000-0000B2170000}"/>
    <cellStyle name="Percent 14" xfId="1745" xr:uid="{00000000-0005-0000-0000-0000B3170000}"/>
    <cellStyle name="Percent 14 2" xfId="4315" xr:uid="{00000000-0005-0000-0000-0000B4170000}"/>
    <cellStyle name="Percent 2" xfId="1286" xr:uid="{00000000-0005-0000-0000-0000B5170000}"/>
    <cellStyle name="Percent 2 2" xfId="1287" xr:uid="{00000000-0005-0000-0000-0000B6170000}"/>
    <cellStyle name="Percent 2 2 2" xfId="1288" xr:uid="{00000000-0005-0000-0000-0000B7170000}"/>
    <cellStyle name="Percent 2 2 2 2" xfId="1289" xr:uid="{00000000-0005-0000-0000-0000B8170000}"/>
    <cellStyle name="Percent 2 2 2 2 2" xfId="1290" xr:uid="{00000000-0005-0000-0000-0000B9170000}"/>
    <cellStyle name="Percent 2 2 2 2 3" xfId="3913" xr:uid="{00000000-0005-0000-0000-0000BA170000}"/>
    <cellStyle name="Percent 2 2 2 3" xfId="1291" xr:uid="{00000000-0005-0000-0000-0000BB170000}"/>
    <cellStyle name="Percent 2 2 2 4" xfId="3914" xr:uid="{00000000-0005-0000-0000-0000BC170000}"/>
    <cellStyle name="Percent 2 2 3" xfId="1292" xr:uid="{00000000-0005-0000-0000-0000BD170000}"/>
    <cellStyle name="Percent 2 2 3 2" xfId="1293" xr:uid="{00000000-0005-0000-0000-0000BE170000}"/>
    <cellStyle name="Percent 2 2 3 2 2" xfId="4198" xr:uid="{00000000-0005-0000-0000-0000BF170000}"/>
    <cellStyle name="Percent 2 2 3 3" xfId="3915" xr:uid="{00000000-0005-0000-0000-0000C0170000}"/>
    <cellStyle name="Percent 2 2 4" xfId="1294" xr:uid="{00000000-0005-0000-0000-0000C1170000}"/>
    <cellStyle name="Percent 2 2 4 2" xfId="4070" xr:uid="{00000000-0005-0000-0000-0000C2170000}"/>
    <cellStyle name="Percent 2 2 5" xfId="3916" xr:uid="{00000000-0005-0000-0000-0000C3170000}"/>
    <cellStyle name="Percent 2 2 5 2" xfId="4736" xr:uid="{00000000-0005-0000-0000-0000C4170000}"/>
    <cellStyle name="Percent 2 3" xfId="1295" xr:uid="{00000000-0005-0000-0000-0000C5170000}"/>
    <cellStyle name="Percent 2 3 2" xfId="1492" xr:uid="{00000000-0005-0000-0000-0000C6170000}"/>
    <cellStyle name="Percent 2 3 2 2" xfId="1634" xr:uid="{00000000-0005-0000-0000-0000C7170000}"/>
    <cellStyle name="Percent 2 3 2 2 2" xfId="4531" xr:uid="{00000000-0005-0000-0000-0000C8170000}"/>
    <cellStyle name="Percent 2 3 2 3" xfId="4072" xr:uid="{00000000-0005-0000-0000-0000C9170000}"/>
    <cellStyle name="Percent 2 3 3" xfId="1529" xr:uid="{00000000-0005-0000-0000-0000CA170000}"/>
    <cellStyle name="Percent 2 3 3 2" xfId="1681" xr:uid="{00000000-0005-0000-0000-0000CB170000}"/>
    <cellStyle name="Percent 2 3 3 2 2" xfId="4311" xr:uid="{00000000-0005-0000-0000-0000CC170000}"/>
    <cellStyle name="Percent 2 3 3 3" xfId="4209" xr:uid="{00000000-0005-0000-0000-0000CD170000}"/>
    <cellStyle name="Percent 2 3 4" xfId="1633" xr:uid="{00000000-0005-0000-0000-0000CE170000}"/>
    <cellStyle name="Percent 2 3 4 2" xfId="4263" xr:uid="{00000000-0005-0000-0000-0000CF170000}"/>
    <cellStyle name="Percent 2 3 5" xfId="3917" xr:uid="{00000000-0005-0000-0000-0000D0170000}"/>
    <cellStyle name="Percent 2 3 6" xfId="1399" xr:uid="{00000000-0005-0000-0000-0000D1170000}"/>
    <cellStyle name="Percent 2 4" xfId="1296" xr:uid="{00000000-0005-0000-0000-0000D2170000}"/>
    <cellStyle name="Percent 2 4 2" xfId="1635" xr:uid="{00000000-0005-0000-0000-0000D3170000}"/>
    <cellStyle name="Percent 2 4 2 2" xfId="3918" xr:uid="{00000000-0005-0000-0000-0000D4170000}"/>
    <cellStyle name="Percent 2 4 2 3" xfId="3919" xr:uid="{00000000-0005-0000-0000-0000D5170000}"/>
    <cellStyle name="Percent 2 4 3" xfId="3920" xr:uid="{00000000-0005-0000-0000-0000D6170000}"/>
    <cellStyle name="Percent 2 4 4" xfId="3921" xr:uid="{00000000-0005-0000-0000-0000D7170000}"/>
    <cellStyle name="Percent 2 4 4 2" xfId="4737" xr:uid="{00000000-0005-0000-0000-0000D8170000}"/>
    <cellStyle name="Percent 2 4 5" xfId="1491" xr:uid="{00000000-0005-0000-0000-0000D9170000}"/>
    <cellStyle name="Percent 2 5" xfId="1498" xr:uid="{00000000-0005-0000-0000-0000DA170000}"/>
    <cellStyle name="Percent 2 5 2" xfId="1645" xr:uid="{00000000-0005-0000-0000-0000DB170000}"/>
    <cellStyle name="Percent 2 5 2 2" xfId="4259" xr:uid="{00000000-0005-0000-0000-0000DC170000}"/>
    <cellStyle name="Percent 2 5 3" xfId="4069" xr:uid="{00000000-0005-0000-0000-0000DD170000}"/>
    <cellStyle name="Percent 2 6" xfId="1559" xr:uid="{00000000-0005-0000-0000-0000DE170000}"/>
    <cellStyle name="Percent 2 6 2" xfId="4367" xr:uid="{00000000-0005-0000-0000-0000DF170000}"/>
    <cellStyle name="Percent 2 7" xfId="3922" xr:uid="{00000000-0005-0000-0000-0000E0170000}"/>
    <cellStyle name="Percent 3" xfId="1297" xr:uid="{00000000-0005-0000-0000-0000E1170000}"/>
    <cellStyle name="Percent 3 2" xfId="1298" xr:uid="{00000000-0005-0000-0000-0000E2170000}"/>
    <cellStyle name="Percent 3 2 2" xfId="1637" xr:uid="{00000000-0005-0000-0000-0000E3170000}"/>
    <cellStyle name="Percent 3 2 2 2" xfId="3923" xr:uid="{00000000-0005-0000-0000-0000E4170000}"/>
    <cellStyle name="Percent 3 2 2 3" xfId="3924" xr:uid="{00000000-0005-0000-0000-0000E5170000}"/>
    <cellStyle name="Percent 3 2 3" xfId="3925" xr:uid="{00000000-0005-0000-0000-0000E6170000}"/>
    <cellStyle name="Percent 3 2 4" xfId="3926" xr:uid="{00000000-0005-0000-0000-0000E7170000}"/>
    <cellStyle name="Percent 3 2 5" xfId="3927" xr:uid="{00000000-0005-0000-0000-0000E8170000}"/>
    <cellStyle name="Percent 3 3" xfId="1299" xr:uid="{00000000-0005-0000-0000-0000E9170000}"/>
    <cellStyle name="Percent 3 3 2" xfId="1678" xr:uid="{00000000-0005-0000-0000-0000EA170000}"/>
    <cellStyle name="Percent 3 3 2 2" xfId="4468" xr:uid="{00000000-0005-0000-0000-0000EB170000}"/>
    <cellStyle name="Percent 3 3 3" xfId="4095" xr:uid="{00000000-0005-0000-0000-0000EC170000}"/>
    <cellStyle name="Percent 3 4" xfId="1636" xr:uid="{00000000-0005-0000-0000-0000ED170000}"/>
    <cellStyle name="Percent 3 4 2" xfId="3974" xr:uid="{00000000-0005-0000-0000-0000EE170000}"/>
    <cellStyle name="Percent 3 5" xfId="3928" xr:uid="{00000000-0005-0000-0000-0000EF170000}"/>
    <cellStyle name="Percent 4" xfId="1300" xr:uid="{00000000-0005-0000-0000-0000F0170000}"/>
    <cellStyle name="Percent 4 2" xfId="1640" xr:uid="{00000000-0005-0000-0000-0000F1170000}"/>
    <cellStyle name="Percent 4 2 2" xfId="4056" xr:uid="{00000000-0005-0000-0000-0000F2170000}"/>
    <cellStyle name="Percent 4 3" xfId="4023" xr:uid="{00000000-0005-0000-0000-0000F3170000}"/>
    <cellStyle name="Percent 5" xfId="1301" xr:uid="{00000000-0005-0000-0000-0000F4170000}"/>
    <cellStyle name="Percent 5 2" xfId="1302" xr:uid="{00000000-0005-0000-0000-0000F5170000}"/>
    <cellStyle name="Percent 5 2 2" xfId="1303" xr:uid="{00000000-0005-0000-0000-0000F6170000}"/>
    <cellStyle name="Percent 5 2 2 2" xfId="1304" xr:uid="{00000000-0005-0000-0000-0000F7170000}"/>
    <cellStyle name="Percent 5 2 3" xfId="1305" xr:uid="{00000000-0005-0000-0000-0000F8170000}"/>
    <cellStyle name="Percent 5 2 4" xfId="4154" xr:uid="{00000000-0005-0000-0000-0000F9170000}"/>
    <cellStyle name="Percent 5 3" xfId="1306" xr:uid="{00000000-0005-0000-0000-0000FA170000}"/>
    <cellStyle name="Percent 5 3 2" xfId="1307" xr:uid="{00000000-0005-0000-0000-0000FB170000}"/>
    <cellStyle name="Percent 5 3 3" xfId="4738" xr:uid="{00000000-0005-0000-0000-0000FC170000}"/>
    <cellStyle name="Percent 5 3 4" xfId="3929" xr:uid="{00000000-0005-0000-0000-0000FD170000}"/>
    <cellStyle name="Percent 5 4" xfId="1308" xr:uid="{00000000-0005-0000-0000-0000FE170000}"/>
    <cellStyle name="Percent 6" xfId="1309" xr:uid="{00000000-0005-0000-0000-0000FF170000}"/>
    <cellStyle name="Percent 6 2" xfId="1701" xr:uid="{00000000-0005-0000-0000-000000180000}"/>
    <cellStyle name="Percent 6 2 2" xfId="4239" xr:uid="{00000000-0005-0000-0000-000001180000}"/>
    <cellStyle name="Percent 6 3" xfId="3930" xr:uid="{00000000-0005-0000-0000-000002180000}"/>
    <cellStyle name="Percent 6 3 2" xfId="4739" xr:uid="{00000000-0005-0000-0000-000003180000}"/>
    <cellStyle name="Percent 6 4" xfId="1536" xr:uid="{00000000-0005-0000-0000-000004180000}"/>
    <cellStyle name="Percent 7" xfId="1310" xr:uid="{00000000-0005-0000-0000-000005180000}"/>
    <cellStyle name="Percent 7 2" xfId="1704" xr:uid="{00000000-0005-0000-0000-000006180000}"/>
    <cellStyle name="Percent 7 2 2" xfId="4241" xr:uid="{00000000-0005-0000-0000-000007180000}"/>
    <cellStyle name="Percent 7 3" xfId="3931" xr:uid="{00000000-0005-0000-0000-000008180000}"/>
    <cellStyle name="Percent 7 3 2" xfId="4740" xr:uid="{00000000-0005-0000-0000-000009180000}"/>
    <cellStyle name="Percent 7 4" xfId="1539" xr:uid="{00000000-0005-0000-0000-00000A180000}"/>
    <cellStyle name="Percent 8" xfId="1311" xr:uid="{00000000-0005-0000-0000-00000B180000}"/>
    <cellStyle name="Percent 8 2" xfId="1312" xr:uid="{00000000-0005-0000-0000-00000C180000}"/>
    <cellStyle name="Percent 8 3" xfId="4741" xr:uid="{00000000-0005-0000-0000-00000D180000}"/>
    <cellStyle name="Percent 8 4" xfId="4536" xr:uid="{00000000-0005-0000-0000-00000E180000}"/>
    <cellStyle name="Percent 9" xfId="1721" xr:uid="{00000000-0005-0000-0000-00000F180000}"/>
    <cellStyle name="Percent 9 2" xfId="4305" xr:uid="{00000000-0005-0000-0000-000010180000}"/>
    <cellStyle name="Period Title" xfId="1313" xr:uid="{00000000-0005-0000-0000-000011180000}"/>
    <cellStyle name="Presentation Currency" xfId="1314" xr:uid="{00000000-0005-0000-0000-000012180000}"/>
    <cellStyle name="Presentation Date" xfId="1315" xr:uid="{00000000-0005-0000-0000-000013180000}"/>
    <cellStyle name="Presentation Heading 1" xfId="1316" xr:uid="{00000000-0005-0000-0000-000014180000}"/>
    <cellStyle name="Presentation Heading 2" xfId="1317" xr:uid="{00000000-0005-0000-0000-000015180000}"/>
    <cellStyle name="Presentation Heading 3" xfId="1318" xr:uid="{00000000-0005-0000-0000-000016180000}"/>
    <cellStyle name="Presentation Heading 4" xfId="1319" xr:uid="{00000000-0005-0000-0000-000017180000}"/>
    <cellStyle name="Presentation Hyperlink Arrow" xfId="1320" xr:uid="{00000000-0005-0000-0000-000018180000}"/>
    <cellStyle name="Presentation Hyperlink Check" xfId="1321" xr:uid="{00000000-0005-0000-0000-000019180000}"/>
    <cellStyle name="Presentation Hyperlink Text" xfId="1322" xr:uid="{00000000-0005-0000-0000-00001A180000}"/>
    <cellStyle name="Presentation Model Name" xfId="1323" xr:uid="{00000000-0005-0000-0000-00001B180000}"/>
    <cellStyle name="Presentation Multiple" xfId="1324" xr:uid="{00000000-0005-0000-0000-00001C180000}"/>
    <cellStyle name="Presentation Normal" xfId="1325" xr:uid="{00000000-0005-0000-0000-00001D180000}"/>
    <cellStyle name="Presentation Number" xfId="1326" xr:uid="{00000000-0005-0000-0000-00001E180000}"/>
    <cellStyle name="Presentation Percentage" xfId="1327" xr:uid="{00000000-0005-0000-0000-00001F180000}"/>
    <cellStyle name="Presentation Period Title" xfId="1328" xr:uid="{00000000-0005-0000-0000-000020180000}"/>
    <cellStyle name="Presentation Section Number" xfId="1329" xr:uid="{00000000-0005-0000-0000-000021180000}"/>
    <cellStyle name="Presentation Sheet Title" xfId="1330" xr:uid="{00000000-0005-0000-0000-000022180000}"/>
    <cellStyle name="Presentation Year" xfId="1331" xr:uid="{00000000-0005-0000-0000-000023180000}"/>
    <cellStyle name="Right Currency" xfId="1332" xr:uid="{00000000-0005-0000-0000-000024180000}"/>
    <cellStyle name="Right Date" xfId="1333" xr:uid="{00000000-0005-0000-0000-000025180000}"/>
    <cellStyle name="Right Multiple" xfId="1334" xr:uid="{00000000-0005-0000-0000-000026180000}"/>
    <cellStyle name="Right Number" xfId="1335" xr:uid="{00000000-0005-0000-0000-000027180000}"/>
    <cellStyle name="Right Percentage" xfId="1336" xr:uid="{00000000-0005-0000-0000-000028180000}"/>
    <cellStyle name="Right Year" xfId="1337" xr:uid="{00000000-0005-0000-0000-000029180000}"/>
    <cellStyle name="Section Number" xfId="1338" xr:uid="{00000000-0005-0000-0000-00002A180000}"/>
    <cellStyle name="Sheet Title" xfId="1339" xr:uid="{00000000-0005-0000-0000-00002B180000}"/>
    <cellStyle name="Standard_DACH_MA" xfId="1340" xr:uid="{00000000-0005-0000-0000-00002C180000}"/>
    <cellStyle name="Style 1" xfId="1341" xr:uid="{00000000-0005-0000-0000-00002D180000}"/>
    <cellStyle name="STYLE1" xfId="1416" xr:uid="{00000000-0005-0000-0000-00002E180000}"/>
    <cellStyle name="STYLE1 2" xfId="1417" xr:uid="{00000000-0005-0000-0000-00002F180000}"/>
    <cellStyle name="STYLE1_BNYTDCON " xfId="1418" xr:uid="{00000000-0005-0000-0000-000030180000}"/>
    <cellStyle name="STYLE2" xfId="1419" xr:uid="{00000000-0005-0000-0000-000031180000}"/>
    <cellStyle name="STYLE2 2" xfId="1420" xr:uid="{00000000-0005-0000-0000-000032180000}"/>
    <cellStyle name="STYLE2 3" xfId="1421" xr:uid="{00000000-0005-0000-0000-000033180000}"/>
    <cellStyle name="STYLE3" xfId="1422" xr:uid="{00000000-0005-0000-0000-000034180000}"/>
    <cellStyle name="STYLE3 2" xfId="1423" xr:uid="{00000000-0005-0000-0000-000035180000}"/>
    <cellStyle name="STYLE3 3" xfId="1424" xr:uid="{00000000-0005-0000-0000-000036180000}"/>
    <cellStyle name="STYLE3_CF CONSOL" xfId="1425" xr:uid="{00000000-0005-0000-0000-000037180000}"/>
    <cellStyle name="STYLE4" xfId="1426" xr:uid="{00000000-0005-0000-0000-000038180000}"/>
    <cellStyle name="STYLE4 2" xfId="1427" xr:uid="{00000000-0005-0000-0000-000039180000}"/>
    <cellStyle name="STYLE4 3" xfId="1428" xr:uid="{00000000-0005-0000-0000-00003A180000}"/>
    <cellStyle name="STYLE4_CF CONSOL" xfId="1429" xr:uid="{00000000-0005-0000-0000-00003B180000}"/>
    <cellStyle name="STYLE5" xfId="1430" xr:uid="{00000000-0005-0000-0000-00003C180000}"/>
    <cellStyle name="STYLE5 2" xfId="1431" xr:uid="{00000000-0005-0000-0000-00003D180000}"/>
    <cellStyle name="STYLE6" xfId="1432" xr:uid="{00000000-0005-0000-0000-00003E180000}"/>
    <cellStyle name="STYLE6 2" xfId="1433" xr:uid="{00000000-0005-0000-0000-00003F180000}"/>
    <cellStyle name="STYLE7" xfId="1434" xr:uid="{00000000-0005-0000-0000-000040180000}"/>
    <cellStyle name="STYLE7 2" xfId="1435" xr:uid="{00000000-0005-0000-0000-000041180000}"/>
    <cellStyle name="STYLE8" xfId="1436" xr:uid="{00000000-0005-0000-0000-000042180000}"/>
    <cellStyle name="STYLE8 2" xfId="1437" xr:uid="{00000000-0005-0000-0000-000043180000}"/>
    <cellStyle name="STYLE9" xfId="1438" xr:uid="{00000000-0005-0000-0000-000044180000}"/>
    <cellStyle name="Text Line" xfId="1342" xr:uid="{00000000-0005-0000-0000-000045180000}"/>
    <cellStyle name="Text Line + borders" xfId="1343" xr:uid="{00000000-0005-0000-0000-000046180000}"/>
    <cellStyle name="Title" xfId="1353" builtinId="15" customBuiltin="1"/>
    <cellStyle name="Title 2" xfId="1344" xr:uid="{00000000-0005-0000-0000-000048180000}"/>
    <cellStyle name="Title 2 2" xfId="3933" xr:uid="{00000000-0005-0000-0000-000049180000}"/>
    <cellStyle name="Title 2 3" xfId="4742" xr:uid="{00000000-0005-0000-0000-00004A180000}"/>
    <cellStyle name="Title 2 4" xfId="3932" xr:uid="{00000000-0005-0000-0000-00004B180000}"/>
    <cellStyle name="TOC 1" xfId="1345" xr:uid="{00000000-0005-0000-0000-00004C180000}"/>
    <cellStyle name="TOC 2" xfId="1346" xr:uid="{00000000-0005-0000-0000-00004D180000}"/>
    <cellStyle name="TOC 3" xfId="1347" xr:uid="{00000000-0005-0000-0000-00004E180000}"/>
    <cellStyle name="TOC 4" xfId="1348" xr:uid="{00000000-0005-0000-0000-00004F180000}"/>
    <cellStyle name="Total" xfId="1369" builtinId="25" customBuiltin="1"/>
    <cellStyle name="Total 2" xfId="1349" xr:uid="{00000000-0005-0000-0000-000051180000}"/>
    <cellStyle name="Total 2 2" xfId="3935" xr:uid="{00000000-0005-0000-0000-000052180000}"/>
    <cellStyle name="Total 2 2 2" xfId="3936" xr:uid="{00000000-0005-0000-0000-000053180000}"/>
    <cellStyle name="Total 2 2 2 2" xfId="3937" xr:uid="{00000000-0005-0000-0000-000054180000}"/>
    <cellStyle name="Total 2 2 2 3" xfId="3938" xr:uid="{00000000-0005-0000-0000-000055180000}"/>
    <cellStyle name="Total 2 2 2 4" xfId="3939" xr:uid="{00000000-0005-0000-0000-000056180000}"/>
    <cellStyle name="Total 2 2 2_BC Valid CC Listing" xfId="3940" xr:uid="{00000000-0005-0000-0000-000057180000}"/>
    <cellStyle name="Total 2 2 3" xfId="3941" xr:uid="{00000000-0005-0000-0000-000058180000}"/>
    <cellStyle name="Total 2 2 4" xfId="3942" xr:uid="{00000000-0005-0000-0000-000059180000}"/>
    <cellStyle name="Total 2 2 5" xfId="3943" xr:uid="{00000000-0005-0000-0000-00005A180000}"/>
    <cellStyle name="Total 2 2_BC Valid CC Listing" xfId="3944" xr:uid="{00000000-0005-0000-0000-00005B180000}"/>
    <cellStyle name="Total 2 3" xfId="3945" xr:uid="{00000000-0005-0000-0000-00005C180000}"/>
    <cellStyle name="Total 2 3 2" xfId="3946" xr:uid="{00000000-0005-0000-0000-00005D180000}"/>
    <cellStyle name="Total 2 3 3" xfId="3947" xr:uid="{00000000-0005-0000-0000-00005E180000}"/>
    <cellStyle name="Total 2 3 4" xfId="3948" xr:uid="{00000000-0005-0000-0000-00005F180000}"/>
    <cellStyle name="Total 2 3_BC Valid CC Listing" xfId="3949" xr:uid="{00000000-0005-0000-0000-000060180000}"/>
    <cellStyle name="Total 2 4" xfId="3950" xr:uid="{00000000-0005-0000-0000-000061180000}"/>
    <cellStyle name="Total 2 5" xfId="3951" xr:uid="{00000000-0005-0000-0000-000062180000}"/>
    <cellStyle name="Total 2 6" xfId="3952" xr:uid="{00000000-0005-0000-0000-000063180000}"/>
    <cellStyle name="Total 2 7" xfId="4743" xr:uid="{00000000-0005-0000-0000-000064180000}"/>
    <cellStyle name="Total 2 8" xfId="3934" xr:uid="{00000000-0005-0000-0000-000065180000}"/>
    <cellStyle name="Total 2_BC Valid CC Listing" xfId="3953" xr:uid="{00000000-0005-0000-0000-000066180000}"/>
    <cellStyle name="Total 3" xfId="1350" xr:uid="{00000000-0005-0000-0000-000067180000}"/>
    <cellStyle name="Total 3 2" xfId="4744" xr:uid="{00000000-0005-0000-0000-000068180000}"/>
    <cellStyle name="Total 3 3" xfId="3954" xr:uid="{00000000-0005-0000-0000-000069180000}"/>
    <cellStyle name="Total 3_2.DATA" xfId="6259" xr:uid="{00000000-0005-0000-0000-00006A180000}"/>
    <cellStyle name="Total 4" xfId="3955" xr:uid="{00000000-0005-0000-0000-00006B180000}"/>
    <cellStyle name="Total 5" xfId="3956" xr:uid="{00000000-0005-0000-0000-00006C180000}"/>
    <cellStyle name="Warning Text" xfId="1366" builtinId="11" customBuiltin="1"/>
    <cellStyle name="Warning Text 2" xfId="1351" xr:uid="{00000000-0005-0000-0000-00006E180000}"/>
    <cellStyle name="Warning Text 2 2" xfId="3958" xr:uid="{00000000-0005-0000-0000-00006F180000}"/>
    <cellStyle name="Warning Text 2 3" xfId="4745" xr:uid="{00000000-0005-0000-0000-000070180000}"/>
    <cellStyle name="Warning Text 2 4" xfId="3957" xr:uid="{00000000-0005-0000-0000-000071180000}"/>
    <cellStyle name="Warning Text 2_2.DATA" xfId="6260" xr:uid="{00000000-0005-0000-0000-000072180000}"/>
    <cellStyle name="Warning Text 3" xfId="1352" xr:uid="{00000000-0005-0000-0000-000073180000}"/>
    <cellStyle name="Warning Text 3 2" xfId="4746" xr:uid="{00000000-0005-0000-0000-000074180000}"/>
    <cellStyle name="Warning Text 3 3" xfId="3959" xr:uid="{00000000-0005-0000-0000-000075180000}"/>
    <cellStyle name="Warning Text 3_2.DATA" xfId="6261" xr:uid="{00000000-0005-0000-0000-000076180000}"/>
  </cellStyles>
  <dxfs count="5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</dxfs>
  <tableStyles count="1" defaultTableStyle="TableStyleMedium2" defaultPivotStyle="PivotStyleLight16">
    <tableStyle name="PivotStyleLight16 2" table="0" count="11" xr9:uid="{00000000-0011-0000-FFFF-FFFF00000000}">
      <tableStyleElement type="headerRow" dxfId="50"/>
      <tableStyleElement type="totalRow" dxfId="49"/>
      <tableStyleElement type="firstRowStripe" dxfId="48"/>
      <tableStyleElement type="firstColumnStripe" dxfId="47"/>
      <tableStyleElement type="firstSubtotalColumn" dxfId="46"/>
      <tableStyleElement type="firstSubtotalRow" dxfId="45"/>
      <tableStyleElement type="secondSubtotalRow" dxfId="44"/>
      <tableStyleElement type="firstRowSubheading" dxfId="43"/>
      <tableStyleElement type="secondRowSubheading" dxfId="42"/>
      <tableStyleElement type="pageFieldLabels" dxfId="41"/>
      <tableStyleElement type="pageFieldValues" dxfId="40"/>
    </tableStyle>
  </tableStyles>
  <colors>
    <mruColors>
      <color rgb="FF71AE48"/>
      <color rgb="FF85BD5F"/>
      <color rgb="FF62983E"/>
      <color rgb="FFD9C6DC"/>
      <color rgb="FFCBB0CF"/>
      <color rgb="FFB89EE6"/>
      <color rgb="FFCBDEE3"/>
      <color rgb="FF619EAC"/>
      <color rgb="FFFFCC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10</xdr:row>
          <xdr:rowOff>142875</xdr:rowOff>
        </xdr:from>
        <xdr:to>
          <xdr:col>12</xdr:col>
          <xdr:colOff>219075</xdr:colOff>
          <xdr:row>11</xdr:row>
          <xdr:rowOff>219075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Split into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10</xdr:row>
          <xdr:rowOff>76200</xdr:rowOff>
        </xdr:from>
        <xdr:to>
          <xdr:col>19</xdr:col>
          <xdr:colOff>180975</xdr:colOff>
          <xdr:row>11</xdr:row>
          <xdr:rowOff>152400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0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12</xdr:row>
          <xdr:rowOff>142875</xdr:rowOff>
        </xdr:from>
        <xdr:to>
          <xdr:col>12</xdr:col>
          <xdr:colOff>219075</xdr:colOff>
          <xdr:row>12</xdr:row>
          <xdr:rowOff>676275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0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Outcome Letters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1487311</xdr:colOff>
      <xdr:row>1</xdr:row>
      <xdr:rowOff>3132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" r="221"/>
        <a:stretch/>
      </xdr:blipFill>
      <xdr:spPr>
        <a:xfrm>
          <a:off x="1397000" y="682625"/>
          <a:ext cx="1476375" cy="3439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t.ucq.com.au\ucq\corpdata\Human%20Resources\HR%20Shared%20Services\Remuneration\04.%20Salaried%20Annual%20Remuneration%20Review\2022\1.%202022%20Draft%20ARR%20master%20spreadsheets\2022%20Annual%20Rem%20Review%20MASTER%20-%20DO%20NOT%20TOUCH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ites.au.deloitte.com/Users/sdiehl/AppData/Local/Microsoft/Windows/Temporary%20Internet%20Files/Content.Outlook/C34FWKFE/Synergy%20Actual%20Data%20Collection%20Template_PG_V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kroll\Desktop\Remuneration%20Review%20(formulas)_GM%20v19_FINAL_3(1)%20KW%20jk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Human%20Resources\HR%20Shared%20Services\Remuneration\04.%20Salaried%20ARR\2023-24\5.%20Data%20Validation\Remuneration%20Review%20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1 ARR Summary (Excld Hos)"/>
      <sheetName val="2022 ARR Summary"/>
      <sheetName val="Employee Data"/>
      <sheetName val="EA Compliance check"/>
      <sheetName val="Performance"/>
      <sheetName val="Notes"/>
      <sheetName val="Excluded"/>
      <sheetName val="Copy of Master Signatory"/>
      <sheetName val="Gender Pay"/>
      <sheetName val="Demographics"/>
      <sheetName val="Increase Formulation"/>
      <sheetName val="HEAT MAP &amp; FTE"/>
      <sheetName val="Comp-ratio Distribution"/>
      <sheetName val="Legends"/>
      <sheetName val="Increase Distribution"/>
      <sheetName val="Key Learnings"/>
      <sheetName val="UCQ RF"/>
      <sheetName val="PBI Tax Calc"/>
      <sheetName val="Look ups"/>
    </sheetNames>
    <sheetDataSet>
      <sheetData sheetId="0"/>
      <sheetData sheetId="1"/>
      <sheetData sheetId="2">
        <row r="6">
          <cell r="D6" t="str">
            <v>Maria D MCLAUGHLIN-ROLFE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>
            <v>0</v>
          </cell>
          <cell r="F8">
            <v>0.7</v>
          </cell>
          <cell r="G8">
            <v>0.85</v>
          </cell>
          <cell r="H8">
            <v>1</v>
          </cell>
          <cell r="I8">
            <v>1.1499999999999999</v>
          </cell>
          <cell r="J8">
            <v>1.3</v>
          </cell>
          <cell r="K8" t="str">
            <v>DR</v>
          </cell>
          <cell r="L8" t="str">
            <v>RLM</v>
          </cell>
        </row>
        <row r="9">
          <cell r="A9" t="str">
            <v>2ETT</v>
          </cell>
          <cell r="E9">
            <v>0.02</v>
          </cell>
          <cell r="F9">
            <v>0.02</v>
          </cell>
          <cell r="G9">
            <v>0.02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>
            <v>1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</row>
        <row r="11">
          <cell r="A11">
            <v>2</v>
          </cell>
          <cell r="E11">
            <v>1.4999999999999999E-2</v>
          </cell>
          <cell r="F11">
            <v>0.01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>
            <v>3</v>
          </cell>
          <cell r="E12">
            <v>0.04</v>
          </cell>
          <cell r="F12">
            <v>0.03</v>
          </cell>
          <cell r="G12">
            <v>0.02</v>
          </cell>
          <cell r="H12">
            <v>0.02</v>
          </cell>
          <cell r="I12">
            <v>1.4999999999999999E-2</v>
          </cell>
          <cell r="J12">
            <v>0</v>
          </cell>
          <cell r="K12">
            <v>0.02</v>
          </cell>
          <cell r="L12">
            <v>0.02</v>
          </cell>
        </row>
        <row r="13">
          <cell r="A13">
            <v>4</v>
          </cell>
          <cell r="E13">
            <v>0.05</v>
          </cell>
          <cell r="F13">
            <v>0.04</v>
          </cell>
          <cell r="G13">
            <v>0.03</v>
          </cell>
          <cell r="H13">
            <v>2.5000000000000001E-2</v>
          </cell>
          <cell r="I13">
            <v>0.02</v>
          </cell>
          <cell r="J13">
            <v>0</v>
          </cell>
          <cell r="K13">
            <v>2.5000000000000001E-2</v>
          </cell>
          <cell r="L13">
            <v>2.5000000000000001E-2</v>
          </cell>
        </row>
        <row r="14">
          <cell r="A14">
            <v>5</v>
          </cell>
          <cell r="E14">
            <v>0.06</v>
          </cell>
          <cell r="F14">
            <v>0.05</v>
          </cell>
          <cell r="G14">
            <v>0.04</v>
          </cell>
          <cell r="H14">
            <v>0.03</v>
          </cell>
          <cell r="I14">
            <v>2.5000000000000001E-2</v>
          </cell>
          <cell r="J14">
            <v>0</v>
          </cell>
          <cell r="K14">
            <v>0.03</v>
          </cell>
          <cell r="L14">
            <v>0.03</v>
          </cell>
        </row>
      </sheetData>
      <sheetData sheetId="11"/>
      <sheetData sheetId="12"/>
      <sheetData sheetId="13"/>
      <sheetData sheetId="14"/>
      <sheetData sheetId="15"/>
      <sheetData sheetId="16">
        <row r="9">
          <cell r="A9" t="str">
            <v>A</v>
          </cell>
          <cell r="G9">
            <v>297900</v>
          </cell>
        </row>
        <row r="10">
          <cell r="A10" t="str">
            <v>B</v>
          </cell>
          <cell r="G10">
            <v>216400</v>
          </cell>
        </row>
        <row r="11">
          <cell r="A11" t="str">
            <v>C</v>
          </cell>
          <cell r="G11">
            <v>165100</v>
          </cell>
        </row>
        <row r="12">
          <cell r="A12" t="str">
            <v>D</v>
          </cell>
          <cell r="G12">
            <v>131200</v>
          </cell>
        </row>
        <row r="13">
          <cell r="A13" t="str">
            <v>E</v>
          </cell>
          <cell r="G13">
            <v>101800</v>
          </cell>
        </row>
        <row r="14">
          <cell r="A14" t="str">
            <v>F</v>
          </cell>
          <cell r="G14">
            <v>76500</v>
          </cell>
        </row>
      </sheetData>
      <sheetData sheetId="17">
        <row r="3">
          <cell r="A3">
            <v>0</v>
          </cell>
          <cell r="B3">
            <v>18201</v>
          </cell>
          <cell r="C3">
            <v>18200</v>
          </cell>
          <cell r="D3">
            <v>0</v>
          </cell>
          <cell r="E3">
            <v>0</v>
          </cell>
        </row>
        <row r="4">
          <cell r="A4">
            <v>18201</v>
          </cell>
          <cell r="B4">
            <v>45001</v>
          </cell>
          <cell r="C4">
            <v>45000</v>
          </cell>
          <cell r="D4">
            <v>0</v>
          </cell>
          <cell r="E4">
            <v>0.19</v>
          </cell>
        </row>
        <row r="5">
          <cell r="A5">
            <v>45001</v>
          </cell>
          <cell r="B5">
            <v>120001</v>
          </cell>
          <cell r="C5">
            <v>120000</v>
          </cell>
          <cell r="D5">
            <v>5092</v>
          </cell>
          <cell r="E5">
            <v>0.32500000000000001</v>
          </cell>
        </row>
        <row r="6">
          <cell r="A6">
            <v>120001</v>
          </cell>
          <cell r="B6">
            <v>180001</v>
          </cell>
          <cell r="C6">
            <v>180000</v>
          </cell>
          <cell r="D6">
            <v>29467</v>
          </cell>
          <cell r="E6">
            <v>0.37</v>
          </cell>
        </row>
        <row r="7">
          <cell r="A7">
            <v>180001</v>
          </cell>
          <cell r="C7">
            <v>180000</v>
          </cell>
          <cell r="D7">
            <v>51667</v>
          </cell>
          <cell r="E7">
            <v>0.45</v>
          </cell>
        </row>
      </sheetData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ynergy"/>
      <sheetName val="Synergy Actuals"/>
      <sheetName val="SynergyConfig"/>
      <sheetName val="Risk Profile"/>
    </sheetNames>
    <sheetDataSet>
      <sheetData sheetId="0">
        <row r="60">
          <cell r="V60">
            <v>0</v>
          </cell>
        </row>
      </sheetData>
      <sheetData sheetId="1"/>
      <sheetData sheetId="2">
        <row r="7">
          <cell r="D7" t="str">
            <v>Sales</v>
          </cell>
        </row>
        <row r="78">
          <cell r="G78">
            <v>0.05</v>
          </cell>
        </row>
        <row r="79">
          <cell r="G79">
            <v>0.1</v>
          </cell>
        </row>
        <row r="80">
          <cell r="G80">
            <v>0.15000000000000002</v>
          </cell>
        </row>
        <row r="81">
          <cell r="G81">
            <v>0.2</v>
          </cell>
        </row>
        <row r="82">
          <cell r="G82">
            <v>0.25</v>
          </cell>
        </row>
        <row r="83">
          <cell r="G83">
            <v>0.3</v>
          </cell>
        </row>
        <row r="84">
          <cell r="G84">
            <v>0.35</v>
          </cell>
        </row>
        <row r="85">
          <cell r="G85">
            <v>0.39999999999999997</v>
          </cell>
        </row>
        <row r="86">
          <cell r="G86">
            <v>0.44999999999999996</v>
          </cell>
        </row>
        <row r="87">
          <cell r="G87">
            <v>0.49999999999999994</v>
          </cell>
        </row>
        <row r="88">
          <cell r="G88">
            <v>0.54999999999999993</v>
          </cell>
        </row>
        <row r="89">
          <cell r="G89">
            <v>0.6</v>
          </cell>
        </row>
        <row r="90">
          <cell r="G90">
            <v>0.65</v>
          </cell>
        </row>
        <row r="91">
          <cell r="G91">
            <v>0.70000000000000007</v>
          </cell>
        </row>
        <row r="92">
          <cell r="G92">
            <v>0.75000000000000011</v>
          </cell>
        </row>
        <row r="93">
          <cell r="G93">
            <v>0.80000000000000016</v>
          </cell>
        </row>
        <row r="94">
          <cell r="G94">
            <v>0.8500000000000002</v>
          </cell>
        </row>
        <row r="95">
          <cell r="G95">
            <v>0.90000000000000024</v>
          </cell>
        </row>
        <row r="96">
          <cell r="G96">
            <v>0.95000000000000029</v>
          </cell>
        </row>
        <row r="97">
          <cell r="G97">
            <v>1.0000000000000002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2023 ARR Summary"/>
      <sheetName val="Employee Data"/>
      <sheetName val="Lookup_Rem Ranges"/>
    </sheetNames>
    <sheetDataSet>
      <sheetData sheetId="0"/>
      <sheetData sheetId="1"/>
      <sheetData sheetId="2"/>
      <sheetData sheetId="3">
        <row r="1">
          <cell r="C1"/>
          <cell r="D1"/>
          <cell r="E1"/>
          <cell r="F1"/>
        </row>
        <row r="2">
          <cell r="C2"/>
          <cell r="D2" t="str">
            <v>Min</v>
          </cell>
          <cell r="E2" t="str">
            <v>Midpoint</v>
          </cell>
          <cell r="F2" t="str">
            <v>Max</v>
          </cell>
        </row>
        <row r="3">
          <cell r="C3"/>
          <cell r="D3"/>
          <cell r="E3"/>
          <cell r="F3"/>
        </row>
        <row r="4">
          <cell r="C4" t="str">
            <v>GI10</v>
          </cell>
          <cell r="D4">
            <v>314300</v>
          </cell>
          <cell r="E4">
            <v>369800</v>
          </cell>
          <cell r="F4">
            <v>425300</v>
          </cell>
        </row>
        <row r="5">
          <cell r="C5" t="str">
            <v>GI9</v>
          </cell>
          <cell r="D5">
            <v>244000</v>
          </cell>
          <cell r="E5">
            <v>287100</v>
          </cell>
          <cell r="F5">
            <v>330200</v>
          </cell>
        </row>
        <row r="6">
          <cell r="C6" t="str">
            <v>GI8</v>
          </cell>
          <cell r="D6">
            <v>189500</v>
          </cell>
          <cell r="E6">
            <v>222900</v>
          </cell>
          <cell r="F6">
            <v>256300</v>
          </cell>
        </row>
        <row r="7">
          <cell r="C7" t="str">
            <v>GI7</v>
          </cell>
          <cell r="D7">
            <v>147100</v>
          </cell>
          <cell r="E7">
            <v>173100</v>
          </cell>
          <cell r="F7">
            <v>199100</v>
          </cell>
        </row>
        <row r="8">
          <cell r="C8" t="str">
            <v>GI6</v>
          </cell>
          <cell r="D8">
            <v>114200</v>
          </cell>
          <cell r="E8">
            <v>134400</v>
          </cell>
          <cell r="F8">
            <v>154600</v>
          </cell>
        </row>
        <row r="9">
          <cell r="C9" t="str">
            <v>GI5</v>
          </cell>
          <cell r="D9">
            <v>88700</v>
          </cell>
          <cell r="E9">
            <v>104300</v>
          </cell>
          <cell r="F9">
            <v>119900</v>
          </cell>
        </row>
        <row r="10">
          <cell r="C10" t="str">
            <v>GI4</v>
          </cell>
          <cell r="D10">
            <v>73500</v>
          </cell>
          <cell r="E10">
            <v>86500</v>
          </cell>
          <cell r="F10">
            <v>99500</v>
          </cell>
        </row>
        <row r="11">
          <cell r="C11" t="str">
            <v>GI3</v>
          </cell>
          <cell r="D11">
            <v>64900</v>
          </cell>
          <cell r="E11">
            <v>76300</v>
          </cell>
          <cell r="F11">
            <v>87700</v>
          </cell>
        </row>
        <row r="12">
          <cell r="C12" t="str">
            <v>GI2</v>
          </cell>
          <cell r="D12">
            <v>57100</v>
          </cell>
          <cell r="E12">
            <v>67200</v>
          </cell>
          <cell r="F12">
            <v>77300</v>
          </cell>
        </row>
        <row r="13">
          <cell r="C13" t="str">
            <v>GI1</v>
          </cell>
          <cell r="D13">
            <v>50400</v>
          </cell>
          <cell r="E13">
            <v>59300</v>
          </cell>
          <cell r="F13">
            <v>68200</v>
          </cell>
        </row>
        <row r="14">
          <cell r="C14"/>
          <cell r="D14"/>
          <cell r="E14"/>
          <cell r="F14"/>
        </row>
        <row r="15">
          <cell r="C15" t="str">
            <v>CASS10</v>
          </cell>
          <cell r="D15">
            <v>268800</v>
          </cell>
          <cell r="E15">
            <v>316200</v>
          </cell>
          <cell r="F15">
            <v>363600</v>
          </cell>
        </row>
        <row r="16">
          <cell r="C16" t="str">
            <v>CASS9</v>
          </cell>
          <cell r="D16">
            <v>213500</v>
          </cell>
          <cell r="E16">
            <v>251200</v>
          </cell>
          <cell r="F16">
            <v>288900</v>
          </cell>
        </row>
        <row r="17">
          <cell r="C17" t="str">
            <v>CASS8</v>
          </cell>
          <cell r="D17">
            <v>168700</v>
          </cell>
          <cell r="E17">
            <v>198500</v>
          </cell>
          <cell r="F17">
            <v>228300</v>
          </cell>
        </row>
        <row r="18">
          <cell r="C18" t="str">
            <v>CASS7</v>
          </cell>
          <cell r="D18">
            <v>133400</v>
          </cell>
          <cell r="E18">
            <v>156900</v>
          </cell>
          <cell r="F18">
            <v>180400</v>
          </cell>
        </row>
        <row r="19">
          <cell r="C19" t="str">
            <v>CASS6</v>
          </cell>
          <cell r="D19">
            <v>105500</v>
          </cell>
          <cell r="E19">
            <v>124100</v>
          </cell>
          <cell r="F19">
            <v>142700</v>
          </cell>
        </row>
        <row r="20">
          <cell r="C20" t="str">
            <v>CASS5</v>
          </cell>
          <cell r="D20">
            <v>83400</v>
          </cell>
          <cell r="E20">
            <v>98100</v>
          </cell>
          <cell r="F20">
            <v>112800</v>
          </cell>
        </row>
        <row r="21">
          <cell r="C21" t="str">
            <v>CASS4</v>
          </cell>
          <cell r="D21">
            <v>70000</v>
          </cell>
          <cell r="E21">
            <v>82300</v>
          </cell>
          <cell r="F21">
            <v>94600</v>
          </cell>
        </row>
        <row r="22">
          <cell r="C22" t="str">
            <v>CASS3</v>
          </cell>
          <cell r="D22">
            <v>62400</v>
          </cell>
          <cell r="E22">
            <v>73400</v>
          </cell>
          <cell r="F22">
            <v>84400</v>
          </cell>
        </row>
        <row r="23">
          <cell r="C23" t="str">
            <v>CASS2</v>
          </cell>
          <cell r="D23">
            <v>55700</v>
          </cell>
          <cell r="E23">
            <v>65500</v>
          </cell>
          <cell r="F23">
            <v>75300</v>
          </cell>
        </row>
        <row r="24">
          <cell r="C24" t="str">
            <v>CASS1</v>
          </cell>
          <cell r="D24">
            <v>49700</v>
          </cell>
          <cell r="E24">
            <v>58500</v>
          </cell>
          <cell r="F24">
            <v>67300</v>
          </cell>
        </row>
        <row r="25">
          <cell r="C25" t="str">
            <v>EAEA</v>
          </cell>
          <cell r="D25"/>
          <cell r="E25"/>
          <cell r="F25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s"/>
      <sheetName val="2023 ARR Summary"/>
      <sheetName val="Employee Data"/>
      <sheetName val="Lookup_Rem Ranges"/>
      <sheetName val="Pivot_BU"/>
      <sheetName val="Lookup_EA Award Compliance"/>
    </sheetNames>
    <sheetDataSet>
      <sheetData sheetId="0" refreshError="1"/>
      <sheetData sheetId="1" refreshError="1"/>
      <sheetData sheetId="2" refreshError="1"/>
      <sheetData sheetId="3" refreshError="1">
        <row r="1">
          <cell r="C1"/>
          <cell r="D1"/>
        </row>
        <row r="2">
          <cell r="C2"/>
          <cell r="D2" t="str">
            <v>Min</v>
          </cell>
        </row>
        <row r="3">
          <cell r="C3"/>
          <cell r="D3"/>
        </row>
        <row r="4">
          <cell r="C4" t="str">
            <v>GI10</v>
          </cell>
          <cell r="D4">
            <v>314300</v>
          </cell>
        </row>
        <row r="5">
          <cell r="C5" t="str">
            <v>GI9</v>
          </cell>
          <cell r="D5">
            <v>244000</v>
          </cell>
        </row>
        <row r="6">
          <cell r="C6" t="str">
            <v>GI8</v>
          </cell>
          <cell r="D6">
            <v>189500</v>
          </cell>
        </row>
        <row r="7">
          <cell r="C7" t="str">
            <v>GI7</v>
          </cell>
          <cell r="D7">
            <v>147100</v>
          </cell>
        </row>
        <row r="8">
          <cell r="C8" t="str">
            <v>GI6</v>
          </cell>
          <cell r="D8">
            <v>114200</v>
          </cell>
        </row>
        <row r="9">
          <cell r="C9" t="str">
            <v>GI5</v>
          </cell>
          <cell r="D9">
            <v>88700</v>
          </cell>
        </row>
        <row r="10">
          <cell r="C10" t="str">
            <v>GI4</v>
          </cell>
          <cell r="D10">
            <v>73500</v>
          </cell>
        </row>
        <row r="11">
          <cell r="C11" t="str">
            <v>GI3</v>
          </cell>
          <cell r="D11">
            <v>64900</v>
          </cell>
        </row>
        <row r="12">
          <cell r="C12" t="str">
            <v>GI2</v>
          </cell>
          <cell r="D12">
            <v>57100</v>
          </cell>
        </row>
        <row r="13">
          <cell r="C13" t="str">
            <v>GI1</v>
          </cell>
          <cell r="D13">
            <v>50400</v>
          </cell>
        </row>
        <row r="14">
          <cell r="C14"/>
          <cell r="D14"/>
        </row>
        <row r="15">
          <cell r="C15" t="str">
            <v>CASS10</v>
          </cell>
          <cell r="D15">
            <v>268800</v>
          </cell>
        </row>
        <row r="16">
          <cell r="C16" t="str">
            <v>CASS9</v>
          </cell>
          <cell r="D16">
            <v>213500</v>
          </cell>
        </row>
        <row r="17">
          <cell r="C17" t="str">
            <v>CASS8</v>
          </cell>
          <cell r="D17">
            <v>168700</v>
          </cell>
        </row>
        <row r="18">
          <cell r="C18" t="str">
            <v>CASS7</v>
          </cell>
          <cell r="D18">
            <v>133400</v>
          </cell>
        </row>
        <row r="19">
          <cell r="C19" t="str">
            <v>CASS6</v>
          </cell>
          <cell r="D19">
            <v>105500</v>
          </cell>
        </row>
        <row r="20">
          <cell r="C20" t="str">
            <v>CASS5</v>
          </cell>
          <cell r="D20">
            <v>83400</v>
          </cell>
        </row>
        <row r="21">
          <cell r="C21" t="str">
            <v>CASS4</v>
          </cell>
          <cell r="D21">
            <v>70000</v>
          </cell>
        </row>
        <row r="22">
          <cell r="C22" t="str">
            <v>CASS3</v>
          </cell>
          <cell r="D22">
            <v>62400</v>
          </cell>
        </row>
        <row r="23">
          <cell r="C23" t="str">
            <v>CASS2</v>
          </cell>
          <cell r="D23">
            <v>55700</v>
          </cell>
        </row>
        <row r="24">
          <cell r="C24" t="str">
            <v>CASS1</v>
          </cell>
          <cell r="D24">
            <v>49700</v>
          </cell>
        </row>
        <row r="25">
          <cell r="C25"/>
          <cell r="D25"/>
        </row>
        <row r="26">
          <cell r="C26" t="str">
            <v>HOS-CLIN8</v>
          </cell>
          <cell r="D26">
            <v>188000</v>
          </cell>
        </row>
        <row r="27">
          <cell r="C27" t="str">
            <v>HOS-CLIN7</v>
          </cell>
          <cell r="D27">
            <v>163000</v>
          </cell>
        </row>
        <row r="28">
          <cell r="C28" t="str">
            <v>HOS-CLIN6</v>
          </cell>
          <cell r="D28">
            <v>148000</v>
          </cell>
        </row>
        <row r="29">
          <cell r="C29" t="str">
            <v>HOS-CLIN5</v>
          </cell>
          <cell r="D29">
            <v>120000</v>
          </cell>
        </row>
        <row r="30">
          <cell r="C30"/>
          <cell r="D30"/>
        </row>
        <row r="31">
          <cell r="C31" t="str">
            <v>HOS-MED9</v>
          </cell>
          <cell r="D31">
            <v>320000</v>
          </cell>
        </row>
        <row r="32">
          <cell r="C32" t="str">
            <v>HOS-MED8</v>
          </cell>
          <cell r="D32">
            <v>340000</v>
          </cell>
        </row>
        <row r="33">
          <cell r="C33" t="str">
            <v>HOS-MED7</v>
          </cell>
          <cell r="D33">
            <v>180000</v>
          </cell>
        </row>
        <row r="34">
          <cell r="C34" t="str">
            <v>HOS-MED6</v>
          </cell>
          <cell r="D34">
            <v>160000</v>
          </cell>
        </row>
        <row r="35">
          <cell r="C35" t="str">
            <v>EAEA</v>
          </cell>
          <cell r="D35"/>
        </row>
      </sheetData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elle Miller" refreshedDate="45133.534737847222" createdVersion="6" refreshedVersion="6" minRefreshableVersion="3" recordCount="1457" xr:uid="{1C217665-78A7-4EF9-988B-CBDE33F9AE8B}">
  <cacheSource type="worksheet">
    <worksheetSource ref="C16:W25" sheet="Employee Data"/>
  </cacheSource>
  <cacheFields count="21">
    <cacheField name="Entity and Employee ID" numFmtId="0">
      <sharedItems/>
    </cacheField>
    <cacheField name="Employee ID" numFmtId="0">
      <sharedItems containsSemiMixedTypes="0" containsString="0" containsNumber="1" containsInteger="1" minValue="36" maxValue="999015"/>
    </cacheField>
    <cacheField name="First Name" numFmtId="0">
      <sharedItems/>
    </cacheField>
    <cacheField name="Surname" numFmtId="0">
      <sharedItems/>
    </cacheField>
    <cacheField name="Gender" numFmtId="0">
      <sharedItems/>
    </cacheField>
    <cacheField name="Internal Position Code" numFmtId="164">
      <sharedItems containsBlank="1"/>
    </cacheField>
    <cacheField name="Position Number" numFmtId="0">
      <sharedItems containsBlank="1" containsMixedTypes="1" containsNumber="1" containsInteger="1" minValue="10001" maxValue="57639"/>
    </cacheField>
    <cacheField name="Position Title (Nominal)" numFmtId="0">
      <sharedItems/>
    </cacheField>
    <cacheField name="Hire Date" numFmtId="14">
      <sharedItems containsDate="1" containsMixedTypes="1" minDate="1980-03-12T00:00:00" maxDate="2023-06-27T00:00:00"/>
    </cacheField>
    <cacheField name="Contract End Date_x000a_(for fixed term contracts only)" numFmtId="14">
      <sharedItems containsDate="1" containsBlank="1" containsMixedTypes="1" minDate="2023-01-16T00:00:00" maxDate="2025-10-28T00:00:00"/>
    </cacheField>
    <cacheField name="Position Start Date" numFmtId="14">
      <sharedItems containsDate="1" containsMixedTypes="1" minDate="2015-06-23T00:00:00" maxDate="2023-10-02T00:00:00"/>
    </cacheField>
    <cacheField name="Employment Type" numFmtId="0">
      <sharedItems/>
    </cacheField>
    <cacheField name="Hours Worked per Week_x000a_(Average for casuals)" numFmtId="0">
      <sharedItems containsSemiMixedTypes="0" containsString="0" containsNumber="1" minValue="2" maxValue="50"/>
    </cacheField>
    <cacheField name="FTE_x000a_38hpw" numFmtId="2">
      <sharedItems containsSemiMixedTypes="0" containsString="0" containsNumber="1" minValue="5.2631578947368418E-2" maxValue="1.3157894736842106"/>
    </cacheField>
    <cacheField name="WGEA Category" numFmtId="0">
      <sharedItems containsBlank="1"/>
    </cacheField>
    <cacheField name="Manager Employee No." numFmtId="0">
      <sharedItems containsBlank="1" containsMixedTypes="1" containsNumber="1" containsInteger="1" minValue="4212" maxValue="999015"/>
    </cacheField>
    <cacheField name="Manager Name" numFmtId="0">
      <sharedItems containsBlank="1"/>
    </cacheField>
    <cacheField name="Manager Position No." numFmtId="0">
      <sharedItems containsBlank="1" containsMixedTypes="1" containsNumber="1" containsInteger="1" minValue="10226" maxValue="57294"/>
    </cacheField>
    <cacheField name="Manager Position Title" numFmtId="0">
      <sharedItems containsBlank="1"/>
    </cacheField>
    <cacheField name="Business Unit" numFmtId="164">
      <sharedItems count="11">
        <s v="Aged Care &amp; Community Services"/>
        <s v="Business, Finance &amp; Strategy"/>
        <s v="Digital &amp; Technology"/>
        <s v="Family &amp; Disability Services"/>
        <s v="Governance"/>
        <s v="Hospitals"/>
        <s v="Marketing and Corporate Affairs"/>
        <s v="Mission"/>
        <s v="Office of the CEO"/>
        <s v="People &amp; Culture"/>
        <s v="Transformation"/>
      </sharedItems>
    </cacheField>
    <cacheField name="Function" numFmtId="164">
      <sharedItems count="54">
        <s v="Aged Care Funding"/>
        <s v="Care &amp; Clinical Governance"/>
        <s v="Clinical Education"/>
        <s v="Community"/>
        <s v="Community "/>
        <s v="Community Pivot Alliance"/>
        <s v="Customer Service Centre"/>
        <s v="Residential"/>
        <s v="SLT &amp; Support"/>
        <s v="Corporate Finance"/>
        <s v="Finance Moderisation"/>
        <s v="Finance Reporting and Services"/>
        <s v="Finance Strategy and Analysis"/>
        <s v="Procurement Transformation"/>
        <s v="Property"/>
        <s v="Retirement Living"/>
        <s v="ACCS Digitial and Technology"/>
        <s v="Corporate Digital and  Technology"/>
        <s v="Cyber Security"/>
        <s v="Digital &amp; Technology Transformation"/>
        <s v="Digital Backbone and Service Management"/>
        <s v="Digital Platforms"/>
        <s v="Hospitals &amp; FADS"/>
        <s v="Business Performance &amp; Enablement"/>
        <s v="Child Family &amp; Individual Support"/>
        <s v="Disability Services"/>
        <s v="Lifeline and Wellbeing Service"/>
        <s v="Lifeline Retail"/>
        <s v="Practice Improvement &amp; Development"/>
        <s v="Board Support &amp; Policy"/>
        <s v="Legal"/>
        <s v="Risk and Assurance"/>
        <s v="Buderim Private Hospital"/>
        <s v="Patient Revenue &amp; Health Fund Relatlions"/>
        <s v="St Andrews War Memorial Hospital"/>
        <s v="St Stephens Hervey Bay"/>
        <s v="The Wesley Hospital"/>
        <s v="Advocacy &amp; Government Relations"/>
        <s v="Brand &amp; Marketing"/>
        <s v="Corporate Communications"/>
        <s v="Customer Experience &amp; Insights"/>
        <s v="Digital Marketing"/>
        <s v="Mission"/>
        <s v="2030 Transformation"/>
        <s v="Corporate Affairs &amp; Marketing"/>
        <s v="Office of the CEO"/>
        <s v="Business Partnering"/>
        <s v="Employee Relations"/>
        <s v="Health Safety and Wellbeing"/>
        <s v="Organisational Capability"/>
        <s v="Service Delivery"/>
        <s v="Talent Acquisition"/>
        <s v="Workforce Experience"/>
        <s v="Transform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7">
  <r>
    <s v="BLU194731"/>
    <n v="87896"/>
    <s v="Yan"/>
    <s v="Chan"/>
    <s v="FEMALE"/>
    <s v="ACC46"/>
    <n v="52409"/>
    <s v="Aged Care Funding Coordinator"/>
    <d v="2022-08-01T00:00:00"/>
    <d v="2023-09-02T00:00:00"/>
    <d v="2022-09-02T00:00:00"/>
    <s v="FULL"/>
    <n v="38"/>
    <n v="1"/>
    <s v="Other Managers"/>
    <n v="190409"/>
    <s v="Sarah Hughes"/>
    <n v="52078"/>
    <s v="Funding Performance Manager"/>
    <x v="0"/>
    <x v="0"/>
  </r>
  <r>
    <s v="BLU190391"/>
    <n v="83940"/>
    <s v="Robert"/>
    <s v="Shipley"/>
    <s v="MALE"/>
    <s v="ACC46"/>
    <n v="53603"/>
    <s v="Aged Care Funding Coordinator"/>
    <d v="2021-09-01T00:00:00"/>
    <d v="2023-09-02T00:00:00"/>
    <d v="2022-09-02T00:00:00"/>
    <s v="FULL"/>
    <n v="38"/>
    <n v="1"/>
    <s v="Other Managers"/>
    <n v="190409"/>
    <s v="Sarah Hughes"/>
    <n v="52078"/>
    <s v="Funding Performance Manager"/>
    <x v="0"/>
    <x v="0"/>
  </r>
  <r>
    <s v="BLU190409"/>
    <n v="83897"/>
    <s v="Sarah"/>
    <s v="Hughes"/>
    <s v="FEMALE"/>
    <s v="ACC46"/>
    <n v="53575"/>
    <s v="Aged Care Funding Coordinator"/>
    <d v="2021-09-01T00:00:00"/>
    <m/>
    <d v="2021-09-02T00:00:00"/>
    <s v="FULL"/>
    <n v="38"/>
    <n v="1"/>
    <s v="Other Managers"/>
    <n v="76598"/>
    <s v="Benjamin Lindsay"/>
    <n v="50840"/>
    <s v="General Manager"/>
    <x v="0"/>
    <x v="0"/>
  </r>
  <r>
    <s v="BLU157822"/>
    <n v="61893"/>
    <s v="Diane"/>
    <s v="Willis"/>
    <s v="FEMALE"/>
    <s v="ACC47"/>
    <n v="53684"/>
    <s v="Aged Care Funding Officer"/>
    <d v="2014-01-07T00:00:00"/>
    <m/>
    <d v="2022-08-24T00:00:00"/>
    <s v="FULL"/>
    <n v="38"/>
    <n v="1"/>
    <s v="Clerical &amp; Admin"/>
    <n v="190409"/>
    <s v="Sarah Hughes"/>
    <n v="52078"/>
    <s v="Funding Performance Manager"/>
    <x v="0"/>
    <x v="0"/>
  </r>
  <r>
    <s v="BLU159293"/>
    <n v="73933"/>
    <s v="Joanne"/>
    <s v="Hoskins"/>
    <s v="FEMALE"/>
    <s v="ACC63"/>
    <n v="54982"/>
    <s v="Quality Systems Analyst"/>
    <d v="2014-07-14T00:00:00"/>
    <m/>
    <d v="2022-05-25T00:00:00"/>
    <s v="PART"/>
    <n v="28"/>
    <n v="0.73684210526315785"/>
    <s v="Professionals"/>
    <n v="164782"/>
    <s v="Maureen Douglas-Holland"/>
    <n v="54759"/>
    <s v="Manager QA &amp; Improvement"/>
    <x v="0"/>
    <x v="1"/>
  </r>
  <r>
    <s v="BLU168968"/>
    <n v="71695"/>
    <s v="Mallory"/>
    <s v="Doust"/>
    <s v="FEMALE"/>
    <s v="ACC63"/>
    <n v="55102"/>
    <s v="Quality Systems Analyst"/>
    <d v="2017-11-29T00:00:00"/>
    <m/>
    <d v="2022-05-23T00:00:00"/>
    <s v="PART"/>
    <n v="28"/>
    <n v="0.73684210526315785"/>
    <s v="Professionals"/>
    <n v="164782"/>
    <s v="Maureen Douglas-Holland"/>
    <n v="54759"/>
    <s v="Manager QA &amp; Improvement"/>
    <x v="0"/>
    <x v="1"/>
  </r>
  <r>
    <s v="BLU161250"/>
    <n v="65059"/>
    <s v="Jennifer"/>
    <s v="Collins"/>
    <s v="FEMALE"/>
    <s v="ACC150"/>
    <n v="55353"/>
    <s v="Aged Care Funding Officer"/>
    <d v="2015-04-28T00:00:00"/>
    <m/>
    <d v="2020-09-07T00:00:00"/>
    <s v="FULL"/>
    <n v="38"/>
    <n v="1"/>
    <s v="Professionals"/>
    <n v="164782"/>
    <s v="Maureen Douglas-Holland"/>
    <n v="54759"/>
    <s v="Manager QA &amp; Improvement"/>
    <x v="0"/>
    <x v="1"/>
  </r>
  <r>
    <s v="BLU153483"/>
    <n v="57632"/>
    <s v="Danfeng"/>
    <s v="Pu"/>
    <s v="FEMALE"/>
    <s v="ACC150"/>
    <n v="50129"/>
    <s v="Care Governance and Quality Advisor"/>
    <d v="2012-08-07T00:00:00"/>
    <m/>
    <d v="2019-02-25T00:00:00"/>
    <s v="FULL"/>
    <n v="38"/>
    <n v="1"/>
    <s v="Professionals"/>
    <n v="164782"/>
    <s v="Maureen Douglas-Holland"/>
    <n v="54759"/>
    <s v="Manager QA &amp; Improvement"/>
    <x v="0"/>
    <x v="1"/>
  </r>
  <r>
    <s v="BLU172528"/>
    <n v="73972"/>
    <s v="Tammy"/>
    <s v="Wade"/>
    <s v="FEMALE"/>
    <s v="ACC78"/>
    <n v="54866"/>
    <s v="Client Safety Partner"/>
    <d v="2018-08-13T00:00:00"/>
    <m/>
    <d v="2022-04-25T00:00:00"/>
    <s v="FULL"/>
    <n v="38"/>
    <n v="1"/>
    <s v="Professionals"/>
    <n v="134653"/>
    <s v="Ann-Marie Warham"/>
    <n v="53420"/>
    <s v="Quality Compliance and Innovat"/>
    <x v="0"/>
    <x v="1"/>
  </r>
  <r>
    <s v="BLU118296"/>
    <n v="24257"/>
    <s v="Jane"/>
    <s v="Oldfield"/>
    <s v="FEMALE"/>
    <s v="ACC35"/>
    <n v="54966"/>
    <s v="Practice Lead Residential"/>
    <d v="2001-04-19T00:00:00"/>
    <m/>
    <d v="2022-03-22T00:00:00"/>
    <s v="PART"/>
    <n v="22.8"/>
    <n v="0.6"/>
    <s v="Other Managers"/>
    <n v="186045"/>
    <s v="Darolyn Harris"/>
    <n v="53749"/>
    <s v="Senior Manager"/>
    <x v="0"/>
    <x v="1"/>
  </r>
  <r>
    <s v="BLU138566"/>
    <n v="72377"/>
    <s v="Karen"/>
    <s v="Owen"/>
    <s v="FEMALE"/>
    <s v="ACC35"/>
    <n v="54794"/>
    <s v="Practice Lead Community"/>
    <d v="2018-02-26T00:00:00"/>
    <m/>
    <d v="2022-04-20T00:00:00"/>
    <s v="CASUAL"/>
    <n v="38"/>
    <n v="1"/>
    <s v="Other Managers"/>
    <n v="186045"/>
    <s v="Darolyn Harris"/>
    <n v="53749"/>
    <s v="Senior Manager"/>
    <x v="0"/>
    <x v="1"/>
  </r>
  <r>
    <s v="BLU195218"/>
    <n v="88266"/>
    <s v="Glenda"/>
    <s v="Coxeter"/>
    <s v="FEMALE"/>
    <s v="ACC35"/>
    <n v="55411"/>
    <s v="Practice Lead"/>
    <d v="2022-09-05T00:00:00"/>
    <m/>
    <d v="2022-09-05T00:00:00"/>
    <s v="FULL"/>
    <n v="38"/>
    <n v="1"/>
    <s v="Other Managers"/>
    <n v="186045"/>
    <s v="Darolyn Harris"/>
    <n v="53749"/>
    <s v="Senior Manager"/>
    <x v="0"/>
    <x v="1"/>
  </r>
  <r>
    <s v="BLU190460"/>
    <n v="83969"/>
    <s v="Kelly"/>
    <s v="Bennett"/>
    <s v="FEMALE"/>
    <s v="ACC27"/>
    <n v="54448"/>
    <s v="Quality Compliance and Innovation"/>
    <d v="2021-08-17T00:00:00"/>
    <m/>
    <d v="2022-05-03T00:00:00"/>
    <s v="FULL"/>
    <n v="38"/>
    <n v="1"/>
    <s v="Clerical &amp; Admin"/>
    <n v="134653"/>
    <s v="Ann-Marie Warham"/>
    <n v="53420"/>
    <s v="Quality Compliance and Innovat"/>
    <x v="0"/>
    <x v="1"/>
  </r>
  <r>
    <s v="BLU160626"/>
    <n v="72103"/>
    <s v="Rebecca"/>
    <s v="Laurier"/>
    <s v="FEMALE"/>
    <s v="ACC78"/>
    <n v="55262"/>
    <s v="Client Safety Partner"/>
    <d v="2018-01-08T00:00:00"/>
    <m/>
    <d v="2022-07-12T00:00:00"/>
    <s v="FULL"/>
    <n v="38"/>
    <n v="1"/>
    <s v="Professionals"/>
    <n v="134653"/>
    <s v="Ann-Marie Warham"/>
    <n v="53420"/>
    <s v="Quality Compliance and Innovat"/>
    <x v="0"/>
    <x v="1"/>
  </r>
  <r>
    <s v="BLU110008"/>
    <n v="21015"/>
    <s v="Kaye"/>
    <s v="Chant"/>
    <s v="FEMALE"/>
    <s v="ACC150"/>
    <n v="52551"/>
    <s v="Care Governance and Quality Advisor"/>
    <d v="1985-10-24T00:00:00"/>
    <m/>
    <d v="2020-08-25T00:00:00"/>
    <s v="CASUAL"/>
    <n v="38"/>
    <n v="1"/>
    <s v="Professionals"/>
    <n v="164782"/>
    <s v="Maureen Douglas-Holland"/>
    <n v="54759"/>
    <s v="Manager QA &amp; Improvement"/>
    <x v="0"/>
    <x v="1"/>
  </r>
  <r>
    <s v="BLU194388"/>
    <n v="87597"/>
    <s v="Kim"/>
    <s v="Ryall-Manley"/>
    <s v="FEMALE"/>
    <s v="ACC26"/>
    <n v="55151"/>
    <s v="Audit and Compliance Lead"/>
    <d v="2022-07-12T00:00:00"/>
    <m/>
    <d v="2022-07-12T00:00:00"/>
    <s v="FULL"/>
    <n v="38"/>
    <n v="1"/>
    <s v="Other Managers"/>
    <n v="186045"/>
    <s v="Darolyn Harris"/>
    <n v="53749"/>
    <s v="Senior Manager"/>
    <x v="0"/>
    <x v="1"/>
  </r>
  <r>
    <s v="BLU154993"/>
    <n v="59033"/>
    <s v="Angela"/>
    <s v="Bertram"/>
    <s v="FEMALE"/>
    <s v="ACC151"/>
    <n v="54769"/>
    <s v="Client Safety Lead"/>
    <d v="2012-12-17T00:00:00"/>
    <m/>
    <d v="2022-03-22T00:00:00"/>
    <s v="PART"/>
    <n v="34.200000000000003"/>
    <n v="0.9"/>
    <s v="Professionals"/>
    <n v="134653"/>
    <s v="Ann-Marie Warham"/>
    <n v="53420"/>
    <s v="Quality Compliance and Innovat"/>
    <x v="0"/>
    <x v="1"/>
  </r>
  <r>
    <s v="BLU147661"/>
    <n v="51788"/>
    <s v="Naomi"/>
    <s v="Moore"/>
    <s v="FEMALE"/>
    <s v="ACC27"/>
    <n v="56049"/>
    <s v="Quality Compliance and Innovation"/>
    <d v="2011-01-10T00:00:00"/>
    <m/>
    <d v="2022-11-14T00:00:00"/>
    <s v="FULL"/>
    <n v="38"/>
    <n v="1"/>
    <s v="Clerical &amp; Admin"/>
    <n v="134653"/>
    <s v="Ann-Marie Warham"/>
    <n v="53420"/>
    <s v="Quality Compliance and Innovat"/>
    <x v="0"/>
    <x v="1"/>
  </r>
  <r>
    <s v="BLU168989"/>
    <n v="71920"/>
    <s v="Marinna"/>
    <s v="Klemm"/>
    <s v="FEMALE"/>
    <s v="ACC27"/>
    <n v="55515"/>
    <s v="Quality Compliance and Innovation"/>
    <d v="2017-12-19T00:00:00"/>
    <m/>
    <d v="2022-08-29T00:00:00"/>
    <s v="FULL"/>
    <n v="38"/>
    <n v="1"/>
    <s v="Clerical &amp; Admin"/>
    <n v="134653"/>
    <s v="Ann-Marie Warham"/>
    <n v="53420"/>
    <s v="Quality Compliance and Innovat"/>
    <x v="0"/>
    <x v="1"/>
  </r>
  <r>
    <s v="BLU192848"/>
    <n v="86280"/>
    <s v="Lesa"/>
    <s v="Scamolla"/>
    <s v="FEMALE"/>
    <s v="ACC62"/>
    <n v="54420"/>
    <s v="Quality Compliance and Innovation"/>
    <d v="2022-03-21T00:00:00"/>
    <m/>
    <d v="2022-03-21T00:00:00"/>
    <s v="FULL"/>
    <n v="38"/>
    <n v="1"/>
    <s v="Clerical &amp; Admin"/>
    <n v="134653"/>
    <s v="Ann-Marie Warham"/>
    <n v="53420"/>
    <s v="Quality Compliance and Innovat"/>
    <x v="0"/>
    <x v="1"/>
  </r>
  <r>
    <s v="BLU195660"/>
    <n v="88582"/>
    <s v="Chelsea"/>
    <s v="Palmer"/>
    <s v="FEMALE"/>
    <s v="ACC62"/>
    <n v="55544"/>
    <s v="Quality Compliance and Innovation"/>
    <d v="2022-10-03T00:00:00"/>
    <m/>
    <d v="2022-10-03T00:00:00"/>
    <s v="FULL"/>
    <n v="38"/>
    <n v="1"/>
    <s v="Clerical &amp; Admin"/>
    <n v="134653"/>
    <s v="Ann-Marie Warham"/>
    <n v="53420"/>
    <s v="Quality Compliance and Innovat"/>
    <x v="0"/>
    <x v="1"/>
  </r>
  <r>
    <s v="BLU196217"/>
    <n v="89118"/>
    <s v="Kathleen"/>
    <s v="Djuric"/>
    <s v="FEMALE"/>
    <s v="ACC62"/>
    <n v="52650"/>
    <s v="Quality Compliance and Innovation"/>
    <d v="2022-11-21T00:00:00"/>
    <m/>
    <d v="2022-11-21T00:00:00"/>
    <s v="FULL"/>
    <n v="38"/>
    <n v="1"/>
    <s v="Clerical &amp; Admin"/>
    <n v="134653"/>
    <s v="Ann-Marie Warham"/>
    <n v="53420"/>
    <s v="Quality Compliance and Innovat"/>
    <x v="0"/>
    <x v="1"/>
  </r>
  <r>
    <s v="BLU196558"/>
    <n v="89622"/>
    <s v="Stacey"/>
    <s v="Hood"/>
    <s v="FEMALE"/>
    <s v="ACC62"/>
    <n v="56186"/>
    <s v="Quality Compliance and Innovation"/>
    <d v="2023-01-23T00:00:00"/>
    <m/>
    <d v="2023-01-23T00:00:00"/>
    <s v="FULL"/>
    <n v="38"/>
    <n v="1"/>
    <s v="Community &amp; Persnal Svcs"/>
    <n v="134653"/>
    <s v="Ann-Marie Warham"/>
    <n v="53420"/>
    <s v="Quality Compliance and Innovat"/>
    <x v="0"/>
    <x v="1"/>
  </r>
  <r>
    <s v="BLU104015"/>
    <n v="90566"/>
    <s v="Tuija"/>
    <s v="Lindstrom"/>
    <s v="FEMALE"/>
    <s v="ACC62"/>
    <n v="55447"/>
    <s v="Quality Compliance and Innovation Partner"/>
    <d v="2023-03-06T00:00:00"/>
    <m/>
    <d v="2023-03-06T00:00:00"/>
    <s v="FULL"/>
    <n v="38"/>
    <n v="1"/>
    <s v="Clerical &amp; Admin"/>
    <n v="134653"/>
    <s v="Ann-Marie Warham"/>
    <n v="53420"/>
    <s v="Quality Compliance and Innovat"/>
    <x v="0"/>
    <x v="1"/>
  </r>
  <r>
    <s v="BLU138407"/>
    <n v="45137"/>
    <s v="Cassandra"/>
    <s v="Mclaughlin"/>
    <s v="FEMALE"/>
    <s v="ACC62"/>
    <n v="52554"/>
    <s v="Quality Partner - SEQ"/>
    <d v="2009-02-10T00:00:00"/>
    <m/>
    <d v="2023-01-10T00:00:00"/>
    <s v="PART"/>
    <n v="26.25"/>
    <n v="0.69078947368421051"/>
    <s v="Other Managers"/>
    <n v="134653"/>
    <s v="Ann-Marie Warham"/>
    <n v="53420"/>
    <s v="Quality Compliance and Innovat"/>
    <x v="0"/>
    <x v="1"/>
  </r>
  <r>
    <s v="BLU192963"/>
    <n v="86432"/>
    <s v="Bridgette"/>
    <s v="Lennox"/>
    <s v="FEMALE"/>
    <s v="ACC26"/>
    <n v="57361"/>
    <s v="Audit and Compliance Lead"/>
    <d v="2022-04-26T00:00:00"/>
    <m/>
    <d v="2022-04-26T00:00:00"/>
    <s v="FULL"/>
    <n v="38"/>
    <n v="1"/>
    <s v="Other Managers"/>
    <n v="186045"/>
    <s v="Darolyn Harris"/>
    <n v="54188"/>
    <s v="Senior Manager"/>
    <x v="0"/>
    <x v="1"/>
  </r>
  <r>
    <s v="BLU190442"/>
    <n v="84060"/>
    <s v="Laila"/>
    <s v="Chalustowski"/>
    <s v="FEMALE"/>
    <s v="ACC27"/>
    <n v="53646"/>
    <s v="Quality Compliance and Innovation"/>
    <d v="2021-09-13T00:00:00"/>
    <m/>
    <d v="2022-11-21T00:00:00"/>
    <s v="FULL"/>
    <n v="38"/>
    <n v="1"/>
    <s v="Clerical &amp; Admin"/>
    <n v="134653"/>
    <s v="Ann-Marie Warham"/>
    <n v="53420"/>
    <s v="Quality Compliance and Innovat"/>
    <x v="0"/>
    <x v="1"/>
  </r>
  <r>
    <s v="BLU119214"/>
    <n v="23565"/>
    <s v="Megan"/>
    <s v="Lunney"/>
    <s v="FEMALE"/>
    <s v="ACC35"/>
    <n v="54639"/>
    <s v="Practice Lead Community"/>
    <d v="1997-03-10T00:00:00"/>
    <m/>
    <d v="2022-03-22T00:00:00"/>
    <s v="FULL"/>
    <n v="38"/>
    <n v="1"/>
    <s v="Other Managers"/>
    <n v="186045"/>
    <s v="Darolyn Harris"/>
    <n v="53749"/>
    <s v="Senior Manager"/>
    <x v="0"/>
    <x v="1"/>
  </r>
  <r>
    <s v="BLU103256"/>
    <n v="14963"/>
    <s v="Sharyn"/>
    <s v="Farr"/>
    <s v="FEMALE"/>
    <s v="ACC26"/>
    <n v="54797"/>
    <s v="Audit and Compliance Lead"/>
    <d v="2001-08-20T00:00:00"/>
    <m/>
    <d v="2022-03-22T00:00:00"/>
    <s v="FULL"/>
    <n v="38"/>
    <n v="1"/>
    <s v="Other Managers"/>
    <n v="186045"/>
    <s v="Darolyn Harris"/>
    <n v="53749"/>
    <s v="Senior Manager"/>
    <x v="0"/>
    <x v="1"/>
  </r>
  <r>
    <s v="BLU164782"/>
    <n v="81858"/>
    <s v="Maureen"/>
    <s v="Douglas-Holland"/>
    <s v="FEMALE"/>
    <s v="ACC17"/>
    <n v="54759"/>
    <s v="Manager QA and Improvement"/>
    <d v="2021-01-04T00:00:00"/>
    <m/>
    <d v="2022-03-22T00:00:00"/>
    <s v="FULL"/>
    <n v="38"/>
    <n v="1"/>
    <s v="Senior Managers"/>
    <n v="124042"/>
    <s v="Rebecca Bell"/>
    <n v="38563"/>
    <s v="General Manager"/>
    <x v="0"/>
    <x v="1"/>
  </r>
  <r>
    <s v="BLU188686"/>
    <n v="82402"/>
    <s v="Anita"/>
    <s v="Camenzuli"/>
    <s v="FEMALE"/>
    <s v="ACC62"/>
    <n v="52653"/>
    <s v="Quality Compliance and Innovation"/>
    <d v="2021-03-08T00:00:00"/>
    <m/>
    <d v="2021-12-01T00:00:00"/>
    <s v="FULL"/>
    <n v="38"/>
    <n v="1"/>
    <s v="Clerical &amp; Admin"/>
    <n v="134653"/>
    <s v="Ann-Marie Warham"/>
    <n v="53420"/>
    <s v="Quality Compliance and Innovat"/>
    <x v="0"/>
    <x v="1"/>
  </r>
  <r>
    <s v="BLU104551"/>
    <n v="13350"/>
    <s v="Ann-Marie"/>
    <s v="Warham"/>
    <s v="FEMALE"/>
    <s v="ACC30"/>
    <n v="55168"/>
    <s v="Infection Control Lead (previously Clinical Project Lead)"/>
    <d v="1998-08-17T00:00:00"/>
    <m/>
    <d v="2022-06-27T00:00:00"/>
    <s v="FULL"/>
    <n v="38"/>
    <n v="1"/>
    <s v="Professionals"/>
    <n v="124042"/>
    <s v="Rebecca Bell"/>
    <n v="38563"/>
    <s v="General Manager"/>
    <x v="0"/>
    <x v="1"/>
  </r>
  <r>
    <s v="BLU190125"/>
    <n v="83711"/>
    <s v="Lynne"/>
    <s v="Jones"/>
    <s v="FEMALE"/>
    <s v="ACC57"/>
    <n v="53504"/>
    <s v="Nurse Practitioner"/>
    <d v="2021-08-09T00:00:00"/>
    <m/>
    <d v="2022-07-01T00:00:00"/>
    <s v="FULL"/>
    <n v="38"/>
    <n v="1"/>
    <s v="Professionals"/>
    <n v="134653"/>
    <s v="Ann-Marie Warham"/>
    <n v="53420"/>
    <s v="Quality Compliance and Innovat"/>
    <x v="0"/>
    <x v="1"/>
  </r>
  <r>
    <s v="BLU186045"/>
    <n v="80420"/>
    <s v="Darolyn"/>
    <s v="Harris"/>
    <s v="FEMALE"/>
    <s v="ACC24"/>
    <n v="53749"/>
    <s v="Senior Manager, Quality and Compliance"/>
    <d v="2020-07-27T00:00:00"/>
    <m/>
    <d v="2021-06-07T00:00:00"/>
    <s v="FULL"/>
    <n v="38"/>
    <n v="1"/>
    <s v="Senior Managers"/>
    <n v="124042"/>
    <s v="Rebecca Bell"/>
    <n v="38563"/>
    <s v="General Manager"/>
    <x v="0"/>
    <x v="1"/>
  </r>
  <r>
    <s v="BLU100842"/>
    <n v="10829"/>
    <s v="Joshua"/>
    <s v="Higgins"/>
    <s v="MALE"/>
    <s v="ACC116"/>
    <n v="57158"/>
    <s v="Clinical Educator"/>
    <d v="2002-05-10T00:00:00"/>
    <m/>
    <d v="2023-05-02T00:00:00"/>
    <s v="FULL"/>
    <n v="38"/>
    <n v="1"/>
    <s v="Professionals"/>
    <n v="168287"/>
    <s v="Helen Bridge"/>
    <n v="57015"/>
    <s v="Clinical Educator - Team Leader"/>
    <x v="0"/>
    <x v="2"/>
  </r>
  <r>
    <s v="BLU119797"/>
    <n v="28314"/>
    <s v="Wendy"/>
    <s v="Dee"/>
    <s v="FEMALE"/>
    <s v="ACC116"/>
    <n v="57243"/>
    <s v="Clinical Educator"/>
    <d v="2004-05-07T00:00:00"/>
    <m/>
    <d v="2023-05-22T00:00:00"/>
    <s v="FULL"/>
    <n v="38"/>
    <n v="1"/>
    <s v="Professionals"/>
    <n v="168287"/>
    <s v="Helen Bridge"/>
    <n v="57015"/>
    <s v="Clinical Educator - Team Leader"/>
    <x v="0"/>
    <x v="2"/>
  </r>
  <r>
    <s v="BLU147543"/>
    <n v="91528"/>
    <s v="Kim"/>
    <s v="Arbuthnot"/>
    <s v="FEMALE"/>
    <s v="ACC116"/>
    <n v="57412"/>
    <s v="Clinical Educator"/>
    <d v="2023-05-22T00:00:00"/>
    <m/>
    <d v="2023-05-22T00:00:00"/>
    <s v="FULL"/>
    <n v="38"/>
    <n v="1"/>
    <s v="Professionals"/>
    <n v="168287"/>
    <s v="Helen Bridge"/>
    <n v="57015"/>
    <s v="Clinical Educator - Team Leader"/>
    <x v="0"/>
    <x v="2"/>
  </r>
  <r>
    <s v="BLU154267"/>
    <n v="58473"/>
    <s v="Georgette"/>
    <s v="Sepnio"/>
    <s v="FEMALE"/>
    <s v="ACC116"/>
    <n v="57156"/>
    <s v="Clinical Educator"/>
    <d v="2012-10-30T00:00:00"/>
    <m/>
    <d v="2023-05-02T00:00:00"/>
    <s v="FULL"/>
    <n v="38"/>
    <n v="1"/>
    <s v="Professionals"/>
    <n v="168287"/>
    <s v="Helen Bridge"/>
    <n v="57015"/>
    <s v="Clinical Educator - Team Leader"/>
    <x v="0"/>
    <x v="2"/>
  </r>
  <r>
    <s v="BLU198627"/>
    <n v="91017"/>
    <s v="Kelle"/>
    <s v="Mcpherson"/>
    <s v="FEMALE"/>
    <s v="ACC116"/>
    <n v="57096"/>
    <s v="Clinical Educator"/>
    <d v="2023-04-26T00:00:00"/>
    <m/>
    <d v="2023-04-26T00:00:00"/>
    <s v="FULL"/>
    <n v="38"/>
    <n v="1"/>
    <s v="Professionals"/>
    <n v="168287"/>
    <s v="Helen Bridge"/>
    <n v="57015"/>
    <s v="Clinical Educator - Team Leader"/>
    <x v="0"/>
    <x v="2"/>
  </r>
  <r>
    <s v="BLU199136"/>
    <n v="91419"/>
    <s v="Nisha"/>
    <s v="Mishra"/>
    <s v="FEMALE"/>
    <s v="ACC116"/>
    <n v="57353"/>
    <s v="Clinical Educator"/>
    <d v="2023-05-22T00:00:00"/>
    <m/>
    <d v="2023-05-22T00:00:00"/>
    <s v="FULL"/>
    <n v="38"/>
    <n v="1"/>
    <s v="Professionals"/>
    <n v="168287"/>
    <s v="Helen Bridge"/>
    <n v="57015"/>
    <s v="Clinical Educator - Team Leader"/>
    <x v="0"/>
    <x v="2"/>
  </r>
  <r>
    <s v="BLU152369"/>
    <n v="91016"/>
    <s v="Lisa"/>
    <s v="Nicol"/>
    <s v="FEMALE"/>
    <s v="ACC35"/>
    <n v="57095"/>
    <s v="Clinical Educator"/>
    <d v="2023-05-02T00:00:00"/>
    <m/>
    <d v="2023-05-02T00:00:00"/>
    <s v="FULL"/>
    <n v="38"/>
    <n v="1"/>
    <s v="Professionals"/>
    <n v="168287"/>
    <s v="Helen Bridge"/>
    <n v="57015"/>
    <s v="Clinical Educator - Team Leader"/>
    <x v="0"/>
    <x v="2"/>
  </r>
  <r>
    <s v="BLU180848"/>
    <n v="91166"/>
    <s v="Jacqueline"/>
    <s v="Mullenger"/>
    <s v="FEMALE"/>
    <s v="ACC35"/>
    <n v="57197"/>
    <s v="Clinical Educator"/>
    <d v="2023-05-08T00:00:00"/>
    <m/>
    <d v="2023-05-08T00:00:00"/>
    <s v="FULL"/>
    <n v="38"/>
    <n v="1"/>
    <s v="Professionals"/>
    <n v="168287"/>
    <s v="Helen Bridge"/>
    <n v="57015"/>
    <s v="Clinical Educator - Team Leader"/>
    <x v="0"/>
    <x v="2"/>
  </r>
  <r>
    <s v="BLU198645"/>
    <n v="91129"/>
    <s v="Vicki"/>
    <s v="Simpson"/>
    <s v="FEMALE"/>
    <s v="ACC12"/>
    <n v="57171"/>
    <s v="Clinical Education Specialist"/>
    <d v="2023-05-02T00:00:00"/>
    <m/>
    <d v="2023-05-02T00:00:00"/>
    <s v="FULL"/>
    <n v="38"/>
    <n v="1"/>
    <s v="Professionals"/>
    <n v="20532"/>
    <s v="Siobhan See"/>
    <s v="60CEL"/>
    <s v="Clinical Education Manager"/>
    <x v="0"/>
    <x v="2"/>
  </r>
  <r>
    <s v="BLU198795"/>
    <n v="91295"/>
    <s v="Catherine"/>
    <s v="Betcher"/>
    <s v="FEMALE"/>
    <s v="ACC12"/>
    <n v="57296"/>
    <s v="Clinical Education Specialist"/>
    <d v="2023-05-22T00:00:00"/>
    <m/>
    <d v="2023-05-22T00:00:00"/>
    <s v="FULL"/>
    <n v="38"/>
    <n v="1"/>
    <s v="Professionals"/>
    <n v="20532"/>
    <s v="Siobhan See"/>
    <s v="60CEL"/>
    <s v="Clinical Education Manager"/>
    <x v="0"/>
    <x v="2"/>
  </r>
  <r>
    <s v="BLU189473"/>
    <n v="83071"/>
    <s v="Carolyn"/>
    <s v="Gilmour"/>
    <s v="FEMALE"/>
    <s v="ACC12"/>
    <n v="57639"/>
    <s v="Clinical Education Specialist"/>
    <e v="#N/A"/>
    <m/>
    <d v="2023-06-27T00:00:00"/>
    <s v="FULL"/>
    <n v="38"/>
    <n v="1"/>
    <s v="Professionals"/>
    <n v="20532"/>
    <s v="Siobhan See"/>
    <s v="60CEL"/>
    <s v="Clinical Education Manager"/>
    <x v="0"/>
    <x v="2"/>
  </r>
  <r>
    <s v="BLU168287"/>
    <n v="77788"/>
    <s v="Helen"/>
    <s v="Bridge"/>
    <s v="FEMALE"/>
    <s v="ACC35"/>
    <n v="57015"/>
    <s v="Clinical Educator - Team Leader"/>
    <d v="2019-11-05T00:00:00"/>
    <m/>
    <d v="2023-04-18T00:00:00"/>
    <s v="FULL"/>
    <n v="38"/>
    <n v="1"/>
    <s v="Professionals"/>
    <n v="20532"/>
    <s v="Siobhan See"/>
    <s v="60CEL"/>
    <s v="Clinical Education Manager"/>
    <x v="0"/>
    <x v="2"/>
  </r>
  <r>
    <s v="BLU115272"/>
    <n v="75952"/>
    <s v="Lillian"/>
    <s v="Moni"/>
    <s v="FEMALE"/>
    <s v="ACC108"/>
    <n v="45734"/>
    <s v="RAS Home Support Assessor"/>
    <d v="2019-02-11T00:00:00"/>
    <d v="2024-06-30T00:00:00"/>
    <d v="2023-07-01T00:00:00"/>
    <s v="CASUAL"/>
    <n v="38"/>
    <n v="1"/>
    <s v="Community &amp; Persnal Svcs"/>
    <n v="62784"/>
    <s v="Nicole Chapman"/>
    <n v="45711"/>
    <s v="RAS Team Leader"/>
    <x v="0"/>
    <x v="3"/>
  </r>
  <r>
    <s v="BLU195907"/>
    <n v="88832"/>
    <s v="Robert"/>
    <s v="Friend"/>
    <s v="MALE"/>
    <s v="ACC108"/>
    <n v="45722"/>
    <s v="RAS Home Support Assessor"/>
    <d v="2022-10-18T00:00:00"/>
    <m/>
    <d v="2022-10-18T00:00:00"/>
    <s v="CASUAL"/>
    <n v="38"/>
    <n v="1"/>
    <s v="Community &amp; Persnal Svcs"/>
    <n v="62784"/>
    <s v="Nicole Chapman"/>
    <n v="45711"/>
    <s v="RAS Team Leader"/>
    <x v="0"/>
    <x v="3"/>
  </r>
  <r>
    <s v="BLU195759"/>
    <n v="88669"/>
    <s v="Deborah"/>
    <s v="Maher"/>
    <s v="FEMALE"/>
    <s v="ACC108"/>
    <n v="49832"/>
    <s v="RAS Home Support Assessor"/>
    <d v="2022-10-01T00:00:00"/>
    <d v="2024-06-30T00:00:00"/>
    <d v="2023-07-01T00:00:00"/>
    <s v="PART"/>
    <n v="22.8"/>
    <n v="0.6"/>
    <s v="Community &amp; Persnal Svcs"/>
    <n v="62784"/>
    <s v="Nicole Chapman"/>
    <n v="45711"/>
    <s v="RAS Team Leader"/>
    <x v="0"/>
    <x v="3"/>
  </r>
  <r>
    <s v="BLU193388"/>
    <n v="86693"/>
    <s v="Andrea"/>
    <s v="Palacios Valero"/>
    <s v="FEMALE"/>
    <s v="ACC108"/>
    <n v="48647"/>
    <s v="RAS Home Support Assessor"/>
    <d v="2022-04-19T00:00:00"/>
    <d v="2024-06-30T00:00:00"/>
    <d v="2023-07-01T00:00:00"/>
    <s v="PART"/>
    <n v="30"/>
    <n v="0.78947368421052633"/>
    <s v="Community &amp; Persnal Svcs"/>
    <n v="62784"/>
    <s v="Nicole Chapman"/>
    <n v="45711"/>
    <s v="RAS Team Leader"/>
    <x v="0"/>
    <x v="3"/>
  </r>
  <r>
    <s v="BLU195858"/>
    <n v="88751"/>
    <s v="Linda"/>
    <s v="Cavanough"/>
    <s v="FEMALE"/>
    <s v="ACC108"/>
    <n v="45722"/>
    <s v="RAS Home Support Assessor"/>
    <d v="2022-10-18T00:00:00"/>
    <d v="2024-06-30T00:00:00"/>
    <d v="2023-07-01T00:00:00"/>
    <s v="FULL"/>
    <n v="38"/>
    <n v="1"/>
    <s v="Community &amp; Persnal Svcs"/>
    <n v="62784"/>
    <s v="Nicole Chapman"/>
    <n v="45711"/>
    <s v="RAS Team Leader"/>
    <x v="0"/>
    <x v="3"/>
  </r>
  <r>
    <s v="BLU189313"/>
    <n v="82994"/>
    <s v="Kristine"/>
    <s v="Harmer"/>
    <s v="FEMALE"/>
    <s v="ACC108"/>
    <n v="45707"/>
    <s v="RAS Home Support Assessor"/>
    <d v="2021-04-20T00:00:00"/>
    <m/>
    <d v="2023-07-01T00:00:00"/>
    <s v="CASUAL"/>
    <n v="38"/>
    <n v="1"/>
    <s v="Community &amp; Persnal Svcs"/>
    <n v="62784"/>
    <s v="Nicole Chapman"/>
    <n v="45711"/>
    <s v="RAS Team Leader"/>
    <x v="0"/>
    <x v="3"/>
  </r>
  <r>
    <s v="BLU192176"/>
    <n v="85772"/>
    <s v="Trisha"/>
    <s v="Simpson"/>
    <s v="FEMALE"/>
    <s v="ACC108"/>
    <n v="51580"/>
    <s v="RAS Home Support Assessor"/>
    <d v="2022-02-01T00:00:00"/>
    <d v="2024-06-30T00:00:00"/>
    <d v="2023-07-01T00:00:00"/>
    <s v="PART"/>
    <n v="38"/>
    <n v="1"/>
    <s v="Community &amp; Persnal Svcs"/>
    <n v="62784"/>
    <s v="Nicole Chapman"/>
    <n v="45711"/>
    <s v="RAS Team Leader"/>
    <x v="0"/>
    <x v="3"/>
  </r>
  <r>
    <s v="BLU192134"/>
    <n v="85497"/>
    <s v="Margaret"/>
    <s v="Mccarthy"/>
    <s v="FEMALE"/>
    <s v="ACC108"/>
    <n v="45705"/>
    <s v="RAS Home Support Assessor"/>
    <d v="2022-01-11T00:00:00"/>
    <d v="2024-06-30T00:00:00"/>
    <d v="2023-07-01T00:00:00"/>
    <s v="PART"/>
    <n v="30.4"/>
    <n v="0.79999999999999993"/>
    <s v="Community &amp; Persnal Svcs"/>
    <n v="62784"/>
    <s v="Nicole Chapman"/>
    <n v="45711"/>
    <s v="RAS Team Leader"/>
    <x v="0"/>
    <x v="3"/>
  </r>
  <r>
    <s v="BLU182267"/>
    <n v="78772"/>
    <s v="Lisa"/>
    <s v="Parks"/>
    <s v="FEMALE"/>
    <s v="ACC108"/>
    <n v="49831"/>
    <s v="RAS Home Support Assessor"/>
    <d v="2019-12-17T00:00:00"/>
    <m/>
    <d v="2019-12-17T00:00:00"/>
    <s v="CASUAL"/>
    <n v="38"/>
    <n v="1"/>
    <s v="Community &amp; Persnal Svcs"/>
    <n v="62784"/>
    <s v="Nicole Chapman"/>
    <n v="45711"/>
    <s v="RAS Team Leader"/>
    <x v="0"/>
    <x v="3"/>
  </r>
  <r>
    <s v="BLU167483"/>
    <n v="70312"/>
    <s v="Kaye"/>
    <s v="Humphreys"/>
    <s v="FEMALE"/>
    <s v="ACC108"/>
    <n v="45721"/>
    <s v="RAS Home Support Assessor"/>
    <d v="2017-06-12T00:00:00"/>
    <m/>
    <d v="2019-05-21T00:00:00"/>
    <s v="PART"/>
    <n v="22.8"/>
    <n v="0.6"/>
    <s v="Community &amp; Persnal Svcs"/>
    <n v="62784"/>
    <s v="Nicole Chapman"/>
    <n v="45711"/>
    <s v="RAS Team Leader"/>
    <x v="0"/>
    <x v="3"/>
  </r>
  <r>
    <s v="BLU161473"/>
    <n v="65123"/>
    <s v="Joyceleen"/>
    <s v="O'Keefe"/>
    <s v="FEMALE"/>
    <s v="ACC108"/>
    <n v="45710"/>
    <s v="RAS Home Support Assessor"/>
    <d v="2015-05-28T00:00:00"/>
    <m/>
    <d v="2015-10-05T00:00:00"/>
    <s v="PART"/>
    <n v="15.4"/>
    <n v="0.40526315789473683"/>
    <s v="Community &amp; Persnal Svcs"/>
    <n v="62784"/>
    <s v="Nicole Chapman"/>
    <n v="45711"/>
    <s v="RAS Team Leader"/>
    <x v="0"/>
    <x v="3"/>
  </r>
  <r>
    <s v="BLU159784"/>
    <n v="63702"/>
    <s v="Alison"/>
    <s v="Wallis"/>
    <s v="FEMALE"/>
    <s v="ACC108"/>
    <n v="45706"/>
    <s v="RAS Home Support Assessor"/>
    <d v="2014-09-23T00:00:00"/>
    <m/>
    <d v="2015-10-05T00:00:00"/>
    <s v="FULL"/>
    <n v="38"/>
    <n v="1"/>
    <s v="Community &amp; Persnal Svcs"/>
    <n v="62784"/>
    <s v="Nicole Chapman"/>
    <n v="45711"/>
    <s v="RAS Team Leader"/>
    <x v="0"/>
    <x v="3"/>
  </r>
  <r>
    <s v="BLU161526"/>
    <n v="65170"/>
    <s v="Bronwyn"/>
    <s v="Stuart"/>
    <s v="FEMALE"/>
    <s v="ACC108"/>
    <n v="45735"/>
    <s v="RAS Home Support Assessor"/>
    <d v="2015-05-28T00:00:00"/>
    <m/>
    <d v="2015-10-05T00:00:00"/>
    <s v="PART"/>
    <n v="22.8"/>
    <n v="0.6"/>
    <s v="Community &amp; Persnal Svcs"/>
    <n v="62784"/>
    <s v="Nicole Chapman"/>
    <n v="45711"/>
    <s v="RAS Team Leader"/>
    <x v="0"/>
    <x v="3"/>
  </r>
  <r>
    <s v="BLU168651"/>
    <n v="71400"/>
    <s v="Stacie"/>
    <s v="Montgomerie"/>
    <s v="FEMALE"/>
    <s v="ACC108"/>
    <n v="45623"/>
    <s v="RAS Home Support Assessor"/>
    <d v="2017-10-16T00:00:00"/>
    <m/>
    <d v="2023-04-14T00:00:00"/>
    <s v="PART"/>
    <n v="30.4"/>
    <n v="0.79999999999999993"/>
    <s v="Community &amp; Persnal Svcs"/>
    <n v="158719"/>
    <s v="Nicole Chapman"/>
    <n v="45711"/>
    <s v="RAS Team Leader"/>
    <x v="0"/>
    <x v="3"/>
  </r>
  <r>
    <s v="BLU167828"/>
    <n v="70768"/>
    <s v="Melita"/>
    <s v="Malone"/>
    <s v="FEMALE"/>
    <s v="ACC140"/>
    <n v="56777"/>
    <s v="Technical Lead Sales Support"/>
    <d v="2017-08-07T00:00:00"/>
    <m/>
    <d v="2023-03-01T00:00:00"/>
    <s v="FULL"/>
    <n v="38"/>
    <n v="1"/>
    <s v="Professionals"/>
    <n v="194663"/>
    <s v="Clinton Carson"/>
    <n v="55223"/>
    <s v="Head of Sales"/>
    <x v="0"/>
    <x v="3"/>
  </r>
  <r>
    <s v="BLU142346"/>
    <n v="46779"/>
    <s v="Cassandra"/>
    <s v="Reddaway"/>
    <s v="FEMALE"/>
    <s v="ACC79"/>
    <n v="54939"/>
    <s v="Community Information Analyst"/>
    <d v="2009-08-11T00:00:00"/>
    <m/>
    <d v="2023-07-11T00:00:00"/>
    <s v="FULL"/>
    <n v="38"/>
    <n v="1"/>
    <s v="Professionals"/>
    <n v="58755"/>
    <s v="Casey Haslam"/>
    <n v="42963"/>
    <s v="Community Information System Team Lead"/>
    <x v="0"/>
    <x v="3"/>
  </r>
  <r>
    <s v="BLU121660"/>
    <n v="30312"/>
    <s v="Andrea"/>
    <s v="Farren"/>
    <s v="FEMALE"/>
    <s v="PC85"/>
    <n v="39916"/>
    <s v="Workforce Information Advisor"/>
    <d v="2004-12-29T00:00:00"/>
    <m/>
    <d v="2022-06-28T00:00:00"/>
    <s v="FULL"/>
    <n v="38"/>
    <n v="1"/>
    <s v="Professionals"/>
    <n v="114729"/>
    <s v="Andrea Fox"/>
    <n v="43586"/>
    <s v="General Manager - Pinangba"/>
    <x v="0"/>
    <x v="3"/>
  </r>
  <r>
    <s v="BLU191845"/>
    <n v="85333"/>
    <s v="Binto"/>
    <s v="Varughese"/>
    <s v="MALE"/>
    <s v="ACC100"/>
    <n v="52837"/>
    <s v="Chef"/>
    <d v="2021-12-14T00:00:00"/>
    <m/>
    <d v="2023-02-07T00:00:00"/>
    <s v="FULL"/>
    <n v="38"/>
    <n v="1"/>
    <s v="Technicians And Trades Workers"/>
    <n v="182783"/>
    <s v="Luke Tanks"/>
    <n v="15276"/>
    <s v="Head of Comm Perf &amp; Enablement"/>
    <x v="0"/>
    <x v="3"/>
  </r>
  <r>
    <s v="BLU190775"/>
    <n v="84288"/>
    <s v="Amy"/>
    <s v="Coggan"/>
    <s v="FEMALE"/>
    <s v="ACC95"/>
    <n v="49292"/>
    <s v="RMT Team Leader"/>
    <d v="2021-09-21T00:00:00"/>
    <m/>
    <d v="2023-01-24T00:00:00"/>
    <s v="FULL"/>
    <n v="38"/>
    <n v="1"/>
    <s v="Clerical &amp; Admin"/>
    <n v="80057"/>
    <s v="Francis Mcquillan"/>
    <n v="54188"/>
    <s v="Head of Res Perf &amp; Enablement"/>
    <x v="0"/>
    <x v="3"/>
  </r>
  <r>
    <s v="BLU192426"/>
    <n v="85844"/>
    <s v="Duncan"/>
    <s v="Fogliaresi"/>
    <s v="MALE"/>
    <s v="ACC95"/>
    <n v="55310"/>
    <s v="RMT Team Leader"/>
    <d v="2022-02-08T00:00:00"/>
    <m/>
    <d v="2023-03-17T00:00:00"/>
    <s v="FULL"/>
    <n v="38"/>
    <n v="1"/>
    <s v="Clerical &amp; Admin"/>
    <n v="128543"/>
    <s v="Lisa Stewart"/>
    <n v="55098"/>
    <s v="RMT Quality Assurance Manager"/>
    <x v="0"/>
    <x v="3"/>
  </r>
  <r>
    <s v="BLU184862"/>
    <n v="79944"/>
    <s v="Dayna"/>
    <s v="Drew"/>
    <s v="FEMALE"/>
    <s v="ACC96"/>
    <n v="54699"/>
    <s v="RMT Workforce Coordinator"/>
    <d v="2020-05-26T00:00:00"/>
    <m/>
    <d v="2022-05-31T00:00:00"/>
    <s v="FULL"/>
    <n v="38"/>
    <n v="1"/>
    <s v="Clerical &amp; Admin"/>
    <n v="128543"/>
    <s v="Lisa Stewart"/>
    <n v="55098"/>
    <s v="RMT Quality Assurance Manager"/>
    <x v="0"/>
    <x v="3"/>
  </r>
  <r>
    <s v="BLU186942"/>
    <n v="81085"/>
    <s v="Abigail"/>
    <s v="Johnson"/>
    <s v="FEMALE"/>
    <s v="ACC97"/>
    <n v="44379"/>
    <s v="Support Officer Operations"/>
    <d v="2020-10-26T00:00:00"/>
    <m/>
    <d v="2023-05-02T00:00:00"/>
    <s v="FULL"/>
    <n v="38"/>
    <n v="1"/>
    <s v="Community &amp; Persnal Svcs"/>
    <n v="114729"/>
    <s v="Andrea Fox"/>
    <n v="43586"/>
    <s v="General Manager - Pinangba"/>
    <x v="0"/>
    <x v="3"/>
  </r>
  <r>
    <s v="BLU160921"/>
    <n v="64701"/>
    <s v="Donna"/>
    <s v="Elsley"/>
    <s v="FEMALE"/>
    <s v="ACC88"/>
    <n v="15337"/>
    <s v="Management Support Partner"/>
    <d v="2015-03-17T00:00:00"/>
    <m/>
    <d v="2020-09-07T00:00:00"/>
    <s v="FULL"/>
    <n v="38"/>
    <n v="1"/>
    <s v="Clerical &amp; Admin"/>
    <n v="182783"/>
    <s v="Luke Tanks"/>
    <n v="15276"/>
    <s v="Head of Comm Perf &amp; Enablement"/>
    <x v="0"/>
    <x v="3"/>
  </r>
  <r>
    <s v="BLU166693"/>
    <n v="69733"/>
    <s v="Catherine"/>
    <s v="Jene"/>
    <s v="FEMALE"/>
    <s v="ACC108"/>
    <n v="45739"/>
    <s v="RAS Home Support Assessor"/>
    <d v="2017-04-03T00:00:00"/>
    <m/>
    <d v="2021-03-09T00:00:00"/>
    <s v="CASUAL"/>
    <n v="38"/>
    <n v="1"/>
    <s v="Community &amp; Persnal Svcs"/>
    <n v="62784"/>
    <s v="Nicole Chapman"/>
    <n v="45711"/>
    <s v="RAS Team Leader"/>
    <x v="0"/>
    <x v="3"/>
  </r>
  <r>
    <s v="BLU178370"/>
    <n v="76696"/>
    <s v="Michelle"/>
    <s v="Connors"/>
    <s v="FEMALE"/>
    <s v="ACC95"/>
    <n v="49129"/>
    <s v="RMT Team Leader"/>
    <d v="2019-06-18T00:00:00"/>
    <m/>
    <d v="2021-09-07T00:00:00"/>
    <s v="FULL"/>
    <n v="38"/>
    <n v="1"/>
    <s v="Clerical &amp; Admin"/>
    <n v="128543"/>
    <s v="Lisa Stewart"/>
    <n v="55098"/>
    <s v="RMT Quality Assurance Manager"/>
    <x v="0"/>
    <x v="3"/>
  </r>
  <r>
    <s v="BLU184954"/>
    <n v="89899"/>
    <s v="Emilie"/>
    <s v="Rolfe"/>
    <s v="FEMALE"/>
    <s v="ACC77"/>
    <n v="56363"/>
    <s v="Client Admissions Specialist"/>
    <d v="2023-01-10T00:00:00"/>
    <m/>
    <d v="2023-01-10T00:00:00"/>
    <s v="FULL"/>
    <n v="38"/>
    <n v="1"/>
    <s v="Clerical &amp; Admin"/>
    <n v="194663"/>
    <s v="Clinton Carson"/>
    <n v="55223"/>
    <s v="Head of Sales"/>
    <x v="0"/>
    <x v="3"/>
  </r>
  <r>
    <s v="BLU195011"/>
    <n v="88111"/>
    <s v="Elaine"/>
    <s v="Mills"/>
    <s v="FEMALE"/>
    <s v="ACC102"/>
    <n v="55363"/>
    <s v="HCP Revenue Management Officer"/>
    <d v="2022-08-29T00:00:00"/>
    <m/>
    <d v="2023-07-01T00:00:00"/>
    <s v="FULL"/>
    <n v="38"/>
    <n v="1"/>
    <s v="Clerical &amp; Admin"/>
    <m/>
    <m/>
    <m/>
    <m/>
    <x v="0"/>
    <x v="3"/>
  </r>
  <r>
    <s v="BLU192862"/>
    <n v="86197"/>
    <s v="Alison"/>
    <s v="Bennie"/>
    <s v="FEMALE"/>
    <s v="ACC66"/>
    <n v="56369"/>
    <s v="Residential Admissions Specialist"/>
    <d v="2022-03-07T00:00:00"/>
    <m/>
    <d v="2023-01-24T00:00:00"/>
    <s v="FULL"/>
    <n v="38"/>
    <n v="1"/>
    <s v="Clerical &amp; Admin"/>
    <n v="133207"/>
    <s v="Sue-Ellen Smith"/>
    <n v="35702"/>
    <s v="General Manager"/>
    <x v="0"/>
    <x v="3"/>
  </r>
  <r>
    <s v="BLU104102"/>
    <n v="15169"/>
    <s v="Belinda"/>
    <s v="Kuhl"/>
    <s v="FEMALE"/>
    <s v="ACC88"/>
    <n v="52282"/>
    <s v="Community Management Support Partner"/>
    <d v="1998-05-28T00:00:00"/>
    <m/>
    <d v="2020-07-20T00:00:00"/>
    <s v="FULL"/>
    <n v="38"/>
    <n v="1"/>
    <s v="Professionals"/>
    <n v="105018"/>
    <s v="Maria Mclaughlin-Rolfe"/>
    <n v="50973"/>
    <s v="Group General Manager BC/Comm"/>
    <x v="0"/>
    <x v="3"/>
  </r>
  <r>
    <s v="BLU158719"/>
    <n v="62784"/>
    <s v="Nicole"/>
    <s v="Chapman"/>
    <s v="FEMALE"/>
    <s v="ACC91"/>
    <n v="45711"/>
    <s v="RAS Team Leader"/>
    <d v="2014-05-01T00:00:00"/>
    <d v="2024-06-30T00:00:00"/>
    <d v="2023-03-31T00:00:00"/>
    <s v="PART"/>
    <n v="30.4"/>
    <n v="0.79999999999999993"/>
    <s v="Community &amp; Persnal Svcs"/>
    <n v="68943"/>
    <s v="Vanessa Frew"/>
    <n v="45608"/>
    <s v="RAS Manager"/>
    <x v="0"/>
    <x v="3"/>
  </r>
  <r>
    <s v="BLU170900"/>
    <n v="73234"/>
    <s v="Jessica"/>
    <s v="Jeffries"/>
    <s v="FEMALE"/>
    <s v="ACC147"/>
    <n v="52790"/>
    <s v="Care Coordinator"/>
    <d v="2018-05-28T00:00:00"/>
    <m/>
    <d v="2022-05-31T00:00:00"/>
    <s v="FULL"/>
    <n v="38"/>
    <n v="1"/>
    <s v="Professionals"/>
    <m/>
    <m/>
    <m/>
    <m/>
    <x v="0"/>
    <x v="3"/>
  </r>
  <r>
    <s v="BLU142166"/>
    <n v="73654"/>
    <s v="Wendy"/>
    <s v="Ryan"/>
    <s v="FEMALE"/>
    <s v="ACC66"/>
    <n v="56370"/>
    <s v="Residential Admissions Specialist"/>
    <d v="2018-07-16T00:00:00"/>
    <m/>
    <d v="2023-01-10T00:00:00"/>
    <s v="FULL"/>
    <n v="38"/>
    <n v="1"/>
    <s v="Clerical &amp; Admin"/>
    <n v="133207"/>
    <s v="Sue-Ellen Smith"/>
    <n v="35702"/>
    <s v="General Manager"/>
    <x v="0"/>
    <x v="3"/>
  </r>
  <r>
    <s v="BLU188153"/>
    <n v="81938"/>
    <s v="Brittany"/>
    <s v="Mitchell"/>
    <s v="FEMALE"/>
    <s v="ACC22"/>
    <n v="56259"/>
    <s v="Training Specialist"/>
    <d v="2021-01-19T00:00:00"/>
    <m/>
    <d v="2023-01-02T00:00:00"/>
    <s v="FULL"/>
    <n v="38"/>
    <n v="1"/>
    <s v="Professionals"/>
    <n v="128543"/>
    <s v="Lisa Stewart"/>
    <n v="55098"/>
    <s v="RMT Quality Assurance Manager"/>
    <x v="0"/>
    <x v="3"/>
  </r>
  <r>
    <s v="BLU191784"/>
    <n v="85192"/>
    <s v="Kylie"/>
    <s v="Lamb"/>
    <s v="FEMALE"/>
    <s v="ACC22"/>
    <n v="56037"/>
    <s v="Training Specialist"/>
    <d v="2021-12-13T00:00:00"/>
    <m/>
    <d v="2022-11-29T00:00:00"/>
    <s v="FULL"/>
    <n v="38"/>
    <n v="1"/>
    <s v="Professionals"/>
    <n v="128543"/>
    <s v="Lisa Stewart"/>
    <n v="55098"/>
    <s v="RMT Quality Assurance Manager"/>
    <x v="0"/>
    <x v="3"/>
  </r>
  <r>
    <s v="BLU192613"/>
    <n v="85978"/>
    <s v="Catherine"/>
    <s v="Frew"/>
    <s v="FEMALE"/>
    <s v="ACC88"/>
    <n v="54195"/>
    <s v="Management Support Partner"/>
    <d v="2022-02-21T00:00:00"/>
    <m/>
    <d v="2022-02-21T00:00:00"/>
    <s v="FULL"/>
    <n v="38"/>
    <n v="1"/>
    <s v="Clerical &amp; Admin"/>
    <n v="85459"/>
    <s v="Wayne Crase"/>
    <n v="35225"/>
    <s v="Head of Community Services Operations"/>
    <x v="0"/>
    <x v="3"/>
  </r>
  <r>
    <s v="BLU194362"/>
    <n v="87625"/>
    <s v="Tania"/>
    <s v="Duffy"/>
    <s v="FEMALE"/>
    <s v="ACC147"/>
    <n v="53703"/>
    <s v="Care Coordinator"/>
    <d v="2022-07-25T00:00:00"/>
    <m/>
    <d v="2022-07-25T00:00:00"/>
    <s v="FULL"/>
    <n v="38"/>
    <n v="1"/>
    <s v="Professionals"/>
    <m/>
    <m/>
    <m/>
    <m/>
    <x v="0"/>
    <x v="3"/>
  </r>
  <r>
    <s v="BLU151505"/>
    <n v="55684"/>
    <s v="Shenanadorah"/>
    <s v="Potter"/>
    <s v="FEMALE"/>
    <s v="ACC87"/>
    <n v="47325"/>
    <s v="Lifestyle Coordinator"/>
    <d v="2012-01-24T00:00:00"/>
    <m/>
    <d v="2023-05-02T00:00:00"/>
    <s v="PART"/>
    <n v="34"/>
    <n v="0.89473684210526316"/>
    <s v="Community &amp; Persnal Svcs"/>
    <n v="125912"/>
    <m/>
    <m/>
    <m/>
    <x v="0"/>
    <x v="3"/>
  </r>
  <r>
    <s v="BLU169900"/>
    <n v="72443"/>
    <s v="Philippa"/>
    <s v="Hall"/>
    <s v="FEMALE"/>
    <s v="ACC147"/>
    <n v="53343"/>
    <s v="Care Coordinator"/>
    <d v="2018-03-07T00:00:00"/>
    <m/>
    <d v="2021-06-15T00:00:00"/>
    <s v="FULL"/>
    <n v="38"/>
    <n v="1"/>
    <s v="Professionals"/>
    <m/>
    <m/>
    <m/>
    <m/>
    <x v="0"/>
    <x v="3"/>
  </r>
  <r>
    <s v="BLU184602"/>
    <n v="79771"/>
    <s v="Susanne"/>
    <s v="Hammond"/>
    <s v="FEMALE"/>
    <s v="ACC82"/>
    <n v="53988"/>
    <s v="CX and Quality Specialist"/>
    <d v="2020-04-27T00:00:00"/>
    <m/>
    <d v="2022-08-01T00:00:00"/>
    <s v="FULL"/>
    <n v="38"/>
    <n v="1"/>
    <s v="Professionals"/>
    <n v="128543"/>
    <s v="Lisa Stewart"/>
    <n v="55098"/>
    <s v="RMT Quality Assurance Manager"/>
    <x v="0"/>
    <x v="3"/>
  </r>
  <r>
    <s v="BLU137530"/>
    <n v="44089"/>
    <s v="Sonya"/>
    <s v="Coyte"/>
    <s v="FEMALE"/>
    <s v="ACC147"/>
    <n v="52374"/>
    <s v="Care Coordinator Community"/>
    <d v="2008-10-21T00:00:00"/>
    <m/>
    <d v="2020-08-25T00:00:00"/>
    <s v="FULL"/>
    <n v="38"/>
    <n v="1"/>
    <s v="Professionals"/>
    <m/>
    <m/>
    <m/>
    <m/>
    <x v="0"/>
    <x v="3"/>
  </r>
  <r>
    <s v="BLU159385"/>
    <n v="67292"/>
    <s v="Emma"/>
    <s v="Preston"/>
    <s v="FEMALE"/>
    <s v="ACC147"/>
    <n v="53518"/>
    <s v="Care Coordinator"/>
    <d v="2014-08-18T00:00:00"/>
    <m/>
    <d v="2021-06-29T00:00:00"/>
    <s v="FULL"/>
    <n v="38"/>
    <n v="1"/>
    <s v="Professionals"/>
    <m/>
    <m/>
    <m/>
    <m/>
    <x v="0"/>
    <x v="3"/>
  </r>
  <r>
    <s v="BLU195779"/>
    <n v="88695"/>
    <s v="Darren"/>
    <s v="Raiteri"/>
    <s v="MALE"/>
    <s v="ACC74"/>
    <n v="52645"/>
    <s v="Care Coordinator"/>
    <d v="2016-04-19T00:00:00"/>
    <m/>
    <d v="2022-10-04T00:00:00"/>
    <s v="FULL"/>
    <n v="38"/>
    <n v="1"/>
    <s v="Professionals"/>
    <m/>
    <m/>
    <m/>
    <m/>
    <x v="0"/>
    <x v="3"/>
  </r>
  <r>
    <s v="BLU192514"/>
    <n v="85924"/>
    <s v="Makinihi T J"/>
    <s v="ROBSON"/>
    <s v="FEMALE"/>
    <s v="ACC163"/>
    <n v="57432"/>
    <s v="Team Leader-Aod Services"/>
    <d v="2023-06-13T00:00:00"/>
    <m/>
    <d v="2023-06-13T00:00:00"/>
    <s v="FULL"/>
    <n v="38"/>
    <n v="1"/>
    <s v="Professionals"/>
    <n v="63309"/>
    <s v="Renee Harrigan"/>
    <n v="49714"/>
    <s v="Assistant Service Manager"/>
    <x v="0"/>
    <x v="3"/>
  </r>
  <r>
    <s v="BLU156855"/>
    <n v="61398"/>
    <s v="Erin"/>
    <s v="Cunningham"/>
    <s v="FEMALE"/>
    <s v="ACC97"/>
    <n v="51819"/>
    <s v="Support Officer Care"/>
    <d v="2013-10-14T00:00:00"/>
    <m/>
    <d v="2021-01-12T00:00:00"/>
    <s v="FULL"/>
    <n v="38"/>
    <n v="1"/>
    <s v="Community &amp; Persnal Svcs"/>
    <n v="114729"/>
    <s v="Andrea Fox"/>
    <n v="43586"/>
    <s v="General Manager - Pinangba"/>
    <x v="0"/>
    <x v="3"/>
  </r>
  <r>
    <s v="BLU187993"/>
    <n v="81886"/>
    <s v="Simon"/>
    <s v="Innes"/>
    <s v="MALE"/>
    <s v="ACC77"/>
    <n v="55529"/>
    <s v="Client Admissions Specialist"/>
    <d v="2020-12-15T00:00:00"/>
    <m/>
    <d v="2022-09-19T00:00:00"/>
    <s v="FULL"/>
    <n v="38"/>
    <n v="1"/>
    <s v="Clerical &amp; Admin"/>
    <n v="194663"/>
    <s v="Clinton Carson"/>
    <n v="55223"/>
    <s v="Head of Sales"/>
    <x v="0"/>
    <x v="3"/>
  </r>
  <r>
    <s v="BLU167041"/>
    <n v="69812"/>
    <s v="Karen"/>
    <s v="Langford"/>
    <s v="FEMALE"/>
    <s v="ACC140"/>
    <n v="56649"/>
    <s v="Team Leader - Sales Support"/>
    <d v="2017-04-18T00:00:00"/>
    <m/>
    <d v="2023-02-13T00:00:00"/>
    <s v="FULL"/>
    <n v="38"/>
    <n v="1"/>
    <s v="Professionals"/>
    <n v="194663"/>
    <s v="Clinton Carson"/>
    <n v="55223"/>
    <s v="Head of Sales"/>
    <x v="0"/>
    <x v="3"/>
  </r>
  <r>
    <s v="BLU158895"/>
    <n v="63309"/>
    <s v="Renee"/>
    <s v="Harrigan"/>
    <s v="FEMALE"/>
    <s v="ACC49"/>
    <n v="49714"/>
    <s v="Assistant Service Manager"/>
    <d v="2014-06-30T00:00:00"/>
    <m/>
    <d v="2021-08-24T00:00:00"/>
    <s v="FULL"/>
    <n v="38"/>
    <n v="1"/>
    <s v="Other Managers"/>
    <n v="161169"/>
    <s v="Shirley Sues"/>
    <n v="52575"/>
    <s v="Multi Service Manager"/>
    <x v="0"/>
    <x v="3"/>
  </r>
  <r>
    <s v="BLU194159"/>
    <n v="87407"/>
    <s v="Richard"/>
    <s v="Outtrim"/>
    <s v="MALE"/>
    <s v="ACC49"/>
    <n v="55122"/>
    <s v="Assistant Service Manager"/>
    <d v="2022-07-12T00:00:00"/>
    <d v="2024-06-30T00:00:00"/>
    <d v="2022-07-12T00:00:00"/>
    <s v="FULL"/>
    <n v="38"/>
    <n v="1"/>
    <s v="Other Managers"/>
    <n v="161169"/>
    <s v="Shirley Sues"/>
    <n v="52575"/>
    <s v="Multi Service Manager"/>
    <x v="0"/>
    <x v="3"/>
  </r>
  <r>
    <s v="BLU194404"/>
    <n v="87763"/>
    <s v="David"/>
    <s v="Lecce"/>
    <s v="MALE"/>
    <s v="ACC102"/>
    <n v="55215"/>
    <s v="HCP Revenue Management Officer"/>
    <d v="2022-07-01T00:00:00"/>
    <m/>
    <d v="2023-03-01T00:00:00"/>
    <s v="FULL"/>
    <n v="38"/>
    <n v="1"/>
    <s v="Clerical &amp; Admin"/>
    <m/>
    <m/>
    <m/>
    <m/>
    <x v="0"/>
    <x v="3"/>
  </r>
  <r>
    <s v="BLU194495"/>
    <n v="87762"/>
    <s v="Louise"/>
    <s v="Clark"/>
    <s v="FEMALE"/>
    <s v="ACC102"/>
    <n v="55210"/>
    <s v="HCP Revenue Management Officer"/>
    <d v="2022-07-11T00:00:00"/>
    <m/>
    <d v="2023-03-01T00:00:00"/>
    <s v="FULL"/>
    <n v="38"/>
    <n v="1"/>
    <s v="Clerical &amp; Admin"/>
    <m/>
    <m/>
    <m/>
    <m/>
    <x v="0"/>
    <x v="3"/>
  </r>
  <r>
    <s v="BLU127679"/>
    <n v="65709"/>
    <s v="Christine"/>
    <s v="O'Neill"/>
    <s v="FEMALE"/>
    <s v="ACC77"/>
    <n v="56097"/>
    <s v="Client Admissions Specialist"/>
    <d v="2006-09-12T00:00:00"/>
    <m/>
    <d v="2023-02-07T00:00:00"/>
    <s v="FULL"/>
    <n v="38"/>
    <n v="1"/>
    <s v="Clerical &amp; Admin"/>
    <n v="194663"/>
    <s v="Clinton Carson"/>
    <n v="55223"/>
    <s v="Head of Sales"/>
    <x v="0"/>
    <x v="3"/>
  </r>
  <r>
    <s v="BLU189214"/>
    <n v="82907"/>
    <s v="Tracey"/>
    <s v="Tully"/>
    <s v="FEMALE"/>
    <s v="ACC147"/>
    <n v="53165"/>
    <s v="Care Coordinator (Community)"/>
    <d v="2021-05-10T00:00:00"/>
    <m/>
    <d v="2021-05-10T00:00:00"/>
    <s v="FULL"/>
    <n v="38"/>
    <n v="1"/>
    <s v="Professionals"/>
    <m/>
    <m/>
    <m/>
    <m/>
    <x v="0"/>
    <x v="3"/>
  </r>
  <r>
    <s v="BLU151726"/>
    <n v="55880"/>
    <s v="Diana"/>
    <s v="Williams"/>
    <s v="FEMALE"/>
    <s v="ACC147"/>
    <n v="52776"/>
    <s v="Care Coordinator Community"/>
    <d v="2012-02-07T00:00:00"/>
    <m/>
    <d v="2020-12-02T00:00:00"/>
    <s v="FULL"/>
    <n v="38"/>
    <n v="1"/>
    <s v="Professionals"/>
    <m/>
    <m/>
    <m/>
    <m/>
    <x v="0"/>
    <x v="3"/>
  </r>
  <r>
    <s v="BLU161155"/>
    <n v="64836"/>
    <s v="Erica"/>
    <s v="Drury"/>
    <s v="FEMALE"/>
    <s v="ACC147"/>
    <n v="54583"/>
    <s v="Care Coordinator"/>
    <d v="2015-04-14T00:00:00"/>
    <m/>
    <d v="2022-08-23T00:00:00"/>
    <s v="FULL"/>
    <n v="38"/>
    <n v="1"/>
    <s v="Professionals"/>
    <m/>
    <m/>
    <m/>
    <m/>
    <x v="0"/>
    <x v="3"/>
  </r>
  <r>
    <s v="BLU166035"/>
    <n v="68943"/>
    <s v="Vanessa"/>
    <s v="Frew"/>
    <s v="FEMALE"/>
    <s v="ACC64"/>
    <n v="45608"/>
    <s v="Regional Assessment Service Manager"/>
    <d v="2016-12-06T00:00:00"/>
    <d v="2024-06-30T00:00:00"/>
    <d v="2023-07-01T00:00:00"/>
    <s v="PART"/>
    <n v="30.4"/>
    <n v="0.79999999999999993"/>
    <s v="Other Managers"/>
    <n v="161169"/>
    <s v="Shirley Sues"/>
    <n v="52575"/>
    <s v="Multi Service Manager"/>
    <x v="0"/>
    <x v="3"/>
  </r>
  <r>
    <s v="BLU157546"/>
    <n v="61662"/>
    <s v="Meenal"/>
    <s v="Sharma"/>
    <s v="FEMALE"/>
    <s v="ACC07"/>
    <n v="55276"/>
    <s v="HCP Coordinator"/>
    <d v="2013-11-13T00:00:00"/>
    <m/>
    <d v="2022-06-25T00:00:00"/>
    <s v="FULL"/>
    <n v="38"/>
    <n v="1"/>
    <s v="Community &amp; Persnal Svcs"/>
    <n v="161949"/>
    <s v="Rebecca Waite"/>
    <n v="55445"/>
    <s v="Dementia Care Manager"/>
    <x v="0"/>
    <x v="3"/>
  </r>
  <r>
    <s v="BLU189528"/>
    <n v="83117"/>
    <s v="Suzanne"/>
    <s v="Jacobson"/>
    <s v="FEMALE"/>
    <s v="ACC77"/>
    <n v="56155"/>
    <s v="Client Admissions Specialist"/>
    <d v="2021-06-15T00:00:00"/>
    <m/>
    <d v="2022-09-12T00:00:00"/>
    <s v="FULL"/>
    <n v="38"/>
    <n v="1"/>
    <s v="Clerical &amp; Admin"/>
    <n v="194663"/>
    <s v="Clinton Carson"/>
    <n v="55223"/>
    <s v="Head of Sales"/>
    <x v="0"/>
    <x v="3"/>
  </r>
  <r>
    <s v="BLU168840"/>
    <n v="85610"/>
    <s v="Michele"/>
    <s v="Dunk"/>
    <s v="FEMALE"/>
    <s v="ACC97"/>
    <n v="53375"/>
    <s v="Support Officer Operations"/>
    <d v="2017-10-23T00:00:00"/>
    <m/>
    <d v="2022-01-11T00:00:00"/>
    <s v="PART"/>
    <n v="30.4"/>
    <n v="0.79999999999999993"/>
    <s v="Community &amp; Persnal Svcs"/>
    <n v="114729"/>
    <s v="Andrea Fox"/>
    <n v="43586"/>
    <s v="General Manager - Pinangba"/>
    <x v="0"/>
    <x v="3"/>
  </r>
  <r>
    <s v="BLU188328"/>
    <n v="82163"/>
    <s v="Judith"/>
    <s v="Sayre"/>
    <s v="FEMALE"/>
    <s v="ACC147"/>
    <n v="52920"/>
    <s v="Care Coordinator"/>
    <d v="2021-02-09T00:00:00"/>
    <m/>
    <d v="2021-02-09T00:00:00"/>
    <s v="PART"/>
    <n v="19.5"/>
    <n v="0.51315789473684215"/>
    <s v="Professionals"/>
    <m/>
    <m/>
    <m/>
    <m/>
    <x v="0"/>
    <x v="3"/>
  </r>
  <r>
    <s v="BLU154849"/>
    <n v="65442"/>
    <s v="Carmalita"/>
    <s v="Dorante"/>
    <s v="FEMALE"/>
    <s v="ACC23"/>
    <n v="50119"/>
    <s v="Residential Service Manager"/>
    <d v="2010-12-17T00:00:00"/>
    <m/>
    <d v="2019-08-01T00:00:00"/>
    <s v="FULL"/>
    <n v="38"/>
    <n v="1"/>
    <s v="Other Managers"/>
    <n v="114729"/>
    <s v="Andrea Fox"/>
    <n v="43586"/>
    <s v="General Manager - Pinangba"/>
    <x v="0"/>
    <x v="3"/>
  </r>
  <r>
    <s v="BLU177397"/>
    <n v="76378"/>
    <s v="Shane"/>
    <s v="Lacey"/>
    <s v="MALE"/>
    <s v="ACC23"/>
    <n v="46394"/>
    <s v="Residential Service Manager"/>
    <d v="2019-04-23T00:00:00"/>
    <m/>
    <d v="2020-12-01T00:00:00"/>
    <s v="FULL"/>
    <n v="38"/>
    <n v="1"/>
    <s v="Other Managers"/>
    <n v="114729"/>
    <s v="Andrea Fox"/>
    <n v="43586"/>
    <s v="General Manager - Pinangba"/>
    <x v="0"/>
    <x v="3"/>
  </r>
  <r>
    <s v="BLU181532"/>
    <n v="78266"/>
    <s v="Tammy"/>
    <s v="Helton"/>
    <s v="FEMALE"/>
    <s v="ACC147"/>
    <n v="54387"/>
    <s v="Care Coordinator (Community)"/>
    <d v="2019-11-05T00:00:00"/>
    <m/>
    <d v="2022-08-23T00:00:00"/>
    <s v="FULL"/>
    <n v="38"/>
    <n v="1"/>
    <s v="Professionals"/>
    <m/>
    <m/>
    <m/>
    <m/>
    <x v="0"/>
    <x v="3"/>
  </r>
  <r>
    <s v="BLU162764"/>
    <n v="66374"/>
    <s v="Lucy"/>
    <s v="Walsh"/>
    <s v="FEMALE"/>
    <s v="ACC147"/>
    <n v="52202"/>
    <s v="Care Coordinator"/>
    <d v="2015-11-24T00:00:00"/>
    <m/>
    <d v="2022-04-19T00:00:00"/>
    <s v="FULL"/>
    <n v="38"/>
    <n v="1"/>
    <s v="Professionals"/>
    <m/>
    <m/>
    <m/>
    <m/>
    <x v="0"/>
    <x v="3"/>
  </r>
  <r>
    <s v="BLU196811"/>
    <n v="89576"/>
    <s v="Edward"/>
    <s v="Longford"/>
    <s v="MALE"/>
    <s v="ACC50"/>
    <n v="56166"/>
    <s v="Aboriginal and Torres Strait Islander Partnership and Engagement"/>
    <d v="2023-01-30T00:00:00"/>
    <m/>
    <d v="2023-01-30T00:00:00"/>
    <s v="FULL"/>
    <n v="38"/>
    <n v="1"/>
    <s v="Professionals"/>
    <n v="164993"/>
    <s v="Mia Hampson"/>
    <n v="54053"/>
    <s v="Strategy Manager"/>
    <x v="0"/>
    <x v="3"/>
  </r>
  <r>
    <s v="BLU127974"/>
    <n v="36428"/>
    <s v="Drew"/>
    <s v="Asbery"/>
    <s v="FEMALE"/>
    <s v="ACC147"/>
    <n v="52106"/>
    <s v="Care Coordinator"/>
    <d v="2006-10-02T00:00:00"/>
    <m/>
    <d v="2023-01-10T00:00:00"/>
    <s v="FULL"/>
    <n v="38"/>
    <n v="1"/>
    <s v="Professionals"/>
    <m/>
    <m/>
    <m/>
    <m/>
    <x v="0"/>
    <x v="3"/>
  </r>
  <r>
    <s v="BLU151699"/>
    <n v="85968"/>
    <s v="Josey"/>
    <s v="Officer"/>
    <s v="FEMALE"/>
    <s v="ACC147"/>
    <n v="53361"/>
    <s v="Care Coordinator"/>
    <d v="2022-02-14T00:00:00"/>
    <m/>
    <d v="2022-09-06T00:00:00"/>
    <s v="FULL"/>
    <n v="38"/>
    <n v="1"/>
    <s v="Professionals"/>
    <m/>
    <m/>
    <m/>
    <m/>
    <x v="0"/>
    <x v="3"/>
  </r>
  <r>
    <s v="BLU196551"/>
    <n v="89383"/>
    <s v="Sandhya"/>
    <s v="Phuyal"/>
    <s v="FEMALE"/>
    <s v="ACC74"/>
    <n v="56056"/>
    <s v="Care Coordinator"/>
    <d v="2022-12-12T00:00:00"/>
    <m/>
    <d v="2022-12-12T00:00:00"/>
    <s v="FULL"/>
    <n v="38"/>
    <n v="1"/>
    <s v="Professionals"/>
    <m/>
    <m/>
    <m/>
    <m/>
    <x v="0"/>
    <x v="3"/>
  </r>
  <r>
    <s v="BLU193341"/>
    <n v="86665"/>
    <s v="Sarah"/>
    <s v="Tree"/>
    <s v="FEMALE"/>
    <s v="ACC74"/>
    <n v="52231"/>
    <s v="Care Coordinator"/>
    <d v="2022-04-19T00:00:00"/>
    <m/>
    <d v="2022-04-19T00:00:00"/>
    <s v="FULL"/>
    <n v="38"/>
    <n v="1"/>
    <s v="Professionals"/>
    <m/>
    <m/>
    <m/>
    <m/>
    <x v="0"/>
    <x v="3"/>
  </r>
  <r>
    <s v="BLU190339"/>
    <n v="83809"/>
    <s v="Miranda"/>
    <s v="Cumming"/>
    <s v="FEMALE"/>
    <s v="ACC147"/>
    <n v="54033"/>
    <s v="Care Coordinator (Community)"/>
    <d v="2021-08-09T00:00:00"/>
    <m/>
    <d v="2021-11-30T00:00:00"/>
    <s v="FULL"/>
    <n v="38"/>
    <n v="1"/>
    <s v="Professionals"/>
    <m/>
    <m/>
    <m/>
    <m/>
    <x v="0"/>
    <x v="3"/>
  </r>
  <r>
    <s v="BLU174792"/>
    <n v="75253"/>
    <s v="Liamm"/>
    <s v="Miroy"/>
    <s v="MALE"/>
    <s v="ACC94"/>
    <n v="54833"/>
    <s v="RMT Resource and Report Analyst"/>
    <d v="2019-01-02T00:00:00"/>
    <m/>
    <d v="2022-11-14T00:00:00"/>
    <s v="FULL"/>
    <n v="38"/>
    <n v="1"/>
    <s v="Professionals"/>
    <n v="128543"/>
    <s v="Lisa Stewart"/>
    <n v="55098"/>
    <s v="RMT Quality Assurance Manager"/>
    <x v="0"/>
    <x v="3"/>
  </r>
  <r>
    <s v="BLU104788"/>
    <n v="13665"/>
    <s v="Nerida"/>
    <s v="Pankhurst"/>
    <s v="FEMALE"/>
    <s v="ACC74"/>
    <n v="52556"/>
    <s v="Care Coordinator"/>
    <d v="1998-09-07T00:00:00"/>
    <m/>
    <d v="2020-09-08T00:00:00"/>
    <s v="FULL"/>
    <n v="38"/>
    <n v="1"/>
    <s v="Professionals"/>
    <m/>
    <m/>
    <m/>
    <m/>
    <x v="0"/>
    <x v="3"/>
  </r>
  <r>
    <s v="BLU143760"/>
    <n v="48342"/>
    <s v="Andrea"/>
    <s v="Mcintyre"/>
    <s v="FEMALE"/>
    <s v="ACC147"/>
    <n v="52212"/>
    <s v="Care Coordinator"/>
    <d v="2010-01-12T00:00:00"/>
    <m/>
    <d v="2022-06-28T00:00:00"/>
    <s v="FULL"/>
    <n v="38"/>
    <n v="1"/>
    <s v="Professionals"/>
    <m/>
    <m/>
    <m/>
    <m/>
    <x v="0"/>
    <x v="3"/>
  </r>
  <r>
    <s v="BLU150642"/>
    <n v="72905"/>
    <s v="Donna"/>
    <s v="Towers"/>
    <s v="FEMALE"/>
    <s v="ACC147"/>
    <n v="53483"/>
    <s v="Neighbourhood Lead"/>
    <d v="2018-05-08T00:00:00"/>
    <m/>
    <d v="2021-07-13T00:00:00"/>
    <s v="FULL"/>
    <n v="38"/>
    <n v="1"/>
    <s v="Professionals"/>
    <m/>
    <m/>
    <m/>
    <m/>
    <x v="0"/>
    <x v="3"/>
  </r>
  <r>
    <s v="BLU165307"/>
    <n v="85531"/>
    <s v="Melissa"/>
    <s v="Murray"/>
    <s v="FEMALE"/>
    <s v="ACC147"/>
    <n v="53681"/>
    <s v="Neighbourhood Lead"/>
    <d v="2022-01-04T00:00:00"/>
    <m/>
    <d v="2022-01-04T00:00:00"/>
    <s v="FULL"/>
    <n v="38"/>
    <n v="1"/>
    <s v="Professionals"/>
    <m/>
    <m/>
    <m/>
    <m/>
    <x v="0"/>
    <x v="3"/>
  </r>
  <r>
    <s v="BLU164171"/>
    <n v="67520"/>
    <s v="Carissa"/>
    <s v="Bidgood"/>
    <s v="FEMALE"/>
    <s v="ACC95"/>
    <n v="49204"/>
    <s v="Neighbourhood Lead"/>
    <d v="2016-06-07T00:00:00"/>
    <m/>
    <d v="2022-09-06T00:00:00"/>
    <s v="FULL"/>
    <n v="38"/>
    <n v="1"/>
    <s v="Professionals"/>
    <m/>
    <m/>
    <m/>
    <m/>
    <x v="0"/>
    <x v="3"/>
  </r>
  <r>
    <s v="BLU190310"/>
    <n v="83775"/>
    <s v="Terence"/>
    <s v="Phillips"/>
    <s v="MALE"/>
    <s v="ACC95"/>
    <n v="53538"/>
    <s v="Neighbourhood Lead"/>
    <d v="2021-08-10T00:00:00"/>
    <m/>
    <d v="2021-08-10T00:00:00"/>
    <s v="FULL"/>
    <n v="38"/>
    <n v="1"/>
    <s v="Professionals"/>
    <m/>
    <m/>
    <m/>
    <m/>
    <x v="0"/>
    <x v="3"/>
  </r>
  <r>
    <s v="BLU196047"/>
    <n v="89060"/>
    <s v="Sharon"/>
    <s v="Cruickshank"/>
    <s v="FEMALE"/>
    <s v="ACC74"/>
    <n v="54221"/>
    <s v="Neighbourhood Lead"/>
    <d v="2022-11-28T00:00:00"/>
    <m/>
    <d v="2022-11-28T00:00:00"/>
    <s v="FULL"/>
    <n v="38"/>
    <n v="1"/>
    <s v="Professionals"/>
    <m/>
    <m/>
    <m/>
    <m/>
    <x v="0"/>
    <x v="3"/>
  </r>
  <r>
    <s v="BLU198571"/>
    <n v="91081"/>
    <s v="Nicole"/>
    <s v="Hambrook"/>
    <s v="FEMALE"/>
    <s v="ACC74"/>
    <n v="57133"/>
    <s v="Neighbourhood Lead"/>
    <d v="2023-04-14T00:00:00"/>
    <m/>
    <d v="2023-04-14T00:00:00"/>
    <s v="FULL"/>
    <n v="38"/>
    <n v="1"/>
    <s v="Professionals"/>
    <m/>
    <m/>
    <m/>
    <m/>
    <x v="0"/>
    <x v="3"/>
  </r>
  <r>
    <s v="BLU167353"/>
    <n v="70279"/>
    <s v="Elizabeth"/>
    <s v="Banks"/>
    <s v="FEMALE"/>
    <s v="ACC147"/>
    <n v="50800"/>
    <s v="Neighbourhood Lead"/>
    <d v="2017-05-29T00:00:00"/>
    <m/>
    <d v="2021-06-29T00:00:00"/>
    <s v="FULL"/>
    <n v="38"/>
    <n v="1"/>
    <s v="Professionals"/>
    <m/>
    <m/>
    <m/>
    <m/>
    <x v="0"/>
    <x v="3"/>
  </r>
  <r>
    <s v="BLU191377"/>
    <n v="85427"/>
    <s v="Karen"/>
    <s v="Gardner"/>
    <s v="FEMALE"/>
    <s v="ACC147"/>
    <n v="52241"/>
    <s v="Neighbourhood Lead"/>
    <d v="2022-01-04T00:00:00"/>
    <m/>
    <d v="2023-03-21T00:00:00"/>
    <s v="FULL"/>
    <n v="38"/>
    <n v="1"/>
    <s v="Professionals"/>
    <m/>
    <m/>
    <m/>
    <m/>
    <x v="0"/>
    <x v="3"/>
  </r>
  <r>
    <s v="BLU153566"/>
    <n v="57712"/>
    <s v="Karen"/>
    <s v="Davis"/>
    <s v="FEMALE"/>
    <s v="ACC147"/>
    <n v="52277"/>
    <s v="Neighbourhood Lead"/>
    <d v="2012-08-09T00:00:00"/>
    <m/>
    <d v="2020-07-28T00:00:00"/>
    <s v="FULL"/>
    <n v="38"/>
    <n v="1"/>
    <s v="Professionals"/>
    <m/>
    <m/>
    <m/>
    <m/>
    <x v="0"/>
    <x v="3"/>
  </r>
  <r>
    <s v="BLU121569"/>
    <n v="30204"/>
    <s v="Angela"/>
    <s v="Tennant"/>
    <s v="FEMALE"/>
    <s v="ACC74"/>
    <n v="52232"/>
    <s v="Neighbourhood Lead"/>
    <d v="2004-12-07T00:00:00"/>
    <m/>
    <d v="2020-07-14T00:00:00"/>
    <s v="FULL"/>
    <n v="38"/>
    <n v="1"/>
    <s v="Professionals"/>
    <m/>
    <m/>
    <m/>
    <m/>
    <x v="0"/>
    <x v="3"/>
  </r>
  <r>
    <s v="BLU154259"/>
    <n v="58493"/>
    <s v="Kathy"/>
    <s v="Rasmussen"/>
    <s v="FEMALE"/>
    <s v="ACC22"/>
    <n v="56724"/>
    <s v="Neighbourhood Lead"/>
    <d v="2012-11-05T00:00:00"/>
    <m/>
    <d v="2023-03-20T00:00:00"/>
    <s v="FULL"/>
    <n v="38"/>
    <n v="1"/>
    <s v="Professionals"/>
    <m/>
    <m/>
    <m/>
    <m/>
    <x v="0"/>
    <x v="3"/>
  </r>
  <r>
    <s v="BLU165270"/>
    <n v="68653"/>
    <s v="Clint"/>
    <s v="Aaron"/>
    <s v="MALE"/>
    <s v="ACC147"/>
    <n v="52248"/>
    <s v="Neighbourhood Lead"/>
    <d v="2016-10-25T00:00:00"/>
    <m/>
    <d v="2022-01-04T00:00:00"/>
    <s v="FULL"/>
    <n v="38"/>
    <n v="1"/>
    <s v="Professionals"/>
    <m/>
    <m/>
    <m/>
    <m/>
    <x v="0"/>
    <x v="3"/>
  </r>
  <r>
    <s v="BLU135177"/>
    <n v="42126"/>
    <s v="Catherine"/>
    <s v="Golding"/>
    <s v="FEMALE"/>
    <s v="ACC147"/>
    <n v="52247"/>
    <s v="Neighbourhood Lead"/>
    <d v="2008-04-15T00:00:00"/>
    <m/>
    <d v="2022-03-08T00:00:00"/>
    <s v="FULL"/>
    <n v="38"/>
    <n v="1"/>
    <s v="Professionals"/>
    <m/>
    <m/>
    <m/>
    <m/>
    <x v="0"/>
    <x v="3"/>
  </r>
  <r>
    <s v="BLU135777"/>
    <n v="42667"/>
    <s v="Joy"/>
    <s v="Parcell"/>
    <s v="FEMALE"/>
    <s v="ACC147"/>
    <n v="52243"/>
    <s v="Neighbourhood Lead"/>
    <d v="2008-06-10T00:00:00"/>
    <m/>
    <d v="2020-07-14T00:00:00"/>
    <s v="FULL"/>
    <n v="38"/>
    <n v="1"/>
    <s v="Professionals"/>
    <m/>
    <m/>
    <m/>
    <m/>
    <x v="0"/>
    <x v="3"/>
  </r>
  <r>
    <s v="BLU167232"/>
    <n v="69995"/>
    <s v="Samantha"/>
    <s v="Jones"/>
    <s v="FEMALE"/>
    <s v="ACC95"/>
    <n v="49208"/>
    <s v="Neighbourhood Lead"/>
    <d v="2017-05-09T00:00:00"/>
    <m/>
    <d v="2022-12-27T00:00:00"/>
    <s v="FULL"/>
    <n v="38"/>
    <n v="1"/>
    <s v="Professionals"/>
    <m/>
    <m/>
    <m/>
    <m/>
    <x v="0"/>
    <x v="3"/>
  </r>
  <r>
    <s v="BLU172656"/>
    <n v="74090"/>
    <s v="Julie"/>
    <s v="Clarke-Bates"/>
    <s v="FEMALE"/>
    <s v="ACC74"/>
    <n v="56294"/>
    <s v="Care Coordinator AH"/>
    <d v="2018-08-28T00:00:00"/>
    <m/>
    <d v="2023-01-09T00:00:00"/>
    <s v="FULL"/>
    <n v="38"/>
    <n v="1"/>
    <s v="Professionals"/>
    <m/>
    <m/>
    <m/>
    <m/>
    <x v="0"/>
    <x v="3"/>
  </r>
  <r>
    <s v="BLU171089"/>
    <n v="73308"/>
    <s v="Manisha"/>
    <s v="Sharma"/>
    <s v="FEMALE"/>
    <s v="ACC28"/>
    <n v="57276"/>
    <s v="Care Manager"/>
    <d v="2018-06-05T00:00:00"/>
    <m/>
    <d v="2023-04-24T00:00:00"/>
    <s v="FULL"/>
    <n v="38"/>
    <n v="1"/>
    <s v="Other Managers"/>
    <m/>
    <m/>
    <m/>
    <m/>
    <x v="0"/>
    <x v="3"/>
  </r>
  <r>
    <s v="BLU168196"/>
    <n v="70986"/>
    <s v="Teresa"/>
    <s v="Burnell"/>
    <s v="FEMALE"/>
    <s v="ACC95"/>
    <n v="56176"/>
    <s v="Neighbourhood Lead"/>
    <d v="2017-08-29T00:00:00"/>
    <m/>
    <d v="2023-03-14T00:00:00"/>
    <s v="FULL"/>
    <n v="38"/>
    <n v="1"/>
    <s v="Professionals"/>
    <m/>
    <m/>
    <m/>
    <m/>
    <x v="0"/>
    <x v="3"/>
  </r>
  <r>
    <s v="BLU197575"/>
    <n v="90153"/>
    <s v="Rebecca"/>
    <s v="Byrne"/>
    <s v="FEMALE"/>
    <s v="ACC74"/>
    <n v="56525"/>
    <s v="Neighbourhood Lead"/>
    <d v="2023-02-20T00:00:00"/>
    <m/>
    <d v="2023-02-20T00:00:00"/>
    <s v="FULL"/>
    <n v="38"/>
    <n v="1"/>
    <s v="Professionals"/>
    <m/>
    <m/>
    <m/>
    <m/>
    <x v="0"/>
    <x v="3"/>
  </r>
  <r>
    <s v="BLU128072"/>
    <n v="36500"/>
    <s v="Tracey"/>
    <s v="Giddins"/>
    <s v="FEMALE"/>
    <s v="ACC95"/>
    <n v="49148"/>
    <s v="Neighbourhood Lead"/>
    <d v="2006-10-10T00:00:00"/>
    <m/>
    <d v="2021-11-02T00:00:00"/>
    <s v="FULL"/>
    <n v="38"/>
    <n v="1"/>
    <s v="Professionals"/>
    <m/>
    <m/>
    <m/>
    <m/>
    <x v="0"/>
    <x v="3"/>
  </r>
  <r>
    <s v="BLU171536"/>
    <n v="73471"/>
    <s v="Stevie-Lee"/>
    <s v="Wilson"/>
    <s v="FEMALE"/>
    <s v="ACC95"/>
    <n v="48991"/>
    <s v="Neighbourhood Lead"/>
    <d v="2018-07-30T00:00:00"/>
    <m/>
    <d v="2022-05-10T00:00:00"/>
    <s v="FULL"/>
    <n v="38"/>
    <n v="1"/>
    <s v="Professionals"/>
    <m/>
    <m/>
    <m/>
    <m/>
    <x v="0"/>
    <x v="3"/>
  </r>
  <r>
    <s v="BLU126429"/>
    <n v="35103"/>
    <s v="Angela"/>
    <s v="Moore"/>
    <s v="FEMALE"/>
    <s v="ACC95"/>
    <n v="47249"/>
    <s v="Neighbourhood Lead"/>
    <d v="2006-06-06T00:00:00"/>
    <m/>
    <d v="2022-07-18T00:00:00"/>
    <s v="FULL"/>
    <n v="38"/>
    <n v="1"/>
    <s v="Professionals"/>
    <m/>
    <m/>
    <m/>
    <m/>
    <x v="0"/>
    <x v="3"/>
  </r>
  <r>
    <s v="BLU174150"/>
    <n v="76664"/>
    <s v="Tara"/>
    <s v="Bartlett"/>
    <s v="FEMALE"/>
    <s v="ACC147"/>
    <n v="52299"/>
    <s v="Neighbourhood Lead"/>
    <d v="2019-06-24T00:00:00"/>
    <m/>
    <d v="2022-05-17T00:00:00"/>
    <s v="PART"/>
    <n v="24"/>
    <n v="0.63157894736842102"/>
    <s v="Professionals"/>
    <m/>
    <m/>
    <m/>
    <m/>
    <x v="0"/>
    <x v="3"/>
  </r>
  <r>
    <s v="BLU103805"/>
    <n v="14603"/>
    <s v="Merja"/>
    <s v="Wilhelmsson"/>
    <s v="FEMALE"/>
    <s v="ACC74"/>
    <n v="52807"/>
    <s v="Care Coordinator"/>
    <d v="1994-07-07T00:00:00"/>
    <m/>
    <d v="2021-01-05T00:00:00"/>
    <s v="FULL"/>
    <n v="38"/>
    <n v="1"/>
    <s v="Professionals"/>
    <m/>
    <m/>
    <m/>
    <m/>
    <x v="0"/>
    <x v="3"/>
  </r>
  <r>
    <s v="BLU157054"/>
    <n v="61476"/>
    <s v="Sonia"/>
    <s v="Marstin"/>
    <s v="FEMALE"/>
    <s v="ACC147"/>
    <n v="53363"/>
    <s v="Neighbourhood Lead"/>
    <d v="2013-11-06T00:00:00"/>
    <m/>
    <d v="2021-06-15T00:00:00"/>
    <s v="FULL"/>
    <n v="38"/>
    <n v="1"/>
    <s v="Professionals"/>
    <m/>
    <m/>
    <m/>
    <m/>
    <x v="0"/>
    <x v="3"/>
  </r>
  <r>
    <s v="BLU162216"/>
    <n v="66486"/>
    <s v="Cheryl"/>
    <s v="Green"/>
    <s v="FEMALE"/>
    <s v="ACC147"/>
    <n v="53415"/>
    <s v="Neighbourhood Lead"/>
    <d v="2015-12-14T00:00:00"/>
    <m/>
    <d v="2021-08-10T00:00:00"/>
    <s v="FULL"/>
    <n v="38"/>
    <n v="1"/>
    <s v="Professionals"/>
    <m/>
    <m/>
    <m/>
    <m/>
    <x v="0"/>
    <x v="3"/>
  </r>
  <r>
    <s v="BLU103170"/>
    <n v="14843"/>
    <s v="Alice"/>
    <s v="Rimmington"/>
    <s v="FEMALE"/>
    <s v="ACC74"/>
    <n v="52242"/>
    <s v="Neighbourhood Lead"/>
    <d v="1991-04-15T00:00:00"/>
    <m/>
    <d v="2020-07-14T00:00:00"/>
    <s v="FULL"/>
    <n v="38"/>
    <n v="1"/>
    <s v="Professionals"/>
    <m/>
    <m/>
    <m/>
    <m/>
    <x v="0"/>
    <x v="3"/>
  </r>
  <r>
    <s v="BLU134621"/>
    <n v="52651"/>
    <s v="Janice"/>
    <s v="Savage"/>
    <s v="FEMALE"/>
    <s v="ACC147"/>
    <n v="55026"/>
    <s v="Neighbourhood Lead"/>
    <d v="2008-02-29T00:00:00"/>
    <m/>
    <d v="2022-05-03T00:00:00"/>
    <s v="FULL"/>
    <n v="38"/>
    <n v="1"/>
    <s v="Professionals"/>
    <m/>
    <m/>
    <m/>
    <m/>
    <x v="0"/>
    <x v="3"/>
  </r>
  <r>
    <s v="BLU166313"/>
    <n v="69299"/>
    <s v="Ross"/>
    <s v="Murray"/>
    <s v="MALE"/>
    <s v="ACC147"/>
    <n v="52312"/>
    <s v="Neighbourhood Lead"/>
    <d v="2017-02-14T00:00:00"/>
    <m/>
    <d v="2022-04-19T00:00:00"/>
    <s v="FULL"/>
    <n v="38"/>
    <n v="1"/>
    <s v="Professionals"/>
    <m/>
    <m/>
    <m/>
    <m/>
    <x v="0"/>
    <x v="3"/>
  </r>
  <r>
    <s v="BLU158020"/>
    <n v="62021"/>
    <s v="Meg"/>
    <s v="Jasperson"/>
    <s v="FEMALE"/>
    <s v="ACC147"/>
    <n v="52819"/>
    <s v="Neighbourhood Lead"/>
    <d v="2014-01-28T00:00:00"/>
    <m/>
    <d v="2021-01-26T00:00:00"/>
    <s v="FULL"/>
    <n v="38"/>
    <n v="1"/>
    <s v="Professionals"/>
    <m/>
    <m/>
    <m/>
    <m/>
    <x v="0"/>
    <x v="3"/>
  </r>
  <r>
    <s v="BLU191159"/>
    <n v="84735"/>
    <s v="Joanne"/>
    <s v="O'Bryan"/>
    <s v="FEMALE"/>
    <s v="ACC160"/>
    <n v="53805"/>
    <s v="Neighbourhood Lead"/>
    <d v="2021-11-15T00:00:00"/>
    <m/>
    <d v="2022-11-15T00:00:00"/>
    <s v="FULL"/>
    <n v="38"/>
    <n v="1"/>
    <s v="Professionals"/>
    <m/>
    <m/>
    <m/>
    <m/>
    <x v="0"/>
    <x v="3"/>
  </r>
  <r>
    <s v="BLU173858"/>
    <n v="74623"/>
    <s v="Telisa"/>
    <s v="Sekona"/>
    <s v="FEMALE"/>
    <s v="ACC147"/>
    <n v="52388"/>
    <s v="Neighbourhood Lead"/>
    <d v="2018-10-23T00:00:00"/>
    <m/>
    <d v="2020-12-01T00:00:00"/>
    <s v="FULL"/>
    <n v="38"/>
    <n v="1"/>
    <s v="Professionals"/>
    <m/>
    <m/>
    <m/>
    <m/>
    <x v="0"/>
    <x v="3"/>
  </r>
  <r>
    <s v="BLU164193"/>
    <n v="67522"/>
    <s v="Michala"/>
    <s v="Bostock"/>
    <s v="FEMALE"/>
    <s v="ACC105"/>
    <n v="50779"/>
    <s v="Neighbourhood Lead"/>
    <d v="2016-06-01T00:00:00"/>
    <m/>
    <d v="2022-06-28T00:00:00"/>
    <s v="FULL"/>
    <n v="38"/>
    <n v="1"/>
    <s v="Professionals"/>
    <m/>
    <m/>
    <m/>
    <m/>
    <x v="0"/>
    <x v="3"/>
  </r>
  <r>
    <s v="BLU163479"/>
    <n v="82147"/>
    <s v="Eileen"/>
    <s v="Kesteven"/>
    <s v="FEMALE"/>
    <s v="ACC147"/>
    <n v="46997"/>
    <s v="Neighbourhood Lead"/>
    <d v="2021-01-28T00:00:00"/>
    <m/>
    <d v="2022-12-27T00:00:00"/>
    <s v="FULL"/>
    <n v="38"/>
    <n v="1"/>
    <s v="Professionals"/>
    <m/>
    <m/>
    <m/>
    <m/>
    <x v="0"/>
    <x v="3"/>
  </r>
  <r>
    <s v="BLU198300"/>
    <n v="90713"/>
    <s v="Barbara"/>
    <s v="Somerville"/>
    <s v="FEMALE"/>
    <s v="ACC62"/>
    <n v="56888"/>
    <s v="Quality Compliance and Innovation"/>
    <d v="2023-03-20T00:00:00"/>
    <m/>
    <d v="2023-03-20T00:00:00"/>
    <s v="PART"/>
    <n v="30.4"/>
    <n v="0.79999999999999993"/>
    <s v="Clerical &amp; Admin"/>
    <n v="186075"/>
    <s v="Paul Stephenson"/>
    <n v="52252"/>
    <s v="Qual Compliance Mgr"/>
    <x v="0"/>
    <x v="3"/>
  </r>
  <r>
    <s v="BLU169604"/>
    <n v="72187"/>
    <s v="Tara"/>
    <s v="Stanway"/>
    <s v="FEMALE"/>
    <s v="ACC97"/>
    <n v="46294"/>
    <s v="Support Officer Care"/>
    <d v="2018-02-05T00:00:00"/>
    <m/>
    <d v="2023-05-16T00:00:00"/>
    <s v="CASUAL"/>
    <n v="38"/>
    <n v="1"/>
    <s v="Community &amp; Persnal Svcs"/>
    <n v="114729"/>
    <s v="Andrea Fox"/>
    <n v="43586"/>
    <s v="General Manager - Pinangba"/>
    <x v="0"/>
    <x v="3"/>
  </r>
  <r>
    <s v="BLU176991"/>
    <n v="76096"/>
    <s v="Jenine"/>
    <s v="Cheong"/>
    <s v="FEMALE"/>
    <s v="ACC65"/>
    <n v="55015"/>
    <s v="Regional Onboarding Manager"/>
    <d v="2019-04-09T00:00:00"/>
    <m/>
    <d v="2021-12-28T00:00:00"/>
    <s v="FULL"/>
    <n v="38"/>
    <n v="1"/>
    <s v="Other Managers"/>
    <m/>
    <m/>
    <m/>
    <m/>
    <x v="0"/>
    <x v="3"/>
  </r>
  <r>
    <s v="BLU105047"/>
    <n v="69366"/>
    <s v="Katrina"/>
    <s v="Rooke"/>
    <s v="FEMALE"/>
    <s v="ACC74"/>
    <n v="52555"/>
    <s v="Neighbourhood Lead"/>
    <d v="2017-02-14T00:00:00"/>
    <m/>
    <d v="2020-10-06T00:00:00"/>
    <s v="FULL"/>
    <n v="38"/>
    <n v="1"/>
    <s v="Professionals"/>
    <m/>
    <m/>
    <m/>
    <m/>
    <x v="0"/>
    <x v="3"/>
  </r>
  <r>
    <s v="BLU194459"/>
    <n v="87708"/>
    <s v="Christina"/>
    <s v="Stokes"/>
    <s v="FEMALE"/>
    <s v="ACC74"/>
    <n v="52347"/>
    <s v="Neighbourhood Lead"/>
    <d v="2022-07-25T00:00:00"/>
    <m/>
    <d v="2022-07-25T00:00:00"/>
    <s v="FULL"/>
    <n v="38"/>
    <n v="1"/>
    <s v="Professionals"/>
    <m/>
    <m/>
    <m/>
    <m/>
    <x v="0"/>
    <x v="3"/>
  </r>
  <r>
    <s v="BLU137771"/>
    <n v="44595"/>
    <s v="Melissa"/>
    <s v="Tesoriero"/>
    <s v="FEMALE"/>
    <s v="ACC147"/>
    <n v="53786"/>
    <s v="Neighbourhood Lead"/>
    <d v="2009-01-13T00:00:00"/>
    <m/>
    <d v="2021-07-27T00:00:00"/>
    <s v="FULL"/>
    <n v="38"/>
    <n v="1"/>
    <s v="Professionals"/>
    <m/>
    <m/>
    <m/>
    <m/>
    <x v="0"/>
    <x v="3"/>
  </r>
  <r>
    <s v="BLU189381"/>
    <n v="83080"/>
    <s v="Natalie"/>
    <s v="Donnelly"/>
    <s v="FEMALE"/>
    <s v="ACC147"/>
    <n v="53221"/>
    <s v="Neighbourhood Lead"/>
    <d v="2021-05-24T00:00:00"/>
    <m/>
    <d v="2021-05-24T00:00:00"/>
    <s v="FULL"/>
    <n v="38"/>
    <n v="1"/>
    <s v="Professionals"/>
    <m/>
    <m/>
    <m/>
    <m/>
    <x v="0"/>
    <x v="3"/>
  </r>
  <r>
    <s v="BLU147928"/>
    <n v="77431"/>
    <s v="Janice"/>
    <s v="Gabriel"/>
    <s v="FEMALE"/>
    <s v="ACC147"/>
    <n v="52216"/>
    <s v="Neighbourhood Lead"/>
    <d v="2019-08-28T00:00:00"/>
    <m/>
    <d v="2020-07-14T00:00:00"/>
    <s v="FULL"/>
    <n v="38"/>
    <n v="1"/>
    <s v="Professionals"/>
    <m/>
    <m/>
    <m/>
    <m/>
    <x v="0"/>
    <x v="3"/>
  </r>
  <r>
    <s v="BLU156146"/>
    <n v="60248"/>
    <s v="Netsai"/>
    <s v="Takundwa"/>
    <s v="FEMALE"/>
    <s v="ACC147"/>
    <n v="54400"/>
    <s v="Neighbourhood Lead"/>
    <d v="2013-06-11T00:00:00"/>
    <m/>
    <d v="2022-03-08T00:00:00"/>
    <s v="FULL"/>
    <n v="38"/>
    <n v="1"/>
    <s v="Professionals"/>
    <m/>
    <m/>
    <m/>
    <m/>
    <x v="0"/>
    <x v="3"/>
  </r>
  <r>
    <s v="BLU122301"/>
    <n v="30988"/>
    <s v="Christine"/>
    <s v="Travaglia"/>
    <s v="FEMALE"/>
    <s v="ACC74"/>
    <n v="52541"/>
    <s v="Neighbourhood Lead"/>
    <d v="2005-03-14T00:00:00"/>
    <m/>
    <d v="2021-05-04T00:00:00"/>
    <s v="FULL"/>
    <n v="38"/>
    <n v="1"/>
    <s v="Professionals"/>
    <m/>
    <m/>
    <m/>
    <m/>
    <x v="0"/>
    <x v="3"/>
  </r>
  <r>
    <s v="BLU124888"/>
    <n v="33881"/>
    <s v="Gregory"/>
    <s v="Shefford"/>
    <s v="MALE"/>
    <s v="ACC74"/>
    <n v="52593"/>
    <s v="Neighbourhood Lead"/>
    <d v="2006-01-03T00:00:00"/>
    <m/>
    <d v="2021-09-07T00:00:00"/>
    <s v="PART"/>
    <n v="22.8"/>
    <n v="0.6"/>
    <s v="Professionals"/>
    <m/>
    <m/>
    <m/>
    <m/>
    <x v="0"/>
    <x v="3"/>
  </r>
  <r>
    <s v="BLU157388"/>
    <n v="65756"/>
    <s v="Sacha"/>
    <s v="Masterson"/>
    <s v="FEMALE"/>
    <s v="ACC147"/>
    <n v="52280"/>
    <s v="Neighbourhood Lead"/>
    <d v="2015-08-24T00:00:00"/>
    <m/>
    <d v="2020-07-14T00:00:00"/>
    <s v="FULL"/>
    <n v="38"/>
    <n v="1"/>
    <s v="Professionals"/>
    <m/>
    <m/>
    <m/>
    <m/>
    <x v="0"/>
    <x v="3"/>
  </r>
  <r>
    <s v="BLU195548"/>
    <n v="88519"/>
    <s v="Shannon"/>
    <s v="Jeanes"/>
    <s v="FEMALE"/>
    <s v="ACC74"/>
    <n v="49687"/>
    <s v="Neighbourhood Lead"/>
    <d v="2022-10-03T00:00:00"/>
    <m/>
    <d v="2022-10-03T00:00:00"/>
    <s v="FULL"/>
    <n v="38"/>
    <n v="1"/>
    <s v="Professionals"/>
    <m/>
    <m/>
    <m/>
    <m/>
    <x v="0"/>
    <x v="3"/>
  </r>
  <r>
    <s v="BLU100257"/>
    <n v="10251"/>
    <s v="Clinton"/>
    <s v="Hargreaves"/>
    <s v="MALE"/>
    <s v="ACC74"/>
    <n v="53037"/>
    <s v="Neighbourhood Lead"/>
    <d v="2001-07-16T00:00:00"/>
    <m/>
    <d v="2021-01-26T00:00:00"/>
    <s v="FULL"/>
    <n v="38"/>
    <n v="1"/>
    <s v="Professionals"/>
    <m/>
    <m/>
    <m/>
    <m/>
    <x v="0"/>
    <x v="3"/>
  </r>
  <r>
    <s v="BLU155793"/>
    <n v="59877"/>
    <s v="Janelle"/>
    <s v="Smith"/>
    <s v="FEMALE"/>
    <s v="ACC147"/>
    <n v="53061"/>
    <s v="Neighbourhood Lead"/>
    <d v="2013-04-10T00:00:00"/>
    <m/>
    <d v="2020-12-02T00:00:00"/>
    <s v="FULL"/>
    <n v="38"/>
    <n v="1"/>
    <s v="Professionals"/>
    <m/>
    <m/>
    <m/>
    <m/>
    <x v="0"/>
    <x v="3"/>
  </r>
  <r>
    <s v="BLU148985"/>
    <n v="53127"/>
    <s v="Camille"/>
    <s v="Bennett"/>
    <s v="FEMALE"/>
    <s v="ACC147"/>
    <n v="52344"/>
    <s v="Neighbourhood Lead"/>
    <d v="2011-05-31T00:00:00"/>
    <m/>
    <d v="2021-07-27T00:00:00"/>
    <s v="FULL"/>
    <n v="38"/>
    <n v="1"/>
    <s v="Professionals"/>
    <m/>
    <m/>
    <m/>
    <m/>
    <x v="0"/>
    <x v="3"/>
  </r>
  <r>
    <s v="BLU153026"/>
    <n v="57188"/>
    <s v="Katrina"/>
    <s v="Furness"/>
    <s v="FEMALE"/>
    <s v="ACC147"/>
    <n v="52407"/>
    <s v="Neighbourhood Lead"/>
    <d v="2012-06-19T00:00:00"/>
    <m/>
    <d v="2020-09-08T00:00:00"/>
    <s v="PART"/>
    <n v="22.8"/>
    <n v="0.6"/>
    <s v="Professionals"/>
    <m/>
    <m/>
    <m/>
    <m/>
    <x v="0"/>
    <x v="3"/>
  </r>
  <r>
    <s v="BLU167492"/>
    <n v="70282"/>
    <s v="David"/>
    <s v="Willis"/>
    <s v="MALE"/>
    <s v="ACC147"/>
    <n v="52435"/>
    <s v="Neighbourhood Lead"/>
    <d v="2017-06-06T00:00:00"/>
    <m/>
    <d v="2021-04-06T00:00:00"/>
    <s v="FULL"/>
    <n v="38"/>
    <n v="1"/>
    <s v="Professionals"/>
    <m/>
    <m/>
    <m/>
    <m/>
    <x v="0"/>
    <x v="3"/>
  </r>
  <r>
    <s v="BLU141015"/>
    <n v="80111"/>
    <s v="Anita"/>
    <s v="Moran"/>
    <s v="FEMALE"/>
    <s v="ACC147"/>
    <n v="52816"/>
    <s v="Neighbourhood Lead"/>
    <d v="2020-06-16T00:00:00"/>
    <m/>
    <d v="2021-11-16T00:00:00"/>
    <s v="FULL"/>
    <n v="38"/>
    <n v="1"/>
    <s v="Professionals"/>
    <m/>
    <m/>
    <m/>
    <m/>
    <x v="0"/>
    <x v="3"/>
  </r>
  <r>
    <s v="BLU197826"/>
    <n v="90350"/>
    <s v="Phillip"/>
    <s v="Turner"/>
    <s v="MALE"/>
    <s v="ACC148"/>
    <n v="56654"/>
    <s v="Care Manager"/>
    <d v="2023-02-13T00:00:00"/>
    <m/>
    <d v="2023-02-13T00:00:00"/>
    <s v="FULL"/>
    <n v="38"/>
    <n v="1"/>
    <s v="Other Managers"/>
    <m/>
    <m/>
    <m/>
    <m/>
    <x v="0"/>
    <x v="3"/>
  </r>
  <r>
    <s v="BLU196634"/>
    <n v="89380"/>
    <s v="Niriksha"/>
    <s v="Salian"/>
    <s v="FEMALE"/>
    <s v="ACC98"/>
    <n v="56054"/>
    <s v="Contact Centre Training Specialist"/>
    <d v="2022-11-29T00:00:00"/>
    <m/>
    <d v="2022-11-29T00:00:00"/>
    <s v="FULL"/>
    <n v="24"/>
    <n v="0.63157894736842102"/>
    <s v="Professionals"/>
    <n v="128543"/>
    <s v="Lisa Stewart"/>
    <n v="55098"/>
    <s v="RMT Quality Assurance Manager"/>
    <x v="0"/>
    <x v="3"/>
  </r>
  <r>
    <s v="BLU173884"/>
    <n v="74631"/>
    <s v="Nancy"/>
    <s v="Farrell"/>
    <s v="FEMALE"/>
    <s v="ACC122"/>
    <n v="48943"/>
    <s v="Neighbourhood Lead"/>
    <d v="2018-10-29T00:00:00"/>
    <m/>
    <d v="2022-11-01T00:00:00"/>
    <s v="FULL"/>
    <n v="38"/>
    <n v="1"/>
    <s v="Professionals"/>
    <m/>
    <m/>
    <m/>
    <m/>
    <x v="0"/>
    <x v="3"/>
  </r>
  <r>
    <s v="BLU155058"/>
    <n v="59227"/>
    <s v="Amanda"/>
    <s v="Francis"/>
    <s v="FEMALE"/>
    <s v="ACC28"/>
    <n v="52473"/>
    <s v="Neighbourhood Lead"/>
    <d v="2013-01-07T00:00:00"/>
    <m/>
    <d v="2020-09-28T00:00:00"/>
    <s v="FULL"/>
    <n v="38"/>
    <n v="1"/>
    <s v="Professionals"/>
    <m/>
    <m/>
    <m/>
    <m/>
    <x v="0"/>
    <x v="3"/>
  </r>
  <r>
    <s v="BLU117637"/>
    <n v="22849"/>
    <s v="Debra"/>
    <s v="Boon"/>
    <s v="FEMALE"/>
    <s v="ACC148"/>
    <n v="38260"/>
    <s v="Neighbourhood Lead"/>
    <d v="1989-02-05T00:00:00"/>
    <m/>
    <d v="2020-06-30T00:00:00"/>
    <s v="FULL"/>
    <n v="38"/>
    <n v="1"/>
    <s v="Professionals"/>
    <m/>
    <m/>
    <m/>
    <m/>
    <x v="0"/>
    <x v="3"/>
  </r>
  <r>
    <s v="BLU175798"/>
    <n v="75532"/>
    <s v="Hayley"/>
    <s v="Plint"/>
    <s v="FEMALE"/>
    <s v="ACC48"/>
    <n v="55805"/>
    <s v="Neighbourhood Lead"/>
    <d v="2019-02-12T00:00:00"/>
    <m/>
    <d v="2023-01-24T00:00:00"/>
    <s v="FULL"/>
    <n v="38"/>
    <n v="1"/>
    <s v="Professionals"/>
    <m/>
    <m/>
    <m/>
    <m/>
    <x v="0"/>
    <x v="3"/>
  </r>
  <r>
    <s v="BLU165989"/>
    <n v="69031"/>
    <s v="Leah"/>
    <s v="Hall"/>
    <s v="FEMALE"/>
    <s v="ACC147"/>
    <n v="53328"/>
    <s v="Neighbourhood Lead"/>
    <e v="#N/A"/>
    <m/>
    <d v="2021-11-02T00:00:00"/>
    <s v="FULL"/>
    <n v="38"/>
    <n v="1"/>
    <s v="Professionals"/>
    <m/>
    <m/>
    <m/>
    <m/>
    <x v="0"/>
    <x v="3"/>
  </r>
  <r>
    <s v="BLU186850"/>
    <n v="80871"/>
    <s v="Brooke"/>
    <s v="Parker"/>
    <s v="FEMALE"/>
    <s v="ACC147"/>
    <n v="53564"/>
    <s v="Neighbourhood Lead"/>
    <d v="2020-10-06T00:00:00"/>
    <m/>
    <d v="2023-01-10T00:00:00"/>
    <s v="FULL"/>
    <n v="38"/>
    <n v="1"/>
    <s v="Professionals"/>
    <m/>
    <m/>
    <m/>
    <m/>
    <x v="0"/>
    <x v="3"/>
  </r>
  <r>
    <s v="BLU166688"/>
    <n v="69587"/>
    <s v="William"/>
    <s v="Stokes"/>
    <s v="MALE"/>
    <s v="ACC147"/>
    <n v="55294"/>
    <s v="Neighbourhood Lead"/>
    <d v="2017-03-13T00:00:00"/>
    <m/>
    <d v="2022-07-26T00:00:00"/>
    <s v="FULL"/>
    <n v="38"/>
    <n v="1"/>
    <s v="Professionals"/>
    <m/>
    <m/>
    <m/>
    <m/>
    <x v="0"/>
    <x v="3"/>
  </r>
  <r>
    <s v="BLU195543"/>
    <n v="88559"/>
    <s v="Rebecca"/>
    <s v="O'Brien"/>
    <s v="FEMALE"/>
    <s v="ACC67"/>
    <n v="55530"/>
    <s v="Sales Manager"/>
    <d v="2022-09-26T00:00:00"/>
    <m/>
    <d v="2022-09-26T00:00:00"/>
    <s v="FULL"/>
    <n v="38"/>
    <n v="1"/>
    <s v="Other Managers"/>
    <n v="194663"/>
    <s v="Clinton Carson"/>
    <n v="55223"/>
    <s v="Head of Sales"/>
    <x v="0"/>
    <x v="3"/>
  </r>
  <r>
    <s v="BLU164993"/>
    <n v="85431"/>
    <s v="Mia"/>
    <s v="Hampson"/>
    <s v="FEMALE"/>
    <s v="ACC43"/>
    <n v="54053"/>
    <s v="Strategy Manager"/>
    <d v="2022-02-08T00:00:00"/>
    <m/>
    <d v="2022-02-08T00:00:00"/>
    <s v="FULL"/>
    <n v="38"/>
    <n v="1"/>
    <s v="Other Managers"/>
    <n v="114729"/>
    <s v="Andrea Fox"/>
    <n v="43586"/>
    <s v="General Manager - Pinangba"/>
    <x v="0"/>
    <x v="3"/>
  </r>
  <r>
    <s v="BLU142056"/>
    <n v="50140"/>
    <s v="Ryan"/>
    <s v="Pearce"/>
    <s v="MALE"/>
    <s v="ACC161"/>
    <n v="53139"/>
    <s v="Manager Master Roster &amp; Scheduling"/>
    <d v="2009-07-06T00:00:00"/>
    <m/>
    <d v="2023-05-10T00:00:00"/>
    <s v="FULL"/>
    <n v="38"/>
    <n v="1"/>
    <s v="Other Managers"/>
    <n v="34729"/>
    <s v="Wendy Russell"/>
    <n v="55340"/>
    <s v="General Manager - ACCS Core Sy"/>
    <x v="0"/>
    <x v="3"/>
  </r>
  <r>
    <s v="BLU165584"/>
    <n v="68725"/>
    <s v="Sandeep"/>
    <s v="Gill"/>
    <s v="MALE"/>
    <s v="ACC120"/>
    <n v="48989"/>
    <s v="Reporting &amp; Performance Lead"/>
    <d v="2016-11-08T00:00:00"/>
    <m/>
    <d v="2023-06-01T00:00:00"/>
    <s v="FULL"/>
    <n v="38"/>
    <n v="1"/>
    <m/>
    <n v="182783"/>
    <s v="Luke Tanks"/>
    <n v="54188"/>
    <s v="Head of Comm Perf &amp; Enablement"/>
    <x v="0"/>
    <x v="3"/>
  </r>
  <r>
    <s v="BLU128543"/>
    <n v="36904"/>
    <s v="Lisa"/>
    <s v="Stewart"/>
    <s v="FEMALE"/>
    <s v="ACC39"/>
    <n v="52443"/>
    <s v="RMT Manager"/>
    <d v="2006-11-21T00:00:00"/>
    <m/>
    <d v="2023-05-06T00:00:00"/>
    <s v="FULL"/>
    <n v="38"/>
    <n v="1"/>
    <s v="Clerical &amp; Admin"/>
    <n v="80057"/>
    <s v="Francis Mcquillan"/>
    <n v="54188"/>
    <s v="Head of Res Perf &amp; Enablement"/>
    <x v="0"/>
    <x v="3"/>
  </r>
  <r>
    <s v="BLU148646"/>
    <n v="82227"/>
    <s v="Michelle"/>
    <s v="Ellingsen"/>
    <s v="FEMALE"/>
    <s v="ACC147"/>
    <n v="52832"/>
    <s v="Neighbourhood Lead"/>
    <d v="2021-02-08T00:00:00"/>
    <m/>
    <d v="2021-02-08T00:00:00"/>
    <s v="FULL"/>
    <n v="38"/>
    <n v="1"/>
    <s v="Professionals"/>
    <m/>
    <m/>
    <m/>
    <m/>
    <x v="0"/>
    <x v="3"/>
  </r>
  <r>
    <s v="BLU148097"/>
    <n v="52311"/>
    <s v="Fozia"/>
    <s v="Dean"/>
    <s v="FEMALE"/>
    <s v="ACC95"/>
    <n v="49710"/>
    <s v="Neighbourhood Lead"/>
    <d v="2011-03-14T00:00:00"/>
    <m/>
    <d v="2023-06-26T00:00:00"/>
    <s v="FULL"/>
    <n v="38"/>
    <n v="1"/>
    <s v="Professionals"/>
    <m/>
    <m/>
    <m/>
    <m/>
    <x v="0"/>
    <x v="3"/>
  </r>
  <r>
    <s v="BLU109072"/>
    <n v="16601"/>
    <s v="Louise"/>
    <s v="Wilson"/>
    <s v="FEMALE"/>
    <s v="ACC148"/>
    <n v="56688"/>
    <s v="Care Manager"/>
    <d v="2000-02-15T00:00:00"/>
    <m/>
    <d v="2022-11-01T00:00:00"/>
    <s v="FULL"/>
    <n v="38"/>
    <n v="1"/>
    <s v="Other Managers"/>
    <m/>
    <m/>
    <m/>
    <m/>
    <x v="0"/>
    <x v="3"/>
  </r>
  <r>
    <s v="BLU180598"/>
    <n v="81567"/>
    <s v="Tony"/>
    <s v="Pountney"/>
    <s v="MALE"/>
    <s v="ACC28"/>
    <n v="55641"/>
    <s v="Neighbourhood Lead"/>
    <d v="2007-02-14T00:00:00"/>
    <m/>
    <d v="2022-09-19T00:00:00"/>
    <s v="FULL"/>
    <n v="38"/>
    <n v="1"/>
    <s v="Professionals"/>
    <m/>
    <m/>
    <m/>
    <m/>
    <x v="0"/>
    <x v="3"/>
  </r>
  <r>
    <s v="BLU155736"/>
    <n v="59936"/>
    <s v="Shaye"/>
    <s v="Brown"/>
    <s v="FEMALE"/>
    <s v="ACC28"/>
    <n v="53176"/>
    <s v="Care Manager"/>
    <d v="2013-04-17T00:00:00"/>
    <m/>
    <d v="2021-06-29T00:00:00"/>
    <s v="FULL"/>
    <n v="38"/>
    <n v="1"/>
    <s v="Other Managers"/>
    <m/>
    <m/>
    <m/>
    <m/>
    <x v="0"/>
    <x v="3"/>
  </r>
  <r>
    <s v="BLU154007"/>
    <n v="85635"/>
    <s v="Heather"/>
    <s v="Walford-Petersen"/>
    <s v="FEMALE"/>
    <s v="ACC38"/>
    <n v="56627"/>
    <s v="Residential Services Partner"/>
    <d v="2022-01-25T00:00:00"/>
    <m/>
    <d v="2023-03-22T00:00:00"/>
    <s v="FULL"/>
    <n v="38"/>
    <n v="1"/>
    <s v="Clerical &amp; Admin"/>
    <n v="182783"/>
    <s v="Luke Tanks"/>
    <n v="15276"/>
    <s v="Head of Comm Perf &amp; Enablement"/>
    <x v="0"/>
    <x v="3"/>
  </r>
  <r>
    <s v="BLU186075"/>
    <n v="80428"/>
    <s v="Paul"/>
    <s v="Stephenson"/>
    <s v="MALE"/>
    <s v="ACC146"/>
    <n v="52252"/>
    <s v="Quality &amp; Compliance Manager"/>
    <d v="2020-07-28T00:00:00"/>
    <m/>
    <d v="2020-10-29T00:00:00"/>
    <s v="FULL"/>
    <n v="38"/>
    <n v="1"/>
    <s v="Other Managers"/>
    <n v="114729"/>
    <s v="Andrea Fox"/>
    <n v="43586"/>
    <s v="General Manager - Pinangba"/>
    <x v="0"/>
    <x v="3"/>
  </r>
  <r>
    <s v="BLU193975"/>
    <n v="87287"/>
    <s v="Leeanne"/>
    <s v="Hanna"/>
    <s v="FEMALE"/>
    <s v="ACC18"/>
    <n v="51919"/>
    <s v="Residential Service Manager"/>
    <d v="2022-06-13T00:00:00"/>
    <m/>
    <d v="2022-06-13T00:00:00"/>
    <s v="FULL"/>
    <n v="38"/>
    <n v="1"/>
    <s v="Other Managers"/>
    <n v="114729"/>
    <s v="Andrea Fox"/>
    <n v="43586"/>
    <s v="General Manager - Pinangba"/>
    <x v="0"/>
    <x v="3"/>
  </r>
  <r>
    <s v="BLU125912"/>
    <n v="90688"/>
    <s v="Angela"/>
    <s v="Davies"/>
    <s v="FEMALE"/>
    <s v="ACC28"/>
    <n v="52162"/>
    <s v="Care Manager"/>
    <d v="2023-04-03T00:00:00"/>
    <m/>
    <d v="2023-04-03T00:00:00"/>
    <s v="FULL"/>
    <n v="38"/>
    <n v="1"/>
    <s v="Other Managers"/>
    <m/>
    <m/>
    <m/>
    <m/>
    <x v="0"/>
    <x v="3"/>
  </r>
  <r>
    <s v="BLU143741"/>
    <n v="90447"/>
    <s v="Heather"/>
    <s v="Ginard"/>
    <s v="FEMALE"/>
    <s v="ACC23"/>
    <n v="19468"/>
    <s v="Residential Service Manager"/>
    <d v="2023-02-27T00:00:00"/>
    <m/>
    <d v="2023-02-27T00:00:00"/>
    <s v="FULL"/>
    <n v="38"/>
    <n v="1"/>
    <s v="Other Managers"/>
    <n v="114729"/>
    <s v="Andrea Fox"/>
    <n v="43586"/>
    <s v="General Manager - Pinangba"/>
    <x v="0"/>
    <x v="3"/>
  </r>
  <r>
    <s v="BLU145738"/>
    <n v="73691"/>
    <s v="Annette"/>
    <s v="Gough"/>
    <s v="FEMALE"/>
    <s v="ACC127"/>
    <n v="53618"/>
    <s v="Commercial Engagement &amp; Partnerships Lead"/>
    <d v="2018-07-24T00:00:00"/>
    <m/>
    <d v="2021-07-12T00:00:00"/>
    <s v="FULL"/>
    <n v="38"/>
    <n v="1"/>
    <s v="Professionals"/>
    <n v="182783"/>
    <s v="Luke Tanks"/>
    <n v="54188"/>
    <s v="Head of Comm Perf &amp; Enablement"/>
    <x v="0"/>
    <x v="3"/>
  </r>
  <r>
    <s v="BLU103671"/>
    <n v="14408"/>
    <s v="Ingvar"/>
    <s v="Colville"/>
    <s v="MALE"/>
    <s v="ACC15"/>
    <n v="39256"/>
    <s v="Community Partner SEQ South"/>
    <d v="2000-04-27T00:00:00"/>
    <m/>
    <d v="2021-05-18T00:00:00"/>
    <s v="FULL"/>
    <n v="38"/>
    <n v="1"/>
    <s v="Professionals"/>
    <n v="185184"/>
    <s v="Luke Tanks"/>
    <m/>
    <m/>
    <x v="0"/>
    <x v="3"/>
  </r>
  <r>
    <s v="BLU182934"/>
    <n v="78974"/>
    <s v="Jenny"/>
    <s v="Nuss"/>
    <s v="FEMALE"/>
    <s v="ACC23"/>
    <n v="54744"/>
    <s v="Regional Res Services Manager"/>
    <d v="2020-02-17T00:00:00"/>
    <m/>
    <d v="2022-03-08T00:00:00"/>
    <s v="FULL"/>
    <n v="38"/>
    <n v="1"/>
    <s v="Senior Managers"/>
    <m/>
    <m/>
    <m/>
    <m/>
    <x v="0"/>
    <x v="3"/>
  </r>
  <r>
    <s v="BLU169387"/>
    <n v="72019"/>
    <s v="Marie-Lisette"/>
    <s v="Lablache"/>
    <s v="FEMALE"/>
    <s v="ACC148"/>
    <n v="51229"/>
    <s v="Neighbourhood Lead"/>
    <d v="2018-01-15T00:00:00"/>
    <m/>
    <d v="2020-06-30T00:00:00"/>
    <s v="FULL"/>
    <n v="38"/>
    <n v="1"/>
    <s v="Professionals"/>
    <m/>
    <m/>
    <m/>
    <m/>
    <x v="0"/>
    <x v="3"/>
  </r>
  <r>
    <s v="BLU125546"/>
    <n v="34535"/>
    <s v="Terri"/>
    <s v="Carr"/>
    <s v="FEMALE"/>
    <s v="ACC148"/>
    <n v="52482"/>
    <s v="Neighbourhood Lead"/>
    <d v="2006-03-29T00:00:00"/>
    <m/>
    <d v="2022-03-22T00:00:00"/>
    <s v="FULL"/>
    <n v="38"/>
    <n v="1"/>
    <s v="Professionals"/>
    <m/>
    <m/>
    <m/>
    <m/>
    <x v="0"/>
    <x v="3"/>
  </r>
  <r>
    <s v="BLU144294"/>
    <n v="48517"/>
    <s v="Julian"/>
    <s v="Pepper"/>
    <s v="MALE"/>
    <s v="ACC118"/>
    <n v="52155"/>
    <s v="Network Manager"/>
    <d v="2010-02-02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94765"/>
    <n v="87893"/>
    <s v="Nicole"/>
    <s v="Hodnett"/>
    <s v="FEMALE"/>
    <s v="ACC23"/>
    <n v="55272"/>
    <s v="Residential Service Manager"/>
    <d v="2022-08-23T00:00:00"/>
    <m/>
    <d v="2022-08-23T00:00:00"/>
    <s v="FULL"/>
    <n v="38"/>
    <n v="1"/>
    <s v="Other Managers"/>
    <n v="133207"/>
    <s v="Sue-Ellen Smith"/>
    <n v="35702"/>
    <s v="General Manager"/>
    <x v="0"/>
    <x v="3"/>
  </r>
  <r>
    <s v="BLU197130"/>
    <n v="89800"/>
    <s v="Lara"/>
    <s v="Strohfeldt"/>
    <s v="FEMALE"/>
    <s v="ACC148"/>
    <n v="50350"/>
    <s v="Neighbourhood Lead"/>
    <d v="2023-01-30T00:00:00"/>
    <m/>
    <d v="2023-01-30T00:00:00"/>
    <s v="FULL"/>
    <n v="38"/>
    <n v="1"/>
    <s v="Professionals"/>
    <m/>
    <m/>
    <m/>
    <m/>
    <x v="0"/>
    <x v="3"/>
  </r>
  <r>
    <s v="BLU161169"/>
    <n v="64854"/>
    <s v="Shirley"/>
    <s v="Sues"/>
    <s v="FEMALE"/>
    <s v="ACC33"/>
    <n v="52575"/>
    <s v="Multi Service Manager"/>
    <d v="2015-04-20T00:00:00"/>
    <m/>
    <d v="2020-10-20T00:00:00"/>
    <s v="FULL"/>
    <n v="38"/>
    <n v="1"/>
    <s v="Other Managers"/>
    <n v="114729"/>
    <s v="Andrea Fox"/>
    <n v="43586"/>
    <s v="General Manager - Pinangba"/>
    <x v="0"/>
    <x v="3"/>
  </r>
  <r>
    <s v="BLU138630"/>
    <n v="45382"/>
    <s v="Julie"/>
    <s v="Smallhorn"/>
    <s v="FEMALE"/>
    <s v="ACC118"/>
    <n v="52092"/>
    <s v="Network Manager"/>
    <d v="2009-03-10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70004"/>
    <n v="83408"/>
    <s v="Nicholas"/>
    <s v="Mcgregor"/>
    <s v="MALE"/>
    <s v="ACC23"/>
    <n v="44944"/>
    <s v="Residential Service Manager"/>
    <e v="#N/A"/>
    <m/>
    <d v="2023-01-01T00:00:00"/>
    <s v="FULL"/>
    <n v="38"/>
    <n v="1"/>
    <s v="Other Managers"/>
    <n v="114729"/>
    <s v="Andrea Fox"/>
    <n v="43586"/>
    <s v="General Manager - Pinangba"/>
    <x v="0"/>
    <x v="3"/>
  </r>
  <r>
    <s v="BLU168831"/>
    <n v="71593"/>
    <s v="Luisa"/>
    <s v="Fiso"/>
    <s v="FEMALE"/>
    <s v="ACC28"/>
    <n v="54712"/>
    <s v="Network Manager"/>
    <d v="2017-11-21T00:00:00"/>
    <m/>
    <d v="2023-06-01T00:00:00"/>
    <s v="FULL"/>
    <n v="38"/>
    <n v="1"/>
    <s v="Other Managers"/>
    <m/>
    <m/>
    <m/>
    <m/>
    <x v="0"/>
    <x v="3"/>
  </r>
  <r>
    <s v="BLU119620"/>
    <n v="28109"/>
    <s v="Helen"/>
    <s v="Fraser"/>
    <s v="FEMALE"/>
    <s v="ACC14"/>
    <n v="52251"/>
    <s v="Network Manager"/>
    <d v="1996-10-07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30016"/>
    <n v="37949"/>
    <s v="Teresa"/>
    <s v="O'Brien"/>
    <s v="FEMALE"/>
    <s v="ACC118"/>
    <n v="55959"/>
    <s v="Network Manager"/>
    <d v="2007-03-05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56774"/>
    <n v="60861"/>
    <s v="Indira"/>
    <s v="Caeiro"/>
    <s v="FEMALE"/>
    <s v="ACC118"/>
    <n v="52138"/>
    <s v="Network Manager"/>
    <d v="2013-08-26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94916"/>
    <n v="88023"/>
    <s v="Jordan"/>
    <s v="Frazier-Stretton"/>
    <s v="MALE"/>
    <s v="ACC118"/>
    <n v="55325"/>
    <s v="Network Manager"/>
    <d v="2022-08-22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72271"/>
    <n v="73908"/>
    <s v="Debbie"/>
    <s v="Brown"/>
    <s v="FEMALE"/>
    <s v="ACC148"/>
    <n v="52214"/>
    <s v="Network Manager"/>
    <d v="2018-07-24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72855"/>
    <n v="75506"/>
    <s v="Kerry"/>
    <s v="Ledwith"/>
    <s v="FEMALE"/>
    <s v="ACC157"/>
    <n v="30839"/>
    <s v="Hospital in the Home Manager"/>
    <d v="2019-02-24T00:00:00"/>
    <m/>
    <d v="2023-06-01T00:00:00"/>
    <s v="FULL"/>
    <n v="38"/>
    <n v="1"/>
    <s v="Other Managers"/>
    <n v="133207"/>
    <s v="Sue-Ellen Smith"/>
    <n v="35702"/>
    <s v="General Manager"/>
    <x v="0"/>
    <x v="3"/>
  </r>
  <r>
    <s v="BLU194500"/>
    <n v="87983"/>
    <s v="Sheree"/>
    <s v="Conway"/>
    <s v="FEMALE"/>
    <s v="ACC118"/>
    <n v="52177"/>
    <s v="Network Manager"/>
    <d v="2022-08-29T00:00:00"/>
    <m/>
    <d v="2023-06-01T00:00:00"/>
    <s v="FULL"/>
    <n v="38"/>
    <n v="1"/>
    <s v="Other Managers"/>
    <n v="85459"/>
    <s v="Wayne Crase"/>
    <n v="35225"/>
    <s v="Head of Community Services Operations"/>
    <x v="0"/>
    <x v="3"/>
  </r>
  <r>
    <s v="BLU154992"/>
    <n v="59357"/>
    <s v="Jessica"/>
    <s v="Slater"/>
    <s v="FEMALE"/>
    <s v="ACC139"/>
    <n v="52102"/>
    <s v="Pallative Care Manager"/>
    <d v="2013-02-04T00:00:00"/>
    <m/>
    <d v="2023-04-17T00:00:00"/>
    <s v="FULL"/>
    <n v="38"/>
    <n v="1"/>
    <s v="Other Managers"/>
    <m/>
    <m/>
    <m/>
    <m/>
    <x v="0"/>
    <x v="3"/>
  </r>
  <r>
    <s v="BLU115758"/>
    <n v="18290"/>
    <s v="Susan"/>
    <s v="Macgregor"/>
    <s v="FEMALE"/>
    <s v="ACC15"/>
    <n v="47191"/>
    <s v="Neighbourhood Lead"/>
    <d v="1993-02-08T00:00:00"/>
    <m/>
    <d v="2020-09-07T00:00:00"/>
    <s v="FULL"/>
    <n v="38"/>
    <n v="1"/>
    <s v="Professionals"/>
    <m/>
    <m/>
    <m/>
    <m/>
    <x v="0"/>
    <x v="3"/>
  </r>
  <r>
    <s v="BLU172870"/>
    <n v="75062"/>
    <s v="Rebecca"/>
    <s v="Sparrow"/>
    <s v="FEMALE"/>
    <s v="ACC37"/>
    <n v="56509"/>
    <s v="Residential Operations Manager"/>
    <d v="2018-12-10T00:00:00"/>
    <m/>
    <d v="2023-01-24T00:00:00"/>
    <s v="FULL"/>
    <n v="38"/>
    <n v="1"/>
    <s v="Senior Managers"/>
    <n v="133207"/>
    <s v="Sue-Ellen Smith"/>
    <n v="35702"/>
    <s v="Head of Specialised Services "/>
    <x v="0"/>
    <x v="3"/>
  </r>
  <r>
    <s v="BLU114729"/>
    <n v="17579"/>
    <s v="Andrea"/>
    <s v="Fox"/>
    <s v="FEMALE"/>
    <s v="ACC16"/>
    <n v="43586"/>
    <s v="General Manager Pinangba"/>
    <d v="2001-05-14T00:00:00"/>
    <m/>
    <d v="2021-12-01T00:00:00"/>
    <s v="FULL"/>
    <n v="38"/>
    <n v="1"/>
    <s v="Senior Managers"/>
    <n v="12924"/>
    <s v="Maria Mclaughlin-Rolfe"/>
    <n v="50973"/>
    <s v="Group General Manager BC/Comm"/>
    <x v="0"/>
    <x v="3"/>
  </r>
  <r>
    <s v="BLU182783"/>
    <n v="78917"/>
    <s v="Luke"/>
    <s v="Tanks"/>
    <s v="MALE"/>
    <s v="ACC158"/>
    <n v="15276"/>
    <s v="Head of Community Performance and Enablement"/>
    <d v="2020-01-20T00:00:00"/>
    <m/>
    <d v="2023-06-01T00:00:00"/>
    <s v="FULL"/>
    <n v="38"/>
    <n v="1"/>
    <s v="Other Managers"/>
    <n v="12924"/>
    <s v="Maria Mclaughlin-Rolfe"/>
    <n v="50973"/>
    <s v="Group General Manager BC/Comm"/>
    <x v="0"/>
    <x v="3"/>
  </r>
  <r>
    <s v="BLU192043"/>
    <n v="85459"/>
    <s v="Wayne"/>
    <s v="Crase"/>
    <s v="MALE"/>
    <s v="ACC05"/>
    <n v="35225"/>
    <s v="Head of Community Services Operations"/>
    <d v="2022-01-24T00:00:00"/>
    <m/>
    <d v="2023-06-01T00:00:00"/>
    <s v="FULL"/>
    <n v="38"/>
    <n v="1"/>
    <s v="Other Managers"/>
    <n v="12924"/>
    <s v="Maria Mclaughlin-Rolfe"/>
    <n v="50973"/>
    <s v="Group General Manager BC/Comm"/>
    <x v="0"/>
    <x v="3"/>
  </r>
  <r>
    <s v="BLU194663"/>
    <n v="87778"/>
    <s v="Clinton"/>
    <s v="Carson"/>
    <s v="MALE"/>
    <s v="ACC09"/>
    <n v="55223"/>
    <s v="Head of Sales"/>
    <d v="2022-08-01T00:00:00"/>
    <m/>
    <d v="2022-08-01T00:00:00"/>
    <s v="FULL"/>
    <n v="38"/>
    <n v="1"/>
    <s v="Senior Managers"/>
    <n v="12924"/>
    <s v="Maria Mclaughlin-Rolfe"/>
    <n v="50973"/>
    <s v="Group General Manager BC/Comm"/>
    <x v="0"/>
    <x v="3"/>
  </r>
  <r>
    <s v="BLU133207"/>
    <n v="40426"/>
    <s v="Sue-Ellen"/>
    <s v="Smith"/>
    <s v="FEMALE"/>
    <s v="ACC05"/>
    <n v="35702"/>
    <s v="Head of Specialised Services"/>
    <d v="2007-11-12T00:00:00"/>
    <m/>
    <d v="2023-06-01T00:00:00"/>
    <s v="FULL"/>
    <n v="38"/>
    <n v="1"/>
    <s v="Other Managers"/>
    <n v="12924"/>
    <s v="Maria Mclaughlin-Rolfe"/>
    <n v="50973"/>
    <s v="Group General Manager BC/Comm"/>
    <x v="0"/>
    <x v="3"/>
  </r>
  <r>
    <s v="BLU162176"/>
    <n v="65740"/>
    <s v="Kellie"/>
    <s v="White"/>
    <s v="FEMALE"/>
    <s v="ACC79"/>
    <n v="48375"/>
    <s v="Community Information Analyst"/>
    <d v="2015-08-24T00:00:00"/>
    <m/>
    <d v="2022-01-11T00:00:00"/>
    <s v="FULL"/>
    <n v="38"/>
    <n v="1"/>
    <s v="Professionals"/>
    <n v="58755"/>
    <s v="Casey Haslam"/>
    <n v="42963"/>
    <s v="Community Information System Team Lead"/>
    <x v="0"/>
    <x v="4"/>
  </r>
  <r>
    <s v="BLU171778"/>
    <n v="73766"/>
    <s v="Angela"/>
    <s v="Davidson"/>
    <s v="FEMALE"/>
    <s v="ACC79"/>
    <n v="42963"/>
    <s v="Community Information Analyst"/>
    <d v="2018-07-18T00:00:00"/>
    <m/>
    <d v="2022-01-11T00:00:00"/>
    <s v="FULL"/>
    <n v="38"/>
    <n v="1"/>
    <s v="Professionals"/>
    <n v="58755"/>
    <s v="Casey Haslam"/>
    <n v="42963"/>
    <s v="Community Information System Team Lead"/>
    <x v="0"/>
    <x v="4"/>
  </r>
  <r>
    <s v="BLU154394"/>
    <n v="58755"/>
    <s v="Casey"/>
    <s v="Haslam"/>
    <s v="FEMALE"/>
    <s v="ACC79"/>
    <n v="42963"/>
    <s v="Community Information System Team Lead"/>
    <d v="2012-11-27T00:00:00"/>
    <m/>
    <d v="2023-07-11T00:00:00"/>
    <s v="FULL"/>
    <n v="38"/>
    <n v="1"/>
    <s v="Professionals"/>
    <n v="124042"/>
    <s v="Luke Tanks"/>
    <n v="38563"/>
    <s v="Head of Performance and Community Services Enablement"/>
    <x v="0"/>
    <x v="4"/>
  </r>
  <r>
    <s v="BLU184857"/>
    <n v="79894"/>
    <s v="Nicole"/>
    <s v="Aonghin"/>
    <s v="FEMALE"/>
    <s v="ACC103"/>
    <n v="51981"/>
    <s v="Management Support Officer"/>
    <d v="2016-10-10T00:00:00"/>
    <m/>
    <d v="2020-07-07T00:00:00"/>
    <s v="FULL"/>
    <n v="38"/>
    <n v="1"/>
    <s v="Clerical &amp; Admin"/>
    <n v="61157"/>
    <s v="Heather Pedley"/>
    <n v="50612"/>
    <s v="Senior Manager Transformation and 2030"/>
    <x v="0"/>
    <x v="5"/>
  </r>
  <r>
    <s v="BLU199554"/>
    <n v="91676"/>
    <s v="Sheryl A"/>
    <s v="KERR"/>
    <s v="FEMALE"/>
    <s v="ACC65"/>
    <n v="57498"/>
    <s v="Regional Onboarding Manager"/>
    <d v="2023-06-12T00:00:00"/>
    <m/>
    <d v="2023-06-12T00:00:00"/>
    <s v="FULL"/>
    <n v="38"/>
    <n v="1"/>
    <s v="Other Managers"/>
    <n v="162323"/>
    <s v="Natalie Schmidt "/>
    <n v="53353"/>
    <s v="Community Pivot Alliance Direc"/>
    <x v="0"/>
    <x v="5"/>
  </r>
  <r>
    <s v="BLU187667"/>
    <n v="86881"/>
    <s v="Jonathan"/>
    <s v="Daly"/>
    <s v="MALE"/>
    <s v="ACC71"/>
    <n v="48770"/>
    <s v="Trainer"/>
    <d v="2020-09-07T00:00:00"/>
    <d v="2024-10-28T00:00:00"/>
    <d v="2022-10-29T00:00:00"/>
    <s v="FULL"/>
    <n v="38"/>
    <n v="1"/>
    <s v="Professionals"/>
    <n v="61157"/>
    <s v="Heather Pedley"/>
    <n v="50612"/>
    <s v="Senior Manager Transformation and 2030"/>
    <x v="0"/>
    <x v="5"/>
  </r>
  <r>
    <s v="BLU193184"/>
    <n v="86483"/>
    <s v="Sarah"/>
    <s v="Miller"/>
    <s v="FEMALE"/>
    <s v="ACC65"/>
    <n v="43437"/>
    <s v="Regional Onboarding Manager"/>
    <d v="2022-04-19T00:00:00"/>
    <m/>
    <d v="2022-04-19T00:00:00"/>
    <s v="FULL"/>
    <n v="38"/>
    <n v="1"/>
    <s v="Other Managers"/>
    <n v="162323"/>
    <s v="Natalie Schmidt"/>
    <n v="53353"/>
    <s v="Community Pivot Alliance Direc"/>
    <x v="0"/>
    <x v="5"/>
  </r>
  <r>
    <s v="BLU171827"/>
    <n v="73772"/>
    <s v="Elissa"/>
    <s v="Mcbryde"/>
    <s v="FEMALE"/>
    <s v="ACC65"/>
    <n v="53944"/>
    <s v="Regional Onboarding Manager"/>
    <d v="2018-07-31T00:00:00"/>
    <d v="2023-12-30T00:00:00"/>
    <d v="2021-10-19T00:00:00"/>
    <s v="PART"/>
    <n v="30.4"/>
    <n v="0.79999999999999993"/>
    <s v="Other Managers"/>
    <n v="162323"/>
    <s v="Natalie Schmidt"/>
    <n v="53353"/>
    <s v="Community Pivot Alliance Direc"/>
    <x v="0"/>
    <x v="5"/>
  </r>
  <r>
    <s v="BLU141034"/>
    <n v="45598"/>
    <s v="Sherri"/>
    <s v="Deane"/>
    <s v="FEMALE"/>
    <s v="ACC65"/>
    <n v="54462"/>
    <s v="Regional Onboarding Manager"/>
    <d v="2009-04-20T00:00:00"/>
    <m/>
    <d v="2022-01-11T00:00:00"/>
    <s v="FULL"/>
    <n v="38"/>
    <n v="1"/>
    <s v="Other Managers"/>
    <n v="162323"/>
    <s v="Natalie Schmidt "/>
    <n v="15276"/>
    <s v="Community Pivot Alliance Direc"/>
    <x v="0"/>
    <x v="5"/>
  </r>
  <r>
    <s v="BLU121505"/>
    <n v="30143"/>
    <s v="Amanda"/>
    <s v="Becsi"/>
    <s v="FEMALE"/>
    <s v="ACC147"/>
    <n v="52321"/>
    <s v="Care Coordinator (Community)"/>
    <d v="2004-11-29T00:00:00"/>
    <m/>
    <d v="2020-08-11T00:00:00"/>
    <s v="FULL"/>
    <n v="38"/>
    <n v="1"/>
    <s v="Professionals"/>
    <n v="34729"/>
    <s v="Wendy Russell"/>
    <n v="55340"/>
    <s v="General Manager - ACCS Core Sy"/>
    <x v="0"/>
    <x v="5"/>
  </r>
  <r>
    <s v="BLU178996"/>
    <n v="83741"/>
    <s v="Rachel"/>
    <s v="Spitler"/>
    <s v="FEMALE"/>
    <s v="ACC54"/>
    <n v="53517"/>
    <s v="Communications Manager Community"/>
    <d v="2019-05-28T00:00:00"/>
    <d v="2023-08-01T00:00:00"/>
    <d v="2022-08-02T00:00:00"/>
    <s v="FULL"/>
    <n v="38"/>
    <n v="1"/>
    <s v="Other Managers"/>
    <n v="162323"/>
    <s v="Natalie Schmidt"/>
    <n v="53353"/>
    <s v="Community Pivot Alliance Direc"/>
    <x v="0"/>
    <x v="5"/>
  </r>
  <r>
    <s v="BLU173573"/>
    <n v="74471"/>
    <s v="Peng"/>
    <s v="Zhou"/>
    <s v="MALE"/>
    <s v="ACC36"/>
    <n v="55307"/>
    <s v="Regional Change Lead"/>
    <d v="2018-10-09T00:00:00"/>
    <m/>
    <d v="2022-09-12T00:00:00"/>
    <s v="FULL"/>
    <n v="38"/>
    <n v="1"/>
    <s v="Professionals"/>
    <n v="61157"/>
    <s v="Heather Pedley"/>
    <n v="50612"/>
    <s v="Senior Manager Transformation and 2030"/>
    <x v="0"/>
    <x v="5"/>
  </r>
  <r>
    <s v="BLU194501"/>
    <n v="87837"/>
    <s v="Gregory"/>
    <s v="Dwyer"/>
    <s v="MALE"/>
    <s v="ACC36"/>
    <n v="55258"/>
    <s v="Regional Change Lead"/>
    <d v="2022-08-08T00:00:00"/>
    <m/>
    <d v="2022-08-08T00:00:00"/>
    <s v="FULL"/>
    <n v="38"/>
    <n v="1"/>
    <s v="Professionals"/>
    <n v="61157"/>
    <s v="Heather Pedley"/>
    <n v="50612"/>
    <s v="Senior Manager Transformation and 2030"/>
    <x v="0"/>
    <x v="5"/>
  </r>
  <r>
    <s v="BLU194502"/>
    <n v="87765"/>
    <s v="Simone"/>
    <s v="Wilson"/>
    <s v="FEMALE"/>
    <s v="ACC36"/>
    <n v="55256"/>
    <s v="Regional Change Lead"/>
    <d v="2022-08-08T00:00:00"/>
    <m/>
    <d v="2022-08-08T00:00:00"/>
    <s v="FULL"/>
    <n v="38"/>
    <n v="1"/>
    <s v="Professionals"/>
    <n v="61157"/>
    <s v="Heather Pedley"/>
    <n v="50612"/>
    <s v="Senior Manager Transformation and 2030"/>
    <x v="0"/>
    <x v="5"/>
  </r>
  <r>
    <s v="BLU188755"/>
    <n v="82449"/>
    <s v="Justin"/>
    <s v="Alfredson"/>
    <s v="MALE"/>
    <s v="ACC51"/>
    <n v="48283"/>
    <s v="Business Analyst"/>
    <d v="2021-02-22T00:00:00"/>
    <d v="2023-09-01T00:00:00"/>
    <d v="2022-07-01T00:00:00"/>
    <s v="FULL"/>
    <n v="38"/>
    <n v="1"/>
    <s v="Professionals"/>
    <n v="147094"/>
    <s v="Victoria Innes"/>
    <n v="51680"/>
    <s v="Project Manager Product &amp; Cust"/>
    <x v="0"/>
    <x v="5"/>
  </r>
  <r>
    <s v="BLU161949"/>
    <n v="65686"/>
    <s v="Rebecca"/>
    <s v="Waite"/>
    <s v="FEMALE"/>
    <s v="2030_05"/>
    <n v="55445"/>
    <s v="Dementia Care Manager"/>
    <d v="2015-08-18T00:00:00"/>
    <m/>
    <d v="2023-06-01T00:00:00"/>
    <s v="FULL"/>
    <n v="38"/>
    <n v="1"/>
    <s v="Other Managers"/>
    <n v="162323"/>
    <s v="Sue-Ellen Smith"/>
    <n v="53353"/>
    <s v="Community   "/>
    <x v="0"/>
    <x v="5"/>
  </r>
  <r>
    <s v="BLU186838"/>
    <n v="86902"/>
    <s v="Natasha"/>
    <s v="Chant"/>
    <s v="FEMALE"/>
    <s v="ACC113"/>
    <n v="56577"/>
    <s v="Subject Matter Expert"/>
    <d v="2020-07-27T00:00:00"/>
    <m/>
    <d v="2022-04-19T00:00:00"/>
    <s v="FULL"/>
    <n v="38"/>
    <n v="1"/>
    <s v="Professionals"/>
    <n v="162323"/>
    <s v="Natalie Schmidt"/>
    <n v="53353"/>
    <s v="Community Pivot Alliance Direc"/>
    <x v="0"/>
    <x v="5"/>
  </r>
  <r>
    <s v="BLU197247"/>
    <n v="90018"/>
    <s v="Lea-Anne"/>
    <s v="Tuaoi"/>
    <s v="FEMALE"/>
    <s v="ACC34"/>
    <n v="55261"/>
    <s v="Nurse Practitioner Strategy"/>
    <d v="2023-01-30T00:00:00"/>
    <m/>
    <d v="2023-01-30T00:00:00"/>
    <s v="FULL"/>
    <n v="38"/>
    <n v="1"/>
    <s v="Professionals"/>
    <n v="162323"/>
    <s v="Natalie Schmidt"/>
    <n v="53353"/>
    <s v="Community Pivot Alliance Direc"/>
    <x v="0"/>
    <x v="5"/>
  </r>
  <r>
    <s v="BLU161382"/>
    <n v="65228"/>
    <s v="Jane"/>
    <s v="Anderson"/>
    <s v="FEMALE"/>
    <s v="ACC70"/>
    <n v="55670"/>
    <s v="Telehealth Services Manager"/>
    <d v="2015-06-01T00:00:00"/>
    <m/>
    <d v="2022-10-18T00:00:00"/>
    <s v="FULL"/>
    <n v="38"/>
    <n v="1"/>
    <s v="Other Managers"/>
    <n v="162323"/>
    <s v="Sue-Ellen Smith"/>
    <n v="53353"/>
    <s v="Community   "/>
    <x v="0"/>
    <x v="5"/>
  </r>
  <r>
    <s v="BLU191959"/>
    <n v="86933"/>
    <s v="Anna"/>
    <s v="Cooney"/>
    <s v="FEMALE"/>
    <s v="2030_05"/>
    <n v="54857"/>
    <s v="Project  Manager"/>
    <d v="2021-04-18T00:00:00"/>
    <m/>
    <d v="2022-04-19T00:00:00"/>
    <s v="FULL"/>
    <n v="38"/>
    <n v="1"/>
    <s v="Professionals"/>
    <n v="147094"/>
    <s v="Victoria Innes"/>
    <n v="51680"/>
    <s v="Project Manager Product &amp; Cust"/>
    <x v="0"/>
    <x v="5"/>
  </r>
  <r>
    <s v="BLU191956"/>
    <n v="85437"/>
    <s v="David"/>
    <s v="Curry"/>
    <s v="MALE"/>
    <s v="ACC13"/>
    <n v="54054"/>
    <s v="Program Change Manager"/>
    <d v="2022-01-10T00:00:00"/>
    <m/>
    <d v="2022-01-10T00:00:00"/>
    <s v="FULL"/>
    <n v="38"/>
    <n v="1"/>
    <s v="Other Managers"/>
    <n v="61157"/>
    <s v="Heather Pedley"/>
    <n v="50612"/>
    <s v="Senior Manager Transformation and 2030"/>
    <x v="0"/>
    <x v="5"/>
  </r>
  <r>
    <s v="BLU196356"/>
    <n v="89171"/>
    <s v="Leanne"/>
    <s v="Kingdon"/>
    <s v="FEMALE"/>
    <s v="ACC21"/>
    <n v="55932"/>
    <s v="Project  Manager"/>
    <d v="2022-11-14T00:00:00"/>
    <m/>
    <d v="2022-11-14T00:00:00"/>
    <s v="FULL"/>
    <n v="38"/>
    <n v="1"/>
    <s v="Professionals"/>
    <n v="61157"/>
    <s v="Heather Pedley"/>
    <n v="50612"/>
    <s v="Senior Manager Transformation and 2030"/>
    <x v="0"/>
    <x v="5"/>
  </r>
  <r>
    <s v="BLU192457"/>
    <n v="88421"/>
    <s v="Clare"/>
    <s v="Munden"/>
    <s v="FEMALE"/>
    <s v="ACC13"/>
    <n v="55469"/>
    <s v="Change Manager"/>
    <d v="2022-02-07T00:00:00"/>
    <d v="2023-12-31T00:00:00"/>
    <d v="2023-01-25T00:00:00"/>
    <s v="FULL"/>
    <n v="38"/>
    <n v="1"/>
    <s v="Other Managers"/>
    <n v="162323"/>
    <s v="Natalie Schmidt"/>
    <n v="53353"/>
    <s v="Community Pivot Alliance Direc"/>
    <x v="0"/>
    <x v="5"/>
  </r>
  <r>
    <s v="BLU147094"/>
    <n v="78947"/>
    <s v="Victoria"/>
    <s v="Innes"/>
    <s v="FEMALE"/>
    <s v="ACC21"/>
    <n v="51680"/>
    <s v="Project Manager Product and Cust"/>
    <d v="2019-12-28T00:00:00"/>
    <m/>
    <d v="2019-12-28T00:00:00"/>
    <s v="FULL"/>
    <n v="38"/>
    <n v="1"/>
    <s v="Professionals"/>
    <n v="162323"/>
    <s v="Natalie Schmidt"/>
    <n v="53353"/>
    <s v="Community Pivot Alliance Direc"/>
    <x v="0"/>
    <x v="5"/>
  </r>
  <r>
    <s v="BLU176245"/>
    <n v="75658"/>
    <s v="Lyndsey"/>
    <s v="Hawthorne"/>
    <s v="FEMALE"/>
    <s v="ACC19"/>
    <n v="54160"/>
    <s v="Senior Manager ACCS Service Innovation"/>
    <d v="2019-03-18T00:00:00"/>
    <m/>
    <d v="2022-07-12T00:00:00"/>
    <s v="FULL"/>
    <n v="38"/>
    <n v="1"/>
    <s v="Senior Managers"/>
    <n v="162323"/>
    <s v="Natalie Schmidt"/>
    <n v="53353"/>
    <s v="Community Pivot Alliance Direc"/>
    <x v="0"/>
    <x v="5"/>
  </r>
  <r>
    <s v="BLU123437"/>
    <n v="61157"/>
    <s v="Heather"/>
    <s v="Pedley"/>
    <s v="FEMALE"/>
    <s v="ACC10"/>
    <n v="50612"/>
    <s v="Senior Manager Transformation and 2030"/>
    <d v="2013-01-29T00:00:00"/>
    <m/>
    <d v="2022-05-10T00:00:00"/>
    <s v="FULL"/>
    <n v="38"/>
    <n v="1"/>
    <s v="Senior Managers"/>
    <n v="162323"/>
    <s v="Natalie Schmidt "/>
    <n v="53353"/>
    <s v="Group Executive-ACCS &amp; ARRCS"/>
    <x v="0"/>
    <x v="5"/>
  </r>
  <r>
    <s v="BLU165076"/>
    <n v="85646"/>
    <s v="Anita"/>
    <s v="Pratt"/>
    <s v="FEMALE"/>
    <s v="ACC21"/>
    <n v="54098"/>
    <s v="Project  Manager"/>
    <d v="2022-01-24T00:00:00"/>
    <d v="2024-04-24T00:00:00"/>
    <d v="2022-04-24T00:00:00"/>
    <s v="PART"/>
    <n v="30.4"/>
    <n v="0.79999999999999993"/>
    <s v="Senior Managers"/>
    <n v="162323"/>
    <s v="Natalie Schmidt"/>
    <n v="53353"/>
    <s v="Community Pivot Alliance Direc"/>
    <x v="0"/>
    <x v="5"/>
  </r>
  <r>
    <s v="BLU125828"/>
    <n v="34729"/>
    <s v="Wendy"/>
    <s v="Russell"/>
    <s v="FEMALE"/>
    <s v="ACC162"/>
    <n v="52970"/>
    <s v="Principal Care Governance &amp; Quality Advisor"/>
    <d v="2006-04-18T00:00:00"/>
    <m/>
    <d v="2021-07-01T00:00:00"/>
    <s v="FULL"/>
    <n v="38"/>
    <n v="1"/>
    <m/>
    <n v="162323"/>
    <s v="Natalie Schmidt"/>
    <n v="53353"/>
    <s v="Community Pivot Alliance Direc"/>
    <x v="0"/>
    <x v="5"/>
  </r>
  <r>
    <s v="BLU167544"/>
    <n v="70297"/>
    <s v="Christine"/>
    <s v="Pennell"/>
    <s v="FEMALE"/>
    <s v="ACC86"/>
    <n v="49940"/>
    <s v="Knowledge Management and Cont Spec"/>
    <d v="2017-06-12T00:00:00"/>
    <m/>
    <d v="2023-03-15T00:00:00"/>
    <s v="PART"/>
    <n v="30"/>
    <n v="0.78947368421052633"/>
    <s v="Professionals"/>
    <n v="160875"/>
    <s v="Brendan Astill"/>
    <n v="51067"/>
    <s v="Manager Contact Centre Chg&amp;Exp"/>
    <x v="0"/>
    <x v="6"/>
  </r>
  <r>
    <s v="BLU184628"/>
    <n v="79774"/>
    <s v="Rebecca"/>
    <s v="Winstanley"/>
    <s v="FEMALE"/>
    <s v="ACC110"/>
    <n v="56323"/>
    <s v="Senior Customer Service Representative"/>
    <d v="2020-04-20T00:00:00"/>
    <m/>
    <d v="2023-01-10T00:00:00"/>
    <s v="FULL"/>
    <n v="38"/>
    <n v="1"/>
    <s v="Clerical &amp; Admin"/>
    <n v="195177"/>
    <s v="Bree Gray"/>
    <n v="51582"/>
    <s v="Customer Service Centre TL"/>
    <x v="0"/>
    <x v="6"/>
  </r>
  <r>
    <s v="BLU168409"/>
    <n v="71076"/>
    <s v="Miranda"/>
    <s v="Clarke"/>
    <s v="FEMALE"/>
    <s v="ACC104"/>
    <n v="47914"/>
    <s v="My Aged Care Systerms Specialist"/>
    <d v="2017-09-11T00:00:00"/>
    <m/>
    <d v="2021-12-13T00:00:00"/>
    <s v="FULL"/>
    <n v="38"/>
    <n v="1"/>
    <s v="Clerical &amp; Admin"/>
    <n v="160875"/>
    <s v="Brendan Astill"/>
    <n v="51067"/>
    <s v="Manager Contact Centre Chg&amp;Exp"/>
    <x v="0"/>
    <x v="6"/>
  </r>
  <r>
    <s v="BLU147276"/>
    <n v="51363"/>
    <s v="Deborah"/>
    <s v="Starks"/>
    <s v="FEMALE"/>
    <s v="ACC110"/>
    <n v="52975"/>
    <s v="Senior Customer Service Representative"/>
    <d v="2010-11-22T00:00:00"/>
    <m/>
    <d v="2021-02-09T00:00:00"/>
    <s v="FULL"/>
    <n v="38"/>
    <n v="1"/>
    <s v="Clerical &amp; Admin"/>
    <n v="188848"/>
    <s v="Jason Davis"/>
    <n v="51081"/>
    <s v="Manager - Contact Centre"/>
    <x v="0"/>
    <x v="6"/>
  </r>
  <r>
    <s v="BLU149831"/>
    <n v="53652"/>
    <s v="Lindy"/>
    <s v="Noonan"/>
    <s v="FEMALE"/>
    <s v="ACC110"/>
    <n v="51784"/>
    <s v="Senior Customer Service Representative"/>
    <d v="2011-07-26T00:00:00"/>
    <m/>
    <d v="2020-02-25T00:00:00"/>
    <s v="PART"/>
    <n v="34.4"/>
    <n v="0.90526315789473677"/>
    <s v="Clerical &amp; Admin"/>
    <n v="188848"/>
    <s v="Jason Davis"/>
    <n v="51081"/>
    <s v="Manager - Contact Centre"/>
    <x v="0"/>
    <x v="6"/>
  </r>
  <r>
    <s v="BLU160656"/>
    <n v="64297"/>
    <s v="Christina"/>
    <s v="Eiao"/>
    <s v="FEMALE"/>
    <s v="ACC80"/>
    <n v="49061"/>
    <s v="Customer Service Centre Team Leader"/>
    <d v="2015-02-02T00:00:00"/>
    <m/>
    <d v="2022-02-14T00:00:00"/>
    <s v="FULL"/>
    <n v="38"/>
    <n v="1"/>
    <s v="Clerical &amp; Admin"/>
    <n v="188848"/>
    <s v="Jason Davis"/>
    <n v="51081"/>
    <s v="Manager - Contact Centre"/>
    <x v="0"/>
    <x v="6"/>
  </r>
  <r>
    <s v="BLU160593"/>
    <n v="64274"/>
    <s v="Melanie"/>
    <s v="Langridge"/>
    <s v="FEMALE"/>
    <s v="ACC80"/>
    <n v="41756"/>
    <s v="Customer Service Centre Team Leader"/>
    <d v="2015-01-21T00:00:00"/>
    <m/>
    <d v="2020-12-03T00:00:00"/>
    <s v="FULL"/>
    <n v="38"/>
    <n v="1"/>
    <s v="Clerical &amp; Admin"/>
    <n v="188848"/>
    <s v="Jason Davis"/>
    <n v="51081"/>
    <s v="Manager - Contact Centre"/>
    <x v="0"/>
    <x v="6"/>
  </r>
  <r>
    <s v="BLU162145"/>
    <n v="65735"/>
    <s v="Tenelle"/>
    <s v="Lutherborrow"/>
    <s v="FEMALE"/>
    <s v="ACC80"/>
    <n v="45443"/>
    <s v="Customer Service Centre Team Leader"/>
    <d v="2015-08-24T00:00:00"/>
    <m/>
    <d v="2019-04-15T00:00:00"/>
    <s v="FULL"/>
    <n v="38"/>
    <n v="1"/>
    <s v="Clerical &amp; Admin"/>
    <n v="188848"/>
    <s v="Jason Davis"/>
    <n v="51081"/>
    <s v="Manager - Contact Centre"/>
    <x v="0"/>
    <x v="6"/>
  </r>
  <r>
    <s v="BLU195177"/>
    <n v="88178"/>
    <s v="Bree"/>
    <s v="Gray"/>
    <s v="FEMALE"/>
    <s v="ACC80"/>
    <n v="51582"/>
    <s v="Customer Service Centre Team Leader"/>
    <d v="2022-08-29T00:00:00"/>
    <m/>
    <d v="2022-08-29T00:00:00"/>
    <s v="FULL"/>
    <n v="38"/>
    <n v="1"/>
    <s v="Clerical &amp; Admin"/>
    <n v="188848"/>
    <s v="Jason Davis"/>
    <n v="51081"/>
    <s v="Manager - Contact Centre"/>
    <x v="0"/>
    <x v="6"/>
  </r>
  <r>
    <s v="BLU112337"/>
    <n v="18857"/>
    <s v="Julie"/>
    <s v="Mason"/>
    <s v="FEMALE"/>
    <s v="ACC80"/>
    <n v="45499"/>
    <s v="Customer Service Centre Team Leader"/>
    <d v="1980-03-12T00:00:00"/>
    <m/>
    <d v="2019-01-01T00:00:00"/>
    <s v="FULL"/>
    <n v="38"/>
    <n v="1"/>
    <s v="Clerical &amp; Admin"/>
    <n v="188848"/>
    <s v="Jason Davis"/>
    <n v="51081"/>
    <s v="Manager - Contact Centre"/>
    <x v="0"/>
    <x v="6"/>
  </r>
  <r>
    <s v="BLU191454"/>
    <n v="84909"/>
    <s v="Robert"/>
    <s v="Bostock"/>
    <s v="MALE"/>
    <s v="ACC93"/>
    <n v="53863"/>
    <s v="Residential Services Team Leader"/>
    <d v="2021-11-29T00:00:00"/>
    <m/>
    <d v="2021-11-29T00:00:00"/>
    <s v="FULL"/>
    <n v="38"/>
    <n v="1"/>
    <s v="Clerical &amp; Admin"/>
    <n v="188848"/>
    <s v="Jason Davis"/>
    <n v="51081"/>
    <s v="Manager - Contact Centre"/>
    <x v="0"/>
    <x v="6"/>
  </r>
  <r>
    <s v="BLU195672"/>
    <n v="88624"/>
    <s v="Maria"/>
    <s v="Banfield"/>
    <s v="FEMALE"/>
    <s v="ACC22"/>
    <n v="55472"/>
    <s v="Training Specialist"/>
    <d v="2022-10-04T00:00:00"/>
    <m/>
    <d v="2022-10-04T00:00:00"/>
    <s v="FULL"/>
    <n v="38"/>
    <n v="1"/>
    <s v="Professionals"/>
    <n v="160875"/>
    <s v="Brendan Astill"/>
    <n v="51067"/>
    <s v="Manager Contact Centre Chg&amp;Exp"/>
    <x v="0"/>
    <x v="6"/>
  </r>
  <r>
    <s v="BLU164900"/>
    <n v="68073"/>
    <s v="Penni"/>
    <s v="Dring"/>
    <s v="FEMALE"/>
    <s v="ACC22"/>
    <n v="51102"/>
    <s v="Contact Centre Training Specialist"/>
    <d v="2016-08-16T00:00:00"/>
    <m/>
    <d v="2019-11-20T00:00:00"/>
    <s v="FULL"/>
    <n v="38"/>
    <n v="1"/>
    <s v="Professionals"/>
    <n v="160875"/>
    <s v="Brendan Astill"/>
    <n v="51067"/>
    <s v="Manager Contact Centre Chg&amp;Exp"/>
    <x v="0"/>
    <x v="6"/>
  </r>
  <r>
    <s v="BLU124838"/>
    <n v="53486"/>
    <s v="Susan"/>
    <s v="Gossage"/>
    <s v="FEMALE"/>
    <s v="ACC59"/>
    <n v="51364"/>
    <s v="Project Change and Delivery Specialist"/>
    <d v="2011-07-06T00:00:00"/>
    <m/>
    <d v="2021-11-15T00:00:00"/>
    <s v="PART"/>
    <n v="32"/>
    <n v="0.84210526315789469"/>
    <s v="Other Managers"/>
    <n v="160875"/>
    <s v="Brendan Astill"/>
    <n v="51067"/>
    <s v="Manager Contact Centre Chg&amp;Exp"/>
    <x v="0"/>
    <x v="6"/>
  </r>
  <r>
    <s v="BLU192873"/>
    <n v="86272"/>
    <s v="Shubham"/>
    <s v="Koli"/>
    <s v="MALE"/>
    <s v="ACC92"/>
    <n v="53966"/>
    <s v="Reporting  Analyst"/>
    <d v="2022-03-14T00:00:00"/>
    <d v="2025-10-27T00:00:00"/>
    <d v="2022-03-14T00:00:00"/>
    <s v="FULL"/>
    <n v="38"/>
    <n v="1"/>
    <s v="Professionals"/>
    <n v="160875"/>
    <s v="Brendan Astill"/>
    <n v="51067"/>
    <s v="Manager Contact Centre Chg&amp;Exp"/>
    <x v="0"/>
    <x v="6"/>
  </r>
  <r>
    <s v="BLU112658"/>
    <n v="19178"/>
    <s v="Kim"/>
    <s v="Learmonth"/>
    <s v="FEMALE"/>
    <s v="ACC35"/>
    <n v="57505"/>
    <s v="Clinical Educator"/>
    <d v="2000-05-10T00:00:00"/>
    <m/>
    <d v="2023-06-01T00:00:00"/>
    <s v="FULL"/>
    <n v="38"/>
    <n v="1"/>
    <s v="Professionals"/>
    <m/>
    <m/>
    <m/>
    <m/>
    <x v="0"/>
    <x v="6"/>
  </r>
  <r>
    <s v="BLU160875"/>
    <n v="64652"/>
    <s v="Brendan"/>
    <s v="Astill"/>
    <s v="MALE"/>
    <s v="ACC31"/>
    <n v="51067"/>
    <s v="Manager Contact Centre Chg and Exp"/>
    <d v="2015-03-04T00:00:00"/>
    <m/>
    <d v="2022-10-24T00:00:00"/>
    <s v="FULL"/>
    <n v="38"/>
    <n v="1"/>
    <s v="Other Managers"/>
    <n v="80057"/>
    <s v="Francis Mcquillan"/>
    <n v="54188"/>
    <s v="Head of Res Perf &amp; Enablement"/>
    <x v="0"/>
    <x v="6"/>
  </r>
  <r>
    <s v="BLU188848"/>
    <n v="82609"/>
    <s v="Jason"/>
    <s v="Davis"/>
    <s v="MALE"/>
    <s v="ACC31"/>
    <n v="51081"/>
    <s v="Manager Contact Centre"/>
    <d v="2021-04-06T00:00:00"/>
    <m/>
    <d v="2022-11-07T00:00:00"/>
    <s v="FULL"/>
    <n v="38"/>
    <n v="1"/>
    <s v="Other Managers"/>
    <n v="80057"/>
    <s v="Francis Mcquillan"/>
    <n v="54188"/>
    <s v="Head of Res Perf &amp; Enablement"/>
    <x v="0"/>
    <x v="6"/>
  </r>
  <r>
    <s v="BLU148695"/>
    <n v="52742"/>
    <s v="Troy"/>
    <s v="Poland"/>
    <s v="MALE"/>
    <s v="ACC106"/>
    <n v="54330"/>
    <s v="Production Coordinator"/>
    <d v="2011-04-19T00:00:00"/>
    <m/>
    <d v="2022-07-18T00:00:00"/>
    <s v="FULL"/>
    <n v="38"/>
    <n v="1"/>
    <s v="Clerical &amp; Admin"/>
    <n v="184724"/>
    <s v="Craig Petrie"/>
    <n v="39944"/>
    <s v="Central Kitchen Manager"/>
    <x v="0"/>
    <x v="7"/>
  </r>
  <r>
    <s v="BLU142033"/>
    <n v="46426"/>
    <s v="Nicole"/>
    <s v="Bateman"/>
    <s v="FEMALE"/>
    <s v="ACC76"/>
    <n v="35537"/>
    <s v="Chief Cook"/>
    <d v="2009-06-29T00:00:00"/>
    <m/>
    <d v="2023-01-17T00:00:00"/>
    <s v="FULL"/>
    <n v="38"/>
    <n v="1"/>
    <s v="Technicians And Trades Workers"/>
    <n v="152194"/>
    <s v="Reggie Libo-On"/>
    <n v="52101"/>
    <s v="Residential Service Manager"/>
    <x v="0"/>
    <x v="7"/>
  </r>
  <r>
    <s v="BLU196781"/>
    <n v="89516"/>
    <s v="Daniel"/>
    <s v="King"/>
    <s v="MALE"/>
    <s v="ACC76"/>
    <n v="56138"/>
    <s v="Chief Cook"/>
    <d v="2022-12-12T00:00:00"/>
    <m/>
    <d v="2022-12-12T00:00:00"/>
    <s v="FULL"/>
    <n v="38"/>
    <n v="1"/>
    <s v="Technicians And Trades Workers"/>
    <n v="195813"/>
    <s v="Stephen Leggett"/>
    <n v="18272"/>
    <s v="Residential Service Manager"/>
    <x v="0"/>
    <x v="7"/>
  </r>
  <r>
    <s v="BLU191517"/>
    <n v="84958"/>
    <s v="Prabhat"/>
    <s v="Pokhrel"/>
    <s v="MALE"/>
    <s v="ACC84"/>
    <n v="56050"/>
    <s v="Head Chef"/>
    <d v="2021-12-15T00:00:00"/>
    <m/>
    <d v="2022-11-29T00:00:00"/>
    <s v="FULL"/>
    <n v="38"/>
    <n v="1"/>
    <s v="Technicians And Trades Workers"/>
    <n v="184680"/>
    <s v="Amrita Thapaliya"/>
    <n v="52185"/>
    <s v="Residential Service Manager"/>
    <x v="0"/>
    <x v="7"/>
  </r>
  <r>
    <s v="BLU103675"/>
    <n v="80568"/>
    <s v="Mark"/>
    <s v="Gronfors"/>
    <s v="MALE"/>
    <s v="ACC55"/>
    <n v="52307"/>
    <s v="Hospitality Supervisor"/>
    <d v="2020-07-28T00:00:00"/>
    <m/>
    <d v="2022-11-29T00:00:00"/>
    <s v="FULL"/>
    <n v="38"/>
    <n v="1"/>
    <s v="Community &amp; Persnal Svcs"/>
    <n v="172360"/>
    <s v="Jayne Smith"/>
    <n v="52018"/>
    <s v="Residential Service Manager"/>
    <x v="0"/>
    <x v="7"/>
  </r>
  <r>
    <s v="BLU184724"/>
    <n v="79820"/>
    <s v="Craig"/>
    <s v="Petrie"/>
    <s v="MALE"/>
    <s v="ACC75"/>
    <n v="39944"/>
    <s v="Central Kitchen Manager"/>
    <d v="2020-04-27T00:00:00"/>
    <m/>
    <d v="2022-02-25T00:00:00"/>
    <s v="FULL"/>
    <n v="38"/>
    <n v="1"/>
    <s v="Other Managers"/>
    <n v="169943"/>
    <s v="Craig Haggart"/>
    <n v="38493"/>
    <s v="Hospitality Partner"/>
    <x v="0"/>
    <x v="7"/>
  </r>
  <r>
    <s v="BLU198625"/>
    <n v="91031"/>
    <s v="Periachi"/>
    <s v="Krishnamurthi"/>
    <s v="FEMALE"/>
    <s v="ACC44"/>
    <n v="47911"/>
    <s v="Hospitality Team Leader"/>
    <d v="2023-04-11T00:00:00"/>
    <m/>
    <d v="2023-04-11T00:00:00"/>
    <s v="FULL"/>
    <n v="38"/>
    <n v="1"/>
    <s v="Community &amp; Persnal Svcs"/>
    <n v="185338"/>
    <s v="Jasleen Kaur"/>
    <n v="37371"/>
    <s v="Residential Service Manager"/>
    <x v="0"/>
    <x v="7"/>
  </r>
  <r>
    <s v="BLU198075"/>
    <n v="90531"/>
    <s v="Beth"/>
    <s v="Conway"/>
    <s v="FEMALE"/>
    <s v="ACC44"/>
    <n v="56763"/>
    <s v="Hospitality Team Leader"/>
    <d v="2023-02-27T00:00:00"/>
    <m/>
    <d v="2023-02-27T00:00:00"/>
    <s v="FULL"/>
    <n v="38"/>
    <n v="1"/>
    <s v="Community &amp; Persnal Svcs"/>
    <n v="104014"/>
    <s v="Marie Hill"/>
    <n v="36550"/>
    <s v="Residential Service Manager"/>
    <x v="0"/>
    <x v="7"/>
  </r>
  <r>
    <s v="BLU191448"/>
    <n v="84943"/>
    <s v="Brandon"/>
    <s v="Pineda Acosta"/>
    <s v="MALE"/>
    <s v="ACC107"/>
    <n v="53723"/>
    <s v="Project Support Officer"/>
    <d v="2021-11-22T00:00:00"/>
    <d v="2023-11-30T00:00:00"/>
    <d v="2022-11-25T00:00:00"/>
    <s v="FULL"/>
    <n v="38"/>
    <n v="1"/>
    <s v="Clerical &amp; Admin"/>
    <n v="169943"/>
    <s v="Craig Haggart"/>
    <n v="38493"/>
    <s v="Hospitality Partner"/>
    <x v="0"/>
    <x v="7"/>
  </r>
  <r>
    <s v="BLU198806"/>
    <n v="91289"/>
    <s v="Davina"/>
    <s v="Morgan"/>
    <s v="FEMALE"/>
    <s v="ACC44"/>
    <n v="57292"/>
    <s v="Hospitality Team Leader"/>
    <d v="2023-04-28T00:00:00"/>
    <m/>
    <d v="2023-04-28T00:00:00"/>
    <s v="FULL"/>
    <n v="38"/>
    <n v="1"/>
    <s v="Community &amp; Persnal Svcs"/>
    <n v="159273"/>
    <s v="Jenna Martin"/>
    <n v="52240"/>
    <s v="Residential Service Manager"/>
    <x v="0"/>
    <x v="7"/>
  </r>
  <r>
    <s v="BLU157431"/>
    <n v="90997"/>
    <s v="Petar"/>
    <s v="Despic"/>
    <s v="MALE"/>
    <s v="ACC44"/>
    <n v="54389"/>
    <s v="Hospitality Team Leader"/>
    <d v="2023-04-03T00:00:00"/>
    <m/>
    <d v="2023-04-03T00:00:00"/>
    <s v="FULL"/>
    <n v="38"/>
    <n v="1"/>
    <s v="Community &amp; Persnal Svcs"/>
    <n v="197835"/>
    <s v="Carolyn Provenzano"/>
    <n v="52065"/>
    <s v="Residential Service Manager"/>
    <x v="0"/>
    <x v="7"/>
  </r>
  <r>
    <s v="BLU193768"/>
    <n v="87046"/>
    <s v="Mark"/>
    <s v="Prasse"/>
    <s v="MALE"/>
    <s v="ACC71"/>
    <n v="54937"/>
    <s v="Trainer"/>
    <d v="2022-05-30T00:00:00"/>
    <m/>
    <d v="2022-05-30T00:00:00"/>
    <s v="FULL"/>
    <n v="38"/>
    <n v="1"/>
    <s v="Professionals"/>
    <n v="169943"/>
    <s v="Craig Haggart"/>
    <n v="38493"/>
    <s v="Hospitality Partner"/>
    <x v="0"/>
    <x v="7"/>
  </r>
  <r>
    <s v="BLU194675"/>
    <n v="87799"/>
    <s v="Scott"/>
    <s v="Carlson"/>
    <s v="MALE"/>
    <s v="ACC71"/>
    <n v="53631"/>
    <s v="Trainer"/>
    <d v="2022-07-25T00:00:00"/>
    <d v="2023-08-31T00:00:00"/>
    <d v="2022-07-25T00:00:00"/>
    <s v="FULL"/>
    <n v="38"/>
    <n v="1"/>
    <s v="Professionals"/>
    <n v="169943"/>
    <s v="Craig Haggart"/>
    <n v="38493"/>
    <s v="Hospitality Partner"/>
    <x v="0"/>
    <x v="7"/>
  </r>
  <r>
    <s v="BLU154826"/>
    <n v="58999"/>
    <s v="Andreas"/>
    <s v="Antl"/>
    <s v="MALE"/>
    <s v="ACC85"/>
    <n v="43732"/>
    <s v="Hospitality Support Officer"/>
    <d v="2010-02-22T00:00:00"/>
    <m/>
    <d v="2023-05-15T00:00:00"/>
    <s v="FULL"/>
    <n v="38"/>
    <n v="1"/>
    <s v="Community &amp; Persnal Svcs"/>
    <n v="169943"/>
    <s v="Craig Haggart"/>
    <n v="38493"/>
    <s v="Hospitality Partner"/>
    <x v="0"/>
    <x v="7"/>
  </r>
  <r>
    <s v="BLU144265"/>
    <n v="48519"/>
    <s v="Benita"/>
    <s v="Nielsen"/>
    <s v="FEMALE"/>
    <s v="ACC88"/>
    <n v="41240"/>
    <s v="Residential Management Support Partner"/>
    <d v="2010-02-15T00:00:00"/>
    <m/>
    <d v="2023-06-01T00:00:00"/>
    <s v="FULL"/>
    <n v="38"/>
    <n v="1"/>
    <s v="Clerical &amp; Admin"/>
    <n v="100532"/>
    <s v="Donna Clift"/>
    <n v="35748"/>
    <s v="General Manager - Residential"/>
    <x v="0"/>
    <x v="7"/>
  </r>
  <r>
    <s v="BLU184758"/>
    <n v="79854"/>
    <s v="Ian"/>
    <s v="Smart"/>
    <s v="MALE"/>
    <s v="ACC85"/>
    <n v="36239"/>
    <s v="Hospitality Support Officer"/>
    <d v="2020-05-25T00:00:00"/>
    <m/>
    <d v="2021-11-30T00:00:00"/>
    <s v="FULL"/>
    <n v="38"/>
    <n v="1"/>
    <s v="Community &amp; Persnal Svcs"/>
    <n v="169943"/>
    <s v="Craig Haggart"/>
    <n v="38493"/>
    <s v="Hospitality Partner"/>
    <x v="0"/>
    <x v="7"/>
  </r>
  <r>
    <s v="BLU191048"/>
    <n v="84468"/>
    <s v="Kristen"/>
    <s v="Williams"/>
    <s v="FEMALE"/>
    <s v="DT42"/>
    <n v="57245"/>
    <s v="Project Officer"/>
    <d v="2021-10-18T00:00:00"/>
    <d v="2024-02-16T00:00:00"/>
    <d v="2023-04-24T00:00:00"/>
    <s v="FULL"/>
    <n v="38"/>
    <n v="1"/>
    <s v="Clerical &amp; Admin"/>
    <n v="169943"/>
    <s v="Craig Haggart"/>
    <n v="38493"/>
    <s v="Hospitality Partner"/>
    <x v="0"/>
    <x v="7"/>
  </r>
  <r>
    <s v="BLU152551"/>
    <n v="56611"/>
    <s v="Shane"/>
    <s v="Burgess"/>
    <s v="MALE"/>
    <s v="ACC85"/>
    <n v="40319"/>
    <s v="Hospitality Support Officer"/>
    <d v="2012-05-08T00:00:00"/>
    <m/>
    <d v="2021-11-30T00:00:00"/>
    <s v="FULL"/>
    <n v="38"/>
    <n v="1"/>
    <s v="Community &amp; Persnal Svcs"/>
    <n v="169943"/>
    <s v="Craig Haggart"/>
    <n v="38493"/>
    <s v="Hospitality Partner"/>
    <x v="0"/>
    <x v="7"/>
  </r>
  <r>
    <s v="BLU197115"/>
    <n v="89752"/>
    <s v="Leanne"/>
    <s v="Knox"/>
    <s v="FEMALE"/>
    <s v="ACC141"/>
    <n v="57301"/>
    <s v="Training Lead"/>
    <d v="2023-01-09T00:00:00"/>
    <d v="2024-02-16T00:00:00"/>
    <d v="2023-04-24T00:00:00"/>
    <s v="FULL"/>
    <n v="38"/>
    <n v="1"/>
    <s v="Professionals"/>
    <n v="169943"/>
    <s v="Craig Haggart"/>
    <n v="38493"/>
    <s v="Hospitality Partner"/>
    <x v="0"/>
    <x v="7"/>
  </r>
  <r>
    <s v="BLU173143"/>
    <n v="74288"/>
    <s v="Lisa"/>
    <s v="Davies"/>
    <s v="FEMALE"/>
    <s v="DT42"/>
    <n v="50278"/>
    <s v="Project Officer"/>
    <d v="2017-08-01T00:00:00"/>
    <d v="2023-08-28T00:00:00"/>
    <d v="2023-02-28T00:00:00"/>
    <s v="FULL"/>
    <n v="38"/>
    <n v="1"/>
    <s v="Clerical &amp; Admin"/>
    <n v="194388"/>
    <s v="Kim Ryall-Manley"/>
    <n v="55168"/>
    <s v="Clinical Project Lead"/>
    <x v="0"/>
    <x v="7"/>
  </r>
  <r>
    <s v="BLU193447"/>
    <n v="86809"/>
    <s v="Arnold"/>
    <s v="De Jong"/>
    <s v="MALE"/>
    <s v="ACC61"/>
    <n v="48755"/>
    <s v="Hospitality Project Officer"/>
    <d v="2022-04-26T00:00:00"/>
    <d v="2024-02-16T00:00:00"/>
    <d v="2022-04-26T00:00:00"/>
    <s v="FULL"/>
    <n v="38"/>
    <n v="1"/>
    <s v="Clerical &amp; Admin"/>
    <n v="169943"/>
    <s v="Craig Haggart"/>
    <n v="38493"/>
    <s v="Hospitality Partner"/>
    <x v="0"/>
    <x v="7"/>
  </r>
  <r>
    <s v="BLU198551"/>
    <n v="91015"/>
    <s v="Nicole"/>
    <s v="Doyle"/>
    <s v="FEMALE"/>
    <s v="ACC52"/>
    <n v="57094"/>
    <s v="Business Readiness Lead"/>
    <d v="2023-04-17T00:00:00"/>
    <m/>
    <d v="2023-04-17T00:00:00"/>
    <s v="FULL"/>
    <n v="38"/>
    <n v="1"/>
    <s v="Professionals"/>
    <n v="169943"/>
    <s v="Craig Haggart"/>
    <n v="38493"/>
    <s v="Hospitality Partner"/>
    <x v="0"/>
    <x v="7"/>
  </r>
  <r>
    <s v="BLU190854"/>
    <n v="84304"/>
    <s v="Trevor"/>
    <s v="White"/>
    <s v="MALE"/>
    <s v="ACC85"/>
    <n v="53721"/>
    <s v="Hospitality Support Officer"/>
    <d v="2021-10-04T00:00:00"/>
    <m/>
    <d v="2023-05-15T00:00:00"/>
    <s v="FULL"/>
    <n v="38"/>
    <n v="1"/>
    <s v="Community &amp; Persnal Svcs"/>
    <n v="169943"/>
    <s v="Craig Haggart"/>
    <n v="38493"/>
    <s v="Hospitality Partner"/>
    <x v="0"/>
    <x v="7"/>
  </r>
  <r>
    <s v="BLU156579"/>
    <n v="82846"/>
    <s v="Jennifer"/>
    <s v="Fisher"/>
    <s v="FEMALE"/>
    <s v="ACC147"/>
    <n v="53075"/>
    <s v="Care Coordinator"/>
    <d v="2021-03-23T00:00:00"/>
    <m/>
    <d v="2021-03-23T00:00:00"/>
    <s v="PART"/>
    <n v="30"/>
    <n v="0.78947368421052633"/>
    <s v="Professionals"/>
    <n v="103182"/>
    <s v="Catherine Sherlock"/>
    <n v="52091"/>
    <s v="Residential Service Manager"/>
    <x v="0"/>
    <x v="7"/>
  </r>
  <r>
    <s v="BLU189627"/>
    <n v="83273"/>
    <s v="Sandhya"/>
    <s v="Rajan"/>
    <s v="FEMALE"/>
    <s v="ACC147"/>
    <n v="53307"/>
    <s v="Care Coordinator"/>
    <d v="2021-06-21T00:00:00"/>
    <m/>
    <d v="2021-06-21T00:00:00"/>
    <s v="FULL"/>
    <n v="38"/>
    <n v="1"/>
    <s v="Professionals"/>
    <n v="190008"/>
    <s v="Diwas Bhandari"/>
    <n v="50707"/>
    <s v="Care Manager"/>
    <x v="0"/>
    <x v="7"/>
  </r>
  <r>
    <s v="BLU187187"/>
    <n v="81247"/>
    <s v="Clare"/>
    <s v="Vincent"/>
    <s v="FEMALE"/>
    <s v="ACC147"/>
    <n v="52181"/>
    <s v="Care Coordinator"/>
    <d v="2020-10-28T00:00:00"/>
    <m/>
    <d v="2022-06-14T00:00:00"/>
    <s v="FULL"/>
    <n v="38"/>
    <n v="1"/>
    <s v="Professionals"/>
    <n v="85635"/>
    <s v="Heather Walford-Petersen"/>
    <n v="56627"/>
    <s v="Residential Services Partner"/>
    <x v="0"/>
    <x v="7"/>
  </r>
  <r>
    <s v="BLU192036"/>
    <n v="85527"/>
    <s v="Krisha"/>
    <s v="Mishra"/>
    <s v="FEMALE"/>
    <s v="ACC147"/>
    <n v="52509"/>
    <s v="Care Coordinator"/>
    <d v="2022-01-11T00:00:00"/>
    <m/>
    <d v="2023-04-04T00:00:00"/>
    <s v="FULL"/>
    <n v="38"/>
    <n v="1"/>
    <s v="Professionals"/>
    <n v="162215"/>
    <s v="Lesley Grant"/>
    <n v="50054"/>
    <s v="Residential Service Manager"/>
    <x v="0"/>
    <x v="7"/>
  </r>
  <r>
    <s v="BLU166581"/>
    <n v="90438"/>
    <s v="Sukhdeep"/>
    <s v="Jammu"/>
    <s v="FEMALE"/>
    <s v="ACC147"/>
    <n v="56722"/>
    <s v="Care Coordinator"/>
    <d v="2023-02-28T00:00:00"/>
    <m/>
    <d v="2023-02-28T00:00:00"/>
    <s v="FULL"/>
    <n v="38"/>
    <n v="1"/>
    <s v="Professionals"/>
    <n v="161702"/>
    <s v="Realyn Cho"/>
    <n v="24134"/>
    <s v="Residential Service Manager"/>
    <x v="0"/>
    <x v="7"/>
  </r>
  <r>
    <s v="BLU171200"/>
    <n v="73584"/>
    <s v="Amelia-Jane"/>
    <s v="Stephenson"/>
    <s v="FEMALE"/>
    <s v="ACC147"/>
    <n v="35578"/>
    <s v="Care Coordinator"/>
    <d v="2018-06-26T00:00:00"/>
    <m/>
    <d v="2022-05-03T00:00:00"/>
    <s v="FULL"/>
    <n v="38"/>
    <n v="1"/>
    <s v="Professionals"/>
    <n v="198331"/>
    <s v="Samantha Symes"/>
    <n v="56969"/>
    <s v="Residential Service Manager"/>
    <x v="0"/>
    <x v="7"/>
  </r>
  <r>
    <s v="BLU189468"/>
    <n v="83345"/>
    <s v="Daisy"/>
    <s v="Setia"/>
    <s v="FEMALE"/>
    <s v="ACC147"/>
    <n v="50191"/>
    <s v="Care Coordinator"/>
    <d v="2022-10-26T00:00:00"/>
    <m/>
    <d v="2022-10-26T00:00:00"/>
    <s v="FULL"/>
    <n v="38"/>
    <n v="1"/>
    <s v="Professionals"/>
    <n v="195813"/>
    <s v="Stephen Leggett"/>
    <n v="18272"/>
    <s v="Residential Service Manager"/>
    <x v="0"/>
    <x v="7"/>
  </r>
  <r>
    <s v="BLU187830"/>
    <n v="81689"/>
    <s v="Joanna"/>
    <s v="Mulley"/>
    <s v="FEMALE"/>
    <s v="ACC73"/>
    <n v="55835"/>
    <s v="Workforce Management Specialist"/>
    <d v="2020-12-07T00:00:00"/>
    <m/>
    <d v="2022-11-01T00:00:00"/>
    <s v="FULL"/>
    <n v="38"/>
    <n v="1"/>
    <s v="Professionals"/>
    <n v="80057"/>
    <s v="Francis Mcquillan"/>
    <n v="54188"/>
    <s v="Head of Res Perf &amp; Enablement"/>
    <x v="0"/>
    <x v="7"/>
  </r>
  <r>
    <s v="BLU193724"/>
    <n v="87052"/>
    <s v="Divya"/>
    <s v="Rose"/>
    <s v="FEMALE"/>
    <s v="ACC74"/>
    <n v="53239"/>
    <s v="Care Coordinator"/>
    <d v="2022-05-16T00:00:00"/>
    <m/>
    <d v="2022-05-16T00:00:00"/>
    <s v="PART"/>
    <n v="22.5"/>
    <n v="0.59210526315789469"/>
    <s v="Professionals"/>
    <n v="83115"/>
    <s v="Reji Chacko Vithayathil "/>
    <n v="46331"/>
    <s v="Residential Service Manager"/>
    <x v="0"/>
    <x v="7"/>
  </r>
  <r>
    <s v="BLU135339"/>
    <n v="90972"/>
    <s v="Genai"/>
    <s v="Olsen"/>
    <s v="FEMALE"/>
    <s v="ACC90"/>
    <n v="57249"/>
    <s v="Quality Compliance Support Officer"/>
    <d v="2023-03-30T00:00:00"/>
    <m/>
    <d v="2023-05-02T00:00:00"/>
    <s v="FULL"/>
    <n v="38"/>
    <n v="1"/>
    <s v="Clerical &amp; Admin"/>
    <n v="159273"/>
    <s v="Jenna Martin"/>
    <n v="52240"/>
    <s v="Residential Service Manager"/>
    <x v="0"/>
    <x v="7"/>
  </r>
  <r>
    <s v="BLU193606"/>
    <n v="86954"/>
    <s v="Beenu"/>
    <s v="Sharma Nepal Adhikari"/>
    <s v="FEMALE"/>
    <s v="ACC74"/>
    <n v="54884"/>
    <s v="Care Coordinator"/>
    <d v="2022-05-04T00:00:00"/>
    <m/>
    <d v="2022-05-04T00:00:00"/>
    <s v="FULL"/>
    <n v="38"/>
    <n v="1"/>
    <s v="Professionals"/>
    <n v="185338"/>
    <s v="Jasleen Kaur"/>
    <n v="37371"/>
    <s v="Residential Service Manager"/>
    <x v="0"/>
    <x v="7"/>
  </r>
  <r>
    <s v="BLU194074"/>
    <n v="87350"/>
    <s v="Nitika"/>
    <s v="Kaushik"/>
    <s v="FEMALE"/>
    <s v="ACC74"/>
    <n v="53861"/>
    <s v="Care Coordinator"/>
    <d v="2022-06-20T00:00:00"/>
    <m/>
    <d v="2022-06-20T00:00:00"/>
    <s v="FULL"/>
    <n v="38"/>
    <n v="1"/>
    <s v="Professionals"/>
    <n v="159273"/>
    <s v="Jenna Martin"/>
    <n v="52240"/>
    <s v="Residential Service Manager"/>
    <x v="0"/>
    <x v="7"/>
  </r>
  <r>
    <s v="BLU161753"/>
    <n v="88199"/>
    <s v="Imelda"/>
    <s v="Vasquez"/>
    <s v="FEMALE"/>
    <s v="ACC147"/>
    <n v="53523"/>
    <s v="Care Coordinator"/>
    <d v="2022-09-06T00:00:00"/>
    <m/>
    <d v="2022-09-06T00:00:00"/>
    <s v="FULL"/>
    <n v="38"/>
    <n v="1"/>
    <s v="Professionals"/>
    <n v="144135"/>
    <s v="Sherolee Ruff"/>
    <n v="48967"/>
    <s v="Residential Service Manager"/>
    <x v="0"/>
    <x v="7"/>
  </r>
  <r>
    <s v="BLU174077"/>
    <n v="91262"/>
    <s v="Manpreet"/>
    <s v="Kaur"/>
    <s v="FEMALE"/>
    <s v="ACC147"/>
    <n v="57272"/>
    <s v="Care Coordinator"/>
    <d v="2023-05-09T00:00:00"/>
    <m/>
    <d v="2023-05-09T00:00:00"/>
    <s v="FULL"/>
    <n v="38"/>
    <n v="1"/>
    <s v="Professionals"/>
    <n v="192415"/>
    <s v="Tina Lamond"/>
    <n v="52015"/>
    <s v="Residential Service Manager"/>
    <x v="0"/>
    <x v="7"/>
  </r>
  <r>
    <s v="BLU173354"/>
    <n v="74327"/>
    <s v="Natasha"/>
    <s v="Robbins"/>
    <s v="FEMALE"/>
    <s v="ACC53"/>
    <n v="57054"/>
    <s v="Clinical Leader"/>
    <d v="2018-09-12T00:00:00"/>
    <m/>
    <d v="2023-04-05T00:00:00"/>
    <s v="FULL"/>
    <n v="38"/>
    <n v="1"/>
    <s v="Professionals"/>
    <n v="197269"/>
    <s v="Renee Brodie"/>
    <n v="50247"/>
    <s v="Residential Service Manager"/>
    <x v="0"/>
    <x v="7"/>
  </r>
  <r>
    <s v="BLU163056"/>
    <n v="66585"/>
    <s v="Mohan"/>
    <s v="Karki"/>
    <s v="MALE"/>
    <s v="ACC147"/>
    <n v="52147"/>
    <s v="Care Coordinator"/>
    <d v="2016-01-12T00:00:00"/>
    <m/>
    <d v="2020-06-16T00:00:00"/>
    <s v="FULL"/>
    <n v="38"/>
    <n v="1"/>
    <s v="Professionals"/>
    <n v="157928"/>
    <s v="Ivica Pear"/>
    <n v="52012"/>
    <s v="Residential Service Manager"/>
    <x v="0"/>
    <x v="7"/>
  </r>
  <r>
    <s v="BLU158271"/>
    <n v="62420"/>
    <s v="Jasumatiben"/>
    <s v="Rathod"/>
    <s v="FEMALE"/>
    <s v="ACC147"/>
    <n v="52131"/>
    <s v="Care Coordinator"/>
    <d v="2014-03-18T00:00:00"/>
    <m/>
    <d v="2020-06-16T00:00:00"/>
    <s v="FULL"/>
    <n v="38"/>
    <n v="1"/>
    <s v="Professionals"/>
    <n v="172360"/>
    <s v="Jayne Smith"/>
    <n v="52018"/>
    <s v="Residential Service Manager"/>
    <x v="0"/>
    <x v="7"/>
  </r>
  <r>
    <s v="BLU164139"/>
    <n v="67433"/>
    <s v="Priyaben"/>
    <s v="Patel"/>
    <s v="FEMALE"/>
    <s v="ACC147"/>
    <n v="56753"/>
    <s v="Care Coordinator"/>
    <d v="2016-05-24T00:00:00"/>
    <m/>
    <d v="2023-04-04T00:00:00"/>
    <s v="FULL"/>
    <n v="38"/>
    <n v="1"/>
    <s v="Professionals"/>
    <n v="103182"/>
    <s v="Catherine Sherlock"/>
    <n v="52091"/>
    <s v="Residential Service Manager"/>
    <x v="0"/>
    <x v="7"/>
  </r>
  <r>
    <s v="BLU165974"/>
    <n v="89680"/>
    <s v="Eloise"/>
    <s v="Saunders"/>
    <s v="FEMALE"/>
    <s v="ACC147"/>
    <n v="53789"/>
    <s v="Care Coordinator"/>
    <d v="2023-01-16T00:00:00"/>
    <m/>
    <d v="2023-01-16T00:00:00"/>
    <s v="FULL"/>
    <n v="38"/>
    <n v="1"/>
    <s v="Professionals"/>
    <n v="198784"/>
    <s v="Howard Riach"/>
    <n v="37878"/>
    <s v="Residential Service Manager"/>
    <x v="0"/>
    <x v="7"/>
  </r>
  <r>
    <s v="BLU194484"/>
    <n v="87662"/>
    <s v="Bikash"/>
    <s v="Dhungel"/>
    <s v="MALE"/>
    <s v="ACC74"/>
    <n v="56740"/>
    <s v="Care Coordinator"/>
    <d v="2022-07-04T00:00:00"/>
    <m/>
    <d v="2023-02-14T00:00:00"/>
    <s v="FULL"/>
    <n v="38"/>
    <n v="1"/>
    <s v="Professionals"/>
    <n v="84756"/>
    <s v="Jocelyn San Jose"/>
    <n v="52057"/>
    <s v="Residential Service Manager"/>
    <x v="0"/>
    <x v="7"/>
  </r>
  <r>
    <s v="BLU178246"/>
    <n v="82547"/>
    <s v="Keith"/>
    <s v="Hutson"/>
    <s v="MALE"/>
    <s v="ACC147"/>
    <n v="56364"/>
    <s v="Care Coordinator"/>
    <d v="2019-06-03T00:00:00"/>
    <m/>
    <d v="2022-11-03T00:00:00"/>
    <s v="FULL"/>
    <n v="38"/>
    <n v="1"/>
    <s v="Professionals"/>
    <n v="74322"/>
    <s v="Roji Karki"/>
    <n v="50610"/>
    <s v="Residential Service Manager"/>
    <x v="0"/>
    <x v="7"/>
  </r>
  <r>
    <s v="BLU154245"/>
    <n v="58492"/>
    <s v="Naomi"/>
    <s v="Djuric"/>
    <s v="FEMALE"/>
    <s v="ACC147"/>
    <n v="53193"/>
    <s v="Care Coordinator"/>
    <d v="2012-10-30T00:00:00"/>
    <m/>
    <d v="2022-03-22T00:00:00"/>
    <s v="FULL"/>
    <n v="38"/>
    <n v="1"/>
    <s v="Professionals"/>
    <n v="193312"/>
    <s v="Suzanne Clifton"/>
    <n v="52060"/>
    <s v="Residential Service Manager"/>
    <x v="0"/>
    <x v="7"/>
  </r>
  <r>
    <s v="BLU158097"/>
    <n v="62232"/>
    <s v="Akashdip"/>
    <s v="Subba"/>
    <s v="MALE"/>
    <s v="ACC147"/>
    <n v="21196"/>
    <s v="Care Coordinator"/>
    <d v="2014-02-18T00:00:00"/>
    <m/>
    <d v="2021-11-30T00:00:00"/>
    <s v="FULL"/>
    <n v="38"/>
    <n v="1"/>
    <s v="Professionals"/>
    <n v="113080"/>
    <s v="Teresa French"/>
    <n v="53701"/>
    <s v="Care Manager"/>
    <x v="0"/>
    <x v="7"/>
  </r>
  <r>
    <s v="BLU194655"/>
    <n v="87797"/>
    <s v="Deborah"/>
    <s v="Shore"/>
    <s v="FEMALE"/>
    <s v="ACC74"/>
    <n v="55232"/>
    <s v="Care Coordinator"/>
    <d v="2022-07-19T00:00:00"/>
    <m/>
    <d v="2022-07-19T00:00:00"/>
    <s v="FULL"/>
    <n v="38"/>
    <n v="1"/>
    <s v="Professionals"/>
    <n v="113080"/>
    <s v="Teresa French"/>
    <n v="53701"/>
    <s v="Care Manager"/>
    <x v="0"/>
    <x v="7"/>
  </r>
  <r>
    <s v="BLU199371"/>
    <n v="91594"/>
    <s v="Rebecca L"/>
    <s v="GRANGER"/>
    <s v="FEMALE"/>
    <s v="ACC147"/>
    <n v="57444"/>
    <s v="Care Coordinator"/>
    <d v="2023-06-12T00:00:00"/>
    <m/>
    <d v="2023-06-12T00:00:00"/>
    <s v="FULL"/>
    <n v="38"/>
    <n v="1"/>
    <s v="Professionals"/>
    <n v="190696"/>
    <s v="Rosalie Casey"/>
    <n v="52289"/>
    <s v="Residential Service Manager"/>
    <x v="0"/>
    <x v="7"/>
  </r>
  <r>
    <s v="BLU190057"/>
    <n v="83746"/>
    <s v="Lhordian"/>
    <s v="Perito"/>
    <s v="MALE"/>
    <s v="ACC147"/>
    <n v="52135"/>
    <s v="Care Coordinator"/>
    <d v="2021-07-26T00:00:00"/>
    <m/>
    <d v="2021-07-26T00:00:00"/>
    <s v="FULL"/>
    <n v="38"/>
    <n v="1"/>
    <s v="Professionals"/>
    <n v="167082"/>
    <s v="Toni Ray"/>
    <n v="55501"/>
    <s v="Hospitality Team Leader"/>
    <x v="0"/>
    <x v="7"/>
  </r>
  <r>
    <s v="BLU190711"/>
    <n v="84158"/>
    <s v="Pushpa"/>
    <s v="Bhattarai"/>
    <s v="FEMALE"/>
    <s v="ACC147"/>
    <n v="52820"/>
    <s v="Care Coordinator"/>
    <d v="2021-09-27T00:00:00"/>
    <m/>
    <d v="2021-09-27T00:00:00"/>
    <s v="FULL"/>
    <n v="38"/>
    <n v="1"/>
    <s v="Professionals"/>
    <n v="167082"/>
    <s v="Toni Ray"/>
    <n v="55501"/>
    <s v="Hospitality Team Leader"/>
    <x v="0"/>
    <x v="7"/>
  </r>
  <r>
    <s v="BLU194938"/>
    <n v="88154"/>
    <s v="Tammy"/>
    <s v="Clifford"/>
    <s v="FEMALE"/>
    <s v="ACC74"/>
    <n v="52140"/>
    <s v="Care Coordinator"/>
    <d v="2022-08-30T00:00:00"/>
    <m/>
    <d v="2022-08-30T00:00:00"/>
    <s v="FULL"/>
    <n v="38"/>
    <n v="1"/>
    <s v="Professionals"/>
    <n v="193882"/>
    <s v="Loren Mcshannon"/>
    <n v="46480"/>
    <s v="Residential Service Manager"/>
    <x v="0"/>
    <x v="7"/>
  </r>
  <r>
    <s v="BLU187399"/>
    <n v="81390"/>
    <s v="Sangita"/>
    <s v="Gautam Tiwari"/>
    <s v="FEMALE"/>
    <s v="ACC147"/>
    <n v="53421"/>
    <s v="Care Coordinator"/>
    <d v="2020-11-17T00:00:00"/>
    <m/>
    <d v="2021-06-15T00:00:00"/>
    <s v="FULL"/>
    <n v="38"/>
    <n v="1"/>
    <s v="Professionals"/>
    <n v="128127"/>
    <s v="Michael Ryan"/>
    <n v="48500"/>
    <s v="Residential Service Manager"/>
    <x v="0"/>
    <x v="7"/>
  </r>
  <r>
    <s v="BLU168982"/>
    <n v="71723"/>
    <s v="Pratichhya"/>
    <s v="Kunwar Thapa"/>
    <s v="FEMALE"/>
    <s v="ACC147"/>
    <n v="52389"/>
    <s v="Care Coordinator"/>
    <d v="2017-11-20T00:00:00"/>
    <m/>
    <d v="2023-04-18T00:00:00"/>
    <s v="FULL"/>
    <n v="30"/>
    <n v="0.78947368421052633"/>
    <s v="Professionals"/>
    <n v="74322"/>
    <s v="Roji Karki"/>
    <n v="50610"/>
    <s v="Residential Service Manager"/>
    <x v="0"/>
    <x v="7"/>
  </r>
  <r>
    <s v="BLU199229"/>
    <n v="91525"/>
    <s v="Dionne"/>
    <s v="Andrews"/>
    <s v="FEMALE"/>
    <s v="ACC147"/>
    <n v="52791"/>
    <s v="Care Coordinator"/>
    <d v="2023-05-22T00:00:00"/>
    <m/>
    <d v="2023-05-22T00:00:00"/>
    <s v="FULL"/>
    <n v="38"/>
    <n v="1"/>
    <s v="Professionals"/>
    <n v="190696"/>
    <s v="Rosalie Casey"/>
    <n v="52289"/>
    <s v="Residential Service Manager"/>
    <x v="0"/>
    <x v="7"/>
  </r>
  <r>
    <s v="BLU145576"/>
    <n v="49686"/>
    <s v="Monique"/>
    <s v="Ivory"/>
    <s v="FEMALE"/>
    <s v="ACC90"/>
    <n v="53745"/>
    <s v="Quality Compliance Support Officer"/>
    <d v="2010-06-03T00:00:00"/>
    <m/>
    <d v="2022-07-26T00:00:00"/>
    <s v="FULL"/>
    <n v="38"/>
    <n v="1"/>
    <s v="Clerical &amp; Admin"/>
    <n v="103182"/>
    <s v="Catherine Sherlock"/>
    <n v="52091"/>
    <s v="Residential Service Manager"/>
    <x v="0"/>
    <x v="7"/>
  </r>
  <r>
    <s v="BLU126639"/>
    <n v="35280"/>
    <s v="Anne"/>
    <s v="Rich"/>
    <s v="FEMALE"/>
    <s v="ACC147"/>
    <n v="52134"/>
    <s v="Care Coordinator"/>
    <d v="2006-06-21T00:00:00"/>
    <m/>
    <d v="2021-02-23T00:00:00"/>
    <s v="PART"/>
    <n v="22.5"/>
    <n v="0.59210526315789469"/>
    <s v="Professionals"/>
    <n v="88971"/>
    <s v="Bishnu Kumari"/>
    <n v="55762"/>
    <s v="Care Manager"/>
    <x v="0"/>
    <x v="7"/>
  </r>
  <r>
    <s v="BLU190516"/>
    <n v="83964"/>
    <s v="Niru"/>
    <s v="Thapa"/>
    <s v="FEMALE"/>
    <s v="ACC147"/>
    <n v="54517"/>
    <s v="Care Coordinator"/>
    <d v="2021-09-01T00:00:00"/>
    <m/>
    <d v="2022-11-15T00:00:00"/>
    <s v="FULL"/>
    <n v="38"/>
    <n v="1"/>
    <s v="Professionals"/>
    <n v="197835"/>
    <s v="Carolyn Provenzano"/>
    <n v="52065"/>
    <s v="Residential Service Manager"/>
    <x v="0"/>
    <x v="7"/>
  </r>
  <r>
    <s v="BLU198078"/>
    <n v="90626"/>
    <s v="Blake"/>
    <s v="Hill"/>
    <s v="MALE"/>
    <s v="ACC74"/>
    <n v="56820"/>
    <s v="Care Coordinator"/>
    <d v="2023-03-13T00:00:00"/>
    <m/>
    <d v="2023-03-13T00:00:00"/>
    <s v="FULL"/>
    <n v="38"/>
    <n v="1"/>
    <s v="Professionals"/>
    <n v="197835"/>
    <s v="Carolyn Provenzano"/>
    <n v="52065"/>
    <s v="Residential Service Manager"/>
    <x v="0"/>
    <x v="7"/>
  </r>
  <r>
    <s v="BLU100933"/>
    <n v="59664"/>
    <s v="Patricia"/>
    <s v="Rauhihi"/>
    <s v="FEMALE"/>
    <s v="ACC74"/>
    <n v="57001"/>
    <s v="Care Coordinator"/>
    <d v="2013-03-04T00:00:00"/>
    <m/>
    <d v="2023-03-21T00:00:00"/>
    <s v="FULL"/>
    <n v="38"/>
    <n v="1"/>
    <s v="Professionals"/>
    <n v="185396"/>
    <s v="Pamela Fitzgerald"/>
    <n v="52066"/>
    <s v="Residential Service Manager"/>
    <x v="0"/>
    <x v="7"/>
  </r>
  <r>
    <s v="BLU171585"/>
    <n v="73686"/>
    <s v="Joanne"/>
    <s v="Reedy"/>
    <s v="FEMALE"/>
    <s v="ACC147"/>
    <n v="57241"/>
    <s v="Care Coordinator"/>
    <d v="2018-07-03T00:00:00"/>
    <m/>
    <d v="2023-05-02T00:00:00"/>
    <s v="FULL"/>
    <n v="38"/>
    <n v="1"/>
    <s v="Professionals"/>
    <n v="190696"/>
    <s v="Rosalie Casey"/>
    <n v="13047"/>
    <s v="Residential Service Manager"/>
    <x v="0"/>
    <x v="7"/>
  </r>
  <r>
    <s v="BLU152219"/>
    <n v="73495"/>
    <s v="Amanda"/>
    <s v="Rees"/>
    <s v="FEMALE"/>
    <s v="ACC42"/>
    <n v="52133"/>
    <s v="Care Coordinator"/>
    <d v="2013-08-06T00:00:00"/>
    <m/>
    <d v="2020-11-30T00:00:00"/>
    <s v="FULL"/>
    <n v="30.4"/>
    <n v="0.79999999999999993"/>
    <s v="Professionals"/>
    <m/>
    <m/>
    <m/>
    <m/>
    <x v="0"/>
    <x v="7"/>
  </r>
  <r>
    <s v="BLU104014"/>
    <n v="15020"/>
    <s v="Marie"/>
    <s v="Hill"/>
    <s v="FEMALE"/>
    <s v="ACC74"/>
    <n v="48971"/>
    <s v="Care Cordinator "/>
    <d v="2002-03-25T00:00:00"/>
    <m/>
    <d v="2022-12-13T00:00:00"/>
    <s v="PART"/>
    <n v="22.5"/>
    <n v="0.59210526315789469"/>
    <s v="Professionals"/>
    <n v="185396"/>
    <s v="Pamela Fitzgerald"/>
    <n v="36550"/>
    <s v="Residential Service Manager"/>
    <x v="0"/>
    <x v="7"/>
  </r>
  <r>
    <s v="BLU177003"/>
    <n v="76179"/>
    <s v="Isagani"/>
    <s v="Juyad"/>
    <s v="MALE"/>
    <s v="ACC28"/>
    <n v="54768"/>
    <s v="Care Manager"/>
    <d v="2019-04-09T00:00:00"/>
    <m/>
    <d v="2022-04-05T00:00:00"/>
    <s v="FULL"/>
    <n v="38"/>
    <n v="1"/>
    <s v="Other Managers"/>
    <n v="193485"/>
    <s v="Alysha Rhodes"/>
    <n v="44697"/>
    <s v="Residential Service Manager"/>
    <x v="0"/>
    <x v="7"/>
  </r>
  <r>
    <s v="BLU188123"/>
    <n v="81957"/>
    <s v="Maria"/>
    <s v="Godoy Yanez"/>
    <s v="FEMALE"/>
    <s v="ACC53"/>
    <n v="52828"/>
    <s v="Clinical Leader"/>
    <d v="2021-01-04T00:00:00"/>
    <m/>
    <d v="2021-12-28T00:00:00"/>
    <s v="FULL"/>
    <n v="38"/>
    <n v="1"/>
    <s v="Professionals"/>
    <n v="154849"/>
    <s v="Carmalita Dorante"/>
    <n v="50119"/>
    <s v="Residential Service Manager"/>
    <x v="0"/>
    <x v="7"/>
  </r>
  <r>
    <s v="BLU145622"/>
    <n v="56111"/>
    <s v="Jeremy"/>
    <s v="Beattie"/>
    <s v="MALE"/>
    <s v="ACC147"/>
    <n v="54450"/>
    <s v="Care Coordinator"/>
    <d v="2012-03-05T00:00:00"/>
    <m/>
    <d v="2022-02-08T00:00:00"/>
    <s v="FULL"/>
    <n v="38"/>
    <n v="1"/>
    <s v="Professionals"/>
    <n v="195813"/>
    <s v="Stephen Leggett"/>
    <n v="18272"/>
    <s v="Residential Service Manager"/>
    <x v="0"/>
    <x v="7"/>
  </r>
  <r>
    <s v="BLU196715"/>
    <n v="89411"/>
    <s v="Amanda"/>
    <s v="Matthews"/>
    <s v="FEMALE"/>
    <s v="ACC52"/>
    <n v="56075"/>
    <s v="Business Readiness Lead"/>
    <d v="2022-12-12T00:00:00"/>
    <m/>
    <d v="2022-12-12T00:00:00"/>
    <s v="FULL"/>
    <n v="38"/>
    <n v="1"/>
    <s v="Professionals"/>
    <n v="169943"/>
    <s v="Craig Haggart"/>
    <n v="38493"/>
    <s v="Hospitality Partner"/>
    <x v="0"/>
    <x v="7"/>
  </r>
  <r>
    <s v="BLU190718"/>
    <n v="90162"/>
    <s v="Sandeep"/>
    <s v="Kaur"/>
    <s v="FEMALE"/>
    <s v="ACC147"/>
    <n v="52125"/>
    <s v="Care Coordinator"/>
    <d v="2023-01-30T00:00:00"/>
    <m/>
    <d v="2023-04-18T00:00:00"/>
    <s v="FULL"/>
    <n v="38"/>
    <n v="1"/>
    <s v="Professionals"/>
    <n v="125172"/>
    <s v="Collette Barry"/>
    <n v="52019"/>
    <s v="Residential Service Manager"/>
    <x v="0"/>
    <x v="7"/>
  </r>
  <r>
    <s v="BLU190008"/>
    <n v="83488"/>
    <s v="Diwas"/>
    <s v="Bhandari"/>
    <s v="MALE"/>
    <s v="ACC28"/>
    <n v="50707"/>
    <s v="Care Manager"/>
    <d v="2021-07-19T00:00:00"/>
    <m/>
    <d v="2021-07-19T00:00:00"/>
    <s v="FULL"/>
    <n v="38"/>
    <n v="1"/>
    <s v="Other Managers"/>
    <n v="184680"/>
    <s v="Amrita Thapaliya"/>
    <n v="52185"/>
    <s v="Residential Service Manager"/>
    <x v="0"/>
    <x v="7"/>
  </r>
  <r>
    <s v="BLU138634"/>
    <n v="85424"/>
    <s v="Jasdeep"/>
    <s v="Kaur"/>
    <s v="FEMALE"/>
    <s v="ACC28"/>
    <n v="52000"/>
    <s v="Care Manager"/>
    <d v="2022-01-04T00:00:00"/>
    <m/>
    <d v="2022-01-04T00:00:00"/>
    <s v="FULL"/>
    <n v="38"/>
    <n v="1"/>
    <s v="Other Managers"/>
    <n v="192415"/>
    <s v="Tina Lamond"/>
    <n v="52015"/>
    <s v="Residential Service Manager"/>
    <x v="0"/>
    <x v="7"/>
  </r>
  <r>
    <s v="BLU195265"/>
    <n v="88366"/>
    <s v="Matthew"/>
    <s v="Roman"/>
    <s v="MALE"/>
    <s v="ACC111"/>
    <n v="55449"/>
    <s v="Corporate Chef"/>
    <d v="2022-09-19T00:00:00"/>
    <d v="2023-09-22T00:00:00"/>
    <d v="2022-09-19T00:00:00"/>
    <s v="FULL"/>
    <n v="38"/>
    <n v="1"/>
    <s v="Technicians And Trades Workers"/>
    <n v="169943"/>
    <s v="Craig Haggart"/>
    <n v="38493"/>
    <s v="Hospitality Partner"/>
    <x v="0"/>
    <x v="7"/>
  </r>
  <r>
    <s v="BLU193519"/>
    <n v="86882"/>
    <s v="Paige"/>
    <s v="Gourley"/>
    <s v="FEMALE"/>
    <s v="ACC73"/>
    <n v="55836"/>
    <s v="Workforce Management Specialist"/>
    <d v="2020-09-07T00:00:00"/>
    <m/>
    <d v="2022-10-10T00:00:00"/>
    <s v="FULL"/>
    <n v="38"/>
    <n v="1"/>
    <s v="Professionals"/>
    <n v="80057"/>
    <s v="Francis Mcquillan"/>
    <n v="54188"/>
    <s v="Head of Res Perf &amp; Enablement"/>
    <x v="0"/>
    <x v="7"/>
  </r>
  <r>
    <s v="BLU165018"/>
    <n v="68427"/>
    <s v="Karen"/>
    <s v="Rogers"/>
    <s v="FEMALE"/>
    <s v="ACC147"/>
    <n v="52117"/>
    <s v="Care Coordinator"/>
    <d v="2016-10-04T00:00:00"/>
    <m/>
    <d v="2022-08-23T00:00:00"/>
    <s v="FULL"/>
    <n v="38"/>
    <n v="1"/>
    <s v="Professionals"/>
    <n v="78513"/>
    <s v="Himalee Pun "/>
    <n v="52205"/>
    <s v="Care Coordinator"/>
    <x v="0"/>
    <x v="7"/>
  </r>
  <r>
    <s v="BLU113080"/>
    <n v="84247"/>
    <s v="Teresa"/>
    <s v="French"/>
    <s v="FEMALE"/>
    <s v="ACC28"/>
    <n v="53701"/>
    <s v="Care Manager"/>
    <d v="2021-09-14T00:00:00"/>
    <m/>
    <d v="2021-09-14T00:00:00"/>
    <s v="FULL"/>
    <n v="38"/>
    <n v="1"/>
    <s v="Other Managers"/>
    <n v="185054"/>
    <s v="Aurora Braun"/>
    <n v="21197"/>
    <s v="Residential Service Manager"/>
    <x v="0"/>
    <x v="7"/>
  </r>
  <r>
    <s v="BLU198326"/>
    <n v="90816"/>
    <s v="Emma"/>
    <s v="Herrera"/>
    <s v="FEMALE"/>
    <s v="ACC28"/>
    <n v="56981"/>
    <s v="Care manager"/>
    <d v="2023-04-18T00:00:00"/>
    <m/>
    <d v="2023-04-18T00:00:00"/>
    <s v="FULL"/>
    <n v="38"/>
    <n v="1"/>
    <s v="Other Managers"/>
    <n v="128127"/>
    <s v="Michael Ryan"/>
    <n v="48500"/>
    <s v="Residential Service Manager"/>
    <x v="0"/>
    <x v="7"/>
  </r>
  <r>
    <s v="BLU179982"/>
    <n v="77483"/>
    <s v="Maria"/>
    <s v="Crull"/>
    <s v="FEMALE"/>
    <s v="ACC60"/>
    <n v="55109"/>
    <s v="Project Coordinator Food and N"/>
    <d v="2019-09-23T00:00:00"/>
    <m/>
    <d v="2022-07-01T00:00:00"/>
    <s v="FULL"/>
    <n v="38"/>
    <n v="1"/>
    <s v="Professionals"/>
    <n v="169943"/>
    <s v="Craig Haggart"/>
    <n v="38493"/>
    <s v="Hospitality Partner"/>
    <x v="0"/>
    <x v="7"/>
  </r>
  <r>
    <s v="BLU157734"/>
    <n v="61816"/>
    <s v="Nicole"/>
    <s v="King"/>
    <s v="FEMALE"/>
    <s v="ACC28"/>
    <n v="52502"/>
    <s v="Care Manager"/>
    <d v="2013-12-10T00:00:00"/>
    <m/>
    <d v="2021-08-10T00:00:00"/>
    <s v="FULL"/>
    <n v="38"/>
    <n v="1"/>
    <s v="Other Managers"/>
    <n v="144135"/>
    <s v="Sherolee Ruff"/>
    <n v="48967"/>
    <s v="Residential Service Manager"/>
    <x v="0"/>
    <x v="7"/>
  </r>
  <r>
    <s v="BLU150540"/>
    <n v="65787"/>
    <s v="Barbara"/>
    <s v="O'Toole"/>
    <s v="FEMALE"/>
    <s v="ACC42"/>
    <n v="54861"/>
    <s v="Practice Lead - Residential"/>
    <d v="2015-08-31T00:00:00"/>
    <m/>
    <d v="2022-03-22T00:00:00"/>
    <s v="FULL"/>
    <n v="38"/>
    <n v="1"/>
    <s v="Other Managers"/>
    <m/>
    <m/>
    <m/>
    <m/>
    <x v="0"/>
    <x v="7"/>
  </r>
  <r>
    <s v="BLU177314"/>
    <n v="76242"/>
    <s v="Robin"/>
    <s v="Nanda"/>
    <s v="MALE"/>
    <s v="ACC28"/>
    <n v="51634"/>
    <s v="Care Manager"/>
    <d v="2019-04-09T00:00:00"/>
    <m/>
    <d v="2022-01-31T00:00:00"/>
    <s v="FULL"/>
    <n v="38"/>
    <n v="1"/>
    <s v="Other Managers"/>
    <n v="161702"/>
    <s v="Realyn Cho"/>
    <n v="24134"/>
    <s v="Residential Service Manager"/>
    <x v="0"/>
    <x v="7"/>
  </r>
  <r>
    <s v="BLU189510"/>
    <n v="83115"/>
    <s v="Reji"/>
    <s v="Vithayathil Chacko"/>
    <s v="FEMALE"/>
    <s v="ACC23"/>
    <n v="46331"/>
    <s v="Residential Service Manager"/>
    <d v="2021-05-17T00:00:00"/>
    <m/>
    <d v="2022-04-19T00:00:00"/>
    <s v="FULL"/>
    <n v="38"/>
    <n v="1"/>
    <s v="Other Managers"/>
    <n v="153016"/>
    <s v="Patricia Tierney"/>
    <n v="56652"/>
    <s v="Regional Operations Manager"/>
    <x v="0"/>
    <x v="7"/>
  </r>
  <r>
    <s v="BLU122876"/>
    <n v="31580"/>
    <s v="Marie"/>
    <s v="Edwards"/>
    <s v="FEMALE"/>
    <s v="ACC28"/>
    <n v="52583"/>
    <s v="Care Manager"/>
    <d v="2005-05-18T00:00:00"/>
    <m/>
    <d v="2021-10-05T00:00:00"/>
    <s v="FULL"/>
    <n v="38"/>
    <n v="1"/>
    <s v="Other Managers"/>
    <n v="118155"/>
    <s v="Kathryn Pearce"/>
    <n v="38098"/>
    <s v="Residential Service Manager"/>
    <x v="0"/>
    <x v="7"/>
  </r>
  <r>
    <s v="BLU186782"/>
    <n v="80817"/>
    <s v="Indu"/>
    <s v="Lamichhane Ghimre"/>
    <s v="FEMALE"/>
    <s v="ACC28"/>
    <n v="53579"/>
    <s v="Care Manager"/>
    <d v="2020-10-05T00:00:00"/>
    <m/>
    <d v="2021-07-13T00:00:00"/>
    <s v="FULL"/>
    <n v="38"/>
    <n v="1"/>
    <s v="Other Managers"/>
    <n v="167082"/>
    <s v="Toni Ray"/>
    <n v="55501"/>
    <s v="Hospitality Team Leader"/>
    <x v="0"/>
    <x v="7"/>
  </r>
  <r>
    <s v="BLU194503"/>
    <n v="87707"/>
    <s v="Skye"/>
    <s v="Britten"/>
    <s v="FEMALE"/>
    <s v="ACC28"/>
    <n v="54461"/>
    <s v="Care Manager"/>
    <d v="2022-08-01T00:00:00"/>
    <m/>
    <d v="2023-03-14T00:00:00"/>
    <s v="FULL"/>
    <n v="38"/>
    <n v="1"/>
    <s v="Other Managers"/>
    <n v="103182"/>
    <s v="Catherine Sherlock"/>
    <n v="52091"/>
    <s v="Residential Service Manager"/>
    <x v="0"/>
    <x v="7"/>
  </r>
  <r>
    <s v="BLU196070"/>
    <n v="88971"/>
    <s v="Bishnu"/>
    <s v="Kumari"/>
    <s v="FEMALE"/>
    <s v="ACC28"/>
    <n v="55762"/>
    <s v="Care Manager"/>
    <d v="2022-11-14T00:00:00"/>
    <m/>
    <d v="2022-11-14T00:00:00"/>
    <s v="FULL"/>
    <n v="38"/>
    <n v="1"/>
    <s v="Other Managers"/>
    <n v="185396"/>
    <s v="Pamela Fitzgerald"/>
    <n v="52066"/>
    <s v="Residential Service Manager"/>
    <x v="0"/>
    <x v="7"/>
  </r>
  <r>
    <s v="BLU193882"/>
    <n v="87145"/>
    <s v="Loren"/>
    <s v="Mcshannon"/>
    <s v="FEMALE"/>
    <s v="ACC23"/>
    <n v="46480"/>
    <s v="Residential Service Manager"/>
    <d v="2022-06-06T00:00:00"/>
    <m/>
    <d v="2022-06-06T00:00:00"/>
    <s v="FULL"/>
    <n v="38"/>
    <n v="1"/>
    <s v="Other Managers"/>
    <n v="153016"/>
    <s v="Patricia Tierney"/>
    <n v="56652"/>
    <s v="Regional Operations Manager"/>
    <x v="0"/>
    <x v="7"/>
  </r>
  <r>
    <s v="BLU150679"/>
    <n v="73173"/>
    <s v="Vivian"/>
    <s v="Buenafe"/>
    <s v="FEMALE"/>
    <s v="ACC147"/>
    <n v="44763"/>
    <s v="Care Coordinator"/>
    <d v="2011-10-18T00:00:00"/>
    <m/>
    <d v="2021-03-23T00:00:00"/>
    <s v="FULL"/>
    <n v="38"/>
    <n v="1"/>
    <s v="Professionals"/>
    <n v="90447"/>
    <s v="Heather Ginard"/>
    <n v="19468"/>
    <s v="Residential Service Manager"/>
    <x v="0"/>
    <x v="7"/>
  </r>
  <r>
    <s v="BLU188751"/>
    <n v="82452"/>
    <s v="Kristene"/>
    <s v="Powell"/>
    <s v="FEMALE"/>
    <s v="ACC28"/>
    <n v="52712"/>
    <s v="Care Manager"/>
    <d v="2021-03-15T00:00:00"/>
    <m/>
    <d v="2021-08-10T00:00:00"/>
    <s v="FULL"/>
    <n v="38"/>
    <n v="1"/>
    <s v="Other Managers"/>
    <n v="197835"/>
    <s v="Carolyn Provenzano"/>
    <n v="52065"/>
    <s v="Residential Service Manager"/>
    <x v="0"/>
    <x v="7"/>
  </r>
  <r>
    <s v="BLU175064"/>
    <n v="83740"/>
    <s v="Samikshya"/>
    <s v="Rana"/>
    <s v="FEMALE"/>
    <s v="ACC28"/>
    <n v="53942"/>
    <s v="Care Manager"/>
    <d v="2018-12-11T00:00:00"/>
    <m/>
    <d v="2023-01-31T00:00:00"/>
    <s v="FULL"/>
    <n v="38"/>
    <n v="1"/>
    <s v="Other Managers"/>
    <n v="194765"/>
    <s v="Nicole Hodnett"/>
    <n v="55272"/>
    <s v="Residential Service Manager"/>
    <x v="0"/>
    <x v="7"/>
  </r>
  <r>
    <s v="BLU190696"/>
    <n v="84142"/>
    <s v="Rosalie"/>
    <s v="Casey"/>
    <s v="FEMALE"/>
    <s v="ACC23"/>
    <n v="13047"/>
    <s v="Residential Service Manager"/>
    <d v="2021-09-27T00:00:00"/>
    <m/>
    <d v="2022-04-07T00:00:00"/>
    <s v="FULL"/>
    <n v="38"/>
    <n v="1"/>
    <s v="Other Managers"/>
    <n v="147127"/>
    <s v="Ryan Tatnell"/>
    <n v="56521"/>
    <s v="Operations Manager"/>
    <x v="0"/>
    <x v="7"/>
  </r>
  <r>
    <s v="BLU125172"/>
    <n v="82811"/>
    <s v="Collette"/>
    <s v="Barry"/>
    <s v="FEMALE"/>
    <s v="ACC23"/>
    <n v="52019"/>
    <s v="Residential Service Manager"/>
    <d v="2021-03-23T00:00:00"/>
    <m/>
    <d v="2021-03-23T00:00:00"/>
    <s v="FULL"/>
    <n v="38"/>
    <n v="1"/>
    <s v="Other Managers"/>
    <n v="172870"/>
    <s v="Rebecca Sparrow"/>
    <n v="56509"/>
    <s v="Residential Operations Manager"/>
    <x v="0"/>
    <x v="7"/>
  </r>
  <r>
    <s v="BLU193312"/>
    <n v="86796"/>
    <s v="Suzanne"/>
    <s v="Clifton"/>
    <s v="FEMALE"/>
    <s v="ACC23"/>
    <n v="52060"/>
    <s v="Residential Service Manager"/>
    <d v="2022-05-03T00:00:00"/>
    <m/>
    <d v="2023-05-16T00:00:00"/>
    <s v="FULL"/>
    <n v="38"/>
    <n v="1"/>
    <s v="Other Managers"/>
    <n v="172870"/>
    <s v="Rebecca Sparrow"/>
    <n v="56509"/>
    <s v="Residential Operations Manager"/>
    <x v="0"/>
    <x v="7"/>
  </r>
  <r>
    <s v="BLU157928"/>
    <n v="61961"/>
    <s v="Ivica"/>
    <s v="Pear"/>
    <s v="MALE"/>
    <s v="ACC23"/>
    <n v="52012"/>
    <s v="Residential Service Manager"/>
    <d v="2014-01-20T00:00:00"/>
    <m/>
    <d v="2020-05-19T00:00:00"/>
    <s v="FULL"/>
    <n v="38"/>
    <n v="1"/>
    <s v="Other Managers"/>
    <n v="172870"/>
    <s v="Rebecca Sparrow"/>
    <n v="56509"/>
    <s v="Residential Operations Manager"/>
    <x v="0"/>
    <x v="7"/>
  </r>
  <r>
    <s v="BLU195180"/>
    <n v="88200"/>
    <s v="Julie"/>
    <s v="Denton"/>
    <s v="FEMALE"/>
    <s v="ACC28"/>
    <n v="55971"/>
    <s v="Care Manager"/>
    <d v="2022-09-05T00:00:00"/>
    <m/>
    <d v="2022-09-20T00:00:00"/>
    <s v="FULL"/>
    <n v="38"/>
    <n v="1"/>
    <s v="Other Managers"/>
    <n v="195127"/>
    <s v="Roberta Vaughan"/>
    <n v="51596"/>
    <s v="Residential Service Manager"/>
    <x v="0"/>
    <x v="7"/>
  </r>
  <r>
    <s v="BLU185338"/>
    <n v="86435"/>
    <s v="Jasleen"/>
    <s v="Kaur"/>
    <s v="FEMALE"/>
    <s v="ACC23"/>
    <n v="37371"/>
    <s v="Residential Service Manager"/>
    <d v="2022-03-29T00:00:00"/>
    <m/>
    <d v="2022-03-29T00:00:00"/>
    <s v="FULL"/>
    <n v="38"/>
    <n v="1"/>
    <s v="Other Managers"/>
    <n v="147127"/>
    <s v="Ryan Tatnell"/>
    <n v="56521"/>
    <s v="Operations Manager"/>
    <x v="0"/>
    <x v="7"/>
  </r>
  <r>
    <s v="BLU152194"/>
    <n v="77029"/>
    <s v="Reggie"/>
    <s v="Libo-On"/>
    <s v="FEMALE"/>
    <s v="ACC23"/>
    <n v="52101"/>
    <s v="Residential Service Manager"/>
    <d v="2019-07-26T00:00:00"/>
    <m/>
    <d v="2020-06-16T00:00:00"/>
    <s v="FULL"/>
    <n v="38"/>
    <n v="1"/>
    <s v="Other Managers"/>
    <n v="147127"/>
    <s v="Ryan Tatnell"/>
    <n v="56521"/>
    <s v="Operations Manager"/>
    <x v="0"/>
    <x v="7"/>
  </r>
  <r>
    <s v="BLU117632"/>
    <n v="23955"/>
    <s v="Sharon"/>
    <s v="Triffett"/>
    <s v="FEMALE"/>
    <s v="ACC38"/>
    <n v="52567"/>
    <s v="Residential Services Partner"/>
    <d v="2004-02-05T00:00:00"/>
    <m/>
    <d v="2022-03-08T00:00:00"/>
    <s v="FULL"/>
    <n v="38"/>
    <n v="1"/>
    <s v="Clerical &amp; Admin"/>
    <n v="80057"/>
    <s v="Francis Mcquillan"/>
    <n v="54188"/>
    <s v="Head of Res Perf &amp; Enablement"/>
    <x v="0"/>
    <x v="7"/>
  </r>
  <r>
    <s v="BLU192447"/>
    <n v="85874"/>
    <s v="Victoria"/>
    <s v="Boyd"/>
    <s v="FEMALE"/>
    <s v="ACC23"/>
    <n v="38281"/>
    <s v="Residential Service Manager"/>
    <d v="2022-02-14T00:00:00"/>
    <m/>
    <d v="2022-02-14T00:00:00"/>
    <s v="FULL"/>
    <n v="38"/>
    <n v="1"/>
    <s v="Other Managers"/>
    <n v="157944"/>
    <s v="Matthew Wise"/>
    <n v="56378"/>
    <s v="Residential Operations Manager"/>
    <x v="0"/>
    <x v="7"/>
  </r>
  <r>
    <s v="BLU167909"/>
    <n v="70769"/>
    <s v="Carolina"/>
    <s v="Jansen Van Vuuren"/>
    <s v="FEMALE"/>
    <s v="ACC23"/>
    <n v="49252"/>
    <s v="Residential Service Manager"/>
    <d v="2017-07-24T00:00:00"/>
    <m/>
    <d v="2022-09-20T00:00:00"/>
    <s v="FULL"/>
    <n v="38"/>
    <n v="1"/>
    <s v="Other Managers"/>
    <n v="157944"/>
    <s v="Matthew Wise"/>
    <n v="56378"/>
    <s v="Residential Operations Manager"/>
    <x v="0"/>
    <x v="7"/>
  </r>
  <r>
    <s v="BLU189755"/>
    <n v="83240"/>
    <s v="Jane"/>
    <s v="Barrett"/>
    <s v="FEMALE"/>
    <s v="ACC23"/>
    <n v="44579"/>
    <s v="Residential Service Manager"/>
    <d v="2021-06-07T00:00:00"/>
    <m/>
    <d v="2022-07-11T00:00:00"/>
    <s v="FULL"/>
    <n v="38"/>
    <n v="1"/>
    <s v="Other Managers"/>
    <n v="157944"/>
    <s v="Matthew Wise"/>
    <n v="56378"/>
    <s v="Residential Operations Manager"/>
    <x v="0"/>
    <x v="7"/>
  </r>
  <r>
    <s v="BLU193804"/>
    <n v="87110"/>
    <s v="Freyja"/>
    <s v="Arroylo"/>
    <s v="FEMALE"/>
    <s v="ACC23"/>
    <n v="54403"/>
    <s v="Residential Service Manager"/>
    <d v="2022-05-20T00:00:00"/>
    <m/>
    <d v="2023-04-04T00:00:00"/>
    <s v="FULL"/>
    <n v="38"/>
    <n v="1"/>
    <s v="Other Managers"/>
    <n v="157944"/>
    <s v="Matthew Wise"/>
    <n v="56378"/>
    <s v="Residential Operations Manager"/>
    <x v="0"/>
    <x v="7"/>
  </r>
  <r>
    <s v="BLU194055"/>
    <n v="87288"/>
    <s v="Alison"/>
    <s v="Martens"/>
    <s v="FEMALE"/>
    <s v="ACC23"/>
    <n v="50891"/>
    <s v="Residential Service Manager"/>
    <d v="2022-06-13T00:00:00"/>
    <m/>
    <d v="2022-06-13T00:00:00"/>
    <s v="FULL"/>
    <n v="38"/>
    <n v="1"/>
    <s v="Other Managers"/>
    <n v="157944"/>
    <s v="Matthew Wise"/>
    <n v="56378"/>
    <s v="Residential Operations Manager"/>
    <x v="0"/>
    <x v="7"/>
  </r>
  <r>
    <s v="BLU128832"/>
    <n v="84756"/>
    <s v="Jocelyn"/>
    <s v="San Jose"/>
    <s v="FEMALE"/>
    <s v="ACC23"/>
    <n v="52057"/>
    <s v="Residential Service Manager"/>
    <d v="2021-11-29T00:00:00"/>
    <m/>
    <d v="2021-11-29T00:00:00"/>
    <s v="FULL"/>
    <n v="38"/>
    <n v="1"/>
    <s v="Other Managers"/>
    <n v="147127"/>
    <s v="Ryan Tatnell"/>
    <n v="56521"/>
    <s v="Operations Manager"/>
    <x v="0"/>
    <x v="7"/>
  </r>
  <r>
    <s v="BLU192415"/>
    <n v="90021"/>
    <s v="Tina"/>
    <s v="Lamond"/>
    <s v="FEMALE"/>
    <s v="ACC23"/>
    <n v="52015"/>
    <s v="Residential Service Manager"/>
    <d v="2023-01-24T00:00:00"/>
    <m/>
    <d v="2023-01-24T00:00:00"/>
    <s v="FULL"/>
    <n v="38"/>
    <n v="1"/>
    <s v="Other Managers"/>
    <n v="172870"/>
    <s v="Rebecca Sparrow"/>
    <n v="56509"/>
    <s v="Residential Operations Manager"/>
    <x v="0"/>
    <x v="7"/>
  </r>
  <r>
    <s v="BLU198331"/>
    <n v="90798"/>
    <s v="Samantha"/>
    <s v="Symes"/>
    <s v="FEMALE"/>
    <s v="ACC23"/>
    <n v="56969"/>
    <s v="Residential Service Manager"/>
    <d v="2023-04-03T00:00:00"/>
    <m/>
    <d v="2023-04-03T00:00:00"/>
    <s v="FULL"/>
    <n v="38"/>
    <n v="1"/>
    <s v="Other Managers"/>
    <n v="147127"/>
    <s v="Ryan Tatnell"/>
    <n v="56521"/>
    <s v="Operations Manager"/>
    <x v="0"/>
    <x v="7"/>
  </r>
  <r>
    <s v="BLU184680"/>
    <n v="79798"/>
    <s v="Amrita"/>
    <s v="Thapaliya"/>
    <s v="FEMALE"/>
    <s v="ACC23"/>
    <n v="52185"/>
    <s v="Residential Service Manager"/>
    <d v="2020-04-27T00:00:00"/>
    <m/>
    <d v="2021-01-05T00:00:00"/>
    <s v="FULL"/>
    <n v="38"/>
    <n v="1"/>
    <s v="Other Managers"/>
    <n v="153016"/>
    <s v="Patricia Tierney"/>
    <n v="56652"/>
    <s v="Regional Operations Manager"/>
    <x v="0"/>
    <x v="7"/>
  </r>
  <r>
    <s v="BLU145308"/>
    <n v="65358"/>
    <s v="Kylie"/>
    <s v="Cutsforth"/>
    <s v="FEMALE"/>
    <s v="ACC74"/>
    <n v="57468"/>
    <s v="Clinical Educator"/>
    <d v="2010-05-24T00:00:00"/>
    <m/>
    <d v="2023-06-05T00:00:00"/>
    <s v="FULL"/>
    <n v="38"/>
    <n v="1"/>
    <s v="Professionals"/>
    <n v="168287"/>
    <s v="Helen Bridge"/>
    <n v="57015"/>
    <s v="Clinical Educator - Team Leader"/>
    <x v="0"/>
    <x v="7"/>
  </r>
  <r>
    <s v="BLU173116"/>
    <n v="74322"/>
    <s v="Roji"/>
    <s v="Karki"/>
    <s v="FEMALE"/>
    <s v="ACC23"/>
    <n v="50610"/>
    <s v="Residential Service Manager"/>
    <d v="2018-09-17T00:00:00"/>
    <m/>
    <d v="2023-02-15T00:00:00"/>
    <s v="FULL"/>
    <n v="38"/>
    <n v="1"/>
    <s v="Other Managers"/>
    <n v="172870"/>
    <s v="Rebecca Sparrow"/>
    <n v="56509"/>
    <s v="Residential Operations Manager"/>
    <x v="0"/>
    <x v="7"/>
  </r>
  <r>
    <s v="BLU198868"/>
    <n v="91232"/>
    <s v="Sudhiira"/>
    <s v="Perkoulidis"/>
    <s v="MALE"/>
    <s v="ACC23"/>
    <n v="18046"/>
    <s v="Residential Service Manager"/>
    <d v="2023-05-15T00:00:00"/>
    <m/>
    <d v="2023-05-15T00:00:00"/>
    <s v="FULL"/>
    <n v="38"/>
    <n v="1"/>
    <s v="Other Managers"/>
    <n v="172870"/>
    <s v="Rebecca Sparrow"/>
    <n v="56509"/>
    <s v="Residential Operations Manager"/>
    <x v="0"/>
    <x v="7"/>
  </r>
  <r>
    <s v="BLU161702"/>
    <n v="65298"/>
    <s v="Realyn"/>
    <s v="Cho"/>
    <s v="FEMALE"/>
    <s v="ACC23"/>
    <n v="24134"/>
    <s v="Residential Service Manager"/>
    <d v="2015-06-23T00:00:00"/>
    <m/>
    <d v="2023-02-06T00:00:00"/>
    <s v="FULL"/>
    <n v="38"/>
    <n v="1"/>
    <s v="Other Managers"/>
    <n v="153016"/>
    <s v="Patricia Tierney"/>
    <n v="56652"/>
    <s v="Regional Operations Manager"/>
    <x v="0"/>
    <x v="7"/>
  </r>
  <r>
    <s v="BLU162215"/>
    <n v="83618"/>
    <s v="Lesley"/>
    <s v="Grant"/>
    <s v="FEMALE"/>
    <s v="ACC23"/>
    <n v="50054"/>
    <s v="Residential Service Manager"/>
    <d v="2021-07-27T00:00:00"/>
    <m/>
    <d v="2023-02-27T00:00:00"/>
    <s v="FULL"/>
    <n v="38"/>
    <n v="1"/>
    <s v="Other Managers"/>
    <n v="153016"/>
    <s v="Patricia Tierney"/>
    <n v="56652"/>
    <s v="Regional Operations Manager"/>
    <x v="0"/>
    <x v="7"/>
  </r>
  <r>
    <s v="BLU128127"/>
    <n v="36557"/>
    <s v="Michael"/>
    <s v="Ryan"/>
    <s v="MALE"/>
    <s v="ACC23"/>
    <n v="48500"/>
    <s v="Residential Service Manager"/>
    <d v="2006-10-09T00:00:00"/>
    <m/>
    <d v="2022-01-04T00:00:00"/>
    <s v="FULL"/>
    <n v="38"/>
    <n v="1"/>
    <s v="Other Managers"/>
    <n v="172870"/>
    <s v="Rebecca Sparrow"/>
    <n v="56509"/>
    <s v="Residential Operations Manager"/>
    <x v="0"/>
    <x v="7"/>
  </r>
  <r>
    <s v="BLU198064"/>
    <n v="90646"/>
    <s v="Eden"/>
    <s v="Retuerto"/>
    <s v="FEMALE"/>
    <s v="ACC28"/>
    <n v="55180"/>
    <s v="Care Manager"/>
    <d v="2023-03-06T00:00:00"/>
    <d v="2024-04-07T00:00:00"/>
    <d v="2023-03-06T00:00:00"/>
    <s v="FULL"/>
    <n v="38"/>
    <n v="1"/>
    <s v="Other Managers"/>
    <n v="195402"/>
    <s v="Diane Lignier"/>
    <n v="48747"/>
    <s v="Residential Service Manager"/>
    <x v="0"/>
    <x v="7"/>
  </r>
  <r>
    <s v="BLU159273"/>
    <n v="90398"/>
    <s v="Jenna"/>
    <s v="Martin"/>
    <s v="FEMALE"/>
    <s v="ACC23"/>
    <n v="52240"/>
    <s v="Residential Service Manager"/>
    <d v="2023-02-27T00:00:00"/>
    <m/>
    <d v="2023-03-21T00:00:00"/>
    <s v="FULL"/>
    <n v="38"/>
    <n v="1"/>
    <s v="Other Managers"/>
    <n v="147127"/>
    <s v="Ryan Tatnell"/>
    <n v="56521"/>
    <s v="Operations Manager"/>
    <x v="0"/>
    <x v="7"/>
  </r>
  <r>
    <s v="BLU195813"/>
    <n v="88729"/>
    <s v="Stephen"/>
    <s v="Leggett"/>
    <s v="MALE"/>
    <s v="ACC23"/>
    <n v="18272"/>
    <s v="Residential Service Manager"/>
    <d v="2022-10-11T00:00:00"/>
    <m/>
    <d v="2022-10-11T00:00:00"/>
    <s v="FULL"/>
    <n v="38"/>
    <n v="1"/>
    <s v="Other Managers"/>
    <n v="172870"/>
    <s v="Rebecca Sparrow"/>
    <n v="56509"/>
    <s v="Residential Operations Manager"/>
    <x v="0"/>
    <x v="7"/>
  </r>
  <r>
    <s v="BLU172360"/>
    <n v="73898"/>
    <s v="Jayne"/>
    <s v="Smith"/>
    <s v="FEMALE"/>
    <s v="ACC23"/>
    <n v="52018"/>
    <s v="Residential Service Manager"/>
    <d v="2018-08-01T00:00:00"/>
    <m/>
    <d v="2020-05-19T00:00:00"/>
    <s v="FULL"/>
    <n v="38"/>
    <n v="1"/>
    <s v="Other Managers"/>
    <n v="172870"/>
    <s v="Rebecca Sparrow"/>
    <n v="56509"/>
    <s v="Residential Operations Manager"/>
    <x v="0"/>
    <x v="7"/>
  </r>
  <r>
    <s v="BLU192279"/>
    <n v="85637"/>
    <s v="Sylvia"/>
    <s v="Fonmoa"/>
    <s v="FEMALE"/>
    <s v="ACC23"/>
    <n v="52048"/>
    <s v="Residential Service Manager"/>
    <d v="2022-02-14T00:00:00"/>
    <m/>
    <d v="2022-05-03T00:00:00"/>
    <s v="FULL"/>
    <n v="38"/>
    <n v="1"/>
    <s v="Other Managers"/>
    <n v="147127"/>
    <s v="Ryan Tatnell"/>
    <n v="56521"/>
    <s v="Operations Manager"/>
    <x v="0"/>
    <x v="7"/>
  </r>
  <r>
    <s v="BLU165052"/>
    <n v="68391"/>
    <s v="Erica"/>
    <s v="Tattersall"/>
    <s v="FEMALE"/>
    <s v="ACC38"/>
    <n v="54288"/>
    <s v="Residential Services Partner"/>
    <d v="2016-09-13T00:00:00"/>
    <m/>
    <d v="2023-03-20T00:00:00"/>
    <s v="FULL"/>
    <n v="38"/>
    <n v="1"/>
    <s v="Clerical &amp; Admin"/>
    <n v="80057"/>
    <s v="Francis Mcquillan"/>
    <n v="54188"/>
    <s v="Head of Res Perf &amp; Enablement"/>
    <x v="0"/>
    <x v="7"/>
  </r>
  <r>
    <s v="BLU197269"/>
    <n v="89897"/>
    <s v="Renee"/>
    <s v="Brodie"/>
    <s v="FEMALE"/>
    <s v="ACC23"/>
    <n v="50247"/>
    <s v="Residential Service Manager"/>
    <d v="2023-01-30T00:00:00"/>
    <m/>
    <d v="2023-01-30T00:00:00"/>
    <s v="FULL"/>
    <n v="38"/>
    <n v="1"/>
    <s v="Other Managers"/>
    <n v="153016"/>
    <s v="Patricia Tierney"/>
    <n v="56652"/>
    <s v="Regional Operations Manager"/>
    <x v="0"/>
    <x v="7"/>
  </r>
  <r>
    <s v="BLU199444"/>
    <n v="91634"/>
    <s v="Sara J"/>
    <s v="GREENHOUSE"/>
    <s v="FEMALE"/>
    <s v="ACC23"/>
    <n v="48967"/>
    <s v="Residential Service Manager"/>
    <d v="2023-06-19T00:00:00"/>
    <m/>
    <d v="2023-06-19T00:00:00"/>
    <s v="FULL"/>
    <n v="38"/>
    <n v="1"/>
    <s v="Other Managers"/>
    <n v="153016"/>
    <s v="Patricia Tierney"/>
    <n v="56652"/>
    <s v="Regional Operations Manager"/>
    <x v="0"/>
    <x v="7"/>
  </r>
  <r>
    <s v="BLU103182"/>
    <n v="61350"/>
    <s v="Catherine"/>
    <s v="Sherlock"/>
    <s v="FEMALE"/>
    <s v="ACC23"/>
    <n v="52091"/>
    <s v="Residential Service Manager"/>
    <d v="2013-10-21T00:00:00"/>
    <m/>
    <d v="2020-06-16T00:00:00"/>
    <s v="FULL"/>
    <n v="38"/>
    <n v="1"/>
    <s v="Other Managers"/>
    <n v="147127"/>
    <s v="Ryan Tatnell"/>
    <n v="56521"/>
    <s v="Operations Manager"/>
    <x v="0"/>
    <x v="7"/>
  </r>
  <r>
    <s v="BLU198784"/>
    <n v="91231"/>
    <s v="Howard"/>
    <s v="Riach"/>
    <s v="MALE"/>
    <s v="ACC23"/>
    <n v="37878"/>
    <s v="Residential Service Manager"/>
    <d v="2023-05-01T00:00:00"/>
    <m/>
    <d v="2023-05-01T00:00:00"/>
    <s v="FULL"/>
    <n v="38"/>
    <n v="1"/>
    <s v="Other Managers"/>
    <n v="172870"/>
    <s v="Rebecca Sparrow"/>
    <n v="56509"/>
    <s v="Residential Operations Manager"/>
    <x v="0"/>
    <x v="7"/>
  </r>
  <r>
    <s v="BLU185396"/>
    <n v="80147"/>
    <s v="Pamela"/>
    <s v="Fitzgerald"/>
    <s v="FEMALE"/>
    <s v="ACC23"/>
    <n v="52066"/>
    <s v="Residential Service Manager"/>
    <d v="2020-06-29T00:00:00"/>
    <m/>
    <d v="2023-05-30T00:00:00"/>
    <s v="FULL"/>
    <n v="38"/>
    <n v="1"/>
    <s v="Other Managers"/>
    <n v="147127"/>
    <s v="Ryan Tatnell"/>
    <n v="56521"/>
    <s v="Operations Manager"/>
    <x v="0"/>
    <x v="7"/>
  </r>
  <r>
    <s v="BLU134178"/>
    <n v="84311"/>
    <s v="Katy"/>
    <s v="Mccrea"/>
    <s v="FEMALE"/>
    <s v="ACC23"/>
    <n v="52108"/>
    <s v="Residential Service Manager"/>
    <d v="2021-10-11T00:00:00"/>
    <m/>
    <d v="2021-10-11T00:00:00"/>
    <s v="FULL"/>
    <n v="38"/>
    <n v="1"/>
    <s v="Other Managers"/>
    <n v="182783"/>
    <s v="Luke Tanks"/>
    <n v="56652"/>
    <m/>
    <x v="0"/>
    <x v="7"/>
  </r>
  <r>
    <s v="BLU169943"/>
    <n v="72595"/>
    <s v="Craig"/>
    <s v="Haggart"/>
    <s v="MALE"/>
    <s v="ACC32"/>
    <n v="38493"/>
    <s v="Hospitality Partner"/>
    <d v="2018-04-03T00:00:00"/>
    <m/>
    <d v="2020-09-07T00:00:00"/>
    <s v="FULL"/>
    <n v="38"/>
    <n v="1"/>
    <s v="Other Managers"/>
    <n v="80057"/>
    <s v="Francis Mcquillan"/>
    <n v="54188"/>
    <s v="Head of Res Perf &amp; Enablement"/>
    <x v="0"/>
    <x v="7"/>
  </r>
  <r>
    <s v="BLU153016"/>
    <n v="57366"/>
    <s v="Patricia"/>
    <s v="Tierney"/>
    <s v="FEMALE"/>
    <s v="ACC37"/>
    <n v="56652"/>
    <s v="Regional Operations Manager"/>
    <d v="2012-07-17T00:00:00"/>
    <m/>
    <d v="2023-02-07T00:00:00"/>
    <s v="FULL"/>
    <n v="38"/>
    <n v="1"/>
    <s v="Senior Managers"/>
    <n v="100532"/>
    <s v="Donna Clift"/>
    <n v="35748"/>
    <s v="General Manager - Residential"/>
    <x v="0"/>
    <x v="7"/>
  </r>
  <r>
    <s v="BLU195127"/>
    <n v="88163"/>
    <s v="Roberta"/>
    <s v="Vaughan"/>
    <s v="FEMALE"/>
    <s v="ACC23"/>
    <n v="51596"/>
    <s v="Residential Service Manager"/>
    <d v="2022-09-12T00:00:00"/>
    <m/>
    <d v="2022-09-12T00:00:00"/>
    <s v="FULL"/>
    <n v="38"/>
    <n v="1"/>
    <s v="Other Managers"/>
    <n v="157944"/>
    <s v="Matthew Wise"/>
    <n v="56378"/>
    <s v="Residential Operations Manager"/>
    <x v="0"/>
    <x v="7"/>
  </r>
  <r>
    <s v="BLU195402"/>
    <n v="88419"/>
    <s v="Diane"/>
    <s v="Lignier"/>
    <s v="FEMALE"/>
    <s v="ACC23"/>
    <n v="48747"/>
    <s v="Residential Service Manager"/>
    <d v="2022-10-10T00:00:00"/>
    <m/>
    <d v="2022-10-10T00:00:00"/>
    <s v="FULL"/>
    <n v="38"/>
    <n v="1"/>
    <s v="Other Managers"/>
    <n v="157944"/>
    <s v="Matthew Wise"/>
    <n v="56378"/>
    <s v="Residential Operations Manager"/>
    <x v="0"/>
    <x v="7"/>
  </r>
  <r>
    <s v="BLU185054"/>
    <n v="79992"/>
    <s v="Aurora"/>
    <s v="Mctigue"/>
    <s v="FEMALE"/>
    <s v="ACC23"/>
    <n v="21197"/>
    <s v="Residential Service Manager"/>
    <d v="2020-05-26T00:00:00"/>
    <m/>
    <d v="2021-09-27T00:00:00"/>
    <s v="FULL"/>
    <n v="38"/>
    <n v="1"/>
    <s v="Other Managers"/>
    <n v="172870"/>
    <s v="Rebecca Sparrow"/>
    <n v="56509"/>
    <s v="Residential Operations Manager"/>
    <x v="0"/>
    <x v="7"/>
  </r>
  <r>
    <s v="BLU147127"/>
    <n v="51436"/>
    <s v="Ryan"/>
    <s v="Tatnell"/>
    <s v="MALE"/>
    <s v="ACC37"/>
    <n v="56521"/>
    <s v="Operations Manager"/>
    <d v="2010-11-29T00:00:00"/>
    <m/>
    <d v="2023-01-24T00:00:00"/>
    <s v="FULL"/>
    <n v="38"/>
    <n v="1"/>
    <s v="Senior Managers"/>
    <n v="100532"/>
    <s v="Donna Clift"/>
    <n v="35748"/>
    <s v="General Manager - Residential"/>
    <x v="0"/>
    <x v="7"/>
  </r>
  <r>
    <s v="BLU118155"/>
    <n v="24116"/>
    <s v="Kathryn"/>
    <s v="Pearce"/>
    <s v="FEMALE"/>
    <s v="ACC23"/>
    <n v="38098"/>
    <s v="Residential Service Manager"/>
    <e v="#N/A"/>
    <e v="#N/A"/>
    <d v="2023-04-18T00:00:00"/>
    <s v="FULL"/>
    <n v="38"/>
    <n v="1"/>
    <s v="Other Managers"/>
    <n v="153016"/>
    <s v="Patricia Tierney"/>
    <n v="56652"/>
    <s v="Regional Operations Manager"/>
    <x v="0"/>
    <x v="7"/>
  </r>
  <r>
    <s v="BLU157944"/>
    <n v="85584"/>
    <s v="Matthew"/>
    <s v="Wise"/>
    <s v="MALE"/>
    <s v="ACC37"/>
    <n v="56378"/>
    <s v="Residential Operations Manager"/>
    <d v="2022-01-24T00:00:00"/>
    <m/>
    <d v="2023-02-07T00:00:00"/>
    <s v="FULL"/>
    <n v="38"/>
    <n v="1"/>
    <s v="Senior Managers"/>
    <n v="100532"/>
    <s v="Donna Clift"/>
    <n v="35748"/>
    <s v="General Manager - Residential"/>
    <x v="0"/>
    <x v="7"/>
  </r>
  <r>
    <s v="BLU197835"/>
    <n v="90349"/>
    <s v="Carolyn"/>
    <s v="Provenzano"/>
    <s v="FEMALE"/>
    <s v="ACC23"/>
    <n v="52065"/>
    <s v="Residential Service Manager"/>
    <d v="2023-03-13T00:00:00"/>
    <m/>
    <d v="2023-03-13T00:00:00"/>
    <s v="FULL"/>
    <n v="38"/>
    <n v="1"/>
    <s v="Other Managers"/>
    <n v="147127"/>
    <s v="Ryan Tatnell"/>
    <n v="56521"/>
    <s v="Operations Manager"/>
    <x v="0"/>
    <x v="7"/>
  </r>
  <r>
    <s v="BLU185184"/>
    <n v="80057"/>
    <s v="Francis"/>
    <s v="Mcquillan"/>
    <s v="MALE"/>
    <s v="ACC159"/>
    <n v="54188"/>
    <s v="Head of Residential Performance and Enablement"/>
    <d v="2020-06-16T00:00:00"/>
    <m/>
    <d v="2023-06-01T00:00:00"/>
    <s v="FULL"/>
    <n v="38"/>
    <n v="1"/>
    <s v="Other Managers"/>
    <n v="100532"/>
    <s v="Donna Clift"/>
    <n v="35748"/>
    <s v="General Manager - Residential"/>
    <x v="0"/>
    <x v="7"/>
  </r>
  <r>
    <s v="BLU161584"/>
    <n v="65221"/>
    <s v="Monique"/>
    <s v="Callander"/>
    <s v="FEMALE"/>
    <s v="MIS10"/>
    <n v="10001"/>
    <s v="Executive Assistant"/>
    <d v="2015-06-09T00:00:00"/>
    <m/>
    <d v="2017-01-16T00:00:00"/>
    <s v="FULL"/>
    <n v="38"/>
    <n v="1"/>
    <s v="Clerical &amp; Admin"/>
    <n v="104457"/>
    <s v="Catherine Thomas"/>
    <n v="46972"/>
    <s v="Group Executive-ACCS &amp; ARRCS"/>
    <x v="0"/>
    <x v="8"/>
  </r>
  <r>
    <s v="UCQ017844"/>
    <n v="17844"/>
    <s v="Anne"/>
    <s v="Curson"/>
    <s v="FEMALE"/>
    <s v="ACC155"/>
    <s v="60MESA"/>
    <s v="Manager Executive Services"/>
    <d v="2018-06-25T00:00:00"/>
    <m/>
    <d v="2023-01-01T00:00:00"/>
    <s v="PART"/>
    <n v="34"/>
    <n v="0.89473684210526316"/>
    <s v="Other Managers"/>
    <n v="104457"/>
    <s v="Catherine Thomas"/>
    <n v="46972"/>
    <s v="Group Executive-ACCS &amp; ARRCS"/>
    <x v="0"/>
    <x v="8"/>
  </r>
  <r>
    <s v="BLU124042"/>
    <n v="32940"/>
    <s v="Rebecca"/>
    <s v="Bell"/>
    <s v="FEMALE"/>
    <s v="ACC08"/>
    <n v="38563"/>
    <s v="General Manager - CG&amp;Q"/>
    <d v="2005-10-17T00:00:00"/>
    <m/>
    <d v="2020-01-06T00:00:00"/>
    <s v="FULL"/>
    <n v="38"/>
    <n v="1"/>
    <s v="Senior Managers"/>
    <n v="104457"/>
    <s v="Catherine Thomas"/>
    <n v="46972"/>
    <s v="Group Executive-ACCS &amp; ARRCS"/>
    <x v="0"/>
    <x v="8"/>
  </r>
  <r>
    <s v="BLU178282"/>
    <n v="76598"/>
    <s v="Benjamin"/>
    <s v="Lindsay"/>
    <s v="MALE"/>
    <s v="ACC05"/>
    <n v="50840"/>
    <s v="General Manager"/>
    <d v="2019-05-27T00:00:00"/>
    <m/>
    <d v="2020-06-08T00:00:00"/>
    <s v="PART"/>
    <n v="15.2"/>
    <n v="0.39999999999999997"/>
    <s v="Senior Managers"/>
    <n v="104457"/>
    <s v="Catherine Thomas"/>
    <n v="46972"/>
    <s v="Group Executive-ACCS &amp; ARRCS"/>
    <x v="0"/>
    <x v="8"/>
  </r>
  <r>
    <s v="BLU100532"/>
    <n v="10525"/>
    <s v="Donna"/>
    <s v="Clift"/>
    <s v="FEMALE"/>
    <s v="ACC05"/>
    <n v="35748"/>
    <s v="General Manager - Residential"/>
    <d v="1997-07-03T00:00:00"/>
    <m/>
    <d v="2023-03-07T00:00:00"/>
    <s v="FULL"/>
    <n v="38"/>
    <n v="1"/>
    <s v="Other Exec / Gen Mgrs"/>
    <n v="104457"/>
    <s v="Catherine Thomas"/>
    <n v="46972"/>
    <s v="Group Executive-ACCS &amp; ARRCS"/>
    <x v="0"/>
    <x v="8"/>
  </r>
  <r>
    <s v="BLU162323"/>
    <n v="83397"/>
    <s v="Natalie"/>
    <s v="Schmidt"/>
    <s v="FEMALE"/>
    <s v="ACC03"/>
    <n v="53353"/>
    <s v="Community Pivot Alliance Director"/>
    <d v="2021-06-07T00:00:00"/>
    <m/>
    <d v="2021-06-07T00:00:00"/>
    <s v="FULL"/>
    <n v="38"/>
    <n v="1"/>
    <s v="Other Exec / Gen Mgrs"/>
    <n v="104457"/>
    <s v="Catherine Thomas"/>
    <n v="46972"/>
    <s v="Group Executive-ACCS &amp; ARRCS"/>
    <x v="0"/>
    <x v="8"/>
  </r>
  <r>
    <s v="BLU105018"/>
    <n v="12924"/>
    <s v="Maria"/>
    <s v="Mclaughlin-Rolfe"/>
    <s v="FEMALE"/>
    <s v="ACC02"/>
    <n v="50973"/>
    <s v="Group General Manager BlueCare/Community"/>
    <d v="1989-09-25T00:00:00"/>
    <m/>
    <d v="2023-03-07T00:00:00"/>
    <s v="FULL"/>
    <n v="38"/>
    <n v="1"/>
    <s v="Other Exec / Gen Mgrs"/>
    <n v="104457"/>
    <s v="Catherine Thomas"/>
    <n v="46972"/>
    <s v="Group Executive-ACCS &amp; ARRCS"/>
    <x v="0"/>
    <x v="8"/>
  </r>
  <r>
    <s v="UCQ018862"/>
    <n v="18862"/>
    <s v="Angelita"/>
    <s v="Wells"/>
    <s v="FEMALE"/>
    <s v="BF140"/>
    <s v="60SEO"/>
    <s v="Supporter Experience Officer"/>
    <d v="2019-09-02T00:00:00"/>
    <m/>
    <d v="2022-03-21T00:00:00"/>
    <s v="PART"/>
    <n v="22"/>
    <n v="0.57894736842105265"/>
    <s v="Clerical &amp; Admin"/>
    <n v="20249"/>
    <s v="Joanne Frampton"/>
    <s v="601LSE"/>
    <s v="Lead Supporter Experience"/>
    <x v="1"/>
    <x v="9"/>
  </r>
  <r>
    <s v="UCQ021379"/>
    <n v="21379"/>
    <s v="Laurel"/>
    <s v="Aitken"/>
    <s v="FEMALE"/>
    <s v="BF140"/>
    <s v="60SEO4"/>
    <s v="Supporter Experience Officer"/>
    <d v="2022-10-10T00:00:00"/>
    <m/>
    <d v="2022-10-10T00:00:00"/>
    <s v="FULL"/>
    <n v="38"/>
    <n v="1"/>
    <s v="Clerical &amp; Admin"/>
    <n v="20249"/>
    <s v="Joanne Frampton"/>
    <s v="601LSE"/>
    <s v="Lead Supporter Experience"/>
    <x v="1"/>
    <x v="9"/>
  </r>
  <r>
    <s v="UCQ020745"/>
    <n v="20745"/>
    <s v="Bernitte"/>
    <s v="Sadleir"/>
    <s v="FEMALE"/>
    <s v="BF140"/>
    <s v="60SEO2"/>
    <s v="Supporter Experience Officer"/>
    <d v="2022-02-21T00:00:00"/>
    <m/>
    <d v="2022-02-21T00:00:00"/>
    <s v="FULL"/>
    <n v="38"/>
    <n v="1"/>
    <s v="Clerical &amp; Admin"/>
    <n v="20249"/>
    <s v="Joanne Frampton"/>
    <s v="601LSE"/>
    <s v="Lead Supporter Experience"/>
    <x v="1"/>
    <x v="9"/>
  </r>
  <r>
    <s v="UCQ021440"/>
    <n v="21440"/>
    <s v="Nicole"/>
    <s v="Williams"/>
    <s v="FEMALE"/>
    <s v="BF114"/>
    <s v="60GWC"/>
    <s v="Gifts in Wills Coordinator"/>
    <d v="2022-10-31T00:00:00"/>
    <m/>
    <d v="2022-10-31T00:00:00"/>
    <s v="FULL"/>
    <n v="38"/>
    <n v="1"/>
    <s v="Clerical &amp; Admin"/>
    <n v="21287"/>
    <s v="Laura Petroccitto "/>
    <s v="60GWC1"/>
    <s v="Gift in Wills Lead"/>
    <x v="1"/>
    <x v="9"/>
  </r>
  <r>
    <s v="UCQ021729"/>
    <n v="21729"/>
    <s v="Carol"/>
    <s v="Guinane"/>
    <s v="FEMALE"/>
    <s v="BF114"/>
    <s v="60GWC"/>
    <s v="Gifts in Wills Coordinator"/>
    <d v="2023-01-30T00:00:00"/>
    <m/>
    <d v="2023-01-30T00:00:00"/>
    <s v="FULL"/>
    <n v="38"/>
    <n v="1"/>
    <s v="Clerical &amp; Admin"/>
    <n v="21287"/>
    <s v="Laura Petroccitto "/>
    <s v="60GWC1"/>
    <s v="Gift in Wills Lead"/>
    <x v="1"/>
    <x v="9"/>
  </r>
  <r>
    <s v="UCQ020249"/>
    <n v="20249"/>
    <s v="Joanne"/>
    <s v="Frampton"/>
    <s v="FEMALE"/>
    <s v="BF118"/>
    <s v="601LSE"/>
    <s v="Lead Supporter Experience"/>
    <d v="2021-08-16T00:00:00"/>
    <m/>
    <d v="2022-11-29T00:00:00"/>
    <s v="FULL"/>
    <n v="38"/>
    <n v="1"/>
    <s v="Clerical &amp; Admin"/>
    <n v="17145"/>
    <s v="Ann Hutchinson "/>
    <s v="60SMFF"/>
    <s v="Senior Manager Fundraising"/>
    <x v="1"/>
    <x v="9"/>
  </r>
  <r>
    <s v="UCQ018094"/>
    <n v="18094"/>
    <s v="Laura"/>
    <s v="Silvester"/>
    <s v="FEMALE"/>
    <s v="BF94"/>
    <s v="60LFD"/>
    <s v="Lead Finance and Data"/>
    <d v="2018-10-15T00:00:00"/>
    <m/>
    <d v="2022-05-20T00:00:00"/>
    <s v="FULL"/>
    <n v="38"/>
    <n v="1"/>
    <s v="Clerical &amp; Admin"/>
    <n v="21515"/>
    <s v="Thuy 'Tracey' Nguyen"/>
    <s v="60DFM"/>
    <s v="Manager Fundraising Services"/>
    <x v="1"/>
    <x v="9"/>
  </r>
  <r>
    <s v="UCQ019496"/>
    <n v="19496"/>
    <s v="Wendy"/>
    <s v="Hansen"/>
    <s v="FEMALE"/>
    <s v="BF141"/>
    <s v="60SEMA"/>
    <s v="Senior Business Development and Events Advisor"/>
    <d v="2016-07-14T00:00:00"/>
    <m/>
    <d v="2023-02-01T00:00:00"/>
    <s v="PART"/>
    <n v="32"/>
    <n v="0.84210526315789469"/>
    <s v="Other Managers"/>
    <n v="21594"/>
    <s v="James Speet "/>
    <s v="60GMCF"/>
    <s v="Business Development Manager"/>
    <x v="1"/>
    <x v="9"/>
  </r>
  <r>
    <s v="UCQ021550"/>
    <n v="21550"/>
    <s v="Wassim"/>
    <s v="Sayegh"/>
    <s v="MALE"/>
    <s v="BF110"/>
    <s v="60SCP"/>
    <s v="Corporate Partnerships Specialist"/>
    <d v="2022-11-28T00:00:00"/>
    <m/>
    <d v="2022-11-28T00:00:00"/>
    <s v="FULL"/>
    <n v="38"/>
    <n v="1"/>
    <s v="Professionals"/>
    <n v="21397"/>
    <s v="Sonya Wallis "/>
    <s v="60CPL1"/>
    <s v="Corporate Partnerships Lead"/>
    <x v="1"/>
    <x v="9"/>
  </r>
  <r>
    <s v="UCQ021565"/>
    <n v="21565"/>
    <s v="Rebecca"/>
    <s v="Patterson"/>
    <s v="FEMALE"/>
    <s v="BF110"/>
    <s v="601SCP"/>
    <s v="Corporate Partnerships Specialist"/>
    <d v="2022-11-28T00:00:00"/>
    <m/>
    <d v="2022-11-28T00:00:00"/>
    <s v="FULL"/>
    <n v="38"/>
    <n v="1"/>
    <s v="Professionals"/>
    <n v="21397"/>
    <s v="Sonya Wallis "/>
    <s v="60CPL1"/>
    <s v="Corporate Partnerships Lead"/>
    <x v="1"/>
    <x v="9"/>
  </r>
  <r>
    <s v="UCQ020238"/>
    <n v="20238"/>
    <s v="Sean"/>
    <s v="Burns"/>
    <s v="MALE"/>
    <s v="BF117"/>
    <s v="60ILIG"/>
    <s v="Lead Individual Giving"/>
    <d v="2021-08-09T00:00:00"/>
    <m/>
    <d v="2022-11-29T00:00:00"/>
    <s v="FULL"/>
    <n v="38"/>
    <n v="1"/>
    <s v="Clerical &amp; Admin"/>
    <n v="17145"/>
    <s v="Ann Hutchinson "/>
    <s v="60SMFF"/>
    <s v="Senior Manager Fundraising"/>
    <x v="1"/>
    <x v="9"/>
  </r>
  <r>
    <s v="UCQ021746"/>
    <n v="21746"/>
    <s v="Maria"/>
    <s v="Fletcher"/>
    <s v="FEMALE"/>
    <s v="BF17"/>
    <s v="60TFL"/>
    <s v="Trust and Foundation Lead"/>
    <d v="2023-02-06T00:00:00"/>
    <m/>
    <d v="2023-02-06T00:00:00"/>
    <s v="FULL"/>
    <n v="38"/>
    <n v="1"/>
    <s v="Other Managers"/>
    <n v="21226"/>
    <s v="Graeme Higgs "/>
    <s v="60PMF"/>
    <s v="Philanthropy Manager"/>
    <x v="1"/>
    <x v="9"/>
  </r>
  <r>
    <s v="UCQ021287"/>
    <n v="21287"/>
    <s v="Laura"/>
    <s v="Petroccitto"/>
    <s v="FEMALE"/>
    <s v="BF93"/>
    <s v="60GWC1"/>
    <s v="Gift in Wills Lead"/>
    <d v="2022-08-22T00:00:00"/>
    <m/>
    <d v="2022-11-29T00:00:00"/>
    <s v="FULL"/>
    <n v="38"/>
    <n v="1"/>
    <s v="Other Managers"/>
    <n v="17145"/>
    <s v="Ann Hutchinson "/>
    <s v="60SMFF"/>
    <s v="Senior Manager Fundraising"/>
    <x v="1"/>
    <x v="9"/>
  </r>
  <r>
    <s v="UCQ019635"/>
    <n v="19635"/>
    <s v="Susan"/>
    <s v="Walsh"/>
    <s v="FEMALE"/>
    <s v="BF41"/>
    <s v="602BDM"/>
    <s v="Business Development Manager"/>
    <d v="2009-09-14T00:00:00"/>
    <m/>
    <d v="2020-11-16T00:00:00"/>
    <s v="FULL"/>
    <n v="38"/>
    <n v="1"/>
    <s v="Other Managers"/>
    <n v="19425"/>
    <s v="Gregory Bartley"/>
    <s v="60GMCF"/>
    <s v="General Manager Corporate Finance"/>
    <x v="1"/>
    <x v="9"/>
  </r>
  <r>
    <s v="UCQ021226"/>
    <n v="21226"/>
    <s v="Graeme"/>
    <s v="Higgs"/>
    <s v="MALE"/>
    <s v="BF24"/>
    <s v="60PMF"/>
    <s v="Philanthropy Manager"/>
    <d v="2022-08-08T00:00:00"/>
    <m/>
    <d v="2022-08-08T00:00:00"/>
    <s v="FULL"/>
    <n v="38"/>
    <n v="1"/>
    <s v="Other Managers"/>
    <n v="21038"/>
    <s v="Lindsey Wilkinson "/>
    <s v="60HOF"/>
    <s v="Head of Fundraising"/>
    <x v="1"/>
    <x v="9"/>
  </r>
  <r>
    <s v="UCQ021402"/>
    <n v="21402"/>
    <s v="Dawn"/>
    <s v="Maes"/>
    <s v="FEMALE"/>
    <s v="BF54"/>
    <s v="60FCM1"/>
    <s v="Funding Contract Manager"/>
    <d v="2022-10-04T00:00:00"/>
    <m/>
    <d v="2022-10-04T00:00:00"/>
    <s v="FULL"/>
    <n v="38"/>
    <n v="1"/>
    <s v="Other Managers"/>
    <n v="19425"/>
    <s v="Gregory Bartley"/>
    <s v="60GMCF"/>
    <s v="General Manager Corporate Finance"/>
    <x v="1"/>
    <x v="9"/>
  </r>
  <r>
    <s v="UCQ019919"/>
    <n v="19919"/>
    <s v="Petra"/>
    <s v="Jones"/>
    <s v="FEMALE"/>
    <s v="BF41"/>
    <s v="60BDM1"/>
    <s v="Business Development Manager"/>
    <d v="2012-10-29T00:00:00"/>
    <m/>
    <d v="2021-03-09T00:00:00"/>
    <s v="PART"/>
    <n v="22"/>
    <n v="0.57894736842105265"/>
    <s v="Other Managers"/>
    <n v="19425"/>
    <s v="Gregory Bartley"/>
    <s v="60GMCF"/>
    <s v="General Manager Corporate Finance"/>
    <x v="1"/>
    <x v="9"/>
  </r>
  <r>
    <s v="UCQ021397"/>
    <n v="21397"/>
    <s v="Sonya"/>
    <s v="Wallis"/>
    <s v="FEMALE"/>
    <s v="BF85"/>
    <s v="60CPL1"/>
    <s v="Corporate Partnerships Lead"/>
    <d v="2022-09-26T00:00:00"/>
    <m/>
    <d v="2022-09-26T00:00:00"/>
    <s v="FULL"/>
    <n v="38"/>
    <n v="1"/>
    <s v="Professionals"/>
    <n v="21038"/>
    <s v="Lindsey Wilkinson "/>
    <s v="60HOF"/>
    <s v="Head of Fundraising"/>
    <x v="1"/>
    <x v="9"/>
  </r>
  <r>
    <s v="UCQ021515"/>
    <n v="21515"/>
    <s v="Thuy"/>
    <s v="Nguyen"/>
    <s v="FEMALE"/>
    <s v="BF56"/>
    <s v="60DFM"/>
    <s v="Manager Fundraising Services"/>
    <d v="2022-11-21T00:00:00"/>
    <m/>
    <d v="2022-11-21T00:00:00"/>
    <s v="FULL"/>
    <n v="38"/>
    <n v="1"/>
    <s v="Other Managers"/>
    <n v="21038"/>
    <s v="Lindsey Wilkinson "/>
    <s v="60HOF"/>
    <s v="Head of Fundraising"/>
    <x v="1"/>
    <x v="9"/>
  </r>
  <r>
    <s v="UCQ017145"/>
    <n v="17145"/>
    <s v="Ann"/>
    <s v="Hutchinson"/>
    <s v="FEMALE"/>
    <s v="BF64"/>
    <s v="60SMFF"/>
    <s v="Senior Manager Fundraising"/>
    <d v="2017-08-22T00:00:00"/>
    <m/>
    <d v="2022-05-22T00:00:00"/>
    <s v="FULL"/>
    <n v="38"/>
    <n v="1"/>
    <s v="Senior Managers"/>
    <n v="21038"/>
    <s v="Lindsey Wilkinson "/>
    <s v="60HOF"/>
    <s v="Head of Fundraising"/>
    <x v="1"/>
    <x v="9"/>
  </r>
  <r>
    <s v="UCQ021594"/>
    <n v="21594"/>
    <s v="James"/>
    <s v="Speet"/>
    <s v="MALE"/>
    <s v="BF41"/>
    <s v="60BDM"/>
    <s v="Business Development Manager"/>
    <d v="2023-01-03T00:00:00"/>
    <m/>
    <d v="2023-01-03T00:00:00"/>
    <s v="FULL"/>
    <n v="38"/>
    <n v="1"/>
    <s v="Other Managers"/>
    <n v="19425"/>
    <s v="Gregory Bartley"/>
    <s v="60GMCF"/>
    <s v="General Manager Corporate Finance"/>
    <x v="1"/>
    <x v="9"/>
  </r>
  <r>
    <s v="UCQ021038"/>
    <n v="21038"/>
    <s v="Lindsey"/>
    <s v="Wilkinson"/>
    <s v="FEMALE"/>
    <s v="BF142"/>
    <s v="BF64"/>
    <s v="Senior Manager Fundraising"/>
    <d v="2022-05-12T00:00:00"/>
    <m/>
    <d v="2023-03-27T00:00:00"/>
    <s v="FULL"/>
    <n v="38"/>
    <n v="1"/>
    <s v="Senior Managers"/>
    <n v="19425"/>
    <s v="Gregory Bartley"/>
    <s v="60GMCF"/>
    <s v="General Manager Corporate Finance"/>
    <x v="1"/>
    <x v="9"/>
  </r>
  <r>
    <s v="UCQ019548"/>
    <n v="19548"/>
    <s v="Erina"/>
    <s v="Lewis"/>
    <s v="FEMALE"/>
    <s v="BF112"/>
    <s v="60FSS2"/>
    <s v="Finance Systems Support Officer"/>
    <d v="2013-04-02T00:00:00"/>
    <m/>
    <d v="2022-07-21T00:00:00"/>
    <s v="FULL"/>
    <n v="38"/>
    <n v="1"/>
    <s v="Professionals"/>
    <n v="19716"/>
    <s v="Marijke Van Klinken"/>
    <s v="60TLD1"/>
    <s v="Team Leader Dynamics"/>
    <x v="1"/>
    <x v="10"/>
  </r>
  <r>
    <s v="UCQ019745"/>
    <n v="19745"/>
    <s v="Vaasavi"/>
    <s v="Periyathambi"/>
    <s v="FEMALE"/>
    <s v="BF91"/>
    <s v="601FAS"/>
    <s v="Functional Analyst SAP"/>
    <d v="2021-01-06T00:00:00"/>
    <m/>
    <d v="2022-07-01T00:00:00"/>
    <s v="FULL"/>
    <n v="38"/>
    <n v="1"/>
    <s v="Professionals"/>
    <n v="16468"/>
    <s v="Malcolm Foxell "/>
    <s v="60TLS"/>
    <s v="Team Leader SAP"/>
    <x v="1"/>
    <x v="10"/>
  </r>
  <r>
    <s v="UCQ019920"/>
    <n v="19920"/>
    <s v="Darlene"/>
    <s v="Adams"/>
    <s v="FEMALE"/>
    <s v="BF82"/>
    <s v="601BIA"/>
    <s v="Business Improvement Analyst"/>
    <d v="2021-03-17T00:00:00"/>
    <m/>
    <d v="2022-08-01T00:00:00"/>
    <s v="FULL"/>
    <n v="38"/>
    <n v="1"/>
    <s v="Professionals"/>
    <n v="21143"/>
    <s v="Byron Costas "/>
    <s v="60MFI"/>
    <s v="Manager Finance Innovation"/>
    <x v="1"/>
    <x v="10"/>
  </r>
  <r>
    <s v="UCQ019880"/>
    <n v="19880"/>
    <s v="Belinda"/>
    <s v="Mckenzie"/>
    <s v="FEMALE"/>
    <s v="BF91"/>
    <s v="60FAD4"/>
    <s v="Functional Analyst Dynamics"/>
    <d v="2008-07-18T00:00:00"/>
    <m/>
    <d v="2023-01-16T00:00:00"/>
    <s v="FULL"/>
    <n v="38"/>
    <n v="1"/>
    <s v="Professionals"/>
    <n v="19716"/>
    <s v="Marijke Van Klinken"/>
    <s v="60TLD1"/>
    <s v="Team Leader Dynamics"/>
    <x v="1"/>
    <x v="10"/>
  </r>
  <r>
    <s v="UCQ018277"/>
    <n v="18277"/>
    <s v="Hari"/>
    <s v="Prasad"/>
    <s v="MALE"/>
    <s v="BF91"/>
    <s v="60FASA"/>
    <s v="Functional Analyst SAP"/>
    <d v="2019-01-21T00:00:00"/>
    <m/>
    <d v="2022-02-01T00:00:00"/>
    <s v="FULL"/>
    <n v="38"/>
    <n v="1"/>
    <s v="Professionals"/>
    <n v="16468"/>
    <s v="Malcolm Foxell "/>
    <s v="C1631"/>
    <s v="Team Leader SAP"/>
    <x v="1"/>
    <x v="10"/>
  </r>
  <r>
    <s v="UCQ016468"/>
    <n v="16468"/>
    <s v="Malcolm"/>
    <s v="Foxell"/>
    <s v="MALE"/>
    <s v="BF77"/>
    <s v="60TLS"/>
    <s v="Team Leader SAP"/>
    <d v="2013-11-11T00:00:00"/>
    <m/>
    <d v="2022-07-01T00:00:00"/>
    <s v="FULL"/>
    <n v="38"/>
    <n v="1"/>
    <s v="Professionals"/>
    <n v="21143"/>
    <s v="Byron Costas "/>
    <s v="60MFI"/>
    <s v="Manager Finance Innovation"/>
    <x v="1"/>
    <x v="10"/>
  </r>
  <r>
    <s v="UCQ019716"/>
    <n v="19716"/>
    <s v="Marijke"/>
    <s v="Van Klinken"/>
    <s v="FEMALE"/>
    <s v="BF75"/>
    <s v="60TLD1"/>
    <s v="Team Leader Dynamics"/>
    <d v="2020-12-16T00:00:00"/>
    <m/>
    <d v="2023-01-03T00:00:00"/>
    <s v="FULL"/>
    <n v="38"/>
    <n v="1"/>
    <s v="Professionals"/>
    <n v="21143"/>
    <s v="Byron Costas "/>
    <s v="60MFI"/>
    <s v="Manager Finance Innovation"/>
    <x v="1"/>
    <x v="10"/>
  </r>
  <r>
    <s v="UCQ021723"/>
    <n v="21723"/>
    <s v="Jessica"/>
    <s v="Dobbs"/>
    <s v="FEMALE"/>
    <s v="ACC156"/>
    <s v="601SAC"/>
    <s v="Senior Aged Care Consultant"/>
    <d v="2023-01-16T00:00:00"/>
    <m/>
    <d v="2023-01-16T00:00:00"/>
    <s v="FULL"/>
    <n v="38"/>
    <n v="1"/>
    <s v="Professionals"/>
    <n v="20863"/>
    <s v="Amber Manners "/>
    <s v="61GMFM"/>
    <s v="General Manager Finance Moderinisation"/>
    <x v="1"/>
    <x v="10"/>
  </r>
  <r>
    <s v="UCQ021143"/>
    <n v="21143"/>
    <s v="Byron"/>
    <s v="Costas"/>
    <s v="MALE"/>
    <s v="BF30"/>
    <s v="60MFI"/>
    <s v="Manager Finance Innovation"/>
    <d v="2022-08-01T00:00:00"/>
    <m/>
    <d v="2022-08-01T00:00:00"/>
    <s v="FULL"/>
    <n v="38"/>
    <n v="1"/>
    <s v="Senior Managers"/>
    <n v="20863"/>
    <s v="Amber Manners "/>
    <s v="61GMFM"/>
    <s v="General Manager Finance Moderinisation"/>
    <x v="1"/>
    <x v="10"/>
  </r>
  <r>
    <s v="UCQ018174"/>
    <n v="18174"/>
    <s v="Carol"/>
    <s v="Curling"/>
    <s v="FEMALE"/>
    <s v="BF126"/>
    <s v="60APO4"/>
    <s v="Accounts Payable Officer"/>
    <d v="2018-12-03T00:00:00"/>
    <d v="2023-07-31T00:00:00"/>
    <d v="2023-04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18635"/>
    <n v="18635"/>
    <s v="Cassandra"/>
    <s v="Francis"/>
    <s v="FEMALE"/>
    <s v="BF126"/>
    <s v="60APO5"/>
    <s v="Accounts Payable Officer"/>
    <d v="2019-06-03T00:00:00"/>
    <m/>
    <d v="2020-11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19571"/>
    <n v="19571"/>
    <s v="Mary"/>
    <s v="Lucas"/>
    <s v="FEMALE"/>
    <s v="BF126"/>
    <s v="60APO"/>
    <s v="Accounts Payable Officer"/>
    <d v="2011-11-07T00:00:00"/>
    <m/>
    <d v="2020-10-20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06"/>
    <n v="21806"/>
    <s v="Julie"/>
    <s v="Johnston"/>
    <s v="FEMALE"/>
    <s v="BF49"/>
    <s v="60CO5"/>
    <s v="Collections Officer"/>
    <d v="2022-09-12T00:00:00"/>
    <m/>
    <d v="2023-03-06T00:00:00"/>
    <s v="FULL"/>
    <n v="38"/>
    <n v="1"/>
    <s v="Clerical &amp; Admin"/>
    <n v="20039"/>
    <s v="Eden Stuart "/>
    <s v="60RAM1"/>
    <s v="Revenue Assistance Manager"/>
    <x v="1"/>
    <x v="11"/>
  </r>
  <r>
    <s v="UCQ021031"/>
    <n v="21031"/>
    <s v="Ofa-Ki-Vaha"/>
    <s v="Akuila"/>
    <s v="FEMALE"/>
    <s v="BF49"/>
    <s v="60CO7"/>
    <s v="Collections Officer"/>
    <d v="2022-05-17T00:00:00"/>
    <d v="2023-05-16T00:00:00"/>
    <d v="2022-05-17T00:00:00"/>
    <s v="FULL"/>
    <n v="38"/>
    <n v="1"/>
    <s v="Clerical &amp; Admin"/>
    <n v="20039"/>
    <s v="Eden Stuart "/>
    <s v="60RAM1"/>
    <s v="Revenue Assistance Manager"/>
    <x v="1"/>
    <x v="11"/>
  </r>
  <r>
    <s v="UCQ021050"/>
    <n v="21050"/>
    <s v="Troy"/>
    <s v="Benioni"/>
    <s v="MALE"/>
    <s v="BF49"/>
    <s v="60CO12"/>
    <s v="Collections Officer"/>
    <d v="2022-05-17T00:00:00"/>
    <m/>
    <d v="2023-05-15T00:00:00"/>
    <s v="FULL"/>
    <n v="38"/>
    <n v="1"/>
    <s v="Clerical &amp; Admin"/>
    <n v="20039"/>
    <s v="Eden Stuart "/>
    <s v="60RAM1"/>
    <s v="Revenue Assistance Manager"/>
    <x v="1"/>
    <x v="11"/>
  </r>
  <r>
    <s v="UCQ021393"/>
    <n v="21393"/>
    <s v="Marjorie"/>
    <s v="Ocampo"/>
    <s v="FEMALE"/>
    <s v="BF49"/>
    <s v="60CO6"/>
    <s v="Collections Officer"/>
    <d v="2022-10-18T00:00:00"/>
    <m/>
    <d v="2022-10-18T00:00:00"/>
    <s v="FULL"/>
    <n v="38"/>
    <n v="1"/>
    <s v="Clerical &amp; Admin"/>
    <n v="20039"/>
    <s v="Eden Stuart "/>
    <s v="60RAM1"/>
    <s v="Revenue Assistance Manager"/>
    <x v="1"/>
    <x v="11"/>
  </r>
  <r>
    <s v="UCQ021458"/>
    <n v="21458"/>
    <s v="Emeline"/>
    <s v="Nanai"/>
    <s v="FEMALE"/>
    <s v="BF49"/>
    <s v="60CO4"/>
    <s v="Collections Officer"/>
    <d v="2022-10-18T00:00:00"/>
    <m/>
    <d v="2022-10-18T00:00:00"/>
    <s v="FULL"/>
    <n v="38"/>
    <n v="1"/>
    <s v="Clerical &amp; Admin"/>
    <n v="20039"/>
    <s v="Eden Stuart "/>
    <s v="60RAM1"/>
    <s v="Revenue Assistance Manager"/>
    <x v="1"/>
    <x v="11"/>
  </r>
  <r>
    <s v="UCQ021935"/>
    <n v="21935"/>
    <s v="Ruhan"/>
    <s v="Lombard"/>
    <s v="MALE"/>
    <s v="BF49"/>
    <s v="60CO12"/>
    <s v="Collections Officer"/>
    <d v="2023-04-05T00:00:00"/>
    <m/>
    <d v="2023-04-05T00:00:00"/>
    <s v="FULL"/>
    <n v="38"/>
    <n v="1"/>
    <s v="Clerical &amp; Admin"/>
    <n v="20039"/>
    <s v="Eden Stuart "/>
    <s v="60RAM1"/>
    <s v="Revenue Assistance Manager"/>
    <x v="1"/>
    <x v="11"/>
  </r>
  <r>
    <s v="UCQ022039"/>
    <n v="22039"/>
    <s v="Hayley"/>
    <s v="Dodson"/>
    <s v="FEMALE"/>
    <s v="BF49"/>
    <s v="60CO9"/>
    <s v="Collections Officer"/>
    <d v="2023-06-14T00:00:00"/>
    <m/>
    <d v="2023-06-14T00:00:00"/>
    <s v="FULL"/>
    <n v="38"/>
    <n v="1"/>
    <s v="Clerical &amp; Admin"/>
    <n v="20039"/>
    <s v="Eden Stuart "/>
    <s v="60RAM1"/>
    <s v="Revenue Assistance Manager"/>
    <x v="1"/>
    <x v="11"/>
  </r>
  <r>
    <s v="UCQ019560"/>
    <n v="19560"/>
    <s v="Roxana"/>
    <s v="Proano Ocampo"/>
    <s v="FEMALE"/>
    <s v="BF126"/>
    <s v="601APO"/>
    <s v="Accounts Payable Officer"/>
    <d v="2014-09-22T00:00:00"/>
    <m/>
    <d v="2020-10-19T00:00:00"/>
    <s v="PART"/>
    <n v="30"/>
    <n v="0.78947368421052633"/>
    <s v="Clerical &amp; Admin"/>
    <n v="22006"/>
    <s v="Dennyse Nesdale "/>
    <s v="60APTL"/>
    <s v="Accounts Payable Transformation Team Leader"/>
    <x v="1"/>
    <x v="11"/>
  </r>
  <r>
    <s v="UCQ019563"/>
    <n v="19563"/>
    <s v="Evelyn"/>
    <s v="Rivera"/>
    <s v="FEMALE"/>
    <s v="BF126"/>
    <s v="60APO3"/>
    <s v="Accounts Payable Officer"/>
    <d v="2015-08-24T00:00:00"/>
    <m/>
    <d v="2020-10-19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19565"/>
    <n v="19565"/>
    <s v="Ann-Leng"/>
    <s v="Ching"/>
    <s v="FEMALE"/>
    <s v="BF126"/>
    <s v="60APO2"/>
    <s v="Accounts Payable Officer"/>
    <d v="2011-08-01T00:00:00"/>
    <m/>
    <d v="2023-05-01T00:00:00"/>
    <s v="PART"/>
    <n v="30"/>
    <n v="0.78947368421052633"/>
    <s v="Clerical &amp; Admin"/>
    <n v="22006"/>
    <s v="Dennyse Nesdale "/>
    <s v="60APTL"/>
    <s v="Accounts Payable Transformation Team Leader"/>
    <x v="1"/>
    <x v="11"/>
  </r>
  <r>
    <s v="UCQ021915"/>
    <n v="21915"/>
    <s v="Faith"/>
    <s v="Davenport"/>
    <s v="FEMALE"/>
    <s v="BF49"/>
    <s v="60CO3"/>
    <s v="Collection Officer"/>
    <d v="2023-04-05T00:00:00"/>
    <m/>
    <d v="2023-04-05T00:00:00"/>
    <s v="FULL"/>
    <n v="38"/>
    <n v="1"/>
    <s v="Clerical &amp; Admin"/>
    <n v="20039"/>
    <s v="Eden Stuart "/>
    <s v="60RAM1"/>
    <s v="Revenue Assistance Manager"/>
    <x v="1"/>
    <x v="11"/>
  </r>
  <r>
    <s v="UCQ021780"/>
    <n v="21780"/>
    <s v="Anna"/>
    <s v="Dimatulac"/>
    <s v="FEMALE"/>
    <s v="BF49"/>
    <s v="60CO2"/>
    <s v="Collections Officer"/>
    <d v="2023-03-06T00:00:00"/>
    <m/>
    <d v="2023-03-06T00:00:00"/>
    <s v="FULL"/>
    <n v="38"/>
    <n v="1"/>
    <s v="Clerical &amp; Admin"/>
    <n v="20039"/>
    <s v="Eden Stuart "/>
    <s v="60RAM1"/>
    <s v="Revenue Assistance Manager"/>
    <x v="1"/>
    <x v="11"/>
  </r>
  <r>
    <s v="UCQ021311"/>
    <n v="21311"/>
    <s v="Danielle"/>
    <s v="Ray"/>
    <s v="FEMALE"/>
    <s v="BF126"/>
    <s v="60APOF"/>
    <s v="Accounts Payable Officer"/>
    <d v="2022-09-19T00:00:00"/>
    <m/>
    <d v="2023-05-15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732"/>
    <n v="21732"/>
    <s v="Danny"/>
    <s v="Valencia Manchola"/>
    <s v="FEMALE"/>
    <s v="BF126"/>
    <s v="60APO8"/>
    <s v="Accounts Payable Officer"/>
    <d v="2023-02-01T00:00:00"/>
    <d v="2023-10-31T00:00:00"/>
    <d v="2023-02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19566"/>
    <n v="19566"/>
    <s v="Katina"/>
    <s v="Stoddart"/>
    <s v="FEMALE"/>
    <s v="BF126"/>
    <s v="60APO1"/>
    <s v="Accounts Payable Officer"/>
    <d v="2009-10-12T00:00:00"/>
    <m/>
    <d v="2020-10-19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076"/>
    <n v="21076"/>
    <s v="Diana"/>
    <s v="Ashton"/>
    <s v="FEMALE"/>
    <s v="BF126"/>
    <s v="603APO"/>
    <s v="Accounts Payable Officer"/>
    <d v="2022-05-23T00:00:00"/>
    <d v="2023-10-31T00:00:00"/>
    <d v="2023-01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020"/>
    <n v="21020"/>
    <s v="Minji"/>
    <s v="Kim"/>
    <s v="FEMALE"/>
    <s v="BF126"/>
    <s v="60APO7"/>
    <s v="Accounts Payable Officer"/>
    <d v="2022-05-03T00:00:00"/>
    <m/>
    <d v="2022-10-24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0673"/>
    <n v="20673"/>
    <s v="Maryke"/>
    <s v="Lombard"/>
    <s v="FEMALE"/>
    <s v="BF65"/>
    <s v="60TARA"/>
    <s v="Team Administrator RAA"/>
    <d v="2019-03-26T00:00:00"/>
    <m/>
    <d v="2022-05-17T00:00:00"/>
    <s v="FULL"/>
    <n v="38"/>
    <n v="1"/>
    <s v="Clerical &amp; Admin"/>
    <n v="20039"/>
    <s v="Eden Stuart "/>
    <s v="60RAM1"/>
    <s v="Revenue Assistance Manager"/>
    <x v="1"/>
    <x v="11"/>
  </r>
  <r>
    <s v="UCQ020598"/>
    <n v="20598"/>
    <s v="Mamtaben"/>
    <s v="Panchal"/>
    <s v="FEMALE"/>
    <s v="BF126"/>
    <s v="60AP10"/>
    <s v="Accounts Payable Officer"/>
    <d v="2021-12-13T00:00:00"/>
    <m/>
    <d v="2022-05-0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19870"/>
    <n v="19870"/>
    <s v="Diego"/>
    <s v="Torres Miranda"/>
    <s v="MALE"/>
    <s v="BF68"/>
    <s v="60BO4"/>
    <s v="Banking Officer"/>
    <d v="2021-02-22T00:00:00"/>
    <m/>
    <d v="2023-04-01T00:00:00"/>
    <s v="FULL"/>
    <n v="38"/>
    <n v="1"/>
    <s v="Clerical &amp; Admin"/>
    <n v="20039"/>
    <s v="Eden Stuart "/>
    <s v="60RAM1"/>
    <s v="Revenue Assistance Manager"/>
    <x v="1"/>
    <x v="11"/>
  </r>
  <r>
    <s v="UCQ020478"/>
    <n v="20478"/>
    <s v="Gemma"/>
    <s v="O'Reilly"/>
    <s v="FEMALE"/>
    <s v="BF68"/>
    <s v="60BO3"/>
    <s v="Banking Officer"/>
    <d v="2021-11-08T00:00:00"/>
    <m/>
    <d v="2023-04-01T00:00:00"/>
    <s v="FULL"/>
    <n v="38"/>
    <n v="1"/>
    <s v="Clerical &amp; Admin"/>
    <n v="20039"/>
    <s v="Eden Stuart "/>
    <s v="60RAM1"/>
    <s v="Revenue Assistance Manager"/>
    <x v="1"/>
    <x v="11"/>
  </r>
  <r>
    <s v="UCQ021316"/>
    <n v="21316"/>
    <s v="Jennifer"/>
    <s v="Hewitt"/>
    <s v="FEMALE"/>
    <s v="BF68"/>
    <s v="60BO1"/>
    <s v="Banking Officer"/>
    <d v="2022-09-13T00:00:00"/>
    <m/>
    <d v="2022-09-13T00:00:00"/>
    <s v="PART"/>
    <n v="22"/>
    <n v="0.57894736842105265"/>
    <s v="Clerical &amp; Admin"/>
    <n v="20039"/>
    <s v="Eden Stuart "/>
    <s v="60RAM1"/>
    <s v="Revenue Assistance Manager"/>
    <x v="1"/>
    <x v="11"/>
  </r>
  <r>
    <s v="UCQ020480"/>
    <n v="20480"/>
    <s v="Melanie"/>
    <s v="Allen"/>
    <s v="FEMALE"/>
    <s v="BF139"/>
    <s v="606RAO"/>
    <s v="Revenue Assurance Officer"/>
    <d v="2021-11-08T00:00:00"/>
    <m/>
    <d v="2023-02-15T00:00:00"/>
    <s v="FULL"/>
    <n v="38"/>
    <n v="1"/>
    <s v="Clerical &amp; Admin"/>
    <n v="21960"/>
    <s v="Jeannie Vasuian "/>
    <s v="60CQAO"/>
    <s v="Quality Assurance Officer Community"/>
    <x v="1"/>
    <x v="11"/>
  </r>
  <r>
    <s v="UCQ021250"/>
    <n v="21250"/>
    <s v="Anouchka-Chantal"/>
    <s v="Teixeira"/>
    <s v="FEMALE"/>
    <s v="BF139"/>
    <s v="60RAO2"/>
    <s v="Revenue Assurance Officer ARRCS"/>
    <d v="2022-08-09T00:00:00"/>
    <m/>
    <d v="2022-08-09T00:00:00"/>
    <s v="FULL"/>
    <n v="38"/>
    <n v="1"/>
    <s v="Clerical &amp; Admin"/>
    <n v="19848"/>
    <s v="Blessing Mawaka "/>
    <s v="60RAS4"/>
    <s v="Revenue Assurance Manager"/>
    <x v="1"/>
    <x v="11"/>
  </r>
  <r>
    <s v="UCQ020819"/>
    <n v="20819"/>
    <s v="Kylie"/>
    <s v="Medley"/>
    <s v="FEMALE"/>
    <s v="BF139"/>
    <s v="607RAO"/>
    <s v="Revenue Assurance Officer"/>
    <d v="2022-03-08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867"/>
    <n v="20867"/>
    <s v="Ruth"/>
    <s v="Cook"/>
    <s v="FEMALE"/>
    <s v="BF139"/>
    <s v="60RAO6"/>
    <s v="Revenue Assurance Officer"/>
    <d v="2018-11-26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868"/>
    <n v="20868"/>
    <s v="Arun-Kumar"/>
    <s v="Pant"/>
    <s v="MALE"/>
    <s v="BF68"/>
    <s v="60BO2"/>
    <s v="Banking Officer"/>
    <d v="2018-01-30T00:00:00"/>
    <m/>
    <d v="2023-04-01T00:00:00"/>
    <s v="FULL"/>
    <n v="38"/>
    <n v="1"/>
    <s v="Clerical &amp; Admin"/>
    <n v="20039"/>
    <s v="Eden Stuart "/>
    <s v="60RAM1"/>
    <s v="Revenue Assistance Manager"/>
    <x v="1"/>
    <x v="11"/>
  </r>
  <r>
    <s v="UCQ020866"/>
    <n v="20866"/>
    <s v="Mary"/>
    <s v="Williams"/>
    <s v="FEMALE"/>
    <s v="BF130"/>
    <s v="60RAO7"/>
    <s v="Finance  Officer"/>
    <d v="2010-03-01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795"/>
    <n v="20795"/>
    <s v="Sheerti"/>
    <s v="Prasad"/>
    <s v="FEMALE"/>
    <s v="BF139"/>
    <s v="602RAO"/>
    <s v="Revenue Assurance Officer"/>
    <d v="2022-02-22T00:00:00"/>
    <m/>
    <d v="2022-03-08T00:00:00"/>
    <s v="FULL"/>
    <n v="38"/>
    <n v="1"/>
    <s v="Clerical &amp; Admin"/>
    <n v="21960"/>
    <s v="Jeannie Vasuian "/>
    <s v="60CQAO"/>
    <s v="Quality Assurance Officer Community"/>
    <x v="1"/>
    <x v="11"/>
  </r>
  <r>
    <s v="UCQ020943"/>
    <n v="20943"/>
    <s v="Genevieve"/>
    <s v="Huch"/>
    <s v="FEMALE"/>
    <s v="BF126"/>
    <s v="60APOS"/>
    <s v="Accounts Payable Officer"/>
    <d v="2022-04-04T00:00:00"/>
    <m/>
    <d v="2023-05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15"/>
    <n v="21815"/>
    <s v="Debika"/>
    <s v="Debayanee"/>
    <s v="FEMALE"/>
    <s v="BF126"/>
    <s v="60AP12"/>
    <s v="Accounts Payable Officer"/>
    <d v="2023-02-23T00:00:00"/>
    <d v="2023-08-31T00:00:00"/>
    <d v="2023-02-2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16"/>
    <n v="21816"/>
    <s v="Michelle"/>
    <s v="Canavan"/>
    <s v="FEMALE"/>
    <s v="BF126"/>
    <s v="60AP13"/>
    <s v="Accounts Payable Officer"/>
    <d v="2023-02-23T00:00:00"/>
    <d v="2023-10-31T00:00:00"/>
    <d v="2023-02-2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18"/>
    <n v="21818"/>
    <s v="Nadine"/>
    <s v="O'Hara"/>
    <s v="FEMALE"/>
    <s v="BF126"/>
    <s v="60AP15"/>
    <s v="Accounts Payable Officer"/>
    <d v="2023-02-23T00:00:00"/>
    <d v="2023-08-31T00:00:00"/>
    <d v="2023-02-2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17"/>
    <n v="21817"/>
    <s v="Anoushka"/>
    <s v="Arro"/>
    <s v="FEMALE"/>
    <s v="BF126"/>
    <s v="60AP14"/>
    <s v="Accounts Payable Officer"/>
    <d v="2023-02-23T00:00:00"/>
    <m/>
    <d v="2023-02-2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1820"/>
    <n v="21820"/>
    <s v="Yifei"/>
    <s v="Yang"/>
    <s v="FEMALE"/>
    <s v="BF126"/>
    <s v="60AP16"/>
    <s v="Accounts Payable Officer"/>
    <d v="2023-02-23T00:00:00"/>
    <m/>
    <d v="2023-02-2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0851"/>
    <n v="20851"/>
    <s v="Sandesh"/>
    <s v="Ratnayake"/>
    <s v="MALE"/>
    <s v="BF99"/>
    <s v="60BRO1"/>
    <s v="Bank Reconciliation Officer"/>
    <d v="2022-03-08T00:00:00"/>
    <m/>
    <d v="2022-10-31T00:00:00"/>
    <s v="FULL"/>
    <n v="38"/>
    <n v="1"/>
    <s v="Clerical &amp; Admin"/>
    <n v="20712"/>
    <s v="Jessica Milne "/>
    <s v="60FMHO"/>
    <s v="Finance Manager Hospitals"/>
    <x v="1"/>
    <x v="11"/>
  </r>
  <r>
    <s v="UCQ021124"/>
    <n v="21124"/>
    <s v="Tanya"/>
    <s v="Buskens"/>
    <s v="FEMALE"/>
    <s v="BF139"/>
    <s v="603RAO"/>
    <s v="Revenue Assurance Officer"/>
    <d v="2022-06-28T00:00:00"/>
    <m/>
    <d v="2022-06-28T00:00:00"/>
    <s v="FULL"/>
    <n v="38"/>
    <n v="1"/>
    <s v="Clerical &amp; Admin"/>
    <n v="19848"/>
    <s v="Blessing Mawaka "/>
    <s v="60RAS4"/>
    <s v="Revenue Assurance Manager"/>
    <x v="1"/>
    <x v="11"/>
  </r>
  <r>
    <s v="UCQ021210"/>
    <n v="21210"/>
    <s v="Lauren"/>
    <s v="Maxim"/>
    <s v="FEMALE"/>
    <s v="BF139"/>
    <s v="609ROA"/>
    <s v="Revenue Assurance Officer"/>
    <d v="2022-08-09T00:00:00"/>
    <m/>
    <d v="2023-04-04T00:00:00"/>
    <s v="FULL"/>
    <n v="38"/>
    <n v="1"/>
    <s v="Clerical &amp; Admin"/>
    <n v="19848"/>
    <s v="Blessing Mawaka "/>
    <s v="60RAS4"/>
    <s v="Revenue Assurance Manager"/>
    <x v="1"/>
    <x v="11"/>
  </r>
  <r>
    <s v="UCQ021230"/>
    <n v="21230"/>
    <s v="Romeela"/>
    <s v="Narayan"/>
    <s v="FEMALE"/>
    <s v="BF139"/>
    <s v="60RAO6"/>
    <s v="Revenue Assurance Officer"/>
    <d v="2022-01-17T00:00:00"/>
    <m/>
    <d v="2023-04-04T00:00:00"/>
    <s v="FULL"/>
    <n v="38"/>
    <n v="1"/>
    <s v="Clerical &amp; Admin"/>
    <n v="19848"/>
    <s v="Blessing Mawaka "/>
    <s v="60RAS4"/>
    <s v="Revenue Assurance Manager"/>
    <x v="1"/>
    <x v="11"/>
  </r>
  <r>
    <s v="UCQ022024"/>
    <n v="22024"/>
    <s v="Sijia"/>
    <s v="Liu"/>
    <s v="FEMALE"/>
    <s v="BF139"/>
    <s v="607RA7"/>
    <s v="Revenue Assurance Officer"/>
    <d v="2023-05-16T00:00:00"/>
    <m/>
    <d v="2023-05-16T00:00:00"/>
    <s v="FULL"/>
    <n v="38"/>
    <n v="1"/>
    <s v="Clerical &amp; Admin"/>
    <n v="19848"/>
    <s v="Blessing Mawaka "/>
    <s v="60RAS4"/>
    <s v="Revenue Assurance Manager"/>
    <x v="1"/>
    <x v="11"/>
  </r>
  <r>
    <s v="UCQ022040"/>
    <n v="22040"/>
    <s v="Muhammad"/>
    <s v="Alim"/>
    <s v="MALE"/>
    <s v="BF139"/>
    <s v="60AO4"/>
    <s v="Revenue Assurance Officer"/>
    <d v="2023-05-16T00:00:00"/>
    <m/>
    <d v="2023-05-16T00:00:00"/>
    <s v="FULL"/>
    <n v="38"/>
    <n v="1"/>
    <s v="Clerical &amp; Admin"/>
    <n v="19848"/>
    <s v="Blessing Mawaka "/>
    <s v="H02701"/>
    <s v="Revenue Assurance Manager"/>
    <x v="1"/>
    <x v="11"/>
  </r>
  <r>
    <s v="UCQ021391"/>
    <n v="21391"/>
    <s v="Elizabeth"/>
    <s v="Mcmillan"/>
    <s v="FEMALE"/>
    <s v="BF139"/>
    <s v="608RAO"/>
    <s v="Revenue Assurance Officer"/>
    <d v="2022-10-04T00:00:00"/>
    <m/>
    <d v="2022-10-04T00:00:00"/>
    <s v="FULL"/>
    <n v="38"/>
    <n v="1"/>
    <s v="Clerical &amp; Admin"/>
    <n v="300008"/>
    <s v="Jeannie Vasuian "/>
    <s v="60CQAO"/>
    <s v="Quality Assurance Officer Community"/>
    <x v="1"/>
    <x v="11"/>
  </r>
  <r>
    <s v="UCQ021451"/>
    <n v="21451"/>
    <s v="Donna"/>
    <s v="Boiston"/>
    <s v="FEMALE"/>
    <s v="BF139"/>
    <s v="60RAON"/>
    <s v="Revenue Assurance Officer NDIS"/>
    <d v="2022-10-18T00:00:00"/>
    <m/>
    <d v="2023-04-17T00:00:00"/>
    <s v="FULL"/>
    <n v="38"/>
    <n v="1"/>
    <s v="Clerical &amp; Admin"/>
    <n v="19848"/>
    <s v="Blessing Mawaka "/>
    <s v="60RAS4"/>
    <s v="Revenue Assurance Manager"/>
    <x v="1"/>
    <x v="11"/>
  </r>
  <r>
    <s v="UCQ020690"/>
    <n v="20690"/>
    <s v="Dilum"/>
    <s v="Dissanayake"/>
    <s v="MALE"/>
    <s v="BF139"/>
    <s v="601RAO"/>
    <s v="Revenue Assurance Officer"/>
    <d v="2022-01-17T00:00:00"/>
    <m/>
    <d v="2022-10-31T00:00:00"/>
    <s v="FULL"/>
    <n v="38"/>
    <n v="1"/>
    <s v="Clerical &amp; Admin"/>
    <n v="20712"/>
    <s v="Jessica Milne "/>
    <s v="60FMHO"/>
    <s v="Finance Manager Hospitals"/>
    <x v="1"/>
    <x v="11"/>
  </r>
  <r>
    <s v="UCQ020562"/>
    <n v="20562"/>
    <s v="Naz"/>
    <s v="Khalil"/>
    <s v="FEMALE"/>
    <s v="BF126"/>
    <s v="602APO"/>
    <s v="Accounts Payable Officer"/>
    <d v="2021-12-06T00:00:00"/>
    <m/>
    <d v="2022-06-01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0585"/>
    <n v="20585"/>
    <s v="Cheryl"/>
    <s v="Hasler"/>
    <s v="FEMALE"/>
    <s v="BF126"/>
    <s v="60APO9"/>
    <s v="Accounts Payable Officer"/>
    <d v="2021-12-20T00:00:00"/>
    <m/>
    <d v="2022-05-0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0864"/>
    <n v="20864"/>
    <s v="Siti"/>
    <s v="Evans"/>
    <s v="FEMALE"/>
    <s v="BF130"/>
    <s v="60FO2"/>
    <s v="Finance Officer"/>
    <d v="2010-10-26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234"/>
    <n v="20234"/>
    <s v="Rachael"/>
    <s v="Long"/>
    <s v="FEMALE"/>
    <s v="BF139"/>
    <s v="60RAO4"/>
    <s v="Revenue Assurance Officer"/>
    <d v="2021-08-09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19928"/>
    <n v="19928"/>
    <s v="Trey"/>
    <s v="Lowrie"/>
    <s v="MALE"/>
    <s v="BF139"/>
    <s v="609RAO"/>
    <s v="Revenue Assurance Officer"/>
    <d v="2021-02-22T00:00:00"/>
    <m/>
    <d v="2022-03-08T00:00:00"/>
    <s v="FULL"/>
    <n v="38"/>
    <n v="1"/>
    <s v="Clerical &amp; Admin"/>
    <n v="21960"/>
    <s v="Jeannie Vasuian "/>
    <s v="60CQAO"/>
    <s v="Quality Assurance Officer Community"/>
    <x v="1"/>
    <x v="11"/>
  </r>
  <r>
    <s v="UCQ020030"/>
    <n v="20030"/>
    <s v="Nadia"/>
    <s v="Watts"/>
    <s v="FEMALE"/>
    <s v="BF139"/>
    <s v="60REV"/>
    <s v="Revenue Assurance Officer Residential"/>
    <d v="2021-04-13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961"/>
    <n v="20961"/>
    <s v="Leanne"/>
    <s v="Joyce-Brandon"/>
    <s v="FEMALE"/>
    <s v="BF126"/>
    <s v="60APOD"/>
    <s v="Accounts Payable Officer"/>
    <d v="2022-03-31T00:00:00"/>
    <m/>
    <d v="2022-05-03T00:00:00"/>
    <s v="FULL"/>
    <n v="38"/>
    <n v="1"/>
    <s v="Clerical &amp; Admin"/>
    <n v="22006"/>
    <s v="Dennyse Nesdale "/>
    <s v="60APTL"/>
    <s v="Accounts Payable Transformation Team Leader"/>
    <x v="1"/>
    <x v="11"/>
  </r>
  <r>
    <s v="UCQ020865"/>
    <n v="20865"/>
    <s v="Dian"/>
    <s v="Price"/>
    <s v="FEMALE"/>
    <s v="BF130"/>
    <s v="60RAO8"/>
    <s v="Finance Officer"/>
    <d v="2010-03-01T00:00:00"/>
    <m/>
    <d v="2022-03-08T00:00:00"/>
    <s v="FULL"/>
    <n v="38"/>
    <n v="1"/>
    <s v="Clerical &amp; Admin"/>
    <n v="19848"/>
    <s v="Blessing Mawaka "/>
    <s v="60RAS4"/>
    <s v="Revenue Assurance Manager"/>
    <x v="1"/>
    <x v="11"/>
  </r>
  <r>
    <s v="UCQ020280"/>
    <n v="20280"/>
    <s v="Cody"/>
    <s v="Park-Lowther"/>
    <s v="MALE"/>
    <s v="BF123"/>
    <s v="60QAOB"/>
    <s v="Quality Assurance Officer Banking"/>
    <d v="2021-08-30T00:00:00"/>
    <m/>
    <d v="2022-07-12T00:00:00"/>
    <s v="FULL"/>
    <n v="38"/>
    <n v="1"/>
    <s v="Clerical &amp; Admin"/>
    <n v="20039"/>
    <s v="Eden Stuart "/>
    <s v="60RAM1"/>
    <s v="Revenue Assistance Manager"/>
    <x v="1"/>
    <x v="11"/>
  </r>
  <r>
    <s v="UCQ020246"/>
    <n v="20246"/>
    <s v="Taina"/>
    <s v="Tapueluelu"/>
    <s v="FEMALE"/>
    <s v="BF123"/>
    <s v="60QAOC"/>
    <s v="Quality Assurance Officer Collections"/>
    <d v="2021-08-09T00:00:00"/>
    <m/>
    <d v="2023-05-15T00:00:00"/>
    <s v="FULL"/>
    <n v="38"/>
    <n v="1"/>
    <s v="Clerical &amp; Admin"/>
    <n v="20039"/>
    <s v="Eden Stuart "/>
    <s v="60RAM1"/>
    <s v="Revenue Assistance Manager"/>
    <x v="1"/>
    <x v="11"/>
  </r>
  <r>
    <s v="UCQ021505"/>
    <n v="21505"/>
    <s v="Christopher"/>
    <s v="Thomas"/>
    <s v="MALE"/>
    <s v="BF133"/>
    <s v="60JFA"/>
    <s v="Junior Financial Accountant"/>
    <d v="2022-11-07T00:00:00"/>
    <d v="2023-12-15T00:00:00"/>
    <d v="2022-11-07T00:00:00"/>
    <s v="FULL"/>
    <n v="38"/>
    <n v="1"/>
    <s v="Professionals"/>
    <n v="21241"/>
    <s v="Trudy Oldham "/>
    <s v="60FMBA"/>
    <s v="Finance Manager BlueCare ARRCS"/>
    <x v="1"/>
    <x v="11"/>
  </r>
  <r>
    <s v="UCQ021805"/>
    <n v="21805"/>
    <s v="Tejas"/>
    <s v="Narsinh"/>
    <s v="MALE"/>
    <s v="BF123"/>
    <s v="60QAON"/>
    <s v="Quality Assurance Officer NDIS UCC UCQ"/>
    <d v="2019-07-30T00:00:00"/>
    <m/>
    <d v="2023-03-06T00:00:00"/>
    <s v="FULL"/>
    <n v="38"/>
    <n v="1"/>
    <s v="Clerical &amp; Admin"/>
    <n v="19848"/>
    <s v="Blessing Mawaka "/>
    <s v="60RAS4"/>
    <s v="Revenue Assurance Manager"/>
    <x v="1"/>
    <x v="11"/>
  </r>
  <r>
    <s v="UCQ019546"/>
    <n v="19546"/>
    <s v="Fatima"/>
    <s v="Lopez"/>
    <s v="FEMALE"/>
    <s v="BF139"/>
    <s v="604RAO"/>
    <s v="Revenue Assurance Officer"/>
    <d v="2002-02-07T00:00:00"/>
    <m/>
    <d v="2021-10-01T00:00:00"/>
    <s v="FULL"/>
    <n v="38"/>
    <n v="1"/>
    <s v="Clerical &amp; Admin"/>
    <n v="19848"/>
    <s v="Blessing Mawaka "/>
    <s v="60RAS4"/>
    <s v="Revenue Assurance Manager"/>
    <x v="1"/>
    <x v="11"/>
  </r>
  <r>
    <s v="UCQ019564"/>
    <n v="19564"/>
    <s v="Renee"/>
    <s v="Hunter"/>
    <s v="FEMALE"/>
    <s v="BF79"/>
    <s v="60APS0"/>
    <s v="Accounts Payable Specialist"/>
    <d v="2012-10-23T00:00:00"/>
    <m/>
    <d v="2023-04-17T00:00:00"/>
    <s v="PART"/>
    <n v="30"/>
    <n v="0.78947368421052633"/>
    <s v="Clerical &amp; Admin"/>
    <n v="19675"/>
    <s v="Kellie Gardner "/>
    <s v="60APTM"/>
    <s v="Accounts Payable Transformation Manager"/>
    <x v="1"/>
    <x v="11"/>
  </r>
  <r>
    <s v="BLU100037"/>
    <n v="10037"/>
    <s v="Helen"/>
    <s v="Andersen"/>
    <s v="FEMALE"/>
    <s v="BF130"/>
    <n v="10010"/>
    <s v="Financial Accounting Officer"/>
    <d v="1994-01-04T00:00:00"/>
    <m/>
    <d v="2017-05-01T00:00:00"/>
    <s v="FULL"/>
    <n v="38"/>
    <n v="1"/>
    <s v="Clerical &amp; Admin"/>
    <n v="21241"/>
    <s v="Trudy Oldham"/>
    <s v="C1482"/>
    <s v="Contractor"/>
    <x v="1"/>
    <x v="11"/>
  </r>
  <r>
    <s v="UCQ021191"/>
    <n v="21191"/>
    <s v="Maryam"/>
    <s v="Mehdizadeh"/>
    <s v="FEMALE"/>
    <s v="BF78"/>
    <s v="60APPA"/>
    <s v="Accounts Payable Process Analyst"/>
    <d v="2022-07-18T00:00:00"/>
    <m/>
    <d v="2022-07-18T00:00:00"/>
    <s v="FULL"/>
    <n v="38"/>
    <n v="1"/>
    <s v="Professionals"/>
    <n v="19675"/>
    <s v="Kellie Gardner "/>
    <s v="60APTM"/>
    <s v="Accounts Payable Transformation Manager"/>
    <x v="1"/>
    <x v="11"/>
  </r>
  <r>
    <s v="UCQ021960"/>
    <n v="21960"/>
    <s v="Jeannie"/>
    <s v="Vasuian"/>
    <s v="FEMALE"/>
    <s v="BF123"/>
    <s v="60CQAO"/>
    <s v="Quality Assurance Officer Community"/>
    <d v="2023-04-11T00:00:00"/>
    <m/>
    <d v="2023-04-11T00:00:00"/>
    <s v="FULL"/>
    <n v="38"/>
    <n v="1"/>
    <s v="Clerical &amp; Admin"/>
    <n v="19848"/>
    <s v="Blessing Mawaka "/>
    <s v="60RAS4"/>
    <s v="Revenue Assurance Manager"/>
    <x v="1"/>
    <x v="11"/>
  </r>
  <r>
    <s v="BLU152361"/>
    <n v="56460"/>
    <s v="David"/>
    <s v="Botha"/>
    <s v="MALE"/>
    <s v="BF113"/>
    <n v="48868"/>
    <s v="Financial Accountant Cap &amp; Pro"/>
    <d v="2012-04-23T00:00:00"/>
    <m/>
    <d v="2017-12-05T00:00:00"/>
    <s v="FULL"/>
    <n v="38"/>
    <n v="1"/>
    <s v="Professionals"/>
    <n v="20445"/>
    <s v="Paula Perkins"/>
    <s v="60MFR"/>
    <s v="Manager Finance and Reporting"/>
    <x v="1"/>
    <x v="11"/>
  </r>
  <r>
    <s v="UCQ019925"/>
    <n v="19925"/>
    <s v="Shan"/>
    <s v="Zhang"/>
    <s v="FEMALE"/>
    <s v="BF113"/>
    <s v="606FA"/>
    <s v="Financial Accountant"/>
    <d v="2021-03-16T00:00:00"/>
    <m/>
    <d v="2022-03-21T00:00:00"/>
    <s v="PART"/>
    <n v="30"/>
    <n v="0.78947368421052633"/>
    <s v="Professionals"/>
    <n v="20712"/>
    <s v="Jessica Milne "/>
    <s v="60FMHO"/>
    <s v="Finance Manager Hospitals"/>
    <x v="1"/>
    <x v="11"/>
  </r>
  <r>
    <s v="UCQ019568"/>
    <n v="19568"/>
    <s v="Joshua"/>
    <s v="Hagerty"/>
    <s v="MALE"/>
    <s v="BF79"/>
    <s v="60APS4"/>
    <s v="Accounts Payable Specialist"/>
    <d v="2007-09-17T00:00:00"/>
    <m/>
    <d v="2021-12-06T00:00:00"/>
    <s v="FULL"/>
    <n v="38"/>
    <n v="1"/>
    <s v="Clerical &amp; Admin"/>
    <n v="19675"/>
    <s v="Kellie Gardner "/>
    <s v="60APTM"/>
    <s v="Accounts Payable Transformation Manager"/>
    <x v="1"/>
    <x v="11"/>
  </r>
  <r>
    <s v="UCQ020692"/>
    <n v="20692"/>
    <s v="Sarah"/>
    <s v="Brook"/>
    <s v="FEMALE"/>
    <s v="ACC59"/>
    <s v="60PCDS"/>
    <s v="Project Change and Delivery Specialist"/>
    <d v="2022-01-17T00:00:00"/>
    <d v="2023-01-16T00:00:00"/>
    <d v="2022-05-23T00:00:00"/>
    <s v="FULL"/>
    <n v="38"/>
    <n v="1"/>
    <s v="Professionals"/>
    <n v="18126"/>
    <s v="Kimberley Harding "/>
    <s v="60RAPM"/>
    <s v="Revenue Assurance and Assistance Manager"/>
    <x v="1"/>
    <x v="11"/>
  </r>
  <r>
    <s v="UCQ021757"/>
    <n v="21757"/>
    <s v="Krisha"/>
    <s v="Douglas"/>
    <s v="FEMALE"/>
    <s v="BF113"/>
    <s v="60FAAC"/>
    <s v="Financial Accountant ACCS"/>
    <d v="2023-02-06T00:00:00"/>
    <m/>
    <d v="2023-02-06T00:00:00"/>
    <s v="FULL"/>
    <n v="38"/>
    <n v="1"/>
    <s v="Professionals"/>
    <n v="21241"/>
    <s v="Trudy Oldham "/>
    <s v="60FMBA"/>
    <s v="Finance Manager BlueCare ARRCS"/>
    <x v="1"/>
    <x v="11"/>
  </r>
  <r>
    <s v="UCQ021829"/>
    <n v="21829"/>
    <s v="Maura"/>
    <s v="Drew"/>
    <s v="FEMALE"/>
    <s v="BF113"/>
    <s v="60FAA"/>
    <s v="Financial Accountant  Acquittals"/>
    <d v="2023-02-27T00:00:00"/>
    <m/>
    <d v="2023-02-27T00:00:00"/>
    <s v="FULL"/>
    <n v="38"/>
    <n v="1"/>
    <s v="Professionals"/>
    <n v="20840"/>
    <s v="Anita Ryan "/>
    <s v="60UCFM"/>
    <s v="Finance Manager"/>
    <x v="1"/>
    <x v="11"/>
  </r>
  <r>
    <s v="UCQ019955"/>
    <n v="19955"/>
    <s v="Lea"/>
    <s v="Warren"/>
    <s v="FEMALE"/>
    <s v="BF113"/>
    <s v="60FABA"/>
    <s v="Financial Accountant - BlueCare &amp; ARRCS"/>
    <d v="2021-03-23T00:00:00"/>
    <m/>
    <d v="2022-11-01T00:00:00"/>
    <s v="PART"/>
    <n v="30"/>
    <n v="0.78947368421052633"/>
    <s v="Professionals"/>
    <n v="21241"/>
    <s v="Trudy Oldham "/>
    <s v="60FMBA"/>
    <s v="Finance Manager BlueCare ARRCS"/>
    <x v="1"/>
    <x v="11"/>
  </r>
  <r>
    <s v="UCQ020576"/>
    <n v="20576"/>
    <s v="Thu"/>
    <s v="Luu"/>
    <s v="FEMALE"/>
    <s v="BF113"/>
    <s v="603FA"/>
    <s v="Financial Accountant"/>
    <d v="2021-12-06T00:00:00"/>
    <m/>
    <d v="2021-12-06T00:00:00"/>
    <s v="FULL"/>
    <n v="38"/>
    <n v="1"/>
    <s v="Professionals"/>
    <n v="20840"/>
    <s v="Anita Ryan "/>
    <s v="60UCFM"/>
    <s v="Finance Manager"/>
    <x v="1"/>
    <x v="11"/>
  </r>
  <r>
    <s v="UCQ020207"/>
    <n v="20207"/>
    <s v="Kellie"/>
    <s v="Karalis"/>
    <s v="FEMALE"/>
    <s v="BF101"/>
    <s v="60BSFA"/>
    <s v="Senior Financial Accountant"/>
    <d v="2021-08-16T00:00:00"/>
    <m/>
    <d v="2023-01-24T00:00:00"/>
    <s v="FULL"/>
    <n v="38"/>
    <n v="1"/>
    <s v="Professionals"/>
    <n v="20712"/>
    <s v="Jessica Milne "/>
    <s v="60FMHO"/>
    <s v="Finance Manager Hospitals"/>
    <x v="1"/>
    <x v="11"/>
  </r>
  <r>
    <s v="UCQ021197"/>
    <n v="21197"/>
    <s v="Truc"/>
    <s v="Huynh"/>
    <s v="FEMALE"/>
    <s v="BF101"/>
    <s v="60SFA2"/>
    <s v="Senior Financial Accountant"/>
    <d v="2022-08-08T00:00:00"/>
    <m/>
    <d v="2022-08-08T00:00:00"/>
    <s v="FULL"/>
    <n v="38"/>
    <n v="1"/>
    <s v="Professionals"/>
    <n v="20840"/>
    <s v="Anita Ryan "/>
    <s v="60UCFM"/>
    <s v="Finance Manager"/>
    <x v="1"/>
    <x v="11"/>
  </r>
  <r>
    <s v="UCQ021325"/>
    <n v="21325"/>
    <s v="Yihong"/>
    <s v="Zhao"/>
    <s v="FEMALE"/>
    <s v="BF101"/>
    <s v="60SFAC"/>
    <s v="Senior Finanical Accountant Capital and Projects"/>
    <d v="2022-09-19T00:00:00"/>
    <m/>
    <d v="2022-09-19T00:00:00"/>
    <s v="FULL"/>
    <n v="38"/>
    <n v="1"/>
    <s v="Professionals"/>
    <n v="21538"/>
    <s v="West Benjamin"/>
    <s v="60SFM2"/>
    <s v="Finance Manager Capital and Projects"/>
    <x v="1"/>
    <x v="11"/>
  </r>
  <r>
    <s v="UCQ019603"/>
    <n v="19603"/>
    <s v="Angela"/>
    <s v="Logan"/>
    <s v="FEMALE"/>
    <s v="BF101"/>
    <s v="60BFS4"/>
    <s v="Senior Financial Accountant"/>
    <d v="2015-11-26T00:00:00"/>
    <m/>
    <d v="2021-06-14T00:00:00"/>
    <s v="FULL"/>
    <n v="38"/>
    <n v="1"/>
    <s v="Professionals"/>
    <n v="20840"/>
    <s v="Anita Ryan "/>
    <s v="60UCFM"/>
    <s v="Finance Manager"/>
    <x v="1"/>
    <x v="11"/>
  </r>
  <r>
    <s v="BLU149085"/>
    <n v="53175"/>
    <s v="Brett"/>
    <s v="Facoory"/>
    <s v="MALE"/>
    <s v="BF101"/>
    <n v="40749"/>
    <s v="Senior Financial Accountant"/>
    <d v="2011-05-30T00:00:00"/>
    <m/>
    <d v="2016-10-17T00:00:00"/>
    <s v="FULL"/>
    <n v="38"/>
    <n v="1"/>
    <s v="Professionals"/>
    <n v="21241"/>
    <s v="Trudy Oldham"/>
    <s v="C1482"/>
    <s v="Contractor"/>
    <x v="1"/>
    <x v="11"/>
  </r>
  <r>
    <s v="UCQ022006"/>
    <n v="22006"/>
    <s v="Dennyse"/>
    <s v="Nesdale"/>
    <s v="FEMALE"/>
    <s v="BF144"/>
    <s v="60APTL"/>
    <s v="Accounts Payable Transformation Team Leader"/>
    <d v="2023-05-08T00:00:00"/>
    <m/>
    <d v="2023-05-08T00:00:00"/>
    <s v="FULL"/>
    <n v="38"/>
    <n v="1"/>
    <s v="Clerical &amp; Admin"/>
    <n v="19675"/>
    <s v="Kellie Gardner "/>
    <s v="60APTM"/>
    <s v="Accounts Payable Transformation Manager"/>
    <x v="1"/>
    <x v="11"/>
  </r>
  <r>
    <s v="UCQ020039"/>
    <n v="20039"/>
    <s v="Eden"/>
    <s v="Stuart"/>
    <s v="FEMALE"/>
    <s v="BF60"/>
    <s v="60RAM1"/>
    <s v="Revenue Assistance Manager"/>
    <d v="2021-05-10T00:00:00"/>
    <m/>
    <d v="2022-03-01T00:00:00"/>
    <s v="FULL"/>
    <n v="38"/>
    <n v="1"/>
    <s v="Other Managers"/>
    <n v="16368"/>
    <s v="Bailey Jodie"/>
    <s v="60FRS"/>
    <s v="General Manager Finance Reporting and Services"/>
    <x v="1"/>
    <x v="11"/>
  </r>
  <r>
    <s v="UCQ020780"/>
    <n v="20780"/>
    <s v="Jahangir"/>
    <s v="Cheema"/>
    <s v="MALE"/>
    <s v="BF101"/>
    <s v="60SACP"/>
    <s v="Senior Financial Accountant Capital and Projects"/>
    <d v="2022-03-14T00:00:00"/>
    <m/>
    <d v="2022-07-01T00:00:00"/>
    <s v="FULL"/>
    <n v="38"/>
    <n v="1"/>
    <s v="Professionals"/>
    <n v="21538"/>
    <s v="West Benjamin"/>
    <s v="60SFM2"/>
    <s v="Finance Manager Capital and Projects"/>
    <x v="1"/>
    <x v="11"/>
  </r>
  <r>
    <s v="UCQ019848"/>
    <n v="19848"/>
    <s v="Blessing"/>
    <s v="Mawaka"/>
    <s v="MALE"/>
    <s v="BF60"/>
    <s v="60RAS4"/>
    <s v="Revenue Assurance Manager"/>
    <d v="2021-03-01T00:00:00"/>
    <m/>
    <d v="2021-10-01T00:00:00"/>
    <s v="FULL"/>
    <n v="38"/>
    <n v="1"/>
    <s v="Other Managers"/>
    <n v="16368"/>
    <s v="Bailey Jodie"/>
    <s v="60FRS"/>
    <s v="General Manager Finance Reporting and Services"/>
    <x v="1"/>
    <x v="11"/>
  </r>
  <r>
    <s v="UCQ020191"/>
    <n v="20191"/>
    <s v="Hayley"/>
    <s v="Dwyer"/>
    <s v="FEMALE"/>
    <s v="BF101"/>
    <s v="T0BFS3"/>
    <s v="Senior Financial Accountant"/>
    <d v="2021-08-09T00:00:00"/>
    <m/>
    <d v="2022-11-01T00:00:00"/>
    <s v="FULL"/>
    <n v="38"/>
    <n v="1"/>
    <s v="Professionals"/>
    <n v="21241"/>
    <s v="Trudy Oldham "/>
    <s v="60FMBA"/>
    <s v="Finance Manager BlueCare ARRCS"/>
    <x v="1"/>
    <x v="11"/>
  </r>
  <r>
    <s v="UCQ021347"/>
    <n v="21347"/>
    <s v="Arun"/>
    <s v="Varma"/>
    <s v="MALE"/>
    <s v="BF101"/>
    <s v="60FPA"/>
    <s v="Senior Financial and Projects Accountant"/>
    <d v="2022-09-12T00:00:00"/>
    <m/>
    <d v="2022-09-12T00:00:00"/>
    <s v="FULL"/>
    <n v="38"/>
    <n v="1"/>
    <s v="Professionals"/>
    <n v="21241"/>
    <s v="Trudy Oldham "/>
    <s v="60FMBA"/>
    <s v="Finance Manager BlueCare ARRCS"/>
    <x v="1"/>
    <x v="11"/>
  </r>
  <r>
    <s v="UCQ020712"/>
    <n v="20712"/>
    <s v="Jessica"/>
    <s v="Milne"/>
    <s v="FEMALE"/>
    <s v="BF52"/>
    <s v="60FMHO"/>
    <s v="Finance Manager Hospitals"/>
    <d v="2022-01-24T00:00:00"/>
    <m/>
    <d v="2022-01-24T00:00:00"/>
    <s v="FULL"/>
    <n v="38"/>
    <n v="1"/>
    <s v="Other Managers"/>
    <n v="20445"/>
    <s v="Paula Perkins"/>
    <s v="60MFR"/>
    <s v="Manager Finance and Reporting"/>
    <x v="1"/>
    <x v="11"/>
  </r>
  <r>
    <s v="UCQ020658"/>
    <n v="20658"/>
    <s v="Troy"/>
    <s v="Farmer"/>
    <s v="MALE"/>
    <s v="BF69"/>
    <s v="60STA"/>
    <s v="Senior Technical Accountant"/>
    <d v="2022-01-17T00:00:00"/>
    <m/>
    <d v="2022-01-17T00:00:00"/>
    <s v="FULL"/>
    <n v="38"/>
    <n v="1"/>
    <s v="Professionals"/>
    <n v="20445"/>
    <s v="Paula Perkins"/>
    <s v="60MFR"/>
    <s v="Manager Finance and Reporting"/>
    <x v="1"/>
    <x v="11"/>
  </r>
  <r>
    <s v="UCQ020840"/>
    <n v="20840"/>
    <s v="Anita"/>
    <s v="Ryan"/>
    <s v="FEMALE"/>
    <s v="BF52"/>
    <s v="60UCFM"/>
    <s v="Finance Manager"/>
    <d v="2022-03-07T00:00:00"/>
    <m/>
    <d v="2022-03-07T00:00:00"/>
    <s v="FULL"/>
    <n v="38"/>
    <n v="1"/>
    <s v="Other Managers"/>
    <n v="20445"/>
    <s v="Paula Perkins"/>
    <s v="60MFR"/>
    <s v="Manager Finance and Reporting"/>
    <x v="1"/>
    <x v="11"/>
  </r>
  <r>
    <s v="UCQ019575"/>
    <n v="19575"/>
    <s v="Helen"/>
    <s v="Coady"/>
    <s v="FEMALE"/>
    <s v="BF52"/>
    <s v="601FMP"/>
    <s v="Finance Manager Projects and Governance"/>
    <d v="2011-11-14T00:00:00"/>
    <m/>
    <d v="2023-05-09T00:00:00"/>
    <s v="PART"/>
    <n v="22"/>
    <n v="0.57894736842105265"/>
    <s v="Other Managers"/>
    <n v="16368"/>
    <s v="Bailey Jodie"/>
    <s v="60GMC"/>
    <s v="General Manager Finance Reporting and Services"/>
    <x v="1"/>
    <x v="11"/>
  </r>
  <r>
    <s v="UCQ019675"/>
    <n v="19675"/>
    <s v="Kellie"/>
    <s v="Gardner"/>
    <s v="FEMALE"/>
    <s v="BF14"/>
    <s v="60APTM"/>
    <s v="Accounts Payable Transformation Manager"/>
    <d v="2020-12-22T00:00:00"/>
    <m/>
    <d v="2022-09-12T00:00:00"/>
    <s v="FULL"/>
    <n v="38"/>
    <n v="1"/>
    <s v="Senior Managers"/>
    <n v="16368"/>
    <s v="Bailey Jodie"/>
    <s v="60FRS"/>
    <s v="General Manager Finance Reporting and Services"/>
    <x v="1"/>
    <x v="11"/>
  </r>
  <r>
    <s v="UCQ021538"/>
    <n v="21538"/>
    <s v="Benjamin"/>
    <s v="West"/>
    <s v="MALE"/>
    <s v="BF52"/>
    <s v="60SFM2"/>
    <s v="Finance Manager Capital and Projects"/>
    <d v="2023-01-03T00:00:00"/>
    <m/>
    <d v="2023-01-03T00:00:00"/>
    <s v="FULL"/>
    <n v="38"/>
    <n v="1"/>
    <s v="Other Managers"/>
    <n v="20445"/>
    <s v="Paula Perkins"/>
    <s v="60MFR"/>
    <s v="Manager Finance and Reporting"/>
    <x v="1"/>
    <x v="11"/>
  </r>
  <r>
    <s v="UCQ020581"/>
    <n v="20581"/>
    <s v="Kylie"/>
    <s v="Winnett"/>
    <s v="FEMALE"/>
    <s v="BF53"/>
    <s v="60FPM"/>
    <s v="Finance Project Manager"/>
    <d v="2021-12-06T00:00:00"/>
    <d v="2023-12-31T00:00:00"/>
    <d v="2022-08-29T00:00:00"/>
    <s v="FULL"/>
    <n v="38"/>
    <n v="1"/>
    <s v="Other Managers"/>
    <n v="20445"/>
    <s v="Paula Perkins"/>
    <s v="60MFR"/>
    <s v="Manager Finance and Reporting"/>
    <x v="1"/>
    <x v="11"/>
  </r>
  <r>
    <s v="UCQ020479"/>
    <n v="20479"/>
    <s v="Ruth"/>
    <s v="Mckechnie"/>
    <s v="FEMALE"/>
    <s v="BF27"/>
    <s v="60GTM"/>
    <s v="Group Taxation and NFP Manager"/>
    <d v="2021-11-01T00:00:00"/>
    <m/>
    <d v="2021-11-01T00:00:00"/>
    <s v="FULL"/>
    <n v="38"/>
    <n v="1"/>
    <s v="Senior Managers"/>
    <n v="16368"/>
    <s v="Bailey Jodie"/>
    <s v="60FRS"/>
    <s v="General Manager Finance Reporting and Services"/>
    <x v="1"/>
    <x v="11"/>
  </r>
  <r>
    <s v="UCQ021241"/>
    <n v="21241"/>
    <s v="Trudy"/>
    <s v="Oldham"/>
    <s v="FEMALE"/>
    <s v="BF52"/>
    <s v="60FMBA"/>
    <s v="Finance Manager BlueCare ARRCS"/>
    <d v="2022-08-08T00:00:00"/>
    <m/>
    <d v="2022-08-08T00:00:00"/>
    <s v="FULL"/>
    <n v="38"/>
    <n v="1"/>
    <s v="Other Managers"/>
    <n v="20445"/>
    <s v="Paula Perkins"/>
    <s v="60MFR"/>
    <s v="Manager Finance and Reporting"/>
    <x v="1"/>
    <x v="11"/>
  </r>
  <r>
    <s v="UCQ018126"/>
    <n v="18126"/>
    <s v="Kimberley"/>
    <s v="Harding"/>
    <s v="FEMALE"/>
    <s v="BF60"/>
    <s v="60RAPM"/>
    <s v="Revenue Assurance and Assistance Manager"/>
    <d v="2018-11-05T00:00:00"/>
    <m/>
    <d v="2023-01-09T00:00:00"/>
    <s v="FULL"/>
    <n v="38"/>
    <n v="1"/>
    <s v="Other Managers"/>
    <n v="16368"/>
    <s v="Bailey Jodie"/>
    <s v="60FRS"/>
    <s v="General Manager Finance Reporting and Services"/>
    <x v="1"/>
    <x v="11"/>
  </r>
  <r>
    <s v="UCQ020445"/>
    <n v="20445"/>
    <s v="Paula"/>
    <s v="Perkins"/>
    <s v="FEMALE"/>
    <s v="BF13"/>
    <s v="60MFR"/>
    <s v="Manager Finance and Reporting"/>
    <d v="2021-10-18T00:00:00"/>
    <m/>
    <d v="2021-10-18T00:00:00"/>
    <s v="FULL"/>
    <n v="38"/>
    <n v="1"/>
    <s v="Senior Managers"/>
    <n v="16368"/>
    <s v="Bailey Jodie"/>
    <s v="60FRS"/>
    <s v="General Manager Finance Reporting and Services"/>
    <x v="1"/>
    <x v="11"/>
  </r>
  <r>
    <s v="BLU169049"/>
    <n v="71598"/>
    <s v="Grace"/>
    <s v="Lo"/>
    <s v="FEMALE"/>
    <s v="BF42"/>
    <n v="48761"/>
    <s v="Performance and Consolidation Analyst"/>
    <d v="2017-11-13T00:00:00"/>
    <m/>
    <d v="2020-07-01T00:00:00"/>
    <s v="FULL"/>
    <n v="38"/>
    <n v="1"/>
    <s v="Professionals"/>
    <n v="21094"/>
    <s v="Robert Pfitzner "/>
    <s v="60MFPA"/>
    <s v="Manager Financial Performance and Analysis"/>
    <x v="1"/>
    <x v="12"/>
  </r>
  <r>
    <s v="UCQ020698"/>
    <n v="20698"/>
    <s v="Somnath"/>
    <s v="Shaw"/>
    <s v="MALE"/>
    <s v="BF124"/>
    <s v="60RD02"/>
    <s v="Report Developer"/>
    <d v="2022-01-24T00:00:00"/>
    <m/>
    <d v="2022-01-24T00:00:00"/>
    <s v="FULL"/>
    <n v="38"/>
    <n v="1"/>
    <s v="Professionals"/>
    <n v="19685"/>
    <s v="Lexine Moloney "/>
    <s v="60RDTL"/>
    <s v="Team Leader Report Developer"/>
    <x v="1"/>
    <x v="12"/>
  </r>
  <r>
    <s v="UCQ022084"/>
    <n v="22084"/>
    <s v="Thrupthi"/>
    <s v="Rangappa"/>
    <s v="FEMALE"/>
    <s v="ACC51"/>
    <s v="60BA2"/>
    <s v="Business Analyst"/>
    <d v="2023-05-22T00:00:00"/>
    <m/>
    <d v="2023-05-22T00:00:00"/>
    <s v="FULL"/>
    <n v="38"/>
    <n v="1"/>
    <s v="Professionals"/>
    <n v="21464"/>
    <s v="Chirag Gor "/>
    <s v="60BATL"/>
    <s v="Team Leader Business Analyst"/>
    <x v="1"/>
    <x v="12"/>
  </r>
  <r>
    <s v="UCQ022078"/>
    <n v="22078"/>
    <s v="Nitin"/>
    <s v="Punj"/>
    <s v="FEMALE"/>
    <s v="BF86"/>
    <s v="602DA"/>
    <s v="Data Analyst Data Modelling"/>
    <d v="2023-05-24T00:00:00"/>
    <m/>
    <d v="2023-05-24T00:00:00"/>
    <s v="FULL"/>
    <n v="38"/>
    <n v="1"/>
    <s v="Professionals"/>
    <n v="21726"/>
    <s v="Arifin Shams"/>
    <s v="60DAT"/>
    <s v="Data Analyst Team Leader"/>
    <x v="1"/>
    <x v="12"/>
  </r>
  <r>
    <s v="UCQ022010"/>
    <n v="22010"/>
    <s v="Niharika"/>
    <s v="Tyagi"/>
    <s v="FEMALE"/>
    <s v="BF86"/>
    <s v="60DATA"/>
    <s v="Data Analyst Data Modelling"/>
    <d v="2023-04-24T00:00:00"/>
    <m/>
    <d v="2023-04-24T00:00:00"/>
    <s v="FULL"/>
    <n v="38"/>
    <n v="1"/>
    <s v="Professionals"/>
    <n v="21726"/>
    <s v="Arifin Shams"/>
    <s v="60DAT"/>
    <s v="Data Analyst Team Leader"/>
    <x v="1"/>
    <x v="12"/>
  </r>
  <r>
    <s v="UCQ016469"/>
    <n v="16469"/>
    <s v="Jacqueline"/>
    <s v="Beres"/>
    <s v="FEMALE"/>
    <s v="BF91"/>
    <s v="60PSA"/>
    <s v="Functional Analyst Finance Systems"/>
    <d v="2014-11-24T00:00:00"/>
    <m/>
    <d v="2021-10-05T00:00:00"/>
    <s v="FULL"/>
    <n v="38"/>
    <n v="1"/>
    <s v="Professionals"/>
    <n v="21464"/>
    <s v="Chirag Gor "/>
    <s v="60BATL"/>
    <s v="Team Leader Business Analyst"/>
    <x v="1"/>
    <x v="12"/>
  </r>
  <r>
    <s v="UCQ021596"/>
    <n v="21596"/>
    <s v="Samyukta"/>
    <s v="Shindhe"/>
    <s v="FEMALE"/>
    <s v="ACC51"/>
    <s v="60BA04"/>
    <s v="Business Analyst"/>
    <d v="2022-12-06T00:00:00"/>
    <m/>
    <d v="2022-12-06T00:00:00"/>
    <s v="FULL"/>
    <n v="38"/>
    <n v="1"/>
    <s v="Professionals"/>
    <n v="21464"/>
    <s v="Chirag Gor "/>
    <s v="60BATL"/>
    <s v="Team Leader Business Analyst"/>
    <x v="1"/>
    <x v="12"/>
  </r>
  <r>
    <s v="UCQ021693"/>
    <n v="21693"/>
    <s v="Charul"/>
    <s v="Singh"/>
    <s v="FEMALE"/>
    <s v="BF124"/>
    <s v="60RD05"/>
    <s v="Report Developer"/>
    <d v="2023-01-09T00:00:00"/>
    <d v="2023-04-07T00:00:00"/>
    <d v="2023-01-09T00:00:00"/>
    <s v="FULL"/>
    <n v="38"/>
    <n v="1"/>
    <s v="Professionals"/>
    <n v="19685"/>
    <s v="Lexine Moloney "/>
    <s v="60RDTL"/>
    <s v="Team Leader Report Developer"/>
    <x v="1"/>
    <x v="12"/>
  </r>
  <r>
    <s v="UCQ020579"/>
    <n v="20579"/>
    <s v="David"/>
    <s v="Cavenett"/>
    <s v="MALE"/>
    <s v="BF42"/>
    <s v="60BPA7"/>
    <s v="Business Performance Analyst"/>
    <d v="2021-12-06T00:00:00"/>
    <m/>
    <d v="2021-12-06T00:00:00"/>
    <s v="FULL"/>
    <n v="38"/>
    <n v="1"/>
    <s v="Professionals"/>
    <n v="18298"/>
    <s v="Joanne Martinaglia "/>
    <s v="60FBPM"/>
    <s v="Finance Business Partnering Manager"/>
    <x v="1"/>
    <x v="12"/>
  </r>
  <r>
    <s v="UCQ021309"/>
    <n v="21309"/>
    <s v="Luke"/>
    <s v="Gulley"/>
    <s v="MALE"/>
    <s v="BF124"/>
    <s v="60RD01"/>
    <s v="Report Developer"/>
    <d v="2022-09-12T00:00:00"/>
    <m/>
    <d v="2023-02-06T00:00:00"/>
    <s v="PART"/>
    <n v="30"/>
    <n v="0.78947368421052633"/>
    <s v="Professionals"/>
    <n v="19685"/>
    <s v="Lexine Moloney "/>
    <s v="60RDTL"/>
    <s v="Team Leader Report Developer"/>
    <x v="1"/>
    <x v="12"/>
  </r>
  <r>
    <s v="BLU186285"/>
    <n v="80590"/>
    <s v="Natalie"/>
    <s v="Vella"/>
    <s v="FEMALE"/>
    <s v="BF42"/>
    <n v="45820"/>
    <s v="Business Performance Analyst"/>
    <d v="2020-08-19T00:00:00"/>
    <m/>
    <d v="2020-08-19T00:00:00"/>
    <s v="FULL"/>
    <n v="38"/>
    <n v="1"/>
    <s v="Professionals"/>
    <n v="21234"/>
    <s v="Kalen Playford"/>
    <s v="60BFMA"/>
    <s v="Business Performance Manager ACCS Residential"/>
    <x v="1"/>
    <x v="12"/>
  </r>
  <r>
    <s v="UCQ021420"/>
    <n v="21420"/>
    <s v="Yaozhong"/>
    <s v="Shi"/>
    <s v="MALE"/>
    <s v="ACC51"/>
    <s v="60BA03"/>
    <s v="Business Analyst"/>
    <d v="2022-10-10T00:00:00"/>
    <m/>
    <d v="2022-10-10T00:00:00"/>
    <s v="FULL"/>
    <n v="38"/>
    <n v="1"/>
    <s v="Professionals"/>
    <n v="21464"/>
    <s v="Chirag Gor "/>
    <s v="60BATL"/>
    <s v="Team Leader Business Analyst"/>
    <x v="1"/>
    <x v="12"/>
  </r>
  <r>
    <s v="UCQ021010"/>
    <n v="21010"/>
    <s v="Karen"/>
    <s v="Warren"/>
    <s v="FEMALE"/>
    <s v="BF51"/>
    <s v="601FBA"/>
    <s v="Finance Business Analyst"/>
    <d v="2022-04-20T00:00:00"/>
    <m/>
    <d v="2023-04-14T00:00:00"/>
    <s v="FULL"/>
    <n v="38"/>
    <n v="1"/>
    <s v="Professionals"/>
    <n v="21234"/>
    <s v="Kalen Playford"/>
    <s v="60BFMA"/>
    <s v="Business Performance Manager ACCS Residential"/>
    <x v="1"/>
    <x v="12"/>
  </r>
  <r>
    <s v="UCQ020921"/>
    <n v="20921"/>
    <s v="Jay"/>
    <s v="Joshi"/>
    <s v="MALE"/>
    <s v="BF42"/>
    <s v="60BPA9"/>
    <s v="Business Performance Analyst"/>
    <d v="2022-04-26T00:00:00"/>
    <m/>
    <d v="2022-04-26T00:00:00"/>
    <s v="FULL"/>
    <n v="38"/>
    <n v="1"/>
    <s v="Professionals"/>
    <n v="18298"/>
    <s v="Joanne Martinaglia "/>
    <s v="60FBPM"/>
    <s v="Finance Business Partnering Manager"/>
    <x v="1"/>
    <x v="12"/>
  </r>
  <r>
    <s v="UCQ020245"/>
    <n v="20245"/>
    <s v="Aleksandra"/>
    <s v="Petreska"/>
    <s v="FEMALE"/>
    <s v="BF42"/>
    <s v="60BPA4"/>
    <s v="Business Performance Analyst"/>
    <d v="2021-08-04T00:00:00"/>
    <m/>
    <d v="2022-08-15T00:00:00"/>
    <s v="FULL"/>
    <n v="38"/>
    <n v="1"/>
    <s v="Professionals"/>
    <n v="21094"/>
    <s v="Robert Pfitzner "/>
    <s v="60MFPA"/>
    <s v="Manager Financial Performance and Analysis"/>
    <x v="1"/>
    <x v="12"/>
  </r>
  <r>
    <s v="UCC013004"/>
    <n v="13004"/>
    <s v="Kylie"/>
    <s v="Bignell"/>
    <s v="FEMALE"/>
    <s v="BF42"/>
    <s v="P05477"/>
    <s v="Business Performance Analyst"/>
    <d v="2012-06-18T00:00:00"/>
    <m/>
    <d v="2023-03-28T00:00:00"/>
    <s v="PART"/>
    <n v="22"/>
    <n v="0.57894736842105265"/>
    <s v="Professionals"/>
    <n v="21094"/>
    <s v="Robert Pfitzner "/>
    <s v="60MFPA"/>
    <s v="Manager Financial Performance and Analysis"/>
    <x v="1"/>
    <x v="12"/>
  </r>
  <r>
    <s v="UCQ021389"/>
    <n v="21389"/>
    <s v="Wan-Ju"/>
    <s v="Lee"/>
    <s v="FEMALE"/>
    <s v="BF42"/>
    <s v="607BPA"/>
    <s v="Business Performance Analyst"/>
    <d v="2022-10-04T00:00:00"/>
    <d v="2023-10-06T00:00:00"/>
    <d v="2022-10-04T00:00:00"/>
    <s v="FULL"/>
    <n v="38"/>
    <n v="1"/>
    <s v="Professionals"/>
    <n v="21094"/>
    <s v="Robert Pfitzner "/>
    <s v="60MFPA"/>
    <s v="Manager Financial Performance and Analysis"/>
    <x v="1"/>
    <x v="12"/>
  </r>
  <r>
    <s v="UCQ016506"/>
    <n v="16506"/>
    <s v="Suzanne"/>
    <s v="Robertson"/>
    <s v="FEMALE"/>
    <s v="BF42"/>
    <s v="60PCA2"/>
    <s v="Performance and Consolidation Analyst"/>
    <d v="2016-10-25T00:00:00"/>
    <m/>
    <d v="2022-12-13T00:00:00"/>
    <s v="FULL"/>
    <n v="38"/>
    <n v="1"/>
    <s v="Professionals"/>
    <n v="18298"/>
    <s v="Joanne Martinaglia"/>
    <s v="60FBPM"/>
    <s v="Finance Business Partnering Manager"/>
    <x v="1"/>
    <x v="12"/>
  </r>
  <r>
    <s v="UCQ016430"/>
    <n v="16430"/>
    <s v="Craig"/>
    <s v="Hinkins"/>
    <s v="MALE"/>
    <s v="BF42"/>
    <s v="60BPA1"/>
    <s v="Business Performance Analyst"/>
    <d v="2016-10-10T00:00:00"/>
    <m/>
    <d v="2020-10-06T00:00:00"/>
    <s v="FULL"/>
    <n v="38"/>
    <n v="1"/>
    <s v="Professionals"/>
    <n v="21234"/>
    <s v="Kalen Playford"/>
    <s v="60BFMA"/>
    <s v="Business Performance Manager ACCS Residential"/>
    <x v="1"/>
    <x v="12"/>
  </r>
  <r>
    <s v="UCQ021095"/>
    <n v="21095"/>
    <s v="Jenna"/>
    <s v="Corpuz"/>
    <s v="FEMALE"/>
    <s v="BF42"/>
    <s v="60BPA6"/>
    <s v="Business Performance Analyst"/>
    <d v="2022-06-20T00:00:00"/>
    <m/>
    <d v="2022-06-20T00:00:00"/>
    <s v="FULL"/>
    <n v="38"/>
    <n v="1"/>
    <s v="Professionals"/>
    <n v="21094"/>
    <s v="Robert Pfitzner "/>
    <s v="60MFPA"/>
    <s v="Manager Financial Performance and Analysis"/>
    <x v="1"/>
    <x v="12"/>
  </r>
  <r>
    <s v="UCQ021841"/>
    <n v="21841"/>
    <s v="Ryan"/>
    <s v="Souwer"/>
    <s v="MALE"/>
    <s v="BF92"/>
    <s v="60SFAD"/>
    <s v="Senior Functional Analyst"/>
    <d v="2023-04-03T00:00:00"/>
    <m/>
    <d v="2023-04-03T00:00:00"/>
    <s v="FULL"/>
    <n v="38"/>
    <n v="1"/>
    <s v="Professionals"/>
    <n v="19716"/>
    <s v="Marijke Van Klinken"/>
    <s v="60TLD1"/>
    <s v="Team Leader Dynamics"/>
    <x v="1"/>
    <x v="12"/>
  </r>
  <r>
    <s v="UCQ019882"/>
    <n v="19882"/>
    <s v="Sagar"/>
    <s v="Mahadevwala Dilipbhai"/>
    <s v="MALE"/>
    <s v="BF92"/>
    <s v="60FAB2"/>
    <s v="Senior Functional Analyst Business Performance and Analysis"/>
    <d v="2014-07-01T00:00:00"/>
    <m/>
    <d v="2022-12-01T00:00:00"/>
    <s v="FULL"/>
    <n v="38"/>
    <n v="1"/>
    <s v="Professionals"/>
    <n v="21094"/>
    <s v="Robert Pfitzner "/>
    <s v="60MFPA"/>
    <s v="Manager Financial Performance and Analysis"/>
    <x v="1"/>
    <x v="12"/>
  </r>
  <r>
    <s v="UCQ018920"/>
    <n v="18920"/>
    <s v="Anita"/>
    <s v="Buhner"/>
    <s v="FEMALE"/>
    <s v="BF42"/>
    <s v="60PAC"/>
    <s v="Performance and Consolidation Analyst"/>
    <d v="2019-10-08T00:00:00"/>
    <m/>
    <d v="2023-04-01T00:00:00"/>
    <s v="FULL"/>
    <n v="38"/>
    <n v="1"/>
    <s v="Professionals"/>
    <n v="21234"/>
    <s v="Kalen Playford"/>
    <s v="60BFMA"/>
    <s v="Business Performance Manager ACCS Residential"/>
    <x v="1"/>
    <x v="12"/>
  </r>
  <r>
    <s v="UCQ017148"/>
    <n v="17148"/>
    <s v="John"/>
    <s v="Mccallum"/>
    <s v="MALE"/>
    <s v="BF42"/>
    <s v="60BPAD"/>
    <s v="Business Performance Analyst"/>
    <d v="2017-08-17T00:00:00"/>
    <m/>
    <d v="2023-03-28T00:00:00"/>
    <s v="FULL"/>
    <n v="38"/>
    <n v="1"/>
    <s v="Professionals"/>
    <n v="21094"/>
    <s v="Robert Pfitzner "/>
    <s v="60MFPA"/>
    <s v="Manager Financial Performance and Analysis"/>
    <x v="1"/>
    <x v="12"/>
  </r>
  <r>
    <s v="UCQ019685"/>
    <n v="19685"/>
    <s v="Lexine"/>
    <s v="Moloney"/>
    <s v="FEMALE"/>
    <s v="BF76"/>
    <s v="60RDTL"/>
    <s v="Team Leader Report Developer"/>
    <d v="2020-11-10T00:00:00"/>
    <m/>
    <d v="2022-04-16T00:00:00"/>
    <s v="PART"/>
    <n v="22"/>
    <n v="0.57894736842105265"/>
    <s v="Professionals"/>
    <n v="21464"/>
    <s v="Chirag Gor "/>
    <s v="60BIAM"/>
    <s v="Enterprise Analytics Manager"/>
    <x v="1"/>
    <x v="12"/>
  </r>
  <r>
    <s v="UCQ016427"/>
    <n v="16427"/>
    <s v="Cheng-I"/>
    <s v="Lee"/>
    <s v="FEMALE"/>
    <s v="BF42"/>
    <s v="60BARR"/>
    <s v="Business Performance Analyst"/>
    <d v="2016-10-04T00:00:00"/>
    <m/>
    <d v="2021-11-10T00:00:00"/>
    <s v="FULL"/>
    <n v="38"/>
    <n v="1"/>
    <s v="Professionals"/>
    <n v="18127"/>
    <s v="Matthew Clark "/>
    <s v="60GMSA"/>
    <s v="General Manager Finance Strategy and Analysis"/>
    <x v="1"/>
    <x v="12"/>
  </r>
  <r>
    <s v="UCQ018413"/>
    <n v="18413"/>
    <s v="Tamsyn"/>
    <s v="Gamble"/>
    <s v="FEMALE"/>
    <s v="BF72"/>
    <s v="601SBA"/>
    <s v="Strategic Business Analyst"/>
    <d v="2019-02-18T00:00:00"/>
    <m/>
    <d v="2022-07-04T00:00:00"/>
    <s v="FULL"/>
    <n v="38"/>
    <n v="1"/>
    <s v="Professionals"/>
    <n v="18298"/>
    <s v="Joanne Martinaglia"/>
    <s v="60FBPM"/>
    <s v="Finance Business Partnering Manager"/>
    <x v="1"/>
    <x v="12"/>
  </r>
  <r>
    <s v="UCQ021726"/>
    <n v="21726"/>
    <s v="Shams"/>
    <s v="Arifin"/>
    <s v="MALE"/>
    <s v="BF50"/>
    <s v="60DAT"/>
    <s v="Data Analyst Team Leader"/>
    <d v="2023-01-30T00:00:00"/>
    <m/>
    <d v="2023-01-30T00:00:00"/>
    <s v="FULL"/>
    <n v="38"/>
    <n v="1"/>
    <s v="Professionals"/>
    <n v="21464"/>
    <s v="Chirag Gor "/>
    <s v="60BIAM"/>
    <s v="Enterprise Analytics Manager"/>
    <x v="1"/>
    <x v="12"/>
  </r>
  <r>
    <s v="UCQ019901"/>
    <n v="19901"/>
    <s v="Jason"/>
    <s v="Baker"/>
    <s v="MALE"/>
    <s v="BF42"/>
    <s v="608BPA"/>
    <s v="Business Performance Analyst"/>
    <d v="2021-03-01T00:00:00"/>
    <m/>
    <d v="2021-08-16T00:00:00"/>
    <s v="FULL"/>
    <n v="38"/>
    <n v="1"/>
    <s v="Professionals"/>
    <n v="21234"/>
    <s v="Kalen Playford"/>
    <s v="60BFMA"/>
    <s v="Business Performance Manager ACCS Residential"/>
    <x v="1"/>
    <x v="12"/>
  </r>
  <r>
    <s v="UCQ019939"/>
    <n v="19939"/>
    <s v="Christopher"/>
    <s v="Carr"/>
    <s v="MALE"/>
    <s v="ACC41"/>
    <s v="60SBA4"/>
    <s v="Senior Business Analyst"/>
    <d v="2021-03-01T00:00:00"/>
    <d v="2023-06-30T00:00:00"/>
    <d v="2022-08-01T00:00:00"/>
    <s v="FULL"/>
    <n v="38"/>
    <n v="1"/>
    <s v="Professionals"/>
    <n v="17951"/>
    <s v="David Ford "/>
    <s v="60OSM"/>
    <s v="Operational Success Manager"/>
    <x v="1"/>
    <x v="12"/>
  </r>
  <r>
    <s v="UCQ021368"/>
    <n v="21368"/>
    <s v="Mamatha"/>
    <s v="Dyapa"/>
    <s v="FEMALE"/>
    <s v="BF87"/>
    <s v="601DE"/>
    <s v="Data Engineer"/>
    <d v="2022-10-04T00:00:00"/>
    <m/>
    <d v="2022-10-04T00:00:00"/>
    <s v="FULL"/>
    <n v="38"/>
    <n v="1"/>
    <s v="Professionals"/>
    <n v="21464"/>
    <s v="Chirag Gor "/>
    <s v="60BIAM"/>
    <s v="Enterprise Analytics Manager"/>
    <x v="1"/>
    <x v="12"/>
  </r>
  <r>
    <s v="UCQ018706"/>
    <n v="18706"/>
    <s v="John"/>
    <s v="Murray"/>
    <s v="MALE"/>
    <s v="BF47"/>
    <s v="60CPM"/>
    <s v="Contracts and Pricing Manager"/>
    <d v="2014-03-31T00:00:00"/>
    <m/>
    <d v="2019-07-02T00:00:00"/>
    <s v="FULL"/>
    <n v="38"/>
    <n v="1"/>
    <s v="Other Managers"/>
    <n v="21464"/>
    <s v="Chirag Gor "/>
    <s v="60BIAM"/>
    <s v="Enterprise Analytics Manager"/>
    <x v="1"/>
    <x v="12"/>
  </r>
  <r>
    <s v="UCQ021234"/>
    <n v="21234"/>
    <s v="Kalon"/>
    <s v="Playford"/>
    <s v="MALE"/>
    <s v="BF15"/>
    <s v="60BFMA"/>
    <s v="Business Performance Manager ACCS Residential"/>
    <d v="2022-08-08T00:00:00"/>
    <m/>
    <d v="2022-08-08T00:00:00"/>
    <s v="FULL"/>
    <n v="38"/>
    <n v="1"/>
    <s v="Senior Managers"/>
    <n v="18127"/>
    <s v="Matthew Clark "/>
    <s v="60GMSA"/>
    <s v="General Manager Finance Strategy and Analysis"/>
    <x v="1"/>
    <x v="12"/>
  </r>
  <r>
    <s v="UCQ021464"/>
    <n v="21464"/>
    <s v="Chirag"/>
    <s v="Gor"/>
    <s v="MALE"/>
    <s v="BF74"/>
    <s v="60BATL"/>
    <s v="Team Leader Business Analyst"/>
    <d v="2022-11-03T00:00:00"/>
    <m/>
    <d v="2022-11-03T00:00:00"/>
    <s v="FULL"/>
    <n v="38"/>
    <n v="1"/>
    <m/>
    <n v="17735"/>
    <s v="Scott Thomas "/>
    <s v="60GMSA"/>
    <s v="Enterprise Analytics Manager"/>
    <x v="1"/>
    <x v="12"/>
  </r>
  <r>
    <s v="UCQ018298"/>
    <n v="18298"/>
    <s v="Joanne"/>
    <s v="Martinaglia"/>
    <s v="FEMALE"/>
    <s v="BF20"/>
    <s v="60FBPM"/>
    <s v="Finance Business Partnering Manager"/>
    <d v="2019-01-21T00:00:00"/>
    <m/>
    <d v="2021-07-01T00:00:00"/>
    <s v="FULL"/>
    <n v="38"/>
    <n v="1"/>
    <s v="Senior Managers"/>
    <n v="18127"/>
    <s v="Matthew Clark "/>
    <s v="60GMSA"/>
    <s v="General Manager Finance Strategy and Analysis"/>
    <x v="1"/>
    <x v="12"/>
  </r>
  <r>
    <s v="UCQ020487"/>
    <n v="20487"/>
    <s v="Carissa"/>
    <s v="Hansen"/>
    <s v="FEMALE"/>
    <s v="BF29"/>
    <s v="60LHA"/>
    <s v="Lead Hospital Analytics"/>
    <d v="2021-11-15T00:00:00"/>
    <m/>
    <d v="2022-05-16T00:00:00"/>
    <s v="PART"/>
    <n v="22"/>
    <n v="0.57894736842105265"/>
    <s v="Professionals"/>
    <n v="18127"/>
    <s v="Matthew Clark "/>
    <s v="60GMSA"/>
    <s v="General Manager Finance Strategy and Analysis"/>
    <x v="1"/>
    <x v="12"/>
  </r>
  <r>
    <s v="UCQ021874"/>
    <n v="21874"/>
    <s v="Wickrama"/>
    <s v="Silva"/>
    <s v="MALE"/>
    <s v="BF42"/>
    <s v="60BPA3"/>
    <s v="Business Performance Analyst Digital and Technology"/>
    <d v="2023-03-03T00:00:00"/>
    <m/>
    <d v="2023-03-03T00:00:00"/>
    <s v="FULL"/>
    <n v="38"/>
    <n v="1"/>
    <s v="Professionals"/>
    <n v="18127"/>
    <s v="Matthew Clark "/>
    <s v="60GMSA"/>
    <s v="General Manager Finance Strategy and Analysis"/>
    <x v="1"/>
    <x v="12"/>
  </r>
  <r>
    <s v="UCQ022008"/>
    <n v="22008"/>
    <s v="Ross"/>
    <s v="McKean"/>
    <s v="MALE"/>
    <s v="BF148"/>
    <s v="60TRES"/>
    <s v="Treasurer"/>
    <d v="2023-06-05T00:00:00"/>
    <m/>
    <d v="2023-06-05T00:00:00"/>
    <s v="FULL"/>
    <n v="38"/>
    <n v="1"/>
    <s v="Professionals"/>
    <n v="18127"/>
    <s v="Matthew Clark "/>
    <s v="60GMSA"/>
    <s v="General Manager Finance Strategy and Analysis"/>
    <x v="1"/>
    <x v="12"/>
  </r>
  <r>
    <s v="UCQ021094"/>
    <n v="21094"/>
    <s v="Robert"/>
    <s v="Pfitzner"/>
    <s v="MALE"/>
    <s v="BF31"/>
    <s v="60MFPA"/>
    <s v="Manager Financial Performance and Analysis"/>
    <d v="2022-06-06T00:00:00"/>
    <m/>
    <d v="2022-06-06T00:00:00"/>
    <s v="FULL"/>
    <n v="38"/>
    <n v="1"/>
    <s v="Senior Managers"/>
    <n v="18127"/>
    <s v="Matthew Clark "/>
    <s v="60GMSA"/>
    <s v="General Manager Finance Strategy and Analysis"/>
    <x v="1"/>
    <x v="12"/>
  </r>
  <r>
    <s v="UCQ017735"/>
    <n v="17735"/>
    <s v="Scott"/>
    <s v="Thomas"/>
    <s v="MALE"/>
    <s v="BF19"/>
    <s v="T0BIAM"/>
    <s v="Enterprise Analytics Manager"/>
    <d v="2018-05-14T00:00:00"/>
    <m/>
    <d v="2023-04-03T00:00:00"/>
    <s v="FULL"/>
    <n v="38"/>
    <n v="1"/>
    <s v="Senior Managers"/>
    <n v="18127"/>
    <s v="Matthew Clark "/>
    <s v="60GMSA"/>
    <s v="General Manager Finance Strategy and Analysis"/>
    <x v="1"/>
    <x v="12"/>
  </r>
  <r>
    <s v="UCQ020055"/>
    <n v="20055"/>
    <s v="Natasha"/>
    <s v="Gessner"/>
    <s v="FEMALE"/>
    <s v="BF37"/>
    <s v="60PCFD"/>
    <s v="Fleet Administration Officer"/>
    <d v="2021-05-10T00:00:00"/>
    <m/>
    <d v="2021-05-10T00:00:00"/>
    <s v="FULL"/>
    <n v="38"/>
    <n v="1"/>
    <s v="Clerical &amp; Admin"/>
    <n v="21433"/>
    <s v="Kelvin Deasy "/>
    <s v="60PCFM"/>
    <s v="Fleet Operations Manager"/>
    <x v="1"/>
    <x v="13"/>
  </r>
  <r>
    <s v="UCQ013594"/>
    <n v="13594"/>
    <s v="Sandra"/>
    <s v="Witney"/>
    <s v="FEMALE"/>
    <s v="BF37"/>
    <s v="60PCFE"/>
    <s v="Fleet Administration Officer"/>
    <d v="2013-02-04T00:00:00"/>
    <m/>
    <d v="2022-07-01T00:00:00"/>
    <s v="FULL"/>
    <n v="38"/>
    <n v="1"/>
    <s v="Clerical &amp; Admin"/>
    <n v="21433"/>
    <s v="Kelvin Deasy "/>
    <s v="60PCFM"/>
    <s v="Fleet Operations Manager"/>
    <x v="1"/>
    <x v="13"/>
  </r>
  <r>
    <s v="UCQ021167"/>
    <n v="21167"/>
    <s v="Danielle"/>
    <s v="Armitage"/>
    <s v="FEMALE"/>
    <s v="BF136"/>
    <s v="602PA"/>
    <s v="Procurement Advisor"/>
    <d v="2019-01-02T00:00:00"/>
    <m/>
    <d v="2022-07-11T00:00:00"/>
    <s v="FULL"/>
    <n v="38"/>
    <n v="1"/>
    <s v="Clerical &amp; Admin"/>
    <n v="19016"/>
    <s v="Corinne Buzianczuk"/>
    <s v="60PRTL"/>
    <s v="Team Lead Procurement Advisor"/>
    <x v="1"/>
    <x v="13"/>
  </r>
  <r>
    <s v="UCQ020876"/>
    <n v="20876"/>
    <s v="Anita"/>
    <s v="Enright"/>
    <s v="FEMALE"/>
    <s v="BF121"/>
    <s v="60PCA"/>
    <s v="Procurement Card Analyst"/>
    <d v="2017-09-12T00:00:00"/>
    <m/>
    <d v="2022-03-28T00:00:00"/>
    <s v="FULL"/>
    <n v="38"/>
    <n v="1"/>
    <s v="Clerical &amp; Admin"/>
    <n v="19016"/>
    <s v="Corinne Buzianczuk"/>
    <s v="60PRTL"/>
    <s v="Team Lead Procurement Advisor"/>
    <x v="1"/>
    <x v="13"/>
  </r>
  <r>
    <s v="UCQ013749"/>
    <n v="13749"/>
    <s v="Phillip"/>
    <s v="Joe"/>
    <s v="MALE"/>
    <s v="BF120"/>
    <s v="60PSCC"/>
    <s v="Procurement  Systems Catalogue Coordinator"/>
    <d v="2011-04-04T00:00:00"/>
    <m/>
    <d v="2022-10-18T00:00:00"/>
    <s v="FULL"/>
    <n v="38"/>
    <n v="1"/>
    <s v="Professionals"/>
    <n v="19552"/>
    <s v="Simon Kent "/>
    <s v="60GMPT"/>
    <s v="Category Manager Medical Supplies"/>
    <x v="1"/>
    <x v="13"/>
  </r>
  <r>
    <s v="UCQ014953"/>
    <n v="14953"/>
    <s v="Leonie"/>
    <s v="Rikiau"/>
    <s v="FEMALE"/>
    <s v="BF137"/>
    <s v="60FOP"/>
    <s v="Procurement Card Officer"/>
    <d v="2014-11-24T00:00:00"/>
    <m/>
    <d v="2019-07-02T00:00:00"/>
    <s v="FULL"/>
    <n v="38"/>
    <n v="1"/>
    <s v="Clerical &amp; Admin"/>
    <n v="19016"/>
    <s v="Corinne Buzianczuk"/>
    <s v="60PRTL"/>
    <s v="Team Lead Procurement Advisor"/>
    <x v="1"/>
    <x v="13"/>
  </r>
  <r>
    <s v="UCQ018709"/>
    <n v="18709"/>
    <s v="Colleen"/>
    <s v="Tanner"/>
    <s v="FEMALE"/>
    <s v="BF122"/>
    <s v="60PDA"/>
    <s v="Procurement Data Analyst"/>
    <d v="2012-03-26T00:00:00"/>
    <m/>
    <d v="2022-02-15T00:00:00"/>
    <s v="FULL"/>
    <n v="38"/>
    <n v="1"/>
    <s v="Professionals"/>
    <n v="19016"/>
    <s v="Corinne Buzianczuk"/>
    <s v="60PRTL"/>
    <s v="Team Lead Procurement Advisor"/>
    <x v="1"/>
    <x v="13"/>
  </r>
  <r>
    <s v="UCQ020082"/>
    <n v="20082"/>
    <s v="Zak"/>
    <s v="Adams"/>
    <s v="MALE"/>
    <s v="BF84"/>
    <s v="60CMS"/>
    <s v="Contract Management Specialist"/>
    <d v="2021-05-31T00:00:00"/>
    <m/>
    <d v="2022-07-11T00:00:00"/>
    <s v="FULL"/>
    <n v="38"/>
    <n v="1"/>
    <s v="Clerical &amp; Admin"/>
    <n v="19017"/>
    <s v="Deborah Wadsworth "/>
    <s v="60PRM1"/>
    <s v="Category Manager"/>
    <x v="1"/>
    <x v="13"/>
  </r>
  <r>
    <s v="UCQ021640"/>
    <n v="21640"/>
    <s v="Lauren"/>
    <s v="Brake"/>
    <s v="FEMALE"/>
    <s v="BF84"/>
    <s v="60CMS1"/>
    <s v="Contract Management Specialist"/>
    <d v="2023-01-16T00:00:00"/>
    <m/>
    <d v="2023-01-16T00:00:00"/>
    <s v="FULL"/>
    <n v="38"/>
    <n v="1"/>
    <s v="Clerical &amp; Admin"/>
    <n v="20856"/>
    <s v="William Hoysted "/>
    <s v="60CMLD"/>
    <s v="Category Manager Labour and Distribution"/>
    <x v="1"/>
    <x v="13"/>
  </r>
  <r>
    <s v="UCQ013059"/>
    <n v="13059"/>
    <s v="Kylie"/>
    <s v="Hawkins"/>
    <s v="FEMALE"/>
    <s v="BF89"/>
    <s v="60PFOC"/>
    <s v="Fleet Operations Coordinator"/>
    <d v="2007-07-02T00:00:00"/>
    <m/>
    <d v="2017-11-07T00:00:00"/>
    <s v="FULL"/>
    <n v="38"/>
    <n v="1"/>
    <s v="Clerical &amp; Admin"/>
    <n v="21433"/>
    <s v="Kelvin Deasy "/>
    <s v="60PCFM"/>
    <s v="Fleet Operations Manager"/>
    <x v="1"/>
    <x v="13"/>
  </r>
  <r>
    <s v="UCQ017183"/>
    <n v="17183"/>
    <s v="Neil"/>
    <s v="Channon"/>
    <s v="MALE"/>
    <s v="BF86"/>
    <s v="601DA"/>
    <s v="Data Analyst"/>
    <d v="2009-11-02T00:00:00"/>
    <m/>
    <d v="2021-05-31T00:00:00"/>
    <s v="FULL"/>
    <n v="38"/>
    <n v="1"/>
    <s v="Professionals"/>
    <n v="19552"/>
    <s v="Simon Kent "/>
    <s v="60GMPT"/>
    <s v="Category Manager Medical Supplies"/>
    <x v="1"/>
    <x v="13"/>
  </r>
  <r>
    <s v="UCQ013062"/>
    <n v="13062"/>
    <s v="Kerrie"/>
    <s v="Mccarthy"/>
    <s v="FEMALE"/>
    <s v="BF90"/>
    <s v="60PCFC"/>
    <s v="Fleet Procurement and Ops Coordinator"/>
    <d v="2002-02-11T00:00:00"/>
    <m/>
    <d v="2015-06-23T00:00:00"/>
    <s v="FULL"/>
    <n v="38"/>
    <n v="1"/>
    <s v="Clerical &amp; Admin"/>
    <n v="21433"/>
    <s v="Kelvin Deasy "/>
    <s v="60PCFM"/>
    <s v="Fleet Operations Manager"/>
    <x v="1"/>
    <x v="13"/>
  </r>
  <r>
    <s v="UCQ020099"/>
    <n v="20099"/>
    <s v="Scott"/>
    <s v="Grier"/>
    <s v="MALE"/>
    <s v="BF84"/>
    <s v="60CMS3"/>
    <s v="Contract Management Specialist"/>
    <d v="2021-05-31T00:00:00"/>
    <m/>
    <d v="2021-05-31T00:00:00"/>
    <s v="FULL"/>
    <n v="38"/>
    <n v="1"/>
    <s v="Clerical &amp; Admin"/>
    <n v="19552"/>
    <s v="Simon Kent "/>
    <s v="60GMPT"/>
    <s v="Category Manager Medical Supplies"/>
    <x v="1"/>
    <x v="13"/>
  </r>
  <r>
    <s v="UCQ020086"/>
    <n v="20086"/>
    <s v="Holly"/>
    <s v="Watson"/>
    <s v="FEMALE"/>
    <s v="BF71"/>
    <s v="60SES"/>
    <s v="Stakeholder Engagement Specialist"/>
    <d v="2021-05-31T00:00:00"/>
    <m/>
    <d v="2022-04-04T00:00:00"/>
    <s v="FULL"/>
    <n v="38"/>
    <n v="1"/>
    <s v="Professionals"/>
    <n v="20856"/>
    <s v="William Hoysted "/>
    <s v="60CMLD"/>
    <s v="Category Manager Labour and Distribution"/>
    <x v="1"/>
    <x v="13"/>
  </r>
  <r>
    <s v="UCQ020396"/>
    <n v="20396"/>
    <s v="Lauren"/>
    <s v="Coyne"/>
    <s v="FEMALE"/>
    <s v="BF104"/>
    <s v="601SP"/>
    <s v="Sourcing Specialist"/>
    <d v="2021-10-25T00:00:00"/>
    <m/>
    <d v="2022-10-10T00:00:00"/>
    <s v="FULL"/>
    <n v="38"/>
    <n v="1"/>
    <s v="Clerical &amp; Admin"/>
    <n v="20856"/>
    <s v="William Hoysted "/>
    <s v="60CMLD"/>
    <s v="Category Manager Labour and Distribution"/>
    <x v="1"/>
    <x v="13"/>
  </r>
  <r>
    <s v="UCQ021518"/>
    <n v="21518"/>
    <s v="Manish"/>
    <s v="Joshi"/>
    <s v="MALE"/>
    <s v="BF105"/>
    <s v="60SCA3"/>
    <s v="Supply Chain Analyst"/>
    <d v="2023-01-23T00:00:00"/>
    <m/>
    <d v="2023-01-23T00:00:00"/>
    <s v="FULL"/>
    <n v="38"/>
    <n v="1"/>
    <s v="Professionals"/>
    <n v="19552"/>
    <s v="Simon Kent "/>
    <s v="60GMPT"/>
    <s v="Category Manager Medical Supplies"/>
    <x v="1"/>
    <x v="13"/>
  </r>
  <r>
    <s v="UCQ013064"/>
    <n v="13064"/>
    <s v="Kristy"/>
    <s v="Allen"/>
    <s v="FEMALE"/>
    <s v="BF70"/>
    <s v="60SEL"/>
    <s v="Stakeholder Engagement Lead"/>
    <d v="2008-10-06T00:00:00"/>
    <m/>
    <d v="2022-10-31T00:00:00"/>
    <s v="PART"/>
    <n v="22"/>
    <n v="0.57894736842105265"/>
    <s v="Professionals"/>
    <n v="19017"/>
    <s v="Deborah Wadsworth "/>
    <s v="60PRM1"/>
    <s v="Category Manager"/>
    <x v="1"/>
    <x v="13"/>
  </r>
  <r>
    <s v="UCQ019792"/>
    <n v="19792"/>
    <s v="Gavin"/>
    <s v="Taylor"/>
    <s v="MALE"/>
    <s v="BF104"/>
    <s v="60SP2"/>
    <s v="Sourcing Specialist"/>
    <d v="2021-01-18T00:00:00"/>
    <m/>
    <d v="2023-02-01T00:00:00"/>
    <s v="FULL"/>
    <n v="38"/>
    <n v="1"/>
    <s v="Clerical &amp; Admin"/>
    <n v="19878"/>
    <s v="Justin Savaille "/>
    <s v="60GMPT"/>
    <s v="General Manager Procurement Transformation"/>
    <x v="1"/>
    <x v="13"/>
  </r>
  <r>
    <s v="UCQ019016"/>
    <n v="19016"/>
    <s v="Corinne"/>
    <s v="Buzianczuk"/>
    <s v="FEMALE"/>
    <s v="BF73"/>
    <s v="60PRTL"/>
    <s v="Team Lead Procurement Advisor"/>
    <d v="2019-11-18T00:00:00"/>
    <m/>
    <d v="2022-07-01T00:00:00"/>
    <s v="FULL"/>
    <n v="38"/>
    <n v="1"/>
    <s v="Clerical &amp; Admin"/>
    <n v="19878"/>
    <s v="Justin Savaille "/>
    <s v="60GMPT"/>
    <s v="General Manager Procurement Transformation"/>
    <x v="1"/>
    <x v="13"/>
  </r>
  <r>
    <s v="UCQ021171"/>
    <n v="21171"/>
    <s v="Caroline"/>
    <s v="Bateup"/>
    <s v="FEMALE"/>
    <s v="BF104"/>
    <s v="604SP"/>
    <s v="Sourcing Specialist"/>
    <d v="2015-03-26T00:00:00"/>
    <m/>
    <d v="2022-07-11T00:00:00"/>
    <s v="FULL"/>
    <n v="38"/>
    <n v="1"/>
    <s v="Clerical &amp; Admin"/>
    <n v="19017"/>
    <s v="Deborah Wadsworth "/>
    <s v="60PRM1"/>
    <s v="Category Manager"/>
    <x v="1"/>
    <x v="13"/>
  </r>
  <r>
    <s v="UCQ019017"/>
    <n v="19017"/>
    <s v="Deborah"/>
    <s v="Wadsworth"/>
    <s v="FEMALE"/>
    <s v="BF16"/>
    <s v="60PRM1"/>
    <s v="Category Manager"/>
    <d v="2019-11-18T00:00:00"/>
    <m/>
    <d v="2021-05-31T00:00:00"/>
    <s v="FULL"/>
    <n v="38"/>
    <n v="1"/>
    <s v="Senior Managers"/>
    <n v="19878"/>
    <s v="Justin Savaille "/>
    <s v="60GMPT"/>
    <s v="General Manager Procurement Transformation"/>
    <x v="1"/>
    <x v="13"/>
  </r>
  <r>
    <s v="UCQ020856"/>
    <n v="20856"/>
    <s v="William"/>
    <s v="Hoysted"/>
    <s v="MALE"/>
    <s v="BF16"/>
    <s v="60CMLD"/>
    <s v="Category Manager Labour and Distribution"/>
    <d v="2022-04-04T00:00:00"/>
    <m/>
    <d v="2022-04-04T00:00:00"/>
    <s v="FULL"/>
    <n v="38"/>
    <n v="1"/>
    <s v="Senior Managers"/>
    <n v="19878"/>
    <s v="Justin Savaille "/>
    <s v="60GMPT"/>
    <s v="General Manager Procurement Transformation"/>
    <x v="1"/>
    <x v="13"/>
  </r>
  <r>
    <s v="UCQ019552"/>
    <n v="19552"/>
    <s v="Simon"/>
    <s v="Kent"/>
    <s v="MALE"/>
    <s v="BF104"/>
    <s v="60SS1"/>
    <s v="Category Manager Medical Supplies"/>
    <d v="2020-09-28T00:00:00"/>
    <m/>
    <d v="2023-05-01T00:00:00"/>
    <s v="FULL"/>
    <n v="38"/>
    <n v="1"/>
    <s v="Senior Managers"/>
    <n v="19878"/>
    <s v="Justin Savaille "/>
    <s v="60GMPT"/>
    <s v="General Manager Procurement Transformation"/>
    <x v="1"/>
    <x v="13"/>
  </r>
  <r>
    <s v="UCQ021433"/>
    <n v="21433"/>
    <s v="Kelvin"/>
    <s v="Deasy"/>
    <s v="MALE"/>
    <s v="BF21"/>
    <s v="60PCFM"/>
    <s v="Fleet Operations Manager"/>
    <d v="2022-10-24T00:00:00"/>
    <m/>
    <d v="2022-10-24T00:00:00"/>
    <s v="FULL"/>
    <n v="38"/>
    <n v="1"/>
    <s v="Senior Managers"/>
    <n v="19878"/>
    <s v="Justin Savaille "/>
    <s v="60GMPT"/>
    <s v="General Manager Procurement Transformation"/>
    <x v="1"/>
    <x v="13"/>
  </r>
  <r>
    <s v="UCQ013296"/>
    <n v="13296"/>
    <s v="Scott"/>
    <s v="Mcdonald"/>
    <s v="MALE"/>
    <s v="BF32"/>
    <s v="60PHC"/>
    <s v="Procurement Hub Coordinator"/>
    <d v="2012-09-24T00:00:00"/>
    <m/>
    <d v="2018-10-01T00:00:00"/>
    <s v="FULL"/>
    <n v="38"/>
    <n v="1"/>
    <s v="Clerical &amp; Admin"/>
    <n v="19878"/>
    <s v="Justin Savaille "/>
    <s v="60GMPT"/>
    <s v="General Manager Procurement Transformation"/>
    <x v="1"/>
    <x v="13"/>
  </r>
  <r>
    <s v="UCQ013061"/>
    <n v="13061"/>
    <s v="Mark"/>
    <s v="Stephens"/>
    <s v="MALE"/>
    <s v="BF22"/>
    <s v="60FPLM"/>
    <s v="Fleet Projects Lead Manager"/>
    <d v="1994-01-04T00:00:00"/>
    <m/>
    <d v="2022-11-14T00:00:00"/>
    <s v="FULL"/>
    <n v="38"/>
    <n v="1"/>
    <s v="Senior Managers"/>
    <n v="19878"/>
    <s v="Justin Savaille "/>
    <s v="60GMPT"/>
    <s v="General Manager Procurement Transformation"/>
    <x v="1"/>
    <x v="13"/>
  </r>
  <r>
    <s v="UCQ021178"/>
    <n v="21178"/>
    <s v="Jazmin"/>
    <s v="Migala"/>
    <s v="FEMALE"/>
    <s v="BF132"/>
    <s v="60HDA1"/>
    <s v="Helpdesk Administration Officer"/>
    <d v="2022-02-22T00:00:00"/>
    <m/>
    <d v="2022-06-28T00:00:00"/>
    <s v="FULL"/>
    <n v="38"/>
    <n v="1"/>
    <s v="Clerical &amp; Admin"/>
    <n v="21181"/>
    <s v="Mellisa Spary "/>
    <s v="60MSS"/>
    <s v="Manager Support Services"/>
    <x v="1"/>
    <x v="14"/>
  </r>
  <r>
    <s v="UCQ021488"/>
    <n v="21488"/>
    <s v="Tabitha"/>
    <s v="Spary"/>
    <s v="FEMALE"/>
    <s v="BF132"/>
    <s v="60HDA6"/>
    <s v="Helpdesk Administration Officer"/>
    <d v="2022-10-25T00:00:00"/>
    <m/>
    <d v="2022-10-25T00:00:00"/>
    <s v="FULL"/>
    <n v="38"/>
    <n v="1"/>
    <s v="Clerical &amp; Admin"/>
    <n v="21181"/>
    <s v="Mellisa Spary "/>
    <s v="60MSS"/>
    <s v="Manager Support Services"/>
    <x v="1"/>
    <x v="14"/>
  </r>
  <r>
    <s v="UCQ021180"/>
    <n v="21180"/>
    <s v="Catriona"/>
    <s v="Gordon"/>
    <s v="FEMALE"/>
    <s v="BF132"/>
    <s v="60HDA3"/>
    <s v="Helpdesk Administration Officer"/>
    <d v="2020-04-20T00:00:00"/>
    <m/>
    <d v="2022-06-28T00:00:00"/>
    <s v="FULL"/>
    <n v="38"/>
    <n v="1"/>
    <s v="Clerical &amp; Admin"/>
    <n v="21181"/>
    <s v="Mellisa Spary "/>
    <s v="60MSS"/>
    <s v="Manager Support Services"/>
    <x v="1"/>
    <x v="14"/>
  </r>
  <r>
    <s v="UCQ021371"/>
    <n v="21371"/>
    <s v="Debra"/>
    <s v="Crook"/>
    <s v="FEMALE"/>
    <s v="BF132"/>
    <s v="60HDA"/>
    <s v="Helpdesk Administration Officer"/>
    <d v="2022-09-13T00:00:00"/>
    <m/>
    <d v="2022-09-13T00:00:00"/>
    <s v="FULL"/>
    <n v="38"/>
    <n v="1"/>
    <s v="Clerical &amp; Admin"/>
    <n v="21181"/>
    <s v="Mellisa Spary "/>
    <s v="60MSS"/>
    <s v="Manager Support Services"/>
    <x v="1"/>
    <x v="14"/>
  </r>
  <r>
    <s v="UCQ021744"/>
    <n v="21744"/>
    <s v="Rachel"/>
    <s v="Russell"/>
    <s v="FEMALE"/>
    <s v="BF132"/>
    <s v="60HDA7"/>
    <s v="Helpdesk Administration Officer"/>
    <d v="2023-02-06T00:00:00"/>
    <m/>
    <d v="2023-02-06T00:00:00"/>
    <s v="FULL"/>
    <n v="38"/>
    <n v="1"/>
    <s v="Clerical &amp; Admin"/>
    <n v="21181"/>
    <s v="Mellisa Spary "/>
    <s v="60MSS"/>
    <s v="Manager Support Services"/>
    <x v="1"/>
    <x v="14"/>
  </r>
  <r>
    <s v="UCQ021179"/>
    <n v="21179"/>
    <s v="Alan"/>
    <s v="Purves"/>
    <s v="MALE"/>
    <s v="BF132"/>
    <s v="60HDA2"/>
    <s v="Helpdesk Administration Officer"/>
    <d v="2008-11-06T00:00:00"/>
    <m/>
    <d v="2022-06-28T00:00:00"/>
    <s v="FULL"/>
    <n v="38"/>
    <n v="1"/>
    <s v="Clerical &amp; Admin"/>
    <n v="21181"/>
    <s v="Mellisa Spary "/>
    <s v="60MSS"/>
    <s v="Manager Support Services"/>
    <x v="1"/>
    <x v="14"/>
  </r>
  <r>
    <s v="UCQ021182"/>
    <n v="21182"/>
    <s v="Paige"/>
    <s v="Deeth"/>
    <s v="FEMALE"/>
    <s v="BF132"/>
    <s v="60HDA4"/>
    <s v="Helpdesk Administration Officer"/>
    <d v="2021-02-15T00:00:00"/>
    <m/>
    <d v="2023-05-01T00:00:00"/>
    <s v="FULL"/>
    <n v="38"/>
    <n v="1"/>
    <s v="Clerical &amp; Admin"/>
    <n v="21181"/>
    <s v="Mellisa Spary "/>
    <s v="60MSS"/>
    <s v="Manager Support Services"/>
    <x v="1"/>
    <x v="14"/>
  </r>
  <r>
    <s v="BLU189407"/>
    <n v="83132"/>
    <s v="Jo-Anne"/>
    <s v="Stoyles"/>
    <s v="FEMALE"/>
    <s v="BF23"/>
    <n v="53247"/>
    <s v="Maintenance &amp; Grounds Officer"/>
    <d v="2021-06-22T00:00:00"/>
    <m/>
    <d v="2022-05-17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UCC021853"/>
    <n v="21853"/>
    <s v="Scott"/>
    <s v="Barrett"/>
    <s v="MALE"/>
    <s v="BF134"/>
    <s v="60MS"/>
    <s v="Maintenance Supervisor"/>
    <d v="2016-11-22T00:00:00"/>
    <m/>
    <d v="2023-05-27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UCQ018874"/>
    <n v="18874"/>
    <s v="Gretchen"/>
    <s v="Hahn"/>
    <s v="FEMALE"/>
    <s v="BF40"/>
    <s v="60CC01"/>
    <s v="Communications Coordinator"/>
    <d v="2019-09-09T00:00:00"/>
    <m/>
    <d v="2022-12-16T00:00:00"/>
    <s v="FULL"/>
    <n v="38"/>
    <n v="1"/>
    <s v="Clerical &amp; Admin"/>
    <n v="21274"/>
    <s v="Tara Edgar"/>
    <s v="60ICL"/>
    <s v="Impact and Communications Lead"/>
    <x v="1"/>
    <x v="14"/>
  </r>
  <r>
    <s v="BLU191609"/>
    <n v="85000"/>
    <s v="Colin"/>
    <s v="Thomson"/>
    <s v="MALE"/>
    <s v="BF134"/>
    <n v="53887"/>
    <s v="Maintenance Supervisor"/>
    <d v="2021-12-08T00:00:00"/>
    <m/>
    <d v="2021-12-08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94723"/>
    <n v="87947"/>
    <s v="Dale"/>
    <s v="Crombie"/>
    <s v="MALE"/>
    <s v="BF134"/>
    <n v="49348"/>
    <s v="Maintenance Supervisor"/>
    <d v="2022-08-30T00:00:00"/>
    <m/>
    <d v="2022-08-30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62838"/>
    <n v="66321"/>
    <s v="Graham"/>
    <s v="Chandler"/>
    <s v="MALE"/>
    <s v="BF134"/>
    <n v="56013"/>
    <s v="Maintenance Supervisor"/>
    <d v="2015-11-30T00:00:00"/>
    <m/>
    <d v="2023-02-21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64980"/>
    <n v="87576"/>
    <s v="Jamie"/>
    <s v="Lane"/>
    <s v="MALE"/>
    <s v="BF134"/>
    <n v="52033"/>
    <s v="Maintenance Supervisor"/>
    <d v="2022-07-25T00:00:00"/>
    <m/>
    <d v="2022-07-25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99102"/>
    <n v="91361"/>
    <s v="Michael"/>
    <s v="Pratt"/>
    <s v="FEMALE"/>
    <s v="BF134"/>
    <n v="57325"/>
    <s v="Maintenance Supervisor"/>
    <d v="2023-05-10T00:00:00"/>
    <m/>
    <d v="2023-05-10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65078"/>
    <n v="68246"/>
    <s v="Richard"/>
    <s v="Duxfield"/>
    <s v="MALE"/>
    <s v="BF134"/>
    <n v="55615"/>
    <s v="Maintenance Supervisor"/>
    <d v="2016-09-12T00:00:00"/>
    <m/>
    <d v="2022-06-27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88381"/>
    <n v="82249"/>
    <s v="Steven"/>
    <s v="Stone"/>
    <s v="MALE"/>
    <s v="BF134"/>
    <n v="54685"/>
    <s v="Maintenance Supervisor"/>
    <d v="2021-03-01T00:00:00"/>
    <m/>
    <d v="2022-03-08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BLU192429"/>
    <n v="85910"/>
    <s v="Ryan"/>
    <s v="Winning"/>
    <s v="MALE"/>
    <s v="BF134"/>
    <n v="55211"/>
    <s v="Maintenance Supervisor"/>
    <d v="2022-02-22T00:00:00"/>
    <m/>
    <d v="2022-05-03T00:00:00"/>
    <s v="FULL"/>
    <n v="38"/>
    <n v="1"/>
    <s v="Technicians And Trades Workers"/>
    <n v="21795"/>
    <s v="Tracey O'Hanlon"/>
    <s v="60GMFM"/>
    <s v="General Manager Facilities and Maintenance"/>
    <x v="1"/>
    <x v="14"/>
  </r>
  <r>
    <s v="UCQ021164"/>
    <n v="21164"/>
    <s v="Ashlee"/>
    <s v="Lumley"/>
    <s v="FEMALE"/>
    <s v="BF98"/>
    <s v="60PM9"/>
    <s v="Property Manager"/>
    <d v="2021-12-13T00:00:00"/>
    <m/>
    <d v="2022-10-24T00:00:00"/>
    <s v="FULL"/>
    <n v="38"/>
    <n v="1"/>
    <s v="Other Managers"/>
    <n v="21534"/>
    <s v="Diane Twist "/>
    <s v="60GSPM"/>
    <s v="Property Portfolio Manager"/>
    <x v="1"/>
    <x v="14"/>
  </r>
  <r>
    <s v="UCQ021181"/>
    <n v="21181"/>
    <s v="Mellisa"/>
    <s v="Spary"/>
    <s v="FEMALE"/>
    <s v="BF115"/>
    <s v="60HDTL"/>
    <s v="Helpdesk Team Leader"/>
    <d v="2014-02-10T00:00:00"/>
    <m/>
    <d v="2023-05-01T00:00:00"/>
    <s v="FULL"/>
    <n v="38"/>
    <n v="1"/>
    <s v="Clerical &amp; Admin"/>
    <n v="21158"/>
    <s v="Kelley Bostock "/>
    <s v="601PO2"/>
    <s v="Project Officer"/>
    <x v="1"/>
    <x v="14"/>
  </r>
  <r>
    <s v="UCQ022077"/>
    <n v="22077"/>
    <s v="Chelsea"/>
    <s v="Sales"/>
    <s v="FEMALE"/>
    <s v="BF145"/>
    <s v="60REC3"/>
    <s v="Receptionist"/>
    <d v="2023-05-29T00:00:00"/>
    <m/>
    <d v="2023-05-29T00:00:00"/>
    <s v="FULL"/>
    <n v="38"/>
    <n v="1"/>
    <s v="Clerical &amp; Admin"/>
    <n v="20654"/>
    <s v="Carmela Middleton "/>
    <s v="H05801"/>
    <s v="Business Support Manager"/>
    <x v="1"/>
    <x v="14"/>
  </r>
  <r>
    <s v="UCQ021166"/>
    <n v="21166"/>
    <s v="Louise"/>
    <s v="Hogarth"/>
    <s v="FEMALE"/>
    <s v="BF128"/>
    <s v="60BSL"/>
    <s v="Business Support Lead"/>
    <d v="2022-07-04T00:00:00"/>
    <m/>
    <d v="2023-04-20T00:00:00"/>
    <s v="FULL"/>
    <n v="38"/>
    <n v="1"/>
    <s v="Clerical &amp; Admin"/>
    <n v="20654"/>
    <s v="Carmela Middleton "/>
    <s v="60BSM"/>
    <s v="Business Support Manager"/>
    <x v="1"/>
    <x v="14"/>
  </r>
  <r>
    <s v="UCQ021156"/>
    <n v="21156"/>
    <s v="Fergus"/>
    <s v="Moore"/>
    <s v="MALE"/>
    <s v="BF102"/>
    <s v="60SPA"/>
    <s v="Senior Property Analyst"/>
    <d v="2019-11-25T00:00:00"/>
    <m/>
    <d v="2022-06-28T00:00:00"/>
    <s v="FULL"/>
    <n v="38"/>
    <n v="1"/>
    <s v="Professionals"/>
    <n v="21162"/>
    <s v="Alex Penson "/>
    <s v="60GMPI"/>
    <s v="General Manager Property Investment"/>
    <x v="1"/>
    <x v="14"/>
  </r>
  <r>
    <s v="UCQ020929"/>
    <n v="20929"/>
    <s v="Jessica"/>
    <s v="Palmer"/>
    <s v="FEMALE"/>
    <s v="BF98"/>
    <s v="60PMG"/>
    <s v="Property Manager"/>
    <d v="2022-03-30T00:00:00"/>
    <m/>
    <d v="2022-10-24T00:00:00"/>
    <s v="FULL"/>
    <n v="38"/>
    <n v="1"/>
    <s v="Other Managers"/>
    <n v="21534"/>
    <s v="Diane Twist "/>
    <s v="60GSPM"/>
    <s v="Property Portfolio Manager"/>
    <x v="1"/>
    <x v="14"/>
  </r>
  <r>
    <s v="UCC021161"/>
    <n v="21161"/>
    <s v="Russell"/>
    <s v="Gotke"/>
    <s v="MALE"/>
    <s v="BF96"/>
    <s v="60MFM"/>
    <s v="Manager Facilities and Maintenance"/>
    <d v="2000-11-14T00:00:00"/>
    <m/>
    <d v="2023-05-27T00:00:00"/>
    <s v="FULL"/>
    <n v="38"/>
    <n v="1"/>
    <s v="Other Managers"/>
    <n v="21795"/>
    <s v="Tracey O'Hanlon"/>
    <s v="60GMFM"/>
    <s v="General Manager Facilities and Maintenance"/>
    <x v="1"/>
    <x v="14"/>
  </r>
  <r>
    <s v="UCQ021158"/>
    <n v="21158"/>
    <s v="Kelley"/>
    <s v="Bostock"/>
    <s v="FEMALE"/>
    <s v="BF57"/>
    <s v="60MSS"/>
    <s v="Manager Support Services"/>
    <d v="2020-01-20T00:00:00"/>
    <m/>
    <d v="2022-06-28T00:00:00"/>
    <s v="FULL"/>
    <n v="38"/>
    <n v="1"/>
    <s v="Other Managers"/>
    <n v="18667"/>
    <s v="Simone Dalley "/>
    <s v="60GSPM"/>
    <s v="General Manager Strategic Portfolio Management"/>
    <x v="1"/>
    <x v="14"/>
  </r>
  <r>
    <s v="UCQ022151"/>
    <n v="22151"/>
    <s v="Lacey"/>
    <s v="Cameron"/>
    <s v="FEMALE"/>
    <s v="BF147"/>
    <s v="60POF1"/>
    <s v="Project Officer"/>
    <d v="2023-06-20T00:00:00"/>
    <m/>
    <d v="2023-06-20T00:00:00"/>
    <s v="PART"/>
    <n v="30"/>
    <n v="0.78947368421052633"/>
    <s v="Clerical &amp; Admin"/>
    <n v="20989"/>
    <s v="Kirsty Dykes"/>
    <s v="60PMG1"/>
    <s v="Program Manager"/>
    <x v="1"/>
    <x v="14"/>
  </r>
  <r>
    <s v="UCQ020654"/>
    <n v="20654"/>
    <s v="Carmela"/>
    <s v="Middleton"/>
    <s v="FEMALE"/>
    <s v="BF43"/>
    <s v="60BSM"/>
    <s v="Business Support Manager"/>
    <d v="2022-01-04T00:00:00"/>
    <m/>
    <d v="2022-01-04T00:00:00"/>
    <s v="FULL"/>
    <n v="38"/>
    <n v="1"/>
    <s v="Other Managers"/>
    <n v="18667"/>
    <s v="Simone Dalley "/>
    <s v="60GSPM"/>
    <s v="General Manager Strategic Portfolio Management"/>
    <x v="1"/>
    <x v="14"/>
  </r>
  <r>
    <s v="BLU168258"/>
    <n v="71106"/>
    <s v="Corrado"/>
    <s v="Coppola"/>
    <s v="MALE"/>
    <s v="BF88"/>
    <n v="43190"/>
    <s v="Facilities and Maintenance Manager"/>
    <d v="2017-09-12T00:00:00"/>
    <m/>
    <d v="2023-03-13T00:00:00"/>
    <s v="FULL"/>
    <n v="38"/>
    <n v="1"/>
    <s v="Other Managers"/>
    <n v="21795"/>
    <s v="Tracey O'Hanlon"/>
    <s v="60GMFM"/>
    <s v="General Manager Facilities and Maintenance"/>
    <x v="1"/>
    <x v="14"/>
  </r>
  <r>
    <s v="UCC021804"/>
    <n v="21804"/>
    <s v="Shannon"/>
    <s v="Tobin"/>
    <s v="MALE"/>
    <s v="BF96"/>
    <s v="60MFM1"/>
    <s v="Manager Facilities and Maintenance"/>
    <d v="2014-03-03T00:00:00"/>
    <m/>
    <d v="2023-02-21T00:00:00"/>
    <s v="FULL"/>
    <n v="38"/>
    <n v="1"/>
    <s v="Other Managers"/>
    <n v="21795"/>
    <s v="Tracey O'Hanlon"/>
    <s v="60GMFM"/>
    <s v="General Manager Facilities and Maintenance"/>
    <x v="1"/>
    <x v="14"/>
  </r>
  <r>
    <s v="UCQ021110"/>
    <n v="21110"/>
    <s v="Alison"/>
    <s v="Van Der Lelie"/>
    <s v="FEMALE"/>
    <s v="2030_05"/>
    <s v="60PMG2"/>
    <s v="Project Manager"/>
    <d v="2022-06-20T00:00:00"/>
    <m/>
    <d v="2022-06-20T00:00:00"/>
    <s v="FULL"/>
    <n v="38"/>
    <n v="1"/>
    <s v="Professionals"/>
    <n v="20375"/>
    <s v="Kayla Bolton"/>
    <s v="60GMPD"/>
    <s v="General Manager Project Delivery Property"/>
    <x v="1"/>
    <x v="14"/>
  </r>
  <r>
    <s v="BLU192771"/>
    <n v="86651"/>
    <s v="Sharon"/>
    <s v="Anderson"/>
    <s v="FEMALE"/>
    <s v="BF88"/>
    <n v="21727"/>
    <s v="Facilities &amp; Maintenance Mgr"/>
    <d v="2022-03-22T00:00:00"/>
    <m/>
    <d v="2022-03-22T00:00:00"/>
    <s v="FULL"/>
    <n v="38"/>
    <n v="1"/>
    <s v="Other Managers"/>
    <n v="21795"/>
    <s v="Tracey O'Hanlon"/>
    <s v="60GMFM"/>
    <s v="General Manager Facilities and Maintenance"/>
    <x v="1"/>
    <x v="14"/>
  </r>
  <r>
    <s v="UCC021837"/>
    <n v="21837"/>
    <s v="Kevin"/>
    <s v="Wheeler"/>
    <s v="MALE"/>
    <s v="BF96"/>
    <s v="60MFM3"/>
    <s v="Manager Facilities and Maintenance"/>
    <d v="2023-03-20T00:00:00"/>
    <m/>
    <d v="2023-03-20T00:00:00"/>
    <s v="FULL"/>
    <n v="38"/>
    <n v="1"/>
    <s v="Other Managers"/>
    <n v="21795"/>
    <s v="Tracey O'Hanlon"/>
    <s v="60GMFM"/>
    <s v="General Manager Facilities and Maintenance"/>
    <x v="1"/>
    <x v="14"/>
  </r>
  <r>
    <s v="UCQ021274"/>
    <n v="21274"/>
    <s v="Tara"/>
    <s v="Edgar"/>
    <s v="FEMALE"/>
    <s v="BF55"/>
    <s v="60ICL"/>
    <s v="Impact and Communications Lead"/>
    <d v="2022-08-15T00:00:00"/>
    <m/>
    <d v="2022-08-15T00:00:00"/>
    <s v="FULL"/>
    <n v="38"/>
    <n v="1"/>
    <s v="Professionals"/>
    <n v="20211"/>
    <s v="Kristyna Dillon "/>
    <s v="605PM"/>
    <s v="Program Manager"/>
    <x v="1"/>
    <x v="14"/>
  </r>
  <r>
    <s v="UCC021834"/>
    <n v="21834"/>
    <s v="Ray"/>
    <s v="Hirsimaki"/>
    <s v="MALE"/>
    <s v="BF96"/>
    <s v="60MFM2"/>
    <s v="Manager Facilities and Maintenance"/>
    <d v="2023-03-27T00:00:00"/>
    <m/>
    <d v="2023-03-27T00:00:00"/>
    <s v="FULL"/>
    <n v="38"/>
    <n v="1"/>
    <s v="Other Managers"/>
    <n v="21795"/>
    <s v="Tracey O'Hanlon"/>
    <s v="60GMFM"/>
    <s v="General Manager Facilities and Maintenance"/>
    <x v="1"/>
    <x v="14"/>
  </r>
  <r>
    <s v="UCQ021160"/>
    <n v="21160"/>
    <s v="Ian"/>
    <s v="Tung"/>
    <s v="MALE"/>
    <s v="BF66"/>
    <s v="60SPIA"/>
    <s v="Senior Property Investment Analyst"/>
    <d v="2022-03-14T00:00:00"/>
    <m/>
    <d v="2022-06-28T00:00:00"/>
    <s v="FULL"/>
    <n v="38"/>
    <n v="1"/>
    <s v="Professionals"/>
    <n v="21162"/>
    <s v="Alex Penson "/>
    <s v="60GMPI"/>
    <s v="General Manager Property Investment"/>
    <x v="1"/>
    <x v="14"/>
  </r>
  <r>
    <s v="UCQ021883"/>
    <n v="21883"/>
    <s v="Junyi"/>
    <s v="Zhou"/>
    <s v="FEMALE"/>
    <s v="BF26"/>
    <s v="60QSPM"/>
    <s v="Quantity Surveyor Project Manager"/>
    <d v="2023-03-14T00:00:00"/>
    <d v="2025-03-13T00:00:00"/>
    <d v="2023-03-14T00:00:00"/>
    <s v="FULL"/>
    <n v="38"/>
    <n v="1"/>
    <s v="Professionals"/>
    <n v="20989"/>
    <s v="Kirsty Dykes"/>
    <s v="60PMG1"/>
    <s v="Program Manager"/>
    <x v="1"/>
    <x v="14"/>
  </r>
  <r>
    <s v="UCQ020810"/>
    <n v="20810"/>
    <s v="Genevieve"/>
    <s v="Alexander"/>
    <s v="FEMALE"/>
    <s v="BF67"/>
    <s v="60SPMG"/>
    <s v="Senior Property Manager"/>
    <d v="2022-02-28T00:00:00"/>
    <m/>
    <d v="2022-10-24T00:00:00"/>
    <s v="FULL"/>
    <n v="38"/>
    <n v="1"/>
    <s v="Other Managers"/>
    <n v="21534"/>
    <s v="Diane Twist "/>
    <s v="60GSPM"/>
    <s v="Property Portfolio Manager"/>
    <x v="1"/>
    <x v="14"/>
  </r>
  <r>
    <s v="UCQ020989"/>
    <n v="20989"/>
    <s v="Kirsty"/>
    <s v="Dykes"/>
    <s v="FEMALE"/>
    <s v="ACC20"/>
    <s v="60PMG1"/>
    <s v="Program Manager"/>
    <d v="2022-04-26T00:00:00"/>
    <m/>
    <d v="2023-01-31T00:00:00"/>
    <s v="FULL"/>
    <n v="38"/>
    <n v="1"/>
    <s v="Senior Managers"/>
    <n v="20375"/>
    <s v="Kayla Bolton"/>
    <s v="60GMPD"/>
    <s v="General Manager Project Delivery Property"/>
    <x v="1"/>
    <x v="14"/>
  </r>
  <r>
    <s v="UCQ021547"/>
    <n v="21547"/>
    <s v="Darren"/>
    <s v="Moore"/>
    <s v="MALE"/>
    <s v="BF39"/>
    <s v="602AM"/>
    <s v="Asset Manager"/>
    <d v="2022-11-21T00:00:00"/>
    <m/>
    <d v="2023-01-01T00:00:00"/>
    <s v="FULL"/>
    <n v="38"/>
    <n v="1"/>
    <s v="Other Managers"/>
    <n v="21162"/>
    <s v="Alex Penson "/>
    <s v="60GMPI"/>
    <s v="General Manager Property Investment"/>
    <x v="1"/>
    <x v="14"/>
  </r>
  <r>
    <s v="UCQ021155"/>
    <n v="21155"/>
    <s v="Debra"/>
    <s v="Parkin"/>
    <s v="FEMALE"/>
    <s v="BF44"/>
    <s v="60CPCM"/>
    <s v="Capital Projects Commissioning Manager"/>
    <d v="2009-08-10T00:00:00"/>
    <m/>
    <d v="2022-06-28T00:00:00"/>
    <s v="FULL"/>
    <n v="38"/>
    <n v="1"/>
    <s v="Other Managers"/>
    <n v="20375"/>
    <s v="Kayla Bolton"/>
    <s v="60GMPD"/>
    <s v="General Manager Project Delivery Property"/>
    <x v="1"/>
    <x v="14"/>
  </r>
  <r>
    <s v="UCQ021833"/>
    <n v="21833"/>
    <s v="Lorelei"/>
    <s v="Baum"/>
    <s v="FEMALE"/>
    <s v="BF95"/>
    <s v="60CELP"/>
    <s v="Communications and Stakeholder Engagement Lead Property"/>
    <d v="2023-03-06T00:00:00"/>
    <d v="2024-05-03T00:00:00"/>
    <d v="2023-05-05T00:00:00"/>
    <s v="PART"/>
    <n v="22"/>
    <n v="0.57894736842105265"/>
    <s v="Clerical &amp; Admin"/>
    <n v="20010"/>
    <s v="Lavinia Dack "/>
    <s v="60GGMP"/>
    <s v="Group General Manager Property"/>
    <x v="1"/>
    <x v="14"/>
  </r>
  <r>
    <s v="UCQ021534"/>
    <n v="21534"/>
    <s v="Diane"/>
    <s v="Twist"/>
    <s v="FEMALE"/>
    <s v="BF98"/>
    <s v="601PFM"/>
    <s v="Property Portfolio Manager"/>
    <d v="2022-12-12T00:00:00"/>
    <m/>
    <d v="2022-12-12T00:00:00"/>
    <s v="FULL"/>
    <n v="38"/>
    <n v="1"/>
    <s v="Other Managers"/>
    <n v="18667"/>
    <s v="Simone Dalley "/>
    <s v="60GSPM"/>
    <s v="General Manager Strategic Portfolio Management"/>
    <x v="1"/>
    <x v="14"/>
  </r>
  <r>
    <s v="UCC021795"/>
    <n v="21795"/>
    <s v="Tracey"/>
    <s v="O'Hanlon"/>
    <s v="FEMALE"/>
    <s v="BF05"/>
    <s v="60GMFM"/>
    <s v="General Manager Facilities and Maintenance"/>
    <d v="2021-05-31T00:00:00"/>
    <m/>
    <d v="2023-03-13T00:00:00"/>
    <s v="FULL"/>
    <n v="38"/>
    <n v="1"/>
    <s v="Other Exec / Gen Mgrs"/>
    <n v="20010"/>
    <s v="Lavinia Dack "/>
    <s v="60GGMP"/>
    <s v="Group General Manager Property"/>
    <x v="1"/>
    <x v="14"/>
  </r>
  <r>
    <s v="UCQ021285"/>
    <n v="21285"/>
    <s v="Jolene"/>
    <s v="Voussem"/>
    <s v="FEMALE"/>
    <s v="BF36"/>
    <s v="60SPM3"/>
    <s v="Senior Program Manager"/>
    <d v="2022-08-29T00:00:00"/>
    <m/>
    <d v="2023-04-26T00:00:00"/>
    <s v="PART"/>
    <n v="30.4"/>
    <n v="0.79999999999999993"/>
    <s v="Senior Managers"/>
    <n v="21162"/>
    <s v="Alex Penson "/>
    <s v="60GMPI"/>
    <s v="General Manager Property Investment"/>
    <x v="1"/>
    <x v="14"/>
  </r>
  <r>
    <s v="UCQ020372"/>
    <n v="20372"/>
    <s v="Michael"/>
    <s v="Jorgensen"/>
    <s v="MALE"/>
    <s v="BF34"/>
    <s v="60PPLA"/>
    <s v="Property Project Lead Aged Care"/>
    <d v="2021-09-13T00:00:00"/>
    <m/>
    <d v="2022-09-01T00:00:00"/>
    <s v="FULL"/>
    <n v="38"/>
    <n v="1"/>
    <s v="Senior Managers"/>
    <n v="20375"/>
    <s v="Kayla Bolton"/>
    <s v="60GMPD"/>
    <s v="General Manager Project Delivery Property"/>
    <x v="1"/>
    <x v="14"/>
  </r>
  <r>
    <s v="UCQ018667"/>
    <n v="18667"/>
    <s v="Simone"/>
    <s v="Dalley"/>
    <s v="FEMALE"/>
    <s v="BF10"/>
    <s v="60GSPM"/>
    <s v="General Manager Strategic Portfolio Management"/>
    <d v="2019-06-17T00:00:00"/>
    <m/>
    <d v="2022-01-10T00:00:00"/>
    <s v="PART"/>
    <n v="34"/>
    <n v="0.89473684210526316"/>
    <s v="Senior Managers"/>
    <n v="20010"/>
    <s v="Lavinia Dack "/>
    <s v="60GGMP"/>
    <s v="Group General Manager Property"/>
    <x v="1"/>
    <x v="14"/>
  </r>
  <r>
    <s v="UCQ021162"/>
    <n v="21162"/>
    <s v="Alex"/>
    <s v="Penson"/>
    <s v="MALE"/>
    <s v="BF11"/>
    <s v="60GMPI"/>
    <s v="General Manager Property Investment"/>
    <d v="2016-10-24T00:00:00"/>
    <m/>
    <d v="2022-06-28T00:00:00"/>
    <s v="FULL"/>
    <n v="38"/>
    <n v="1"/>
    <s v="Senior Managers"/>
    <n v="20010"/>
    <s v="Lavinia Dack "/>
    <s v="60GGMP"/>
    <s v="Group General Manager Property"/>
    <x v="1"/>
    <x v="14"/>
  </r>
  <r>
    <s v="UCQ020375"/>
    <n v="20375"/>
    <s v="Kayla"/>
    <s v="Bolton"/>
    <s v="FEMALE"/>
    <s v="BF09"/>
    <s v="60GMPD"/>
    <s v="General Manager Project Delivery Property"/>
    <d v="2021-11-08T00:00:00"/>
    <m/>
    <d v="2021-11-08T00:00:00"/>
    <s v="FULL"/>
    <n v="38"/>
    <n v="1"/>
    <s v="Senior Managers"/>
    <n v="20010"/>
    <s v="Lavinia Dack "/>
    <s v="60GGMP"/>
    <s v="Group General Manager Property"/>
    <x v="1"/>
    <x v="14"/>
  </r>
  <r>
    <s v="UCQ020010"/>
    <n v="20010"/>
    <s v="Lavinia"/>
    <s v="Dack"/>
    <s v="FEMALE"/>
    <s v="BF04"/>
    <s v="60GGMP"/>
    <s v="Group General Manager Property"/>
    <d v="2021-04-26T00:00:00"/>
    <m/>
    <d v="2022-09-15T00:00:00"/>
    <s v="FULL"/>
    <n v="38"/>
    <n v="1"/>
    <s v="Other Exec / Gen Mgrs"/>
    <n v="19143"/>
    <s v="Craig Wildermuth "/>
    <s v="60CFO1"/>
    <s v="Chief Finance Officer"/>
    <x v="1"/>
    <x v="14"/>
  </r>
  <r>
    <s v="BLU189267"/>
    <n v="82888"/>
    <s v="Rhilee"/>
    <s v="Strong"/>
    <s v="FEMALE"/>
    <s v="BF127"/>
    <n v="57266"/>
    <s v="Assistant Village Manager"/>
    <d v="2021-04-19T00:00:00"/>
    <m/>
    <d v="2022-10-01T00:00:00"/>
    <s v="FULL"/>
    <n v="38"/>
    <n v="1"/>
    <s v="Other Managers"/>
    <n v="87802"/>
    <s v="Nadine Lister"/>
    <n v="49459"/>
    <s v="Operations Manager"/>
    <x v="1"/>
    <x v="15"/>
  </r>
  <r>
    <s v="BLU187220"/>
    <n v="81257"/>
    <s v="Rosemary"/>
    <s v="Nrdalo"/>
    <s v="FEMALE"/>
    <s v="BF127"/>
    <n v="47345"/>
    <s v="Assistant Village Manager"/>
    <d v="2020-11-02T00:00:00"/>
    <m/>
    <d v="2020-11-02T00:00:00"/>
    <s v="FULL"/>
    <n v="38"/>
    <n v="1"/>
    <s v="Other Managers"/>
    <n v="91293"/>
    <s v="Tina Saunders"/>
    <n v="57294"/>
    <s v="Operations Manager"/>
    <x v="1"/>
    <x v="15"/>
  </r>
  <r>
    <s v="BLU182892"/>
    <n v="78990"/>
    <s v="Shannon"/>
    <s v="Huth"/>
    <s v="FEMALE"/>
    <s v="BF131"/>
    <n v="47274"/>
    <s v="Head Chef"/>
    <d v="2020-02-24T00:00:00"/>
    <m/>
    <d v="2020-02-24T00:00:00"/>
    <s v="FULL"/>
    <n v="38"/>
    <n v="1"/>
    <s v="Technicians And Trades Workers"/>
    <n v="87802"/>
    <s v="Nadine Lister"/>
    <n v="49459"/>
    <s v="Operations Manager"/>
    <x v="1"/>
    <x v="15"/>
  </r>
  <r>
    <s v="BLU180850"/>
    <n v="78002"/>
    <s v="Rachel"/>
    <s v="Mackey"/>
    <s v="FEMALE"/>
    <s v="BF61"/>
    <n v="51269"/>
    <s v="Sales Manager"/>
    <d v="2019-10-16T00:00:00"/>
    <m/>
    <d v="2019-10-16T00:00:00"/>
    <s v="FULL"/>
    <n v="38"/>
    <n v="1"/>
    <s v="Other Managers"/>
    <n v="69237"/>
    <s v="Matthew Rowe"/>
    <n v="43876"/>
    <s v="Sales Manager (Seniors' Housing)"/>
    <x v="1"/>
    <x v="15"/>
  </r>
  <r>
    <s v="BLU165527"/>
    <n v="68626"/>
    <s v="Valerie"/>
    <s v="Harvey"/>
    <s v="FEMALE"/>
    <s v="BF61"/>
    <n v="47343"/>
    <s v="Sales Manager"/>
    <d v="2014-07-14T00:00:00"/>
    <m/>
    <d v="2016-12-01T00:00:00"/>
    <s v="FULL"/>
    <n v="38"/>
    <n v="1"/>
    <s v="Other Managers"/>
    <n v="69237"/>
    <s v="Matthew Rowe"/>
    <n v="43876"/>
    <s v="Sales Manager (Seniors' Housing)"/>
    <x v="1"/>
    <x v="15"/>
  </r>
  <r>
    <s v="BLU166467"/>
    <n v="69276"/>
    <s v="Toni"/>
    <s v="Diehm"/>
    <s v="FEMALE"/>
    <s v="BF135"/>
    <n v="56103"/>
    <s v="Portfolio Coordinator"/>
    <d v="2017-02-14T00:00:00"/>
    <m/>
    <d v="2022-11-21T00:00:00"/>
    <s v="PART"/>
    <n v="30"/>
    <n v="0.78947368421052633"/>
    <s v="Clerical &amp; Admin"/>
    <n v="69237"/>
    <s v="Matthew Rowe"/>
    <n v="43876"/>
    <s v="Sales Manager (Seniors' Housing)"/>
    <x v="1"/>
    <x v="15"/>
  </r>
  <r>
    <s v="BLU165347"/>
    <n v="68539"/>
    <s v="Leo"/>
    <s v="De Mattia"/>
    <s v="MALE"/>
    <s v="BF61"/>
    <n v="47289"/>
    <s v="Sales Manager"/>
    <d v="2002-09-09T00:00:00"/>
    <m/>
    <d v="2016-12-01T00:00:00"/>
    <s v="FULL"/>
    <n v="38"/>
    <n v="1"/>
    <s v="Other Managers"/>
    <n v="69237"/>
    <s v="Matthew Rowe"/>
    <n v="43876"/>
    <s v="Sales Manager (Seniors' Housing)"/>
    <x v="1"/>
    <x v="15"/>
  </r>
  <r>
    <s v="BLU165534"/>
    <n v="68838"/>
    <s v="Elizabeth"/>
    <s v="McKone"/>
    <s v="FEMALE"/>
    <s v="BF61"/>
    <n v="47338"/>
    <s v="Sales Manager"/>
    <d v="2016-12-01T00:00:00"/>
    <m/>
    <d v="2018-03-31T00:00:00"/>
    <s v="FULL"/>
    <n v="38"/>
    <n v="1"/>
    <s v="Other Managers"/>
    <n v="69237"/>
    <s v="Matthew Rowe"/>
    <n v="43876"/>
    <s v="Sales Manager (Seniors' Housing)"/>
    <x v="1"/>
    <x v="15"/>
  </r>
  <r>
    <s v="BLU166797"/>
    <n v="69628"/>
    <s v="Mark"/>
    <s v="Burrows"/>
    <s v="MALE"/>
    <s v="BF61"/>
    <n v="47816"/>
    <s v="Sales Manager"/>
    <d v="2017-03-27T00:00:00"/>
    <m/>
    <d v="2017-03-27T00:00:00"/>
    <s v="FULL"/>
    <n v="38"/>
    <n v="1"/>
    <s v="Other Managers"/>
    <n v="69237"/>
    <s v="Matthew Rowe"/>
    <n v="43876"/>
    <s v="Sales Manager (Seniors' Housing)"/>
    <x v="1"/>
    <x v="15"/>
  </r>
  <r>
    <s v="BLU175929"/>
    <n v="75489"/>
    <s v="Sian"/>
    <s v="Solomona"/>
    <s v="FEMALE"/>
    <s v="BF61"/>
    <n v="56104"/>
    <s v="Sales Manager"/>
    <d v="2019-01-30T00:00:00"/>
    <m/>
    <d v="2022-11-24T00:00:00"/>
    <s v="FULL"/>
    <n v="38"/>
    <n v="1"/>
    <s v="Other Managers"/>
    <n v="69237"/>
    <s v="Matthew Rowe"/>
    <n v="43876"/>
    <s v="Sales Manager (Seniors' Housing)"/>
    <x v="1"/>
    <x v="15"/>
  </r>
  <r>
    <s v="BLU189091"/>
    <n v="82762"/>
    <s v="Angelina"/>
    <s v="Rose Wheat"/>
    <s v="FEMALE"/>
    <s v="BF125"/>
    <n v="47791"/>
    <s v="Village Manager"/>
    <d v="2021-04-19T00:00:00"/>
    <m/>
    <d v="2022-01-24T00:00:00"/>
    <s v="FULL"/>
    <n v="38"/>
    <n v="1"/>
    <s v="Other Managers"/>
    <n v="91293"/>
    <s v="Tina Saunders"/>
    <n v="57294"/>
    <s v="Operations Manager"/>
    <x v="1"/>
    <x v="15"/>
  </r>
  <r>
    <s v="BLU146126"/>
    <n v="50050"/>
    <s v="Angela"/>
    <s v="Lowe"/>
    <s v="FEMALE"/>
    <s v="BF138"/>
    <n v="57467"/>
    <s v="Village Manager"/>
    <d v="2010-07-20T00:00:00"/>
    <m/>
    <d v="2023-05-12T00:00:00"/>
    <s v="PART"/>
    <n v="30.4"/>
    <n v="0.79999999999999993"/>
    <s v="Other Managers"/>
    <n v="87802"/>
    <s v="Nadine Lister"/>
    <n v="49459"/>
    <s v="Operations Manager"/>
    <x v="1"/>
    <x v="15"/>
  </r>
  <r>
    <s v="BLU160045"/>
    <n v="63809"/>
    <s v="Jennifer"/>
    <s v="Sweeney"/>
    <s v="FEMALE"/>
    <s v="BF138"/>
    <n v="57497"/>
    <s v="Village Manager"/>
    <d v="2014-10-28T00:00:00"/>
    <m/>
    <d v="2023-05-12T00:00:00"/>
    <s v="PART"/>
    <n v="30.4"/>
    <n v="0.79999999999999993"/>
    <s v="Other Managers"/>
    <n v="87802"/>
    <s v="Nadine Lister"/>
    <n v="49459"/>
    <s v="Operations Manager"/>
    <x v="1"/>
    <x v="15"/>
  </r>
  <r>
    <s v="BLU164302"/>
    <n v="67650"/>
    <s v="Christine"/>
    <s v="Bell"/>
    <s v="FEMALE"/>
    <s v="BF127"/>
    <n v="49258"/>
    <s v="Assistant Village Manager"/>
    <d v="2005-12-28T00:00:00"/>
    <m/>
    <d v="2018-04-16T00:00:00"/>
    <s v="PART"/>
    <n v="25"/>
    <n v="0.65789473684210531"/>
    <s v="Other Managers"/>
    <n v="87802"/>
    <s v="Nadine Lister"/>
    <n v="49459"/>
    <s v="Operations Manager"/>
    <x v="1"/>
    <x v="15"/>
  </r>
  <r>
    <s v="BLU181296"/>
    <n v="78269"/>
    <s v="Michael"/>
    <s v="Dafel"/>
    <s v="MALE"/>
    <s v="BF125"/>
    <n v="51370"/>
    <s v="Village Manager"/>
    <d v="2019-11-11T00:00:00"/>
    <m/>
    <d v="2019-11-11T00:00:00"/>
    <s v="PART"/>
    <n v="30.4"/>
    <n v="0.79999999999999993"/>
    <s v="Other Managers"/>
    <n v="91293"/>
    <s v="Tina Saunders"/>
    <n v="57294"/>
    <s v="Operations Manager"/>
    <x v="1"/>
    <x v="15"/>
  </r>
  <r>
    <s v="BLU168531"/>
    <n v="71193"/>
    <s v="Lynn"/>
    <s v="Provis"/>
    <s v="FEMALE"/>
    <s v="BF127"/>
    <n v="51758"/>
    <s v="Assistant Village Manager"/>
    <d v="2017-09-26T00:00:00"/>
    <m/>
    <d v="2020-10-05T00:00:00"/>
    <s v="FULL"/>
    <n v="38"/>
    <n v="1"/>
    <s v="Other Managers"/>
    <n v="87802"/>
    <s v="Nadine Lister"/>
    <n v="49459"/>
    <s v="Operations Manager"/>
    <x v="1"/>
    <x v="15"/>
  </r>
  <r>
    <s v="BLU190671"/>
    <n v="84164"/>
    <s v="James"/>
    <s v="Bowdler"/>
    <s v="MALE"/>
    <s v="BF125"/>
    <n v="53678"/>
    <s v="Village Manager"/>
    <d v="2021-09-13T00:00:00"/>
    <m/>
    <d v="2021-09-13T00:00:00"/>
    <s v="FULL"/>
    <n v="38"/>
    <n v="1"/>
    <s v="Other Managers"/>
    <n v="91293"/>
    <s v="Tina Saunders"/>
    <n v="57294"/>
    <s v="Operations Manager"/>
    <x v="1"/>
    <x v="15"/>
  </r>
  <r>
    <s v="BLU195198"/>
    <n v="88209"/>
    <s v="Wendy"/>
    <s v="Tunbridge"/>
    <s v="FEMALE"/>
    <s v="BF125"/>
    <n v="55393"/>
    <s v="Village Manager"/>
    <d v="2022-08-24T00:00:00"/>
    <m/>
    <d v="2022-08-24T00:00:00"/>
    <s v="FULL"/>
    <n v="38"/>
    <n v="1"/>
    <s v="Other Managers"/>
    <n v="91293"/>
    <s v="Tina Saunders"/>
    <n v="57294"/>
    <s v="Operations Manager"/>
    <x v="1"/>
    <x v="15"/>
  </r>
  <r>
    <s v="BLU168259"/>
    <n v="71018"/>
    <s v="Yuk (Cathy)"/>
    <s v="Scott"/>
    <s v="FEMALE"/>
    <s v="BF109"/>
    <n v="48463"/>
    <s v="Contracts Administrator"/>
    <d v="2017-08-31T00:00:00"/>
    <m/>
    <d v="2017-08-31T00:00:00"/>
    <s v="PART"/>
    <n v="30.4"/>
    <n v="0.79999999999999993"/>
    <s v="Clerical &amp; Admin"/>
    <n v="72380"/>
    <s v="Wayne Smith"/>
    <n v="51214"/>
    <s v="Contracts Manager"/>
    <x v="1"/>
    <x v="15"/>
  </r>
  <r>
    <s v="BLU190842"/>
    <n v="84298"/>
    <s v="Jane"/>
    <s v="Malone"/>
    <s v="FEMALE"/>
    <s v="BF125"/>
    <n v="41824"/>
    <s v="Village Manager"/>
    <d v="2021-10-05T00:00:00"/>
    <m/>
    <d v="2021-10-05T00:00:00"/>
    <s v="FULL"/>
    <n v="38"/>
    <n v="1"/>
    <s v="Other Managers"/>
    <n v="87802"/>
    <s v="Nadine Lister"/>
    <n v="49459"/>
    <s v="Operations Manager"/>
    <x v="1"/>
    <x v="15"/>
  </r>
  <r>
    <s v="BLU164461"/>
    <n v="67652"/>
    <s v="Vicki"/>
    <s v="Omgram"/>
    <s v="FEMALE"/>
    <s v="BF125"/>
    <n v="47666"/>
    <s v="Village Manager"/>
    <d v="2005-09-09T00:00:00"/>
    <m/>
    <d v="2019-07-16T00:00:00"/>
    <s v="FULL"/>
    <n v="38"/>
    <n v="1"/>
    <s v="Other Managers"/>
    <n v="87802"/>
    <s v="Nadine Lister"/>
    <n v="49459"/>
    <s v="Operations Manager"/>
    <x v="1"/>
    <x v="15"/>
  </r>
  <r>
    <s v="BLU196665"/>
    <n v="89450"/>
    <s v="Jason"/>
    <s v="Brown"/>
    <s v="MALE"/>
    <s v="BF107"/>
    <n v="56095"/>
    <s v="Assistant Accountant"/>
    <d v="2023-01-04T00:00:00"/>
    <m/>
    <d v="2023-01-04T00:00:00"/>
    <s v="FULL"/>
    <n v="38"/>
    <n v="1"/>
    <s v="Professionals"/>
    <n v="19831"/>
    <s v="Sara Laborde"/>
    <s v="60CMRL"/>
    <s v="Commercial Manager"/>
    <x v="1"/>
    <x v="15"/>
  </r>
  <r>
    <s v="BLU125535"/>
    <n v="34523"/>
    <s v="Kristine"/>
    <s v="Hall"/>
    <s v="FEMALE"/>
    <s v="BF108"/>
    <n v="48662"/>
    <s v="Capital Project Coordinator Retirement Living"/>
    <d v="2006-04-05T00:00:00"/>
    <m/>
    <d v="2017-11-01T00:00:00"/>
    <s v="FULL"/>
    <n v="38"/>
    <n v="1"/>
    <s v="Professionals"/>
    <n v="17184"/>
    <s v="Natalie Smith"/>
    <s v="60GMRL"/>
    <s v="General Manager Retirement Living"/>
    <x v="1"/>
    <x v="15"/>
  </r>
  <r>
    <s v="BLU190194"/>
    <n v="83649"/>
    <s v="Courtney"/>
    <s v="Wall"/>
    <s v="FEMALE"/>
    <s v="BF125"/>
    <n v="49259"/>
    <s v="Village Manager"/>
    <d v="2021-08-09T00:00:00"/>
    <m/>
    <d v="2021-08-09T00:00:00"/>
    <s v="FULL"/>
    <n v="38"/>
    <n v="1"/>
    <s v="Other Managers"/>
    <n v="87802"/>
    <s v="Nadine Lister"/>
    <n v="49459"/>
    <s v="Operations Manager"/>
    <x v="1"/>
    <x v="15"/>
  </r>
  <r>
    <s v="BLU197276"/>
    <n v="89989"/>
    <s v="Deon"/>
    <s v="Moran"/>
    <s v="MALE"/>
    <s v="BF125"/>
    <n v="53412"/>
    <s v="Village Manager"/>
    <d v="2023-01-30T00:00:00"/>
    <m/>
    <d v="2023-01-30T00:00:00"/>
    <s v="FULL"/>
    <n v="38"/>
    <n v="1"/>
    <s v="Other Managers"/>
    <n v="87802"/>
    <s v="Nadine Lister"/>
    <n v="49459"/>
    <s v="Operations Manager"/>
    <x v="1"/>
    <x v="15"/>
  </r>
  <r>
    <s v="BLU104806"/>
    <n v="13735"/>
    <s v="Joanne"/>
    <s v="Mclachlan"/>
    <s v="FEMALE"/>
    <s v="BF113"/>
    <n v="48857"/>
    <s v="Financial Accountant Retirement Living"/>
    <d v="1996-02-06T00:00:00"/>
    <m/>
    <d v="2023-03-01T00:00:00"/>
    <s v="FULL"/>
    <n v="38"/>
    <n v="1"/>
    <s v="Professionals"/>
    <n v="19831"/>
    <s v="Sara Laborde"/>
    <s v="60CMRL"/>
    <s v="Commercial Manager"/>
    <x v="1"/>
    <x v="15"/>
  </r>
  <r>
    <s v="BLU159253"/>
    <n v="86402"/>
    <s v="Diane"/>
    <s v="Brown"/>
    <s v="FEMALE"/>
    <s v="BF125"/>
    <n v="56736"/>
    <s v="Village Manager"/>
    <d v="2022-03-13T00:00:00"/>
    <m/>
    <d v="2023-02-21T00:00:00"/>
    <s v="CASUAL"/>
    <n v="38"/>
    <n v="1"/>
    <s v="Other Managers"/>
    <n v="91293"/>
    <s v="Tina Saunders"/>
    <n v="57294"/>
    <s v="Operations Manager"/>
    <x v="1"/>
    <x v="15"/>
  </r>
  <r>
    <s v="BLU171752"/>
    <n v="73588"/>
    <s v="Jan"/>
    <s v="Stewart"/>
    <s v="FEMALE"/>
    <s v="BF103"/>
    <n v="49654"/>
    <s v="Senior Village Manager"/>
    <d v="2018-07-09T00:00:00"/>
    <m/>
    <d v="2018-07-09T00:00:00"/>
    <s v="FULL"/>
    <n v="38"/>
    <n v="1"/>
    <s v="Other Managers"/>
    <n v="91293"/>
    <s v="Tina Saunders"/>
    <n v="57294"/>
    <s v="Operations Manager"/>
    <x v="1"/>
    <x v="15"/>
  </r>
  <r>
    <s v="BLU193691"/>
    <n v="86945"/>
    <s v="Jeanie-Maree"/>
    <s v="Hughes"/>
    <s v="FEMALE"/>
    <s v="BF103"/>
    <n v="49606"/>
    <s v="Senior Village Manager"/>
    <d v="2022-05-29T00:00:00"/>
    <m/>
    <d v="2022-05-29T00:00:00"/>
    <s v="FULL"/>
    <n v="38"/>
    <n v="1"/>
    <s v="Other Managers"/>
    <n v="87802"/>
    <s v="Nadine Lister"/>
    <n v="49459"/>
    <s v="Operations Manager"/>
    <x v="1"/>
    <x v="15"/>
  </r>
  <r>
    <s v="BLU194188"/>
    <n v="87802"/>
    <s v="Nadine"/>
    <s v="Lister"/>
    <s v="FEMALE"/>
    <s v="BF58"/>
    <n v="49459"/>
    <s v="Operations Manager"/>
    <d v="2022-07-18T00:00:00"/>
    <m/>
    <d v="2022-07-18T00:00:00"/>
    <s v="FULL"/>
    <n v="38"/>
    <n v="1"/>
    <s v="Other Managers"/>
    <n v="90431"/>
    <s v="Mark Norris"/>
    <n v="56710"/>
    <s v="Head of Operations - Retirement Living"/>
    <x v="1"/>
    <x v="15"/>
  </r>
  <r>
    <s v="BLU198834"/>
    <n v="91288"/>
    <s v="Jason"/>
    <s v="Barrett"/>
    <s v="MALE"/>
    <s v="BF103"/>
    <n v="57285"/>
    <s v="Senior Village Manager"/>
    <d v="2023-05-22T00:00:00"/>
    <m/>
    <d v="2023-05-22T00:00:00"/>
    <s v="FULL"/>
    <n v="38"/>
    <n v="1"/>
    <s v="Other Managers"/>
    <n v="91293"/>
    <s v="Tina Saunders"/>
    <n v="57294"/>
    <s v="Operations Manager"/>
    <x v="1"/>
    <x v="15"/>
  </r>
  <r>
    <s v="BLU169721"/>
    <n v="72380"/>
    <s v="Wayne"/>
    <s v="Smith"/>
    <s v="MALE"/>
    <s v="BF48"/>
    <n v="51214"/>
    <s v="Contracts Manager"/>
    <d v="2018-02-19T00:00:00"/>
    <m/>
    <d v="2019-10-01T00:00:00"/>
    <s v="FULL"/>
    <n v="38"/>
    <n v="1"/>
    <s v="Other Managers"/>
    <n v="17184"/>
    <s v="Natalie Smith"/>
    <s v="60GMRL"/>
    <s v="General Manager Retirement Living"/>
    <x v="1"/>
    <x v="15"/>
  </r>
  <r>
    <s v="BLU126490"/>
    <n v="91293"/>
    <s v="Tina"/>
    <s v="Saunders"/>
    <s v="FEMALE"/>
    <s v="BF58"/>
    <n v="57294"/>
    <s v="Operations Manager"/>
    <d v="2023-05-08T00:00:00"/>
    <m/>
    <d v="2023-05-08T00:00:00"/>
    <s v="FULL"/>
    <n v="38"/>
    <n v="1"/>
    <s v="Other Managers"/>
    <n v="90431"/>
    <s v="Mark Norris"/>
    <n v="56710"/>
    <s v="Head of Operations - Retirement Living"/>
    <x v="1"/>
    <x v="15"/>
  </r>
  <r>
    <s v="BLU199029"/>
    <n v="91294"/>
    <s v="Nicholas"/>
    <s v="Hessink"/>
    <s v="MALE"/>
    <s v="ACC21"/>
    <n v="57295"/>
    <s v="Project Manager"/>
    <d v="2023-06-26T00:00:00"/>
    <m/>
    <d v="2023-06-26T00:00:00"/>
    <s v="FULL"/>
    <n v="38"/>
    <n v="1"/>
    <s v="Professionals"/>
    <n v="77279"/>
    <s v="Tina Darby"/>
    <n v="54992"/>
    <s v="Senior Asset Manager"/>
    <x v="1"/>
    <x v="15"/>
  </r>
  <r>
    <s v="BLU179522"/>
    <n v="77279"/>
    <s v="Tina"/>
    <s v="Darby"/>
    <s v="FEMALE"/>
    <s v="BF62"/>
    <n v="54992"/>
    <s v="Senior Asset Manager"/>
    <d v="2019-08-08T00:00:00"/>
    <m/>
    <d v="2022-06-06T00:00:00"/>
    <s v="FULL"/>
    <n v="38"/>
    <n v="1"/>
    <s v="Other Managers"/>
    <n v="17184"/>
    <s v="Natalie Smith"/>
    <s v="60GMRL"/>
    <s v="General Manager Retirement Living"/>
    <x v="1"/>
    <x v="15"/>
  </r>
  <r>
    <s v="BLU166278"/>
    <n v="69237"/>
    <s v="Matthew"/>
    <s v="Rowe"/>
    <s v="MALE"/>
    <s v="ACC67"/>
    <n v="43876"/>
    <s v="Sales Manager (Seniors' Housing)"/>
    <d v="2017-02-06T00:00:00"/>
    <m/>
    <d v="2017-02-06T00:00:00"/>
    <s v="FULL"/>
    <n v="38"/>
    <n v="1"/>
    <s v="Other Managers"/>
    <n v="17184"/>
    <s v="Natalie Smith"/>
    <s v="60GMRL"/>
    <s v="General Manager Retirement Living"/>
    <x v="1"/>
    <x v="15"/>
  </r>
  <r>
    <s v="UCQ019831"/>
    <n v="19831"/>
    <s v="Sara"/>
    <s v="Laborde"/>
    <s v="FEMALE"/>
    <s v="BF18"/>
    <s v="60CMRL"/>
    <s v="Commercial Manager"/>
    <d v="2021-02-01T00:00:00"/>
    <m/>
    <d v="2021-07-01T00:00:00"/>
    <s v="FULL"/>
    <n v="38"/>
    <n v="1"/>
    <s v="Senior Managers"/>
    <n v="17184"/>
    <s v="Natalie Smith "/>
    <s v="60GMRL"/>
    <s v="General Manager Retirement Living"/>
    <x v="1"/>
    <x v="15"/>
  </r>
  <r>
    <s v="BLU166131"/>
    <n v="85765"/>
    <s v="Susan"/>
    <s v="Arthur"/>
    <s v="FEMALE"/>
    <s v="BF35"/>
    <n v="54133"/>
    <s v="Regional Operations Manager"/>
    <e v="#N/A"/>
    <e v="#N/A"/>
    <d v="2023-02-01T00:00:00"/>
    <s v="PART"/>
    <n v="30.4"/>
    <n v="0.79999999999999993"/>
    <s v="Senior Managers"/>
    <n v="17184"/>
    <s v="Natalie Smith"/>
    <s v="60GMRL"/>
    <s v="General Manager Retirement Living"/>
    <x v="1"/>
    <x v="15"/>
  </r>
  <r>
    <s v="BLU197911"/>
    <n v="90431"/>
    <s v="Mark"/>
    <s v="Norris"/>
    <s v="MALE"/>
    <s v="BF146"/>
    <n v="56710"/>
    <s v="Head of Operations - Retirement Living"/>
    <d v="2023-03-27T00:00:00"/>
    <m/>
    <d v="2023-03-27T00:00:00"/>
    <s v="FULL"/>
    <n v="38"/>
    <n v="1"/>
    <s v="Professionals"/>
    <n v="17184"/>
    <s v="Natalie Smith"/>
    <s v="60GMRL"/>
    <s v="General Manager Retirement Living"/>
    <x v="1"/>
    <x v="15"/>
  </r>
  <r>
    <s v="UCQ020271"/>
    <n v="20271"/>
    <s v="Holly"/>
    <s v="Breen"/>
    <s v="FEMALE"/>
    <s v="BF83"/>
    <s v="60BSAO"/>
    <s v="Senior Administration Officer"/>
    <d v="2021-08-16T00:00:00"/>
    <m/>
    <d v="2023-03-07T00:00:00"/>
    <s v="FULL"/>
    <n v="38"/>
    <n v="1"/>
    <s v="Clerical &amp; Admin"/>
    <n v="19400"/>
    <s v="Lisa Fiorin "/>
    <s v="60PACF"/>
    <s v="Executive Assistant"/>
    <x v="1"/>
    <x v="8"/>
  </r>
  <r>
    <s v="UCQ019400"/>
    <n v="19400"/>
    <s v="Lisa"/>
    <s v="Fiorin"/>
    <s v="FEMALE"/>
    <s v="MIS10"/>
    <s v="60PACF"/>
    <s v="Executive Assistant"/>
    <d v="2019-09-18T00:00:00"/>
    <m/>
    <d v="2023-02-18T00:00:00"/>
    <s v="FULL"/>
    <n v="38"/>
    <n v="1"/>
    <s v="Clerical &amp; Admin"/>
    <n v="19143"/>
    <s v="Craig Wildermuth "/>
    <s v="60CFO1"/>
    <s v="Chief Finance Officer"/>
    <x v="1"/>
    <x v="8"/>
  </r>
  <r>
    <s v="UCQ021254"/>
    <n v="21254"/>
    <s v="Van"/>
    <s v="Morris"/>
    <s v="MALE"/>
    <s v="BF28"/>
    <s v="60CFA1"/>
    <s v="Corporate Finance Analyst"/>
    <e v="#N/A"/>
    <m/>
    <d v="2023-05-15T00:00:00"/>
    <s v="FULL"/>
    <n v="38"/>
    <n v="1"/>
    <s v="Professionals"/>
    <n v="16256"/>
    <s v="Alison Wicht "/>
    <n v="53318"/>
    <s v="General Manager Project Evergreen"/>
    <x v="1"/>
    <x v="8"/>
  </r>
  <r>
    <s v="UCQ019827"/>
    <n v="19827"/>
    <s v="Rebecca"/>
    <s v="Rhoades"/>
    <s v="FEMALE"/>
    <s v="MCA08"/>
    <s v="60PMIE"/>
    <s v="Program Manager Improvement and Engagement"/>
    <d v="2021-02-02T00:00:00"/>
    <m/>
    <d v="2022-10-06T00:00:00"/>
    <s v="FULL"/>
    <n v="38"/>
    <n v="1"/>
    <s v="Senior Managers"/>
    <n v="19143"/>
    <s v="Craig Wildermuth "/>
    <s v="60CFO1"/>
    <s v="Chief Finance Officer"/>
    <x v="1"/>
    <x v="8"/>
  </r>
  <r>
    <s v="UCQ018127"/>
    <n v="18127"/>
    <s v="Matthew"/>
    <s v="Clark"/>
    <s v="MALE"/>
    <s v="BF15"/>
    <s v="60MBPH"/>
    <s v="Manager - Business Performance"/>
    <d v="2018-10-30T00:00:00"/>
    <m/>
    <d v="2021-09-17T00:00:00"/>
    <s v="FULL"/>
    <n v="38"/>
    <n v="1"/>
    <s v="Senior Managers"/>
    <n v="19143"/>
    <s v="Craig Wildermuth "/>
    <s v="60CFO1"/>
    <s v="Chief Finance Officer"/>
    <x v="1"/>
    <x v="8"/>
  </r>
  <r>
    <s v="UCQ020863"/>
    <n v="20863"/>
    <s v="Amber"/>
    <s v="Manners"/>
    <s v="FEMALE"/>
    <s v="BF08"/>
    <s v="61GMFM"/>
    <s v="General Manager Finance Moderinisation"/>
    <d v="2022-03-14T00:00:00"/>
    <m/>
    <d v="2022-11-01T00:00:00"/>
    <s v="PART"/>
    <n v="32"/>
    <n v="0.84210526315789469"/>
    <s v="Senior Managers"/>
    <n v="19143"/>
    <s v="Craig Wildermuth "/>
    <s v="60CFO1"/>
    <s v="Chief Finance Officer"/>
    <x v="1"/>
    <x v="8"/>
  </r>
  <r>
    <s v="UCQ017184"/>
    <n v="17184"/>
    <s v="Natalie"/>
    <s v="Smith"/>
    <s v="FEMALE"/>
    <s v="BF07"/>
    <s v="60GMRL"/>
    <s v="General Manager Retirement Living"/>
    <d v="2017-09-11T00:00:00"/>
    <m/>
    <d v="2020-12-01T00:00:00"/>
    <s v="FULL"/>
    <n v="38"/>
    <n v="1"/>
    <s v="Senior Managers"/>
    <n v="19143"/>
    <s v="Craig Wildermuth "/>
    <s v="60CFO1"/>
    <s v="Chief Finance Officer"/>
    <x v="1"/>
    <x v="8"/>
  </r>
  <r>
    <s v="UCQ019878"/>
    <n v="19878"/>
    <s v="Justin"/>
    <s v="Savaille"/>
    <s v="MALE"/>
    <s v="BF06"/>
    <s v="60GMPT"/>
    <s v="General Manager Procurement Transformation"/>
    <d v="2021-03-01T00:00:00"/>
    <m/>
    <d v="2021-03-01T00:00:00"/>
    <s v="FULL"/>
    <n v="38"/>
    <n v="1"/>
    <s v="Senior Managers"/>
    <n v="19143"/>
    <s v="Craig Wildermuth "/>
    <s v="60CFO1"/>
    <s v="Chief Finance Officer"/>
    <x v="1"/>
    <x v="8"/>
  </r>
  <r>
    <s v="UCQ019425"/>
    <n v="19425"/>
    <s v="Gregory"/>
    <s v="Bartley"/>
    <s v="MALE"/>
    <s v="BF03"/>
    <s v="60GMCF"/>
    <s v="General Manager Corporate Finance"/>
    <d v="2016-09-05T00:00:00"/>
    <m/>
    <d v="2020-08-25T00:00:00"/>
    <s v="FULL"/>
    <n v="38"/>
    <n v="1"/>
    <s v="Other Exec / Gen Mgrs"/>
    <n v="19143"/>
    <s v="Craig Wildermuth "/>
    <s v="60CFO1"/>
    <s v="Chief Finance Officer"/>
    <x v="1"/>
    <x v="8"/>
  </r>
  <r>
    <s v="UCQ016368"/>
    <n v="16368"/>
    <s v="Jodie"/>
    <s v="Bailey"/>
    <s v="FEMALE"/>
    <s v="BF02"/>
    <s v="60FRS"/>
    <s v="General Manager Finance Reporting and Services"/>
    <d v="2016-08-29T00:00:00"/>
    <m/>
    <d v="2021-07-01T00:00:00"/>
    <s v="FULL"/>
    <n v="38"/>
    <n v="1"/>
    <s v="Other Exec / Gen Mgrs"/>
    <n v="19143"/>
    <s v="Craig Wildermuth "/>
    <s v="60CFO1"/>
    <s v="Chief Finance Officer"/>
    <x v="1"/>
    <x v="8"/>
  </r>
  <r>
    <s v="UCQ016256"/>
    <n v="16256"/>
    <s v="Alison"/>
    <s v="Wicht"/>
    <s v="FEMALE"/>
    <s v="BF12"/>
    <s v="60GMSA"/>
    <s v="General Manager-Finance Strategy &amp; Analysis"/>
    <d v="2016-07-01T00:00:00"/>
    <m/>
    <d v="2023-01-16T00:00:00"/>
    <s v="FULL"/>
    <n v="38"/>
    <n v="1"/>
    <s v="Senior Managers"/>
    <n v="19143"/>
    <s v="Craig Wildermuth "/>
    <s v="60CFO1"/>
    <s v="Chief Finance Officer"/>
    <x v="1"/>
    <x v="8"/>
  </r>
  <r>
    <s v="UCQ021056"/>
    <n v="21056"/>
    <s v="Jeremy"/>
    <s v="Guard"/>
    <s v="MALE"/>
    <s v="DT10"/>
    <s v="60CDMA"/>
    <s v="Customer Delivery Manager ACCS"/>
    <d v="2022-05-23T00:00:00"/>
    <m/>
    <d v="2022-05-23T00:00:00"/>
    <s v="FULL"/>
    <n v="38"/>
    <n v="1"/>
    <s v="Senior Managers"/>
    <n v="20515"/>
    <s v="Lee Dennison "/>
    <s v="60GADT"/>
    <s v="General Manager ACCS Digital and Technology"/>
    <x v="2"/>
    <x v="16"/>
  </r>
  <r>
    <s v="UCQ021292"/>
    <n v="21292"/>
    <s v="Dao"/>
    <s v="Pham"/>
    <s v="FEMALE"/>
    <s v="DT50"/>
    <s v="601CO"/>
    <s v="Commerical Officer"/>
    <d v="2022-08-29T00:00:00"/>
    <m/>
    <d v="2022-08-29T00:00:00"/>
    <s v="FULL"/>
    <n v="38"/>
    <n v="1"/>
    <s v="Clerical &amp; Admin"/>
    <n v="18712"/>
    <s v="Maria Burns "/>
    <s v="60CA2"/>
    <s v="Senior Commercial Analyst"/>
    <x v="2"/>
    <x v="17"/>
  </r>
  <r>
    <s v="BLU141808"/>
    <n v="53016"/>
    <s v="Janelle"/>
    <s v="May"/>
    <s v="FEMALE"/>
    <s v="ACC29"/>
    <n v="44334"/>
    <s v="RMT Training &amp; Workforce Specialist"/>
    <d v="2011-05-24T00:00:00"/>
    <m/>
    <d v="2021-05-18T00:00:00"/>
    <s v="FULL"/>
    <n v="38"/>
    <n v="1"/>
    <m/>
    <m/>
    <s v="Guy Vella "/>
    <m/>
    <s v="Project Manager"/>
    <x v="2"/>
    <x v="17"/>
  </r>
  <r>
    <s v="UCQ013687"/>
    <n v="13687"/>
    <s v="Melanie"/>
    <s v="Spain"/>
    <s v="FEMALE"/>
    <s v="DT41"/>
    <s v="60PMOA"/>
    <s v="Portfolio Management Office Analyst Resource Schedule Capacity"/>
    <d v="2013-02-25T00:00:00"/>
    <m/>
    <d v="2023-01-01T00:00:00"/>
    <s v="FULL"/>
    <n v="38"/>
    <n v="1"/>
    <s v="Professionals"/>
    <n v="20164"/>
    <s v="Dennis Cristante"/>
    <s v="60GMC"/>
    <s v="General Manager Corporate"/>
    <x v="2"/>
    <x v="17"/>
  </r>
  <r>
    <s v="UCQ021519"/>
    <n v="21519"/>
    <s v="Benting"/>
    <s v="Xue"/>
    <s v="FEMALE"/>
    <s v="DT37"/>
    <s v="60CA1"/>
    <s v="Commercial Analyst"/>
    <d v="2022-11-14T00:00:00"/>
    <m/>
    <d v="2022-11-14T00:00:00"/>
    <s v="FULL"/>
    <n v="38"/>
    <n v="1"/>
    <s v="Professionals"/>
    <n v="16987"/>
    <s v="Romal Dundh "/>
    <s v="60CA02"/>
    <s v="Senior Commercial Analyst"/>
    <x v="2"/>
    <x v="17"/>
  </r>
  <r>
    <s v="UCQ016987"/>
    <n v="16987"/>
    <s v="Romal"/>
    <s v="Dundh"/>
    <s v="MALE"/>
    <s v="DT30"/>
    <s v="60CA02"/>
    <s v="Senior Commercial Analyst"/>
    <d v="2017-06-14T00:00:00"/>
    <m/>
    <d v="2022-08-22T00:00:00"/>
    <s v="FULL"/>
    <n v="38"/>
    <n v="1"/>
    <s v="Professionals"/>
    <n v="20164"/>
    <s v="Dennis Cristante"/>
    <s v="60GMC"/>
    <s v="General Manager Corporate"/>
    <x v="2"/>
    <x v="17"/>
  </r>
  <r>
    <s v="UCQ018712"/>
    <n v="18712"/>
    <s v="Maria"/>
    <s v="Burns"/>
    <s v="FEMALE"/>
    <s v="DT30"/>
    <s v="60CA2"/>
    <s v="Senior Commercial Analyst"/>
    <d v="2019-07-01T00:00:00"/>
    <m/>
    <d v="2022-08-22T00:00:00"/>
    <s v="FULL"/>
    <n v="38"/>
    <n v="1"/>
    <s v="Professionals"/>
    <n v="20164"/>
    <s v="Dennis Cristante"/>
    <s v="60GMC"/>
    <s v="General Manager Corporate"/>
    <x v="2"/>
    <x v="17"/>
  </r>
  <r>
    <s v="UCQ021824"/>
    <n v="21824"/>
    <s v="Kellie-Anne"/>
    <s v="Mckenzie"/>
    <s v="FEMALE"/>
    <s v="DT53"/>
    <s v="60HRSA"/>
    <s v="HR Senior Solution Analyst"/>
    <d v="2023-03-13T00:00:00"/>
    <d v="2024-03-30T00:00:00"/>
    <d v="2023-03-13T00:00:00"/>
    <s v="FULL"/>
    <n v="38"/>
    <n v="1"/>
    <s v="Professionals"/>
    <n v="20164"/>
    <s v="Dennis Cristante"/>
    <s v="60GMC"/>
    <s v="General Manager Corporate"/>
    <x v="2"/>
    <x v="17"/>
  </r>
  <r>
    <s v="UCQ021731"/>
    <n v="21731"/>
    <s v="Tammy"/>
    <s v="Concannon"/>
    <s v="FEMALE"/>
    <s v="DT28"/>
    <s v="60PDMA"/>
    <s v="Resource Manager"/>
    <d v="2023-01-31T00:00:00"/>
    <m/>
    <d v="2023-01-31T00:00:00"/>
    <s v="FULL"/>
    <n v="38"/>
    <n v="1"/>
    <s v="Other Managers"/>
    <n v="20164"/>
    <s v="Dennis Cristante"/>
    <s v="60GMC"/>
    <s v="General Manager Corporate"/>
    <x v="2"/>
    <x v="17"/>
  </r>
  <r>
    <s v="UCQ021085"/>
    <n v="21085"/>
    <s v="Chloe"/>
    <s v="Popovic"/>
    <s v="FEMALE"/>
    <s v="DT10"/>
    <s v="60CDMC"/>
    <s v="Customer Delivery Manager Corporate"/>
    <d v="2022-06-13T00:00:00"/>
    <m/>
    <d v="2022-06-13T00:00:00"/>
    <s v="FULL"/>
    <n v="38"/>
    <n v="1"/>
    <s v="Senior Managers"/>
    <n v="20164"/>
    <s v="Dennis Cristante"/>
    <s v="60GMC"/>
    <s v="General Manager Corporate"/>
    <x v="2"/>
    <x v="17"/>
  </r>
  <r>
    <s v="UCQ016931"/>
    <n v="16931"/>
    <s v="Jeffrey"/>
    <s v="Boundy"/>
    <s v="MALE"/>
    <s v="DT49"/>
    <s v="60BPM1"/>
    <s v="Manager Business Performance"/>
    <d v="2017-05-22T00:00:00"/>
    <m/>
    <d v="2022-09-12T00:00:00"/>
    <s v="FULL"/>
    <n v="38"/>
    <n v="1"/>
    <s v="Senior Managers"/>
    <n v="20164"/>
    <s v="Dennis Cristante"/>
    <s v="60GMC"/>
    <s v="General Manager Corporate"/>
    <x v="2"/>
    <x v="17"/>
  </r>
  <r>
    <s v="UCQ021823"/>
    <n v="21823"/>
    <s v="Melissa"/>
    <s v="Morrison"/>
    <s v="FEMALE"/>
    <s v="DT27"/>
    <s v="60PMO1"/>
    <s v="Project Management Office Manager"/>
    <d v="2023-03-01T00:00:00"/>
    <m/>
    <d v="2023-03-01T00:00:00"/>
    <s v="FULL"/>
    <n v="38"/>
    <n v="1"/>
    <s v="Other Managers"/>
    <n v="20164"/>
    <s v="Dennis Cristante"/>
    <s v="60GMC"/>
    <s v="General Manager Corporate"/>
    <x v="2"/>
    <x v="17"/>
  </r>
  <r>
    <s v="UCQ020593"/>
    <n v="20593"/>
    <s v="Xiaotian"/>
    <s v="Zhang"/>
    <s v="MALE"/>
    <s v="DT38"/>
    <s v="60CYOP"/>
    <s v="Cyber Operations Analyst"/>
    <d v="2022-01-24T00:00:00"/>
    <m/>
    <d v="2022-01-24T00:00:00"/>
    <s v="FULL"/>
    <n v="38"/>
    <n v="1"/>
    <s v="Professionals"/>
    <n v="20052"/>
    <s v=" Silas Barnes"/>
    <s v="60GMCS"/>
    <s v="General Manager Cyber Security"/>
    <x v="2"/>
    <x v="18"/>
  </r>
  <r>
    <s v="UCQ019473"/>
    <n v="19473"/>
    <s v="Vidya"/>
    <s v="Jadhav"/>
    <s v="FEMALE"/>
    <s v="DT22"/>
    <s v="60CRA"/>
    <s v="Cyber and Risk Analyst"/>
    <d v="2020-08-26T00:00:00"/>
    <m/>
    <d v="2021-07-01T00:00:00"/>
    <s v="FULL"/>
    <n v="38"/>
    <n v="1"/>
    <s v="Professionals"/>
    <n v="20052"/>
    <s v=" Silas Barnes"/>
    <s v="60GMCS"/>
    <s v="General Manager Cyber Security"/>
    <x v="2"/>
    <x v="18"/>
  </r>
  <r>
    <s v="UCQ020627"/>
    <n v="20627"/>
    <s v="Adam"/>
    <s v="Stein"/>
    <s v="MALE"/>
    <s v="DT38"/>
    <s v="60CYOA"/>
    <s v="Cyber Operations Analyst"/>
    <d v="2022-01-24T00:00:00"/>
    <m/>
    <d v="2022-01-24T00:00:00"/>
    <s v="FULL"/>
    <n v="38"/>
    <n v="1"/>
    <s v="Professionals"/>
    <n v="20052"/>
    <s v=" Silas Barnes"/>
    <s v="60GMCS"/>
    <s v="General Manager Cyber Security"/>
    <x v="2"/>
    <x v="18"/>
  </r>
  <r>
    <s v="UCQ018978"/>
    <n v="18978"/>
    <s v="Edward"/>
    <s v="Mccabe"/>
    <s v="MALE"/>
    <s v="DT31"/>
    <s v="60SCOE"/>
    <s v="Senior Cyber Operations Engineer"/>
    <d v="2019-11-04T00:00:00"/>
    <m/>
    <d v="2022-09-21T00:00:00"/>
    <s v="FULL"/>
    <n v="38"/>
    <n v="1"/>
    <s v="Professionals"/>
    <n v="20052"/>
    <s v=" Silas Barnes"/>
    <s v="60GMCS"/>
    <s v="General Manager Cyber Security"/>
    <x v="2"/>
    <x v="18"/>
  </r>
  <r>
    <s v="UCQ021548"/>
    <n v="21548"/>
    <s v="Rohan"/>
    <s v="Ferris"/>
    <s v="MALE"/>
    <s v="DT15"/>
    <s v="60SMCC"/>
    <s v="Senior Manager Cyber Capability"/>
    <d v="2023-01-03T00:00:00"/>
    <m/>
    <d v="2023-01-03T00:00:00"/>
    <s v="FULL"/>
    <n v="38"/>
    <n v="1"/>
    <s v="Senior Managers"/>
    <n v="20052"/>
    <s v=" Silas Barnes"/>
    <s v="60GMCS"/>
    <s v="General Manager Cyber Security"/>
    <x v="2"/>
    <x v="18"/>
  </r>
  <r>
    <s v="UCQ017687"/>
    <n v="17687"/>
    <s v="Christine"/>
    <s v="Major"/>
    <s v="FEMALE"/>
    <s v="DT39"/>
    <s v="60POSA"/>
    <s v="Policy and Standards Analyst"/>
    <d v="2018-04-16T00:00:00"/>
    <m/>
    <d v="2022-11-07T00:00:00"/>
    <s v="PART"/>
    <n v="15"/>
    <n v="0.39473684210526316"/>
    <s v="Professionals"/>
    <n v="20781"/>
    <s v="Michelle Snell "/>
    <s v="60MRAR"/>
    <s v="Manager Resilience Audit and Risk"/>
    <x v="2"/>
    <x v="19"/>
  </r>
  <r>
    <s v="UCQ021595"/>
    <n v="21595"/>
    <s v="Christine"/>
    <s v="Hynard"/>
    <s v="FEMALE"/>
    <s v="DT25"/>
    <s v="60DRS1"/>
    <s v="Disaster Recovery Specialist"/>
    <d v="2023-01-03T00:00:00"/>
    <m/>
    <d v="2023-01-03T00:00:00"/>
    <s v="FULL"/>
    <n v="38"/>
    <n v="1"/>
    <s v="Professionals"/>
    <n v="20781"/>
    <s v="Michelle Snell "/>
    <s v="60MRAR"/>
    <s v="Manager Resilience Audit and Risk"/>
    <x v="2"/>
    <x v="19"/>
  </r>
  <r>
    <s v="UCQ020848"/>
    <n v="20848"/>
    <s v="David"/>
    <s v="Mckay"/>
    <s v="MALE"/>
    <s v="DT26"/>
    <s v="60SISO"/>
    <s v="Senior Infrastructure Services Owner"/>
    <d v="2022-04-04T00:00:00"/>
    <m/>
    <d v="2022-11-01T00:00:00"/>
    <s v="FULL"/>
    <n v="38"/>
    <n v="1"/>
    <s v="Professionals"/>
    <n v="19789"/>
    <s v="Christiansen Joanne"/>
    <s v="60GMDT"/>
    <s v="General Manager Digital and Technology Transformation"/>
    <x v="2"/>
    <x v="19"/>
  </r>
  <r>
    <s v="UCQ020781"/>
    <n v="20781"/>
    <s v="Michelle"/>
    <s v="Snell"/>
    <s v="FEMALE"/>
    <s v="DT14"/>
    <s v="60MRAR"/>
    <s v="Manager Resilience Audit and Risk"/>
    <d v="2022-03-14T00:00:00"/>
    <m/>
    <d v="2022-03-14T00:00:00"/>
    <s v="FULL"/>
    <n v="38"/>
    <n v="1"/>
    <s v="Senior Managers"/>
    <n v="19789"/>
    <s v="Christiansen Joanne"/>
    <s v="60GMDT"/>
    <s v="General Manager Digital and Technology Transformation"/>
    <x v="2"/>
    <x v="19"/>
  </r>
  <r>
    <s v="UCQ020923"/>
    <n v="20923"/>
    <s v="Jeffrey"/>
    <s v="O'Halloran"/>
    <s v="MALE"/>
    <s v="DT29"/>
    <s v="60SADM"/>
    <s v="Solution Analysis and Design Manager"/>
    <d v="2022-04-19T00:00:00"/>
    <m/>
    <d v="2022-04-19T00:00:00"/>
    <s v="FULL"/>
    <n v="38"/>
    <n v="1"/>
    <s v="Senior Managers"/>
    <n v="19789"/>
    <s v="Christiansen Joanne"/>
    <s v="60GMDT"/>
    <s v="General Manager Digital and Technology Transformation"/>
    <x v="2"/>
    <x v="19"/>
  </r>
  <r>
    <s v="UCQ021593"/>
    <n v="21593"/>
    <s v="Gurjeet"/>
    <s v="Kaur"/>
    <s v="FEMALE"/>
    <s v="DT51"/>
    <s v="60SIC"/>
    <s v="Small Initiatives CoOrdinator"/>
    <d v="2022-12-01T00:00:00"/>
    <m/>
    <d v="2022-12-01T00:00:00"/>
    <s v="FULL"/>
    <n v="38"/>
    <n v="1"/>
    <s v="Clerical &amp; Admin"/>
    <n v="17776"/>
    <s v="Amrinder Kaur "/>
    <s v="60SITL"/>
    <s v="Small Initiatives Team Lead"/>
    <x v="2"/>
    <x v="20"/>
  </r>
  <r>
    <s v="UCQ021936"/>
    <n v="21936"/>
    <s v="Kristina"/>
    <s v="Clark"/>
    <s v="FEMALE"/>
    <s v="DT24"/>
    <s v="601IAM"/>
    <s v="IT Asset Manager"/>
    <d v="2023-04-01T00:00:00"/>
    <m/>
    <d v="2023-04-01T00:00:00"/>
    <s v="FULL"/>
    <n v="38"/>
    <n v="1"/>
    <s v="Other Managers"/>
    <n v="19997"/>
    <s v="Estela Van Zetten "/>
    <s v="60SXM"/>
    <s v="Service Experience Manager"/>
    <x v="2"/>
    <x v="20"/>
  </r>
  <r>
    <s v="UCQ018684"/>
    <n v="18684"/>
    <s v="Mathew"/>
    <s v="Anish"/>
    <s v="MALE"/>
    <s v="DT20"/>
    <s v="60CAU2"/>
    <s v="Capacity and Utilisation Manager"/>
    <d v="2019-06-24T00:00:00"/>
    <m/>
    <d v="2022-09-08T00:00:00"/>
    <s v="FULL"/>
    <n v="38"/>
    <n v="1"/>
    <s v="Other Managers"/>
    <n v="18336"/>
    <s v="Peter Kneen "/>
    <s v="60TSM"/>
    <s v="Technical Services Manager"/>
    <x v="2"/>
    <x v="20"/>
  </r>
  <r>
    <s v="UCQ020821"/>
    <n v="20821"/>
    <s v="Wayne"/>
    <s v="Webber"/>
    <s v="MALE"/>
    <s v="DT10"/>
    <s v="60SDM2"/>
    <s v="Service Delivery Manager"/>
    <d v="2022-03-07T00:00:00"/>
    <m/>
    <d v="2023-03-13T00:00:00"/>
    <s v="FULL"/>
    <n v="38"/>
    <n v="1"/>
    <s v="Other Managers"/>
    <n v="19997"/>
    <s v="Estela Van Zetten "/>
    <s v="60SXM"/>
    <s v="Service Experience Manager"/>
    <x v="2"/>
    <x v="20"/>
  </r>
  <r>
    <s v="UCQ021958"/>
    <n v="21958"/>
    <s v="Corey"/>
    <s v="Jewell"/>
    <s v="MALE"/>
    <s v="DT10"/>
    <s v="60DMD"/>
    <s v="Service Delivery Manager"/>
    <d v="2023-04-17T00:00:00"/>
    <m/>
    <d v="2023-04-17T00:00:00"/>
    <s v="FULL"/>
    <n v="38"/>
    <n v="1"/>
    <s v="Other Managers"/>
    <n v="19997"/>
    <s v="Estela Van Zetten "/>
    <s v="60SXM"/>
    <s v="Service Experience Manager"/>
    <x v="2"/>
    <x v="20"/>
  </r>
  <r>
    <s v="UCQ022053"/>
    <n v="22053"/>
    <s v="Simon"/>
    <s v="Cummings"/>
    <s v="MALE"/>
    <s v="DT34"/>
    <s v="602TDM"/>
    <s v="Technical Domain Manager"/>
    <d v="2023-06-21T00:00:00"/>
    <m/>
    <d v="2023-06-21T00:00:00"/>
    <s v="FULL"/>
    <n v="38"/>
    <n v="1"/>
    <s v="Other Managers"/>
    <n v="18336"/>
    <s v="Peter Kneen "/>
    <s v="60TSM"/>
    <s v="Technical Services Manager"/>
    <x v="2"/>
    <x v="20"/>
  </r>
  <r>
    <s v="UCQ018568"/>
    <n v="18568"/>
    <s v="Robert"/>
    <s v="Vaneveld"/>
    <s v="MALE"/>
    <s v="DT34"/>
    <s v="60TDM2"/>
    <s v="Technical Domain Manager EUC and Workspaces"/>
    <d v="2019-04-15T00:00:00"/>
    <m/>
    <d v="2023-02-01T00:00:00"/>
    <s v="FULL"/>
    <n v="38"/>
    <n v="1"/>
    <s v="Other Managers"/>
    <n v="18336"/>
    <s v="Peter Kneen "/>
    <s v="60TSM"/>
    <s v="Technical Services Manager"/>
    <x v="2"/>
    <x v="20"/>
  </r>
  <r>
    <s v="UCQ022054"/>
    <n v="22054"/>
    <s v="Yang"/>
    <s v="Zhang"/>
    <s v="MALE"/>
    <s v="DT54"/>
    <s v="602SBA"/>
    <s v="Senior Business Analyst"/>
    <d v="2023-06-01T00:00:00"/>
    <m/>
    <d v="2023-06-01T00:00:00"/>
    <s v="FULL"/>
    <n v="38"/>
    <n v="1"/>
    <s v="Professionals"/>
    <n v="19997"/>
    <s v="Estela Van Zetten "/>
    <s v="60SXM"/>
    <s v="Service Experience Manager"/>
    <x v="2"/>
    <x v="20"/>
  </r>
  <r>
    <s v="UCQ017710"/>
    <n v="17710"/>
    <s v="Shane"/>
    <s v="Preskey"/>
    <s v="MALE"/>
    <s v="DT34"/>
    <s v="60TDM1"/>
    <s v="Technical Domain Manager Network and Communcations"/>
    <d v="2018-04-23T00:00:00"/>
    <m/>
    <d v="2022-11-14T00:00:00"/>
    <s v="FULL"/>
    <n v="38"/>
    <n v="1"/>
    <s v="Other Managers"/>
    <n v="18336"/>
    <s v="Peter Kneen "/>
    <s v="60TSM"/>
    <s v="Technical Services Manager"/>
    <x v="2"/>
    <x v="20"/>
  </r>
  <r>
    <s v="UCQ018336"/>
    <n v="18336"/>
    <s v="Peter"/>
    <s v="Kneen"/>
    <s v="MALE"/>
    <s v="DT18"/>
    <s v="60TSM"/>
    <s v="Technical Services Manager"/>
    <d v="2019-02-05T00:00:00"/>
    <m/>
    <d v="2022-09-09T00:00:00"/>
    <s v="FULL"/>
    <n v="38"/>
    <n v="1"/>
    <s v="Senior Managers"/>
    <n v="19440"/>
    <s v="Simone Dougherty "/>
    <s v="60GMDB"/>
    <s v="General Manager  Digital Backbone and Service Management"/>
    <x v="2"/>
    <x v="20"/>
  </r>
  <r>
    <s v="UCQ018852"/>
    <n v="18852"/>
    <s v="Norman"/>
    <s v="Ramsay"/>
    <s v="MALE"/>
    <s v="DT17"/>
    <s v="60SPM"/>
    <s v="Strategic Partnerships Manager"/>
    <d v="2019-09-16T00:00:00"/>
    <m/>
    <d v="2021-06-24T00:00:00"/>
    <s v="FULL"/>
    <n v="38"/>
    <n v="1"/>
    <s v="Senior Managers"/>
    <n v="19440"/>
    <s v="Simone Dougherty "/>
    <n v="52299"/>
    <s v="General Manager  Digital Backbone and Service Management"/>
    <x v="2"/>
    <x v="20"/>
  </r>
  <r>
    <s v="UCQ017776"/>
    <n v="17776"/>
    <s v="Amrinder"/>
    <s v="Kaur"/>
    <s v="FEMALE"/>
    <s v="DT45"/>
    <s v="60SITL"/>
    <s v="Small Initiatives Team Lead"/>
    <d v="2018-05-21T00:00:00"/>
    <m/>
    <d v="2022-09-09T00:00:00"/>
    <s v="FULL"/>
    <n v="38"/>
    <n v="1"/>
    <s v="Professionals"/>
    <n v="19440"/>
    <s v="Simone Dougherty "/>
    <s v="60GMDB"/>
    <s v="General Manager  Digital Backbone and Service Management"/>
    <x v="2"/>
    <x v="20"/>
  </r>
  <r>
    <s v="UCQ019997"/>
    <n v="19997"/>
    <s v="Estela"/>
    <s v="Van Zetten"/>
    <s v="FEMALE"/>
    <s v="DT16"/>
    <s v="60SXM"/>
    <s v="Service Experience Manager"/>
    <d v="2021-05-10T00:00:00"/>
    <m/>
    <d v="2022-10-24T00:00:00"/>
    <s v="FULL"/>
    <n v="38"/>
    <n v="1"/>
    <s v="Senior Managers"/>
    <n v="19440"/>
    <s v="Simone Dougherty "/>
    <s v="60GMDB"/>
    <s v="General Manager  Digital Backbone and Service Management"/>
    <x v="2"/>
    <x v="20"/>
  </r>
  <r>
    <s v="UCQ019001"/>
    <n v="19001"/>
    <s v="Jayman"/>
    <s v="Preece"/>
    <s v="MALE"/>
    <s v="DT46"/>
    <s v="60GSA"/>
    <s v="Gensys System Administrator"/>
    <d v="2019-11-12T00:00:00"/>
    <m/>
    <d v="2022-08-01T00:00:00"/>
    <s v="FULL"/>
    <n v="38"/>
    <n v="1"/>
    <s v="Professionals"/>
    <n v="17047"/>
    <s v="Gareth February"/>
    <s v="60DPMA"/>
    <s v="Digital Platforms Manager ACCS"/>
    <x v="2"/>
    <x v="21"/>
  </r>
  <r>
    <s v="UCQ020552"/>
    <n v="20552"/>
    <s v="Oleg"/>
    <s v="Krasnichkin"/>
    <s v="MALE"/>
    <s v="DT36"/>
    <s v="602CAA"/>
    <s v="Clinical Application Analyst"/>
    <d v="2021-12-06T00:00:00"/>
    <m/>
    <d v="2021-12-06T00:00:00"/>
    <s v="FULL"/>
    <n v="38"/>
    <n v="1"/>
    <s v="Professionals"/>
    <n v="19424"/>
    <s v="David Hoswell "/>
    <s v="60CAL"/>
    <s v="Clinical Applications Support Team Lead"/>
    <x v="2"/>
    <x v="21"/>
  </r>
  <r>
    <s v="UCQ022034"/>
    <n v="22034"/>
    <s v="The"/>
    <s v="Nguyen"/>
    <s v="MALE"/>
    <s v="DT46"/>
    <s v="60ASTA"/>
    <s v="Application System Administrator"/>
    <d v="2023-05-22T00:00:00"/>
    <m/>
    <d v="2023-05-22T00:00:00"/>
    <s v="FULL"/>
    <n v="38"/>
    <n v="1"/>
    <s v="Professionals"/>
    <n v="17047"/>
    <s v="Gareth February"/>
    <s v="60DPMA"/>
    <s v="Digital Platforms Manager ACCS"/>
    <x v="2"/>
    <x v="21"/>
  </r>
  <r>
    <s v="UCQ021065"/>
    <n v="21065"/>
    <s v="Adedotun"/>
    <s v="Obelawo"/>
    <s v="MALE"/>
    <s v="DT46"/>
    <s v="60SAS"/>
    <s v="System Administrator"/>
    <d v="2022-05-23T00:00:00"/>
    <m/>
    <d v="2022-05-23T00:00:00"/>
    <s v="FULL"/>
    <n v="38"/>
    <n v="1"/>
    <s v="Professionals"/>
    <n v="19975"/>
    <s v="Tania Kouvaras "/>
    <s v="60DPM"/>
    <s v="Digital Platforms Manager Corporate"/>
    <x v="2"/>
    <x v="21"/>
  </r>
  <r>
    <s v="UCQ017142"/>
    <n v="17142"/>
    <s v="Vayga"/>
    <s v="Vipin"/>
    <s v="FEMALE"/>
    <s v="PC93"/>
    <s v="T01KA"/>
    <s v="Systems Administrator"/>
    <d v="2016-11-07T00:00:00"/>
    <m/>
    <d v="2023-07-01T00:00:00"/>
    <s v="FULL"/>
    <n v="38"/>
    <n v="1"/>
    <s v="Professionals"/>
    <n v="19975"/>
    <s v="Tania Kouvaras "/>
    <s v="60DPM"/>
    <s v="Digital Platforms Manager Corporate"/>
    <x v="2"/>
    <x v="21"/>
  </r>
  <r>
    <s v="UCQ021430"/>
    <n v="21430"/>
    <s v="Riki-Lee"/>
    <s v="Toki"/>
    <s v="FEMALE"/>
    <s v="DT48"/>
    <s v="6001TA"/>
    <s v="Transition Analyst"/>
    <d v="2022-10-31T00:00:00"/>
    <d v="2024-10-31T00:00:00"/>
    <d v="2022-10-31T00:00:00"/>
    <s v="FULL"/>
    <n v="38"/>
    <n v="1"/>
    <s v="Professionals"/>
    <n v="17362"/>
    <s v="Francis Boyd "/>
    <s v="60EDTM"/>
    <s v="Test Manager"/>
    <x v="2"/>
    <x v="21"/>
  </r>
  <r>
    <s v="UCQ021876"/>
    <n v="21876"/>
    <s v="Alexander"/>
    <s v="Thorpe"/>
    <s v="MALE"/>
    <s v="DT46"/>
    <s v="60DTS3"/>
    <s v="Systems Administrator"/>
    <d v="2023-03-27T00:00:00"/>
    <d v="2025-03-28T00:00:00"/>
    <d v="2023-03-27T00:00:00"/>
    <s v="FULL"/>
    <n v="38"/>
    <n v="1"/>
    <s v="Professionals"/>
    <n v="17047"/>
    <s v="Gareth February"/>
    <s v="60DPMA"/>
    <s v="Digital Platforms Manager ACCS"/>
    <x v="2"/>
    <x v="21"/>
  </r>
  <r>
    <s v="UCQ022164"/>
    <n v="22164"/>
    <s v="Joel"/>
    <s v="Desousa"/>
    <s v="MALE"/>
    <s v="DT46"/>
    <s v="60KSA1"/>
    <s v="Kronos System Administrator"/>
    <d v="2023-06-12T00:00:00"/>
    <m/>
    <d v="2023-06-12T00:00:00"/>
    <s v="FULL"/>
    <n v="38"/>
    <n v="1"/>
    <s v="Professionals"/>
    <n v="19975"/>
    <s v="Tania Kouvaras "/>
    <s v="60DPM"/>
    <s v="Digital Platforms Manager Corporate"/>
    <x v="2"/>
    <x v="21"/>
  </r>
  <r>
    <s v="UCQ014474"/>
    <n v="14474"/>
    <s v="Fofoga"/>
    <s v="Sola"/>
    <s v="FEMALE"/>
    <s v="DT43"/>
    <s v="60CAA"/>
    <s v="Senior Clinical Applications Analyst"/>
    <d v="2011-11-07T00:00:00"/>
    <m/>
    <d v="2022-09-05T00:00:00"/>
    <s v="FULL"/>
    <n v="38"/>
    <n v="1"/>
    <s v="Professionals"/>
    <n v="19424"/>
    <s v="David Hoswell "/>
    <s v="60CAL"/>
    <s v="Clinical Applications Support Team Lead"/>
    <x v="2"/>
    <x v="21"/>
  </r>
  <r>
    <s v="UCQ019434"/>
    <n v="19434"/>
    <s v="Anna"/>
    <s v="Kent"/>
    <s v="FEMALE"/>
    <s v="DT46"/>
    <s v="60KFA"/>
    <s v="System Administrator"/>
    <d v="2007-05-22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21053"/>
    <n v="21053"/>
    <s v="Steven"/>
    <s v="Field"/>
    <s v="MALE"/>
    <s v="DT47"/>
    <s v="600TBA"/>
    <s v="Technical Business Analyst"/>
    <d v="2022-05-23T00:00:00"/>
    <d v="2024-05-24T00:00:00"/>
    <d v="2022-05-23T00:00:00"/>
    <s v="FULL"/>
    <n v="38"/>
    <n v="1"/>
    <s v="Professionals"/>
    <n v="20715"/>
    <s v="Henry Lau "/>
    <s v="60STAP"/>
    <s v="Senior Technical Applications Lead"/>
    <x v="2"/>
    <x v="21"/>
  </r>
  <r>
    <s v="UCQ021652"/>
    <n v="21652"/>
    <s v="Malaz"/>
    <s v="Aburas"/>
    <s v="FEMALE"/>
    <s v="DT43"/>
    <s v="60SCAA"/>
    <s v="Senior Clinical Applications Analyst"/>
    <d v="2023-02-06T00:00:00"/>
    <m/>
    <d v="2023-02-06T00:00:00"/>
    <s v="FULL"/>
    <n v="38"/>
    <n v="1"/>
    <s v="Professionals"/>
    <n v="19424"/>
    <s v="David Hoswell "/>
    <s v="60CAL"/>
    <s v="Clinical Applications Support Team Lead"/>
    <x v="2"/>
    <x v="21"/>
  </r>
  <r>
    <s v="UCQ021112"/>
    <n v="21112"/>
    <s v="Guy"/>
    <s v="Elliott"/>
    <s v="MALE"/>
    <s v="DT46"/>
    <s v="60SA1"/>
    <s v="System Administrator"/>
    <d v="2022-06-27T00:00:00"/>
    <m/>
    <d v="2023-03-10T00:00:00"/>
    <s v="FULL"/>
    <n v="38"/>
    <n v="1"/>
    <s v="Professionals"/>
    <n v="17047"/>
    <s v="Gareth February"/>
    <s v="60DPMA"/>
    <s v="Digital Platforms Manager ACCS"/>
    <x v="2"/>
    <x v="21"/>
  </r>
  <r>
    <s v="UCQ021608"/>
    <n v="21608"/>
    <s v="Benny"/>
    <s v="Subramanian"/>
    <s v="MALE"/>
    <s v="DT46"/>
    <s v="60SADT"/>
    <s v="System Administrator"/>
    <d v="2022-12-07T00:00:00"/>
    <d v="2024-12-06T00:00:00"/>
    <d v="2022-12-07T00:00:00"/>
    <s v="FULL"/>
    <n v="38"/>
    <n v="1"/>
    <s v="Professionals"/>
    <n v="17047"/>
    <s v="Gareth February"/>
    <s v="60DPMA"/>
    <s v="Digital Platforms Manager ACCS"/>
    <x v="2"/>
    <x v="21"/>
  </r>
  <r>
    <s v="UCQ021528"/>
    <n v="21528"/>
    <s v="Hetal"/>
    <s v="Pathak"/>
    <s v="FEMALE"/>
    <s v="DT46"/>
    <s v="601SAP"/>
    <s v="System Administrator Payroll"/>
    <d v="2022-11-14T00:00:00"/>
    <m/>
    <d v="2022-11-14T00:00:00"/>
    <s v="FULL"/>
    <n v="38"/>
    <n v="1"/>
    <s v="Professionals"/>
    <n v="19975"/>
    <s v="Tania Kouvaras "/>
    <s v="60DPM"/>
    <s v="Digital Platforms Manager Corporate"/>
    <x v="2"/>
    <x v="21"/>
  </r>
  <r>
    <s v="UCQ021005"/>
    <n v="21005"/>
    <s v="Dac"/>
    <s v="Ho"/>
    <s v="MALE"/>
    <s v="DT44"/>
    <s v="600NCD"/>
    <s v="Senior .NET and CCL Developer"/>
    <d v="2022-05-10T00:00:00"/>
    <m/>
    <d v="2022-05-10T00:00:00"/>
    <s v="FULL"/>
    <n v="38"/>
    <n v="1"/>
    <s v="Professionals"/>
    <n v="20715"/>
    <s v="Henry Lau "/>
    <s v="60STAP"/>
    <s v="Senior Technical Applications Lead"/>
    <x v="2"/>
    <x v="21"/>
  </r>
  <r>
    <s v="UCQ022093"/>
    <n v="22093"/>
    <s v="Swathi"/>
    <s v="Vadrevu"/>
    <s v="FEMALE"/>
    <s v="DT44"/>
    <s v="60SND"/>
    <s v="Senior NET Developer"/>
    <d v="2023-05-29T00:00:00"/>
    <m/>
    <d v="2023-05-29T00:00:00"/>
    <s v="FULL"/>
    <n v="38"/>
    <n v="1"/>
    <s v="Professionals"/>
    <n v="20715"/>
    <s v="Henry Lau "/>
    <s v="60STAP"/>
    <s v="Senior Technical Applications Lead"/>
    <x v="2"/>
    <x v="21"/>
  </r>
  <r>
    <s v="UCQ020458"/>
    <n v="20458"/>
    <s v="Patrick"/>
    <s v="White"/>
    <s v="MALE"/>
    <s v="DT35"/>
    <s v="60DTT3"/>
    <s v="Transition Manager"/>
    <d v="2021-09-29T00:00:00"/>
    <m/>
    <d v="2021-09-29T00:00:00"/>
    <s v="FULL"/>
    <n v="38"/>
    <n v="1"/>
    <s v="Other Managers"/>
    <n v="17362"/>
    <s v="Francis Boyd"/>
    <s v="60EDTM"/>
    <s v="Test Manager"/>
    <x v="2"/>
    <x v="21"/>
  </r>
  <r>
    <s v="UCQ021884"/>
    <n v="21884"/>
    <s v="Najah"/>
    <s v="Siddiqui"/>
    <s v="FEMALE"/>
    <s v="DT09"/>
    <s v="60DAE1"/>
    <s v="Data Analytics Engineer"/>
    <d v="2023-03-13T00:00:00"/>
    <m/>
    <d v="2023-03-13T00:00:00"/>
    <s v="FULL"/>
    <n v="38"/>
    <n v="1"/>
    <s v="Professionals"/>
    <n v="19975"/>
    <s v="Tania Kouvaras "/>
    <s v="60DPM"/>
    <s v="Digital Platforms Manager Corporate"/>
    <x v="2"/>
    <x v="21"/>
  </r>
  <r>
    <s v="UCQ017799"/>
    <n v="17799"/>
    <s v="Robert"/>
    <s v="Trethewey"/>
    <s v="MALE"/>
    <s v="DT23"/>
    <s v="60DAT1"/>
    <s v="Data Analytics Team Lead"/>
    <d v="2018-06-06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19857"/>
    <n v="19857"/>
    <s v="Usha"/>
    <s v="Arasappan"/>
    <s v="FEMALE"/>
    <s v="DT32"/>
    <s v="60KSA"/>
    <s v="Senior System Administrator"/>
    <d v="2021-02-02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18708"/>
    <n v="18708"/>
    <s v="Russell"/>
    <s v="Jensen"/>
    <s v="MALE"/>
    <s v="DT32"/>
    <s v="602FA"/>
    <s v="Senior Systems Administrator"/>
    <d v="2007-06-12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19223"/>
    <n v="19223"/>
    <s v="Luke"/>
    <s v="Mathers"/>
    <s v="MALE"/>
    <s v="DT32"/>
    <s v="60AAAP"/>
    <s v="Senior Systems Administrator"/>
    <d v="2020-03-09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20171"/>
    <n v="20171"/>
    <s v="Phillip"/>
    <s v="Bailey"/>
    <s v="MALE"/>
    <s v="DT32"/>
    <s v="602KA"/>
    <s v="Senior Systems Administrator"/>
    <d v="2021-07-26T00:00:00"/>
    <m/>
    <d v="2022-07-15T00:00:00"/>
    <s v="FULL"/>
    <n v="38"/>
    <n v="1"/>
    <s v="Professionals"/>
    <n v="19975"/>
    <s v="Tania Kouvaras "/>
    <s v="60DPM"/>
    <s v="Digital Platforms Manager Corporate"/>
    <x v="2"/>
    <x v="21"/>
  </r>
  <r>
    <s v="UCQ020421"/>
    <n v="20421"/>
    <s v="Peter"/>
    <s v="Kenny"/>
    <s v="MALE"/>
    <s v="DT33"/>
    <s v="60STAL"/>
    <s v="Senior Technical Application Lead"/>
    <d v="2021-10-11T00:00:00"/>
    <m/>
    <d v="2022-07-15T00:00:00"/>
    <s v="FULL"/>
    <n v="38"/>
    <n v="1"/>
    <s v="Professionals"/>
    <n v="17047"/>
    <s v="Gareth February"/>
    <s v="60DPMA"/>
    <s v="Digital Platforms Manager ACCS"/>
    <x v="2"/>
    <x v="21"/>
  </r>
  <r>
    <s v="UCQ021018"/>
    <n v="21018"/>
    <s v="Debashish"/>
    <s v="Ganguly"/>
    <s v="MALE"/>
    <s v="DT33"/>
    <s v="60STL1"/>
    <s v="Senior Technical Application Lead"/>
    <d v="2022-05-10T00:00:00"/>
    <m/>
    <d v="2022-05-10T00:00:00"/>
    <s v="FULL"/>
    <n v="38"/>
    <n v="1"/>
    <s v="Professionals"/>
    <n v="19975"/>
    <s v="Tania Kouvaras "/>
    <s v="60DPM"/>
    <s v="Digital Platforms Manager Corporate"/>
    <x v="2"/>
    <x v="21"/>
  </r>
  <r>
    <s v="UCQ021814"/>
    <n v="21814"/>
    <s v="Krisztian"/>
    <s v="Jonas"/>
    <s v="MALE"/>
    <s v="DT09"/>
    <s v="60DAE"/>
    <s v="Data Analytics Engineer"/>
    <d v="2023-02-27T00:00:00"/>
    <m/>
    <d v="2023-02-27T00:00:00"/>
    <s v="FULL"/>
    <n v="38"/>
    <n v="1"/>
    <s v="Professionals"/>
    <n v="19975"/>
    <s v="Tania Kouvaras "/>
    <s v="60DPM"/>
    <s v="Digital Platforms Manager Corporate"/>
    <x v="2"/>
    <x v="21"/>
  </r>
  <r>
    <s v="UCQ020715"/>
    <n v="20715"/>
    <s v="Henry"/>
    <s v="Lau"/>
    <s v="MALE"/>
    <s v="DT33"/>
    <s v="60STAP"/>
    <s v="Senior Technical Applications Lead"/>
    <d v="2022-02-21T00:00:00"/>
    <m/>
    <d v="2022-07-01T00:00:00"/>
    <s v="FULL"/>
    <n v="38"/>
    <n v="1"/>
    <s v="Professionals"/>
    <n v="20782"/>
    <s v="Han Lim "/>
    <s v="60DPMH"/>
    <s v="Digital Platforms Manager Hospitals and FaDS"/>
    <x v="2"/>
    <x v="21"/>
  </r>
  <r>
    <s v="UCQ021198"/>
    <n v="21198"/>
    <s v="Harika"/>
    <s v="Ravipati"/>
    <s v="FEMALE"/>
    <s v="DT46"/>
    <s v="60SACM"/>
    <s v="System Administrator Care Management Systems"/>
    <d v="2022-08-15T00:00:00"/>
    <d v="2024-08-16T00:00:00"/>
    <d v="2022-08-15T00:00:00"/>
    <s v="FULL"/>
    <n v="38"/>
    <n v="1"/>
    <s v="Professionals"/>
    <n v="17047"/>
    <s v="Gareth February"/>
    <s v="60DPMA"/>
    <s v="Digital Platforms Manager ACCS"/>
    <x v="2"/>
    <x v="21"/>
  </r>
  <r>
    <s v="UCQ019424"/>
    <n v="19424"/>
    <s v="David"/>
    <s v="Hoswell"/>
    <s v="MALE"/>
    <s v="DT21"/>
    <s v="60CAL"/>
    <s v="Clinical Applications Support Team Lead"/>
    <d v="1994-08-22T00:00:00"/>
    <m/>
    <d v="2022-09-21T00:00:00"/>
    <s v="FULL"/>
    <n v="38"/>
    <n v="1"/>
    <s v="Professionals"/>
    <n v="20782"/>
    <s v="Han Lim "/>
    <s v="60DPMH"/>
    <s v="Digital Platforms Manager Hospitals and FaDS"/>
    <x v="2"/>
    <x v="21"/>
  </r>
  <r>
    <s v="UCQ020782"/>
    <n v="20782"/>
    <s v="Han"/>
    <s v="Lim"/>
    <s v="MALE"/>
    <s v="DT12"/>
    <s v="60DPMH"/>
    <s v="Digital Platforms Manager Hospitals and FaDS"/>
    <d v="2022-03-07T00:00:00"/>
    <m/>
    <d v="2022-03-07T00:00:00"/>
    <s v="FULL"/>
    <n v="38"/>
    <n v="1"/>
    <s v="Senior Managers"/>
    <n v="20109"/>
    <s v="Rashedul Khan "/>
    <s v="60GMDP"/>
    <s v="General Manager Digital Platforms"/>
    <x v="2"/>
    <x v="21"/>
  </r>
  <r>
    <s v="UCQ017362"/>
    <n v="17362"/>
    <s v="Francis"/>
    <s v="Boyd"/>
    <s v="MALE"/>
    <s v="DT19"/>
    <s v="60EDTM"/>
    <s v="Test Manager"/>
    <d v="2017-11-13T00:00:00"/>
    <m/>
    <d v="2020-10-01T00:00:00"/>
    <s v="FULL"/>
    <n v="38"/>
    <n v="1"/>
    <s v="Other Managers"/>
    <n v="20109"/>
    <s v="Rashedul Khan "/>
    <s v="60GMDP"/>
    <s v="General Manager Digital Platforms"/>
    <x v="2"/>
    <x v="21"/>
  </r>
  <r>
    <s v="UCQ017047"/>
    <n v="17047"/>
    <s v="Gareth"/>
    <s v="February"/>
    <s v="MALE"/>
    <s v="DT11"/>
    <s v="60DPMA"/>
    <s v="Digital Platforms Manager ACCS"/>
    <d v="2017-07-17T00:00:00"/>
    <m/>
    <d v="2021-12-20T00:00:00"/>
    <s v="FULL"/>
    <n v="38"/>
    <n v="1"/>
    <s v="Senior Managers"/>
    <n v="20109"/>
    <s v="Rashedul Khan "/>
    <s v="60GMDP"/>
    <s v="General Manager Digital Platforms"/>
    <x v="2"/>
    <x v="21"/>
  </r>
  <r>
    <s v="UCQ019975"/>
    <n v="19975"/>
    <s v="Tania"/>
    <s v="Kouvaras"/>
    <s v="FEMALE"/>
    <s v="DT13"/>
    <s v="60DPM"/>
    <s v="Digital Platforms Manager Corporate"/>
    <d v="2021-03-22T00:00:00"/>
    <m/>
    <d v="2021-12-20T00:00:00"/>
    <s v="FULL"/>
    <n v="38"/>
    <n v="1"/>
    <s v="Senior Managers"/>
    <n v="20109"/>
    <s v="Rashedul Khan "/>
    <s v="60GMDP"/>
    <s v="General Manager Digital Platforms"/>
    <x v="2"/>
    <x v="21"/>
  </r>
  <r>
    <s v="UCQ020814"/>
    <n v="20814"/>
    <s v="Rebecca"/>
    <s v="Olivier"/>
    <s v="FEMALE"/>
    <s v="DT10"/>
    <s v="60CDMH"/>
    <s v="Customer Delivery Manager Hospitals and FaDS"/>
    <d v="2022-03-14T00:00:00"/>
    <m/>
    <d v="2022-03-14T00:00:00"/>
    <s v="FULL"/>
    <n v="38"/>
    <n v="1"/>
    <s v="Senior Managers"/>
    <n v="20289"/>
    <s v="Nichole Aird "/>
    <s v="60GMHF"/>
    <s v="General Manager Hospitals and FADS"/>
    <x v="2"/>
    <x v="22"/>
  </r>
  <r>
    <s v="UCQ021461"/>
    <n v="21461"/>
    <s v="Judith"/>
    <s v="Matson"/>
    <s v="FEMALE"/>
    <s v="MIS10"/>
    <s v="602EA"/>
    <s v="Executive Assistant"/>
    <d v="2022-10-31T00:00:00"/>
    <m/>
    <d v="2022-10-31T00:00:00"/>
    <s v="FULL"/>
    <n v="38"/>
    <n v="1"/>
    <s v="Clerical &amp; Admin"/>
    <n v="19581"/>
    <s v="Susan Heath "/>
    <s v="600GED"/>
    <s v="Group Executive Digital and Transactional Services"/>
    <x v="2"/>
    <x v="8"/>
  </r>
  <r>
    <s v="UCQ019440"/>
    <n v="19440"/>
    <s v="Simone"/>
    <s v="Dougherty"/>
    <s v="FEMALE"/>
    <s v="DT02"/>
    <s v="60GMDB"/>
    <s v="General Manager  Digital Backbone and Service Management"/>
    <d v="2020-08-17T00:00:00"/>
    <m/>
    <d v="2022-05-31T00:00:00"/>
    <s v="FULL"/>
    <n v="38"/>
    <n v="1"/>
    <s v="Other Exec / Gen Mgrs"/>
    <n v="19581"/>
    <s v="Susan Heath "/>
    <s v="600GED"/>
    <s v="Group Executive Digital and Transactional Services"/>
    <x v="2"/>
    <x v="8"/>
  </r>
  <r>
    <s v="UCQ019789"/>
    <n v="19789"/>
    <s v="Joanne"/>
    <s v="Christiansen"/>
    <s v="FEMALE"/>
    <s v="DT06"/>
    <s v="60GMDT"/>
    <s v="General Manager Digital and Technology Transformation"/>
    <d v="2021-01-25T00:00:00"/>
    <m/>
    <d v="2022-08-01T00:00:00"/>
    <s v="FULL"/>
    <n v="38"/>
    <n v="1"/>
    <s v="Other Exec / Gen Mgrs"/>
    <n v="19581"/>
    <s v="Susan Heath "/>
    <s v="600GED"/>
    <s v="Group Executive Digital and Transactional Services"/>
    <x v="2"/>
    <x v="8"/>
  </r>
  <r>
    <s v="UCQ020164"/>
    <n v="20164"/>
    <s v="Dennis"/>
    <s v="Cristante"/>
    <s v="MALE"/>
    <s v="DT04"/>
    <s v="60GMC"/>
    <s v="General Manager Corporate"/>
    <d v="2021-08-16T00:00:00"/>
    <m/>
    <d v="2022-08-01T00:00:00"/>
    <s v="FULL"/>
    <n v="38"/>
    <n v="1"/>
    <s v="Other Exec / Gen Mgrs"/>
    <n v="19581"/>
    <s v="Susan Heath "/>
    <s v="600GED"/>
    <s v="Group Executive Digital and Transactional Services"/>
    <x v="2"/>
    <x v="8"/>
  </r>
  <r>
    <s v="UCQ020515"/>
    <n v="20515"/>
    <s v="Lee"/>
    <s v="Dennison"/>
    <s v="MALE"/>
    <s v="DT03"/>
    <s v="60GADT"/>
    <s v="General Manager ACCS Digital and Technology"/>
    <d v="2021-11-29T00:00:00"/>
    <m/>
    <d v="2022-08-01T00:00:00"/>
    <s v="FULL"/>
    <n v="38"/>
    <n v="1"/>
    <s v="Other Exec / Gen Mgrs"/>
    <n v="19581"/>
    <s v="Susan Heath "/>
    <s v="600GED"/>
    <s v="Group Executive Digital and Transactional Services"/>
    <x v="2"/>
    <x v="8"/>
  </r>
  <r>
    <s v="UCQ020109"/>
    <n v="20109"/>
    <s v="Rashedul"/>
    <s v="Khan"/>
    <s v="MALE"/>
    <s v="DT08"/>
    <s v="60GMDP"/>
    <s v="General Manager Digital Platforms"/>
    <d v="2021-06-21T00:00:00"/>
    <m/>
    <d v="2022-08-01T00:00:00"/>
    <s v="FULL"/>
    <n v="38"/>
    <n v="1"/>
    <s v="Senior Managers"/>
    <n v="19581"/>
    <s v="Susan Heath "/>
    <s v="600GED"/>
    <s v="Group Executive Digital and Transactional Services"/>
    <x v="2"/>
    <x v="8"/>
  </r>
  <r>
    <s v="UCQ020052"/>
    <n v="20052"/>
    <s v="Silas"/>
    <s v="Barnes"/>
    <s v="MALE"/>
    <s v="DT05"/>
    <s v="60GMCS"/>
    <s v="General Manager Cyber Security"/>
    <d v="2021-04-27T00:00:00"/>
    <m/>
    <d v="2022-08-01T00:00:00"/>
    <s v="FULL"/>
    <n v="38"/>
    <n v="1"/>
    <s v="Other Exec / Gen Mgrs"/>
    <n v="19581"/>
    <s v="Susan Heath "/>
    <s v="600GED"/>
    <s v="Group Executive Digital and Transactional Services"/>
    <x v="2"/>
    <x v="8"/>
  </r>
  <r>
    <s v="UCQ020289"/>
    <n v="20289"/>
    <s v="Nichole"/>
    <s v="Aird"/>
    <s v="FEMALE"/>
    <s v="DT07"/>
    <s v="60GMHF"/>
    <s v="General Manager Hospitals and FADS"/>
    <d v="2021-09-16T00:00:00"/>
    <m/>
    <d v="2022-08-01T00:00:00"/>
    <s v="FULL"/>
    <n v="38"/>
    <n v="1"/>
    <s v="Senior Managers"/>
    <n v="19581"/>
    <s v="Susan Heath "/>
    <s v="600GED"/>
    <s v="Group Executive Digital and Transactional Services"/>
    <x v="2"/>
    <x v="8"/>
  </r>
  <r>
    <s v="UCC021035"/>
    <n v="21035"/>
    <s v="Samantha"/>
    <s v="Bale"/>
    <s v="FEMALE"/>
    <s v="FAD37"/>
    <s v="P05606"/>
    <s v="Performance Analyst"/>
    <d v="2022-06-06T00:00:00"/>
    <m/>
    <d v="2022-06-06T00:00:00"/>
    <s v="FULL"/>
    <n v="38"/>
    <n v="1"/>
    <s v="Professionals"/>
    <n v="21062"/>
    <s v="Anthony Nunn"/>
    <s v="P07507"/>
    <s v="Business Performance Lead"/>
    <x v="3"/>
    <x v="23"/>
  </r>
  <r>
    <s v="UCC019012"/>
    <n v="19012"/>
    <s v="Rand"/>
    <s v="Asmaro"/>
    <s v="FEMALE"/>
    <s v="BF42"/>
    <s v="P06726"/>
    <s v="Business Performance Analyst"/>
    <d v="2019-11-04T00:00:00"/>
    <m/>
    <d v="2022-06-01T00:00:00"/>
    <s v="FULL"/>
    <n v="38"/>
    <n v="1"/>
    <s v="Professionals"/>
    <n v="21062"/>
    <s v="Anthony Nunn"/>
    <s v="P07507"/>
    <s v="Business Performance Lead"/>
    <x v="3"/>
    <x v="23"/>
  </r>
  <r>
    <s v="UCC019860"/>
    <n v="19860"/>
    <s v="Michayla"/>
    <s v="Parsons"/>
    <s v="FEMALE"/>
    <s v="BF42"/>
    <s v="P06920"/>
    <s v="Business Performance Analyst"/>
    <d v="2021-02-08T00:00:00"/>
    <m/>
    <d v="2022-06-01T00:00:00"/>
    <s v="FULL"/>
    <n v="38"/>
    <n v="1"/>
    <s v="Professionals"/>
    <n v="21062"/>
    <s v="Anthony Nunn"/>
    <s v="P07507"/>
    <s v="Business Performance Lead"/>
    <x v="3"/>
    <x v="23"/>
  </r>
  <r>
    <s v="UCC020270"/>
    <n v="20270"/>
    <s v="Karen"/>
    <s v="Wilson"/>
    <s v="FEMALE"/>
    <s v="FAD37"/>
    <s v="P05607"/>
    <s v="Performance Analyst"/>
    <d v="2021-08-23T00:00:00"/>
    <m/>
    <d v="2022-06-01T00:00:00"/>
    <s v="PART"/>
    <n v="30.4"/>
    <n v="0.79999999999999993"/>
    <s v="Professionals"/>
    <n v="21062"/>
    <s v="Anthony Nunn"/>
    <s v="P07507"/>
    <s v="Business Performance Lead"/>
    <x v="3"/>
    <x v="23"/>
  </r>
  <r>
    <s v="UCC018450"/>
    <n v="18450"/>
    <s v="Sonia"/>
    <s v="Bingley"/>
    <s v="FEMALE"/>
    <s v="FAD54"/>
    <s v="P06280"/>
    <s v="Support Officer NDIS"/>
    <d v="2019-03-11T00:00:00"/>
    <m/>
    <d v="2019-03-11T00:00:00"/>
    <s v="FULL"/>
    <n v="38"/>
    <n v="1"/>
    <s v="Community &amp; Persnal Svcs"/>
    <n v="20741"/>
    <s v="Xue Zhang"/>
    <s v="P06466"/>
    <s v="Senior Manager Business Performance and Enablement"/>
    <x v="3"/>
    <x v="23"/>
  </r>
  <r>
    <s v="UCC008450"/>
    <n v="8450"/>
    <s v="Lisa"/>
    <s v="Pfeifle"/>
    <s v="FEMALE"/>
    <s v="FAD32"/>
    <s v="P07231"/>
    <s v="Business Service Coordinator"/>
    <d v="2008-01-09T00:00:00"/>
    <m/>
    <d v="2021-12-07T00:00:00"/>
    <s v="FULL"/>
    <n v="38"/>
    <n v="1"/>
    <s v="Professionals"/>
    <n v="20741"/>
    <s v="Xue Zhang"/>
    <s v="P06451"/>
    <s v="Senior Manager Business Performance and Enablement"/>
    <x v="3"/>
    <x v="23"/>
  </r>
  <r>
    <s v="UCC021062"/>
    <n v="21062"/>
    <s v="Anthony"/>
    <s v="Nunn"/>
    <s v="MALE"/>
    <s v="FAD15"/>
    <s v="P07507"/>
    <s v="Business Performance Lead"/>
    <d v="2022-05-30T00:00:00"/>
    <m/>
    <d v="2022-05-30T00:00:00"/>
    <s v="FULL"/>
    <n v="38"/>
    <n v="1"/>
    <s v="Professionals"/>
    <n v="20741"/>
    <s v="Xue Zhang"/>
    <s v="P06466"/>
    <s v="Senior Manager Business Performance and Enablement"/>
    <x v="3"/>
    <x v="23"/>
  </r>
  <r>
    <s v="UCC021411"/>
    <n v="21411"/>
    <s v="David"/>
    <s v="Jones"/>
    <s v="MALE"/>
    <s v="FAD16"/>
    <s v="P07847"/>
    <s v="Business Systems Analyst"/>
    <d v="2022-10-07T00:00:00"/>
    <m/>
    <d v="2022-10-07T00:00:00"/>
    <s v="CASUAL"/>
    <n v="38"/>
    <n v="1"/>
    <s v="Professionals"/>
    <n v="20741"/>
    <s v="Xue Zhang"/>
    <s v="P06466"/>
    <s v="Senior Manager Business Performance and Enablement"/>
    <x v="3"/>
    <x v="23"/>
  </r>
  <r>
    <s v="UCC006389"/>
    <n v="6389"/>
    <s v="Joanne"/>
    <s v="Bearman"/>
    <s v="FEMALE"/>
    <s v="FAD61"/>
    <s v="P07382"/>
    <s v="Statewide Manager Family Protection and Men's Programs"/>
    <d v="2005-10-31T00:00:00"/>
    <m/>
    <d v="2023-05-29T00:00:00"/>
    <s v="FULL"/>
    <n v="38"/>
    <n v="1"/>
    <s v="Senior Managers"/>
    <n v="16308"/>
    <s v="Vivien Bull"/>
    <s v="P06450"/>
    <s v="General Manager Family Child and Individual Support"/>
    <x v="3"/>
    <x v="24"/>
  </r>
  <r>
    <s v="UCC013839"/>
    <n v="13839"/>
    <s v="Karen"/>
    <s v="Chamberlain"/>
    <s v="FEMALE"/>
    <s v="FAD13"/>
    <s v="P07383"/>
    <s v="Statewide Manager Family Law"/>
    <d v="2013-04-22T00:00:00"/>
    <m/>
    <d v="2023-01-03T00:00:00"/>
    <s v="FULL"/>
    <n v="38"/>
    <n v="1"/>
    <s v="Senior Managers"/>
    <n v="16308"/>
    <s v="Vivien Bull"/>
    <s v="P07388"/>
    <s v="General Manager Family Child and Individual Support"/>
    <x v="3"/>
    <x v="24"/>
  </r>
  <r>
    <s v="UCC014970"/>
    <n v="14970"/>
    <s v="Mark"/>
    <s v="Clissold"/>
    <s v="MALE"/>
    <s v="FAD13"/>
    <s v="P07381"/>
    <s v="Statewide Manager Family Support"/>
    <d v="2015-01-05T00:00:00"/>
    <m/>
    <d v="2022-10-22T00:00:00"/>
    <s v="FULL"/>
    <n v="38"/>
    <n v="1"/>
    <s v="Senior Managers"/>
    <n v="16308"/>
    <s v="Vivien Bull"/>
    <s v="P07388"/>
    <s v="General Manager Family Child and Individual Support"/>
    <x v="3"/>
    <x v="24"/>
  </r>
  <r>
    <s v="UCC007015"/>
    <n v="7015"/>
    <s v="Amanda"/>
    <s v="Moormann"/>
    <s v="FEMALE"/>
    <s v="FAD13"/>
    <s v="P07380"/>
    <s v="Statewide Manager Foster and Kinship Care"/>
    <d v="2006-07-12T00:00:00"/>
    <m/>
    <d v="2023-01-18T00:00:00"/>
    <s v="FULL"/>
    <n v="38"/>
    <n v="1"/>
    <s v="Senior Managers"/>
    <n v="16308"/>
    <s v="Vivien Bull"/>
    <s v="P07388"/>
    <s v="General Manager Family Child and Individual Support"/>
    <x v="3"/>
    <x v="24"/>
  </r>
  <r>
    <s v="UCC008518"/>
    <n v="8518"/>
    <s v="Brooke"/>
    <s v="O'Connor"/>
    <s v="FEMALE"/>
    <s v="FAD61"/>
    <s v="P07377"/>
    <s v="Statewide Manager Out of Home Care South East"/>
    <d v="2013-10-04T00:00:00"/>
    <m/>
    <d v="2023-04-18T00:00:00"/>
    <s v="FULL"/>
    <n v="38"/>
    <n v="1"/>
    <s v="Other Managers"/>
    <n v="16308"/>
    <s v="Vivien Bull"/>
    <s v="P07388"/>
    <s v="General Manager Family Child and Individual Support"/>
    <x v="3"/>
    <x v="24"/>
  </r>
  <r>
    <s v="UCC015536"/>
    <n v="15536"/>
    <s v="John"/>
    <s v="Kelly"/>
    <s v="MALE"/>
    <s v="FAD13"/>
    <s v="P07378"/>
    <s v="Statewide Manager Out of Home Care North and West"/>
    <d v="2015-09-07T00:00:00"/>
    <m/>
    <d v="2023-02-13T00:00:00"/>
    <s v="FULL"/>
    <n v="38"/>
    <n v="1"/>
    <s v="Senior Managers"/>
    <n v="16308"/>
    <s v="Vivien Bull"/>
    <s v="P07388"/>
    <s v="General Manager Family Child and Individual Support"/>
    <x v="3"/>
    <x v="24"/>
  </r>
  <r>
    <s v="UCC021375"/>
    <n v="21375"/>
    <s v="Brenda"/>
    <s v="Simon"/>
    <s v="FEMALE"/>
    <s v="FAD52"/>
    <s v="P07511"/>
    <s v="Program Planning Lead"/>
    <d v="2022-09-26T00:00:00"/>
    <m/>
    <d v="2023-03-14T00:00:00"/>
    <s v="FULL"/>
    <n v="38"/>
    <n v="1"/>
    <s v="Clerical &amp; Admin"/>
    <n v="17933"/>
    <s v="Nickola Zeeuwen"/>
    <s v="P06099"/>
    <s v="Service Coordinator Holidays"/>
    <x v="3"/>
    <x v="25"/>
  </r>
  <r>
    <s v="UCC020185"/>
    <n v="20185"/>
    <s v="Susan"/>
    <s v="Stewart"/>
    <s v="FEMALE"/>
    <s v="FAD32"/>
    <s v="P07167"/>
    <s v="Business Services Coordinator"/>
    <d v="2021-07-12T00:00:00"/>
    <m/>
    <d v="2023-03-01T00:00:00"/>
    <s v="FULL"/>
    <n v="38"/>
    <n v="1"/>
    <s v="Professionals"/>
    <n v="19890"/>
    <s v="Chelbi Walton"/>
    <s v="P05798"/>
    <s v="Disability Services Manager"/>
    <x v="3"/>
    <x v="25"/>
  </r>
  <r>
    <s v="UCC020190"/>
    <n v="20190"/>
    <s v="Nigel"/>
    <s v="Tappenden"/>
    <s v="MALE"/>
    <s v="FAD32"/>
    <s v="P07168"/>
    <s v="Business Services Coordinator"/>
    <d v="2021-07-26T00:00:00"/>
    <m/>
    <d v="2021-07-26T00:00:00"/>
    <s v="FULL"/>
    <n v="38"/>
    <n v="1"/>
    <s v="Professionals"/>
    <n v="7326"/>
    <s v="Jodie Gorrel"/>
    <s v="P05848"/>
    <s v="Disability Service Manager SEQ Integrated"/>
    <x v="3"/>
    <x v="25"/>
  </r>
  <r>
    <s v="UCC019890"/>
    <n v="19890"/>
    <s v="Chelbi"/>
    <s v="Walton"/>
    <s v="FEMALE"/>
    <s v="FAD28"/>
    <s v="P07067"/>
    <s v="Service Coordinator"/>
    <d v="2014-09-08T00:00:00"/>
    <m/>
    <d v="2022-05-04T00:00:00"/>
    <s v="FULL"/>
    <n v="38"/>
    <n v="1"/>
    <s v="Community &amp; Persnal Svcs"/>
    <n v="21991"/>
    <s v="Martin Woollaston"/>
    <s v="P06451"/>
    <s v="General Manager Disability Services"/>
    <x v="3"/>
    <x v="25"/>
  </r>
  <r>
    <s v="UCC010642"/>
    <n v="10642"/>
    <s v="Thomas"/>
    <s v="Hegarty"/>
    <s v="MALE"/>
    <s v="FAD28"/>
    <s v="P07234"/>
    <s v="Service Coordinator Capacity Building"/>
    <d v="2010-03-16T00:00:00"/>
    <m/>
    <d v="2021-08-03T00:00:00"/>
    <s v="FULL"/>
    <n v="38"/>
    <n v="1"/>
    <s v="Community &amp; Persnal Svcs"/>
    <n v="19890"/>
    <s v="Chelbi Walton"/>
    <s v="P05798"/>
    <s v="Disability Services Manager"/>
    <x v="3"/>
    <x v="25"/>
  </r>
  <r>
    <s v="UCC014296"/>
    <n v="14296"/>
    <s v="Jo-Anne"/>
    <s v="Rolph"/>
    <s v="FEMALE"/>
    <s v="FAD28"/>
    <s v="P05808"/>
    <s v="Service Coordinator Capacity Building"/>
    <d v="2013-12-17T00:00:00"/>
    <m/>
    <d v="2021-03-09T00:00:00"/>
    <s v="FULL"/>
    <n v="38"/>
    <n v="1"/>
    <s v="Community &amp; Persnal Svcs"/>
    <n v="19890"/>
    <s v="Chelbi Walton"/>
    <s v="P05798"/>
    <s v="Disability Services Manager"/>
    <x v="3"/>
    <x v="25"/>
  </r>
  <r>
    <s v="UCC019885"/>
    <n v="19885"/>
    <s v="Ranjit"/>
    <s v="Singh"/>
    <s v="MALE"/>
    <s v="FAD28"/>
    <s v="P07064"/>
    <s v="Service Coordinator Core Support"/>
    <d v="2013-12-05T00:00:00"/>
    <m/>
    <d v="2023-05-08T00:00:00"/>
    <s v="FULL"/>
    <n v="38"/>
    <n v="1"/>
    <s v="Community &amp; Persnal Svcs"/>
    <n v="19890"/>
    <s v="Chelbi Walton"/>
    <s v="P05798"/>
    <s v="Disability Services Manager"/>
    <x v="3"/>
    <x v="25"/>
  </r>
  <r>
    <s v="UCC007077"/>
    <n v="7077"/>
    <s v="Nadia"/>
    <s v="Gray"/>
    <s v="FEMALE"/>
    <s v="FAD28"/>
    <s v="P06509"/>
    <s v="Service Coordinator Core Supports"/>
    <d v="2006-07-28T00:00:00"/>
    <m/>
    <d v="2022-09-24T00:00:00"/>
    <s v="FULL"/>
    <n v="38"/>
    <n v="1"/>
    <s v="Community &amp; Persnal Svcs"/>
    <n v="7326"/>
    <s v="Jodie Gorrel"/>
    <s v="P05848"/>
    <s v="Disability Service Manager SEQ Integrated"/>
    <x v="3"/>
    <x v="25"/>
  </r>
  <r>
    <s v="UCC015553"/>
    <n v="15553"/>
    <s v="Pamela"/>
    <s v="Spelling"/>
    <s v="FEMALE"/>
    <s v="FAD28"/>
    <s v="T05984"/>
    <s v="Service Coordinator Core Supports"/>
    <d v="2015-09-14T00:00:00"/>
    <d v="2023-07-17T00:00:00"/>
    <d v="2023-04-24T00:00:00"/>
    <s v="FULL"/>
    <n v="38"/>
    <n v="1"/>
    <s v="Community &amp; Persnal Svcs"/>
    <n v="7326"/>
    <s v="Jodie Gorrel"/>
    <s v="P05848"/>
    <s v="Disability Service Manager SEQ Integrated"/>
    <x v="3"/>
    <x v="25"/>
  </r>
  <r>
    <s v="UCC015833"/>
    <n v="15833"/>
    <s v="Chontay"/>
    <s v="Gustowski"/>
    <s v="FEMALE"/>
    <s v="FAD28"/>
    <s v="P06685"/>
    <s v="Service Coordinator Core Supports"/>
    <d v="2016-01-04T00:00:00"/>
    <m/>
    <d v="2023-01-03T00:00:00"/>
    <s v="FULL"/>
    <n v="38"/>
    <n v="1"/>
    <s v="Community &amp; Persnal Svcs"/>
    <n v="7326"/>
    <s v="Jodie Gorrel"/>
    <s v="P05848"/>
    <s v="Disability Service Manager SEQ Integrated"/>
    <x v="3"/>
    <x v="25"/>
  </r>
  <r>
    <s v="UCC017933"/>
    <n v="17933"/>
    <s v="Nickola"/>
    <s v="Zeeuwen"/>
    <s v="FEMALE"/>
    <s v="FAD28"/>
    <s v="P06099"/>
    <s v="Service Coordinator Holidays"/>
    <d v="2018-08-13T00:00:00"/>
    <m/>
    <d v="2020-12-23T00:00:00"/>
    <s v="FULL"/>
    <n v="38"/>
    <n v="1"/>
    <s v="Community &amp; Persnal Svcs"/>
    <n v="19890"/>
    <s v="Chelbi Walton"/>
    <s v="P05798"/>
    <s v="Disability Services Manager"/>
    <x v="3"/>
    <x v="25"/>
  </r>
  <r>
    <s v="UCC004221"/>
    <n v="4221"/>
    <s v="Raelene"/>
    <s v="Wood"/>
    <s v="FEMALE"/>
    <s v="FAD28"/>
    <s v="P06607"/>
    <s v="Service Coordinator South West"/>
    <d v="2003-09-19T00:00:00"/>
    <m/>
    <d v="2020-12-01T00:00:00"/>
    <s v="FULL"/>
    <n v="38"/>
    <n v="1"/>
    <s v="Community &amp; Persnal Svcs"/>
    <n v="13369"/>
    <s v="Kathy Rayner"/>
    <s v="P06451"/>
    <s v="Disability Service Manager"/>
    <x v="3"/>
    <x v="25"/>
  </r>
  <r>
    <s v="UCC008128"/>
    <n v="8128"/>
    <s v="Lisa"/>
    <s v="Negrello"/>
    <s v="FEMALE"/>
    <s v="FAD24"/>
    <s v="P05870"/>
    <s v="Service Design and Quality Coordinator"/>
    <d v="2007-08-27T00:00:00"/>
    <m/>
    <d v="2023-03-01T00:00:00"/>
    <s v="FULL"/>
    <n v="38"/>
    <n v="1"/>
    <m/>
    <n v="19890"/>
    <s v="Chelbi Walton"/>
    <s v="P05798"/>
    <s v="Disability Services Manager"/>
    <x v="3"/>
    <x v="25"/>
  </r>
  <r>
    <s v="UCC008681"/>
    <n v="8681"/>
    <s v="Corinne"/>
    <s v="Mcphee"/>
    <s v="FEMALE"/>
    <s v="FAD19"/>
    <s v="P05419"/>
    <s v="Manager Employment Services"/>
    <d v="2006-08-28T00:00:00"/>
    <m/>
    <d v="2021-01-01T00:00:00"/>
    <s v="FULL"/>
    <n v="38"/>
    <n v="1"/>
    <s v="Other Managers"/>
    <n v="21991"/>
    <s v="Martin Woollaston"/>
    <s v="P06451"/>
    <s v="General Manager Disability Services"/>
    <x v="3"/>
    <x v="25"/>
  </r>
  <r>
    <s v="UCC013369"/>
    <n v="13369"/>
    <s v="Kathy"/>
    <s v="Rayner"/>
    <s v="FEMALE"/>
    <s v="FAD09"/>
    <s v="P06480"/>
    <s v="Disability Service Manager"/>
    <d v="2012-10-29T00:00:00"/>
    <m/>
    <d v="2023-05-02T00:00:00"/>
    <s v="FULL"/>
    <n v="38"/>
    <n v="1"/>
    <s v="Senior Managers"/>
    <n v="21991"/>
    <s v="Martin Woollaston"/>
    <s v="P06451"/>
    <s v="General Manager Disability Services"/>
    <x v="3"/>
    <x v="25"/>
  </r>
  <r>
    <s v="UCC007326"/>
    <n v="7326"/>
    <s v="Jodie"/>
    <s v="Gorrel"/>
    <s v="FEMALE"/>
    <s v="FAD09"/>
    <s v="P05848"/>
    <s v="Disability Service Manager SEQ Integrated"/>
    <d v="2006-11-02T00:00:00"/>
    <m/>
    <d v="2022-04-02T00:00:00"/>
    <s v="FULL"/>
    <n v="38"/>
    <n v="1"/>
    <s v="Senior Managers"/>
    <n v="21991"/>
    <s v="Martin Woollaston"/>
    <s v="P06451"/>
    <s v="General Manager Disability Services"/>
    <x v="3"/>
    <x v="25"/>
  </r>
  <r>
    <s v="UCC020064"/>
    <n v="20064"/>
    <s v="Amanda"/>
    <s v="Pascall"/>
    <s v="FEMALE"/>
    <s v="FAD51"/>
    <s v="P05527"/>
    <s v="Paediatric Therapist Early Childhood Early Intervention"/>
    <d v="2021-05-04T00:00:00"/>
    <d v="2023-06-30T00:00:00"/>
    <d v="2023-03-01T00:00:00"/>
    <s v="PART"/>
    <n v="22"/>
    <n v="0.57894736842105265"/>
    <s v="Professionals"/>
    <n v="14689"/>
    <s v="Samantha Silver"/>
    <s v="P06426"/>
    <s v="Service Area Manager"/>
    <x v="3"/>
    <x v="26"/>
  </r>
  <r>
    <s v="UCC019721"/>
    <n v="19721"/>
    <s v="Emma"/>
    <s v="Evans"/>
    <s v="FEMALE"/>
    <s v="FAD51"/>
    <s v="P05526"/>
    <s v="Paediatric Therapist Early Childhood Early Intervention"/>
    <d v="2020-12-14T00:00:00"/>
    <d v="2023-06-30T00:00:00"/>
    <d v="2023-03-01T00:00:00"/>
    <s v="FULL"/>
    <n v="38"/>
    <n v="1"/>
    <s v="Professionals"/>
    <n v="18569"/>
    <s v="Isabel Quintero Patino"/>
    <s v="P06229"/>
    <s v="Service Area Manager"/>
    <x v="3"/>
    <x v="26"/>
  </r>
  <r>
    <s v="UCC018323"/>
    <n v="18323"/>
    <s v="Kirstie"/>
    <s v="Sharp"/>
    <s v="FEMALE"/>
    <s v="FAD51"/>
    <s v="P06261"/>
    <s v="ECEI Paediatric Therapist"/>
    <d v="2019-01-29T00:00:00"/>
    <d v="2023-06-30T00:00:00"/>
    <d v="2022-07-01T00:00:00"/>
    <s v="FULL"/>
    <n v="38"/>
    <n v="1"/>
    <s v="Professionals"/>
    <n v="20540"/>
    <s v="Jackie Rafferty"/>
    <s v="P07175"/>
    <s v="ECEI Service Manager Tier 2 Services"/>
    <x v="3"/>
    <x v="26"/>
  </r>
  <r>
    <s v="UCC014689"/>
    <n v="14689"/>
    <s v="Samantha"/>
    <s v="Silver"/>
    <s v="FEMALE"/>
    <s v="FAD27"/>
    <s v="P06426"/>
    <s v="Service Area Manager"/>
    <d v="2014-07-15T00:00:00"/>
    <m/>
    <d v="2021-07-01T00:00:00"/>
    <s v="FULL"/>
    <n v="38"/>
    <n v="1"/>
    <s v="Other Managers"/>
    <n v="18908"/>
    <s v="Jessica Nyenuh"/>
    <s v="P07843"/>
    <s v="Operations Manager Early Childhood Approach"/>
    <x v="3"/>
    <x v="26"/>
  </r>
  <r>
    <s v="UCC018319"/>
    <n v="18319"/>
    <s v="Rhiannon"/>
    <s v="Smythe"/>
    <s v="FEMALE"/>
    <s v="FAD27"/>
    <s v="T06229"/>
    <s v="Service Area Manager"/>
    <d v="2019-02-11T00:00:00"/>
    <d v="2023-06-30T00:00:00"/>
    <d v="2022-11-01T00:00:00"/>
    <s v="FULL"/>
    <n v="38"/>
    <n v="1"/>
    <s v="Other Managers"/>
    <n v="18908"/>
    <s v="Jessica Nyenuh"/>
    <s v="P07384"/>
    <s v="Operations Manager Early Childhood Approach"/>
    <x v="3"/>
    <x v="26"/>
  </r>
  <r>
    <s v="UCC018409"/>
    <n v="18409"/>
    <s v="Andrea"/>
    <s v="Platt"/>
    <s v="FEMALE"/>
    <s v="FAD27"/>
    <s v="P05533"/>
    <s v="Service Area Manager"/>
    <d v="2019-02-27T00:00:00"/>
    <d v="2023-06-30T00:00:00"/>
    <d v="2022-09-10T00:00:00"/>
    <s v="FULL"/>
    <n v="38"/>
    <n v="1"/>
    <s v="Other Managers"/>
    <n v="18908"/>
    <s v="Jessica Nyenuh"/>
    <s v="P07384"/>
    <s v="Operations Manager Early Childhood Approach"/>
    <x v="3"/>
    <x v="26"/>
  </r>
  <r>
    <s v="UCC005546"/>
    <n v="5546"/>
    <s v="Jadranka"/>
    <s v="Spriggs"/>
    <s v="FEMALE"/>
    <s v="FAD18"/>
    <s v="P00313"/>
    <s v="Local Service Manager"/>
    <d v="2002-12-09T00:00:00"/>
    <m/>
    <d v="2022-08-23T00:00:00"/>
    <s v="FULL"/>
    <n v="38"/>
    <n v="1"/>
    <s v="Other Managers"/>
    <n v="20165"/>
    <s v="Juan Du Buisson"/>
    <s v="P07385"/>
    <s v="Statewide Manager Community Mental Health"/>
    <x v="3"/>
    <x v="26"/>
  </r>
  <r>
    <s v="UCC015814"/>
    <n v="15814"/>
    <s v="Jaine"/>
    <s v="Smiley"/>
    <s v="FEMALE"/>
    <s v="FAD18"/>
    <s v="P07409"/>
    <s v="Practice Lead - Stregthening Practice"/>
    <d v="2016-01-04T00:00:00"/>
    <m/>
    <d v="2021-08-01T00:00:00"/>
    <s v="FULL"/>
    <n v="38"/>
    <n v="1"/>
    <s v="Other Managers"/>
    <n v="20132"/>
    <s v="Jonathan Turk "/>
    <s v="P03273"/>
    <s v="StateWide Manager"/>
    <x v="3"/>
    <x v="26"/>
  </r>
  <r>
    <s v="UCC020132"/>
    <n v="20132"/>
    <s v="Jonathan"/>
    <s v="Turk"/>
    <s v="MALE"/>
    <s v="FAD13"/>
    <s v="P03273"/>
    <s v="StateWide Manager"/>
    <d v="2021-07-19T00:00:00"/>
    <m/>
    <d v="2022-03-21T00:00:00"/>
    <s v="FULL"/>
    <n v="38"/>
    <n v="1"/>
    <s v="Senior Managers"/>
    <n v="19124"/>
    <s v="Luke Lindsay"/>
    <s v="P07389"/>
    <s v="General Manager Lifeline and Wellbeing Service"/>
    <x v="3"/>
    <x v="26"/>
  </r>
  <r>
    <s v="UCC020165"/>
    <n v="20165"/>
    <s v="Juan"/>
    <s v="Du Buisson"/>
    <s v="MALE"/>
    <s v="FAD13"/>
    <s v="P07385"/>
    <s v="Statewide Manager Community Mental Health"/>
    <d v="2021-07-27T00:00:00"/>
    <m/>
    <d v="2022-03-21T00:00:00"/>
    <s v="FULL"/>
    <n v="38"/>
    <n v="1"/>
    <s v="Senior Managers"/>
    <n v="19124"/>
    <s v="Luke Lindsay"/>
    <s v="P07389"/>
    <s v="General Manager Lifeline and Wellbeing Service"/>
    <x v="3"/>
    <x v="26"/>
  </r>
  <r>
    <s v="UCC008229"/>
    <n v="8229"/>
    <s v="Jody-Ann"/>
    <s v="Willoughby"/>
    <s v="FEMALE"/>
    <s v="FAD13"/>
    <s v="P07379"/>
    <s v="Statewide Manager Homelessness and Domestic Violence"/>
    <d v="2007-10-15T00:00:00"/>
    <m/>
    <d v="2022-03-21T00:00:00"/>
    <s v="FULL"/>
    <n v="38"/>
    <n v="1"/>
    <s v="Senior Managers"/>
    <n v="19124"/>
    <s v="Luke Lindsay"/>
    <s v="P07389"/>
    <s v="General Manager Lifeline and Wellbeing Service"/>
    <x v="3"/>
    <x v="26"/>
  </r>
  <r>
    <s v="UCC018584"/>
    <n v="18584"/>
    <s v="Nanditha"/>
    <s v="Hettitantri"/>
    <s v="FEMALE"/>
    <s v="FAD13"/>
    <s v="P07384"/>
    <s v="Statewide Manager Early Childhood Early Intervention"/>
    <d v="2019-04-23T00:00:00"/>
    <m/>
    <d v="2022-12-24T00:00:00"/>
    <s v="FULL"/>
    <n v="38"/>
    <n v="1"/>
    <s v="Senior Managers"/>
    <n v="19124"/>
    <s v="Luke Lindsay"/>
    <s v="P07389"/>
    <s v="General Manager Lifeline and Wellbeing Service"/>
    <x v="3"/>
    <x v="26"/>
  </r>
  <r>
    <s v="UCC020556"/>
    <n v="20556"/>
    <s v="Geoffrey"/>
    <s v="Norman"/>
    <s v="MALE"/>
    <s v="FAD13"/>
    <s v="P00899"/>
    <s v="Statewide Manager"/>
    <d v="2022-01-17T00:00:00"/>
    <m/>
    <d v="2023-01-30T00:00:00"/>
    <s v="FULL"/>
    <n v="38"/>
    <n v="1"/>
    <s v="Senior Managers"/>
    <n v="19124"/>
    <s v="Luke Lindsay"/>
    <s v="P07389"/>
    <s v="General Manager Lifeline and Wellbeing Service"/>
    <x v="3"/>
    <x v="26"/>
  </r>
  <r>
    <s v="UCC005079"/>
    <n v="5079"/>
    <s v="Dante"/>
    <s v="Gilvonio"/>
    <s v="MALE"/>
    <s v="FAD43"/>
    <s v="P00212"/>
    <s v="Sorter"/>
    <d v="2002-05-03T00:00:00"/>
    <m/>
    <d v="2022-08-23T00:00:00"/>
    <s v="FULL"/>
    <n v="38"/>
    <n v="1"/>
    <s v="Labourers"/>
    <n v="5088"/>
    <s v="Viola Stewart"/>
    <s v="P00235"/>
    <s v="Recycling Supervisor"/>
    <x v="3"/>
    <x v="27"/>
  </r>
  <r>
    <s v="UCC022015"/>
    <n v="22015"/>
    <s v="Daniel"/>
    <s v="Wallace"/>
    <s v="MALE"/>
    <s v="FAD63"/>
    <s v="P08108"/>
    <s v="Distribution Supervisor"/>
    <d v="2023-04-18T00:00:00"/>
    <m/>
    <d v="2023-04-18T00:00:00"/>
    <s v="FULL"/>
    <n v="38"/>
    <n v="1"/>
    <s v="Clerical &amp; Admin"/>
    <n v="14167"/>
    <s v="Kylie Brogden "/>
    <s v="P05738"/>
    <s v="Business Manager Bundaberg and Fraser Coast "/>
    <x v="3"/>
    <x v="27"/>
  </r>
  <r>
    <s v="UCC011634"/>
    <n v="11634"/>
    <s v="Anne"/>
    <s v="Bailey"/>
    <s v="FEMALE"/>
    <s v="FAD62"/>
    <s v="P01904"/>
    <s v="Retail Coordinator"/>
    <d v="2011-03-01T00:00:00"/>
    <m/>
    <d v="2023-03-13T00:00:00"/>
    <s v="FULL"/>
    <n v="38"/>
    <n v="1"/>
    <s v="Sales"/>
    <n v="18959"/>
    <s v="Donna Green"/>
    <s v="P06510"/>
    <s v="Regional Business Manager Cairns and Townsville"/>
    <x v="3"/>
    <x v="27"/>
  </r>
  <r>
    <s v="UCC016745"/>
    <n v="16745"/>
    <s v="Warren"/>
    <s v="Dale"/>
    <s v="MALE"/>
    <s v="FAD60"/>
    <s v="P00412"/>
    <s v="Transport Supervisor"/>
    <d v="2017-02-20T00:00:00"/>
    <m/>
    <d v="2022-11-01T00:00:00"/>
    <s v="FULL"/>
    <n v="38"/>
    <n v="1"/>
    <s v="Clerical &amp; Admin"/>
    <n v="5140"/>
    <s v="Roy Frith"/>
    <s v="P00285"/>
    <s v="Business Manager"/>
    <x v="3"/>
    <x v="27"/>
  </r>
  <r>
    <s v="UCC013959"/>
    <n v="13959"/>
    <s v="Bryant"/>
    <s v="Ohlsen"/>
    <s v="MALE"/>
    <s v="FAD60"/>
    <s v="P00159"/>
    <s v="Transport Supervisor"/>
    <d v="2013-07-08T00:00:00"/>
    <m/>
    <d v="2022-07-04T00:00:00"/>
    <s v="FULL"/>
    <n v="38"/>
    <n v="1"/>
    <s v="Clerical &amp; Admin"/>
    <n v="15882"/>
    <s v="Michael Powell"/>
    <s v="P01917"/>
    <s v="Transport Supervisor"/>
    <x v="3"/>
    <x v="27"/>
  </r>
  <r>
    <s v="UCC021455"/>
    <n v="21455"/>
    <s v="Leonard"/>
    <s v="Bucklar"/>
    <s v="MALE"/>
    <s v="FAD55"/>
    <s v="P07828"/>
    <s v="Visual Merchandise Coordinator"/>
    <d v="2022-11-01T00:00:00"/>
    <m/>
    <d v="2022-11-01T00:00:00"/>
    <s v="FULL"/>
    <n v="38"/>
    <n v="1"/>
    <s v="Sales"/>
    <n v="18750"/>
    <s v="Wendy Canfyn"/>
    <s v="P06470"/>
    <s v="State Visual Merchandising Manager"/>
    <x v="3"/>
    <x v="27"/>
  </r>
  <r>
    <s v="UCC017456"/>
    <n v="17456"/>
    <s v="Joanne"/>
    <s v="Blundell"/>
    <s v="FEMALE"/>
    <s v="FAD50"/>
    <s v="P06890"/>
    <s v="Inventory Coordinator"/>
    <d v="2017-12-18T00:00:00"/>
    <m/>
    <d v="2020-12-23T00:00:00"/>
    <s v="FULL"/>
    <n v="38"/>
    <n v="1"/>
    <s v="Sales"/>
    <n v="18151"/>
    <s v="David Gale"/>
    <s v="P06608"/>
    <s v="State Merchandise and Logistics Manager"/>
    <x v="3"/>
    <x v="27"/>
  </r>
  <r>
    <s v="UCC005088"/>
    <n v="5088"/>
    <s v="Viola"/>
    <s v="Stewart"/>
    <s v="FEMALE"/>
    <s v="FAD57"/>
    <s v="P00235"/>
    <s v="Recycling Supervisor"/>
    <d v="2002-02-04T00:00:00"/>
    <m/>
    <d v="2022-04-04T00:00:00"/>
    <s v="FULL"/>
    <n v="38"/>
    <n v="1"/>
    <s v="Clerical &amp; Admin"/>
    <n v="5120"/>
    <s v="Andrea Coling"/>
    <s v="P00226"/>
    <s v="Distribution Manager"/>
    <x v="3"/>
    <x v="27"/>
  </r>
  <r>
    <s v="UCC017947"/>
    <n v="17947"/>
    <s v="Stephen"/>
    <s v="Girardi"/>
    <s v="MALE"/>
    <s v="FAD42"/>
    <s v="P03798"/>
    <s v="Truck Driver"/>
    <d v="2018-08-01T00:00:00"/>
    <m/>
    <d v="2022-03-18T00:00:00"/>
    <s v="CASUAL"/>
    <n v="38"/>
    <n v="1"/>
    <s v="Machine Operator &amp; Driver"/>
    <n v="18959"/>
    <s v="Donna Green"/>
    <s v="P06510"/>
    <s v="Regional Business Manager Cairns and Townsville"/>
    <x v="3"/>
    <x v="27"/>
  </r>
  <r>
    <s v="UCC015882"/>
    <n v="15882"/>
    <s v="Michael"/>
    <s v="Powell"/>
    <s v="MALE"/>
    <s v="FAD60"/>
    <s v="P01917"/>
    <s v="Transport Supervisor"/>
    <d v="2016-01-27T00:00:00"/>
    <m/>
    <d v="2022-07-04T00:00:00"/>
    <s v="FULL"/>
    <n v="38"/>
    <n v="1"/>
    <s v="Clerical &amp; Admin"/>
    <n v="5120"/>
    <s v="Andrea Coling"/>
    <s v="P00226"/>
    <s v="Distribution Manager"/>
    <x v="3"/>
    <x v="27"/>
  </r>
  <r>
    <s v="UCC005136"/>
    <n v="5136"/>
    <s v="Tracey"/>
    <s v="Laird"/>
    <s v="FEMALE"/>
    <s v="FAD56"/>
    <s v="P06892"/>
    <s v="Online Shop Supervisor"/>
    <d v="1996-12-18T00:00:00"/>
    <m/>
    <d v="2022-08-22T00:00:00"/>
    <s v="FULL"/>
    <n v="38"/>
    <n v="1"/>
    <s v="Sales"/>
    <n v="17956"/>
    <s v="Jamie MacKay"/>
    <s v="P06452"/>
    <s v="General Manager Lifeline Retail"/>
    <x v="3"/>
    <x v="27"/>
  </r>
  <r>
    <s v="UCC007728"/>
    <n v="7728"/>
    <s v="Colleen"/>
    <s v="Reside"/>
    <s v="FEMALE"/>
    <s v="FAD34"/>
    <s v="P00613"/>
    <s v="Office Coordinator"/>
    <d v="2006-09-19T00:00:00"/>
    <m/>
    <d v="2023-01-10T00:00:00"/>
    <s v="PART"/>
    <n v="32"/>
    <n v="0.84210526315789469"/>
    <s v="Clerical &amp; Admin"/>
    <n v="4212"/>
    <s v="Cheryl Shaw"/>
    <s v="P06440"/>
    <s v="Regional Business Manager"/>
    <x v="3"/>
    <x v="27"/>
  </r>
  <r>
    <s v="UCC020135"/>
    <n v="20135"/>
    <s v="Wayne"/>
    <s v="Vermeer"/>
    <s v="MALE"/>
    <s v="FAD60"/>
    <s v="P07139"/>
    <s v="Transport Supervisor"/>
    <d v="2021-06-21T00:00:00"/>
    <m/>
    <d v="2021-06-21T00:00:00"/>
    <s v="FULL"/>
    <n v="38"/>
    <n v="1"/>
    <s v="Clerical &amp; Admin"/>
    <n v="18959"/>
    <s v="Donna Green"/>
    <s v="P06510"/>
    <s v="Regional Business Manager Cairns and Townsville"/>
    <x v="3"/>
    <x v="27"/>
  </r>
  <r>
    <s v="UCC021170"/>
    <n v="21170"/>
    <s v="Diana"/>
    <s v="Morales Obando"/>
    <s v="FEMALE"/>
    <s v="FAD58"/>
    <s v="P07641"/>
    <s v="Regional Team Coordinator"/>
    <d v="2022-07-19T00:00:00"/>
    <m/>
    <d v="2022-07-19T00:00:00"/>
    <s v="FULL"/>
    <n v="38"/>
    <n v="1"/>
    <s v="Sales"/>
    <n v="18797"/>
    <s v="Angela Clark"/>
    <s v="P00237"/>
    <s v="Retail Operations Manager"/>
    <x v="3"/>
    <x v="27"/>
  </r>
  <r>
    <s v="UCC021109"/>
    <n v="21109"/>
    <s v="Anne-Maree"/>
    <s v="Bell"/>
    <s v="FEMALE"/>
    <s v="FAD60"/>
    <s v="P07138"/>
    <s v="Transport Supervisor"/>
    <d v="2022-06-14T00:00:00"/>
    <m/>
    <d v="2022-06-14T00:00:00"/>
    <s v="FULL"/>
    <n v="38"/>
    <n v="1"/>
    <s v="Clerical &amp; Admin"/>
    <n v="18959"/>
    <s v="Donna Green"/>
    <s v="P06510"/>
    <s v="Regional Business Manager Cairns and Townsville"/>
    <x v="3"/>
    <x v="27"/>
  </r>
  <r>
    <s v="UCC013066"/>
    <n v="13066"/>
    <s v="Trudi"/>
    <s v="Maxwell"/>
    <s v="FEMALE"/>
    <s v="FAD53"/>
    <s v="P02448"/>
    <s v="Retail Services Manager"/>
    <d v="2012-07-10T00:00:00"/>
    <m/>
    <d v="2020-02-29T00:00:00"/>
    <s v="FULL"/>
    <n v="38"/>
    <n v="1"/>
    <s v="Other Managers"/>
    <n v="19129"/>
    <s v="Scott Adams"/>
    <s v="P00852"/>
    <s v="Business Manager"/>
    <x v="3"/>
    <x v="27"/>
  </r>
  <r>
    <s v="UCC021404"/>
    <n v="21404"/>
    <s v="Stephen"/>
    <s v="Whitehead"/>
    <s v="MALE"/>
    <s v="FAD59"/>
    <s v="P07827"/>
    <s v="Store Experience Coordinator"/>
    <d v="2022-10-04T00:00:00"/>
    <m/>
    <d v="2022-10-04T00:00:00"/>
    <s v="FULL"/>
    <n v="38"/>
    <n v="1"/>
    <s v="Clerical &amp; Admin"/>
    <n v="17956"/>
    <s v="Jamie MacKay"/>
    <s v="P06452"/>
    <s v="General Manager Lifeline Retail"/>
    <x v="3"/>
    <x v="27"/>
  </r>
  <r>
    <s v="UCC017756"/>
    <n v="17756"/>
    <s v="Dylan"/>
    <s v="Hormann"/>
    <s v="MALE"/>
    <s v="FAD47"/>
    <s v="P06642"/>
    <s v="BI Data Analyst"/>
    <d v="2018-05-14T00:00:00"/>
    <m/>
    <d v="2022-10-06T00:00:00"/>
    <s v="FULL"/>
    <n v="38"/>
    <n v="1"/>
    <s v="Professionals"/>
    <n v="18243"/>
    <s v="Werner Martincich"/>
    <s v="P06187"/>
    <s v="Senior Business Performance Analyst"/>
    <x v="3"/>
    <x v="27"/>
  </r>
  <r>
    <s v="UCC018779"/>
    <n v="18779"/>
    <s v="Deborah"/>
    <s v="Mitchell"/>
    <s v="FEMALE"/>
    <s v="FAD45"/>
    <s v="P06471"/>
    <s v="State Retail Operations Coordinator"/>
    <d v="2019-08-19T00:00:00"/>
    <m/>
    <d v="2019-08-19T00:00:00"/>
    <s v="FULL"/>
    <n v="38"/>
    <n v="1"/>
    <s v="Other Managers"/>
    <n v="17956"/>
    <s v="Jamie MacKay"/>
    <s v="P06452"/>
    <s v="General Manager Lifeline Retail"/>
    <x v="3"/>
    <x v="27"/>
  </r>
  <r>
    <s v="UCC005120"/>
    <n v="5120"/>
    <s v="Andrea"/>
    <s v="coling"/>
    <s v="FEMALE"/>
    <s v="FAD48"/>
    <s v="P00226"/>
    <s v="Distribution Manager"/>
    <d v="1993-05-10T00:00:00"/>
    <m/>
    <d v="2022-08-22T00:00:00"/>
    <s v="FULL"/>
    <n v="38"/>
    <n v="1"/>
    <s v="Other Managers"/>
    <n v="18151"/>
    <s v="David Gale"/>
    <s v="P06608"/>
    <s v="State Merchandise and Logistics Manager"/>
    <x v="3"/>
    <x v="27"/>
  </r>
  <r>
    <s v="UCC021403"/>
    <n v="21403"/>
    <s v="Sonja"/>
    <s v="Urban"/>
    <s v="FEMALE"/>
    <s v="FAD21"/>
    <s v="P07826"/>
    <s v="Merchandise Planner"/>
    <d v="2022-11-01T00:00:00"/>
    <m/>
    <d v="2022-11-01T00:00:00"/>
    <s v="FULL"/>
    <n v="38"/>
    <n v="1"/>
    <s v="Professionals"/>
    <n v="18151"/>
    <s v="David Gale"/>
    <s v="P06608"/>
    <s v="State Merchandise and Logistics Manager"/>
    <x v="3"/>
    <x v="27"/>
  </r>
  <r>
    <s v="UCC018750"/>
    <n v="18750"/>
    <s v="Wendy"/>
    <s v="Canfyn"/>
    <s v="FEMALE"/>
    <s v="FAD46"/>
    <s v="P06470"/>
    <s v="State Visual Merchandising Manager"/>
    <d v="2019-07-08T00:00:00"/>
    <m/>
    <d v="2020-11-01T00:00:00"/>
    <s v="FULL"/>
    <n v="38"/>
    <n v="1"/>
    <s v="Other Managers"/>
    <n v="17956"/>
    <s v="Jamie MacKay"/>
    <s v="P06452"/>
    <s v="General Manager Lifeline Retail"/>
    <x v="3"/>
    <x v="27"/>
  </r>
  <r>
    <s v="UCC014167"/>
    <n v="14167"/>
    <s v="Kylie"/>
    <s v="Brogden"/>
    <s v="FEMALE"/>
    <s v="FAD14"/>
    <s v="P05738"/>
    <s v="Business Manager Bundaberg and Fraser Coast"/>
    <d v="2013-11-04T00:00:00"/>
    <m/>
    <d v="2021-10-04T00:00:00"/>
    <s v="FULL"/>
    <n v="38"/>
    <n v="1"/>
    <s v="Other Managers"/>
    <n v="17956"/>
    <s v="Jamie MacKay"/>
    <s v="P06452"/>
    <s v="General Manager Lifeline Retail"/>
    <x v="3"/>
    <x v="27"/>
  </r>
  <r>
    <s v="UCC018794"/>
    <n v="18794"/>
    <s v="Stacey"/>
    <s v="Rebis"/>
    <s v="FEMALE"/>
    <s v="FAD14"/>
    <s v="P06472"/>
    <s v="Regional Manager Brisbane South"/>
    <d v="2019-08-19T00:00:00"/>
    <m/>
    <d v="2021-06-08T00:00:00"/>
    <s v="FULL"/>
    <n v="38"/>
    <n v="1"/>
    <s v="Other Managers"/>
    <n v="17956"/>
    <s v="Jamie MacKay"/>
    <s v="P06452"/>
    <s v="General Manager Lifeline Retail"/>
    <x v="3"/>
    <x v="27"/>
  </r>
  <r>
    <s v="UCC005140"/>
    <n v="5140"/>
    <s v="Roy"/>
    <s v="Frith"/>
    <s v="MALE"/>
    <s v="FAD14"/>
    <s v="P00285"/>
    <s v="Business Manager"/>
    <d v="1997-05-12T00:00:00"/>
    <m/>
    <d v="2020-04-06T00:00:00"/>
    <s v="FULL"/>
    <n v="38"/>
    <n v="1"/>
    <s v="Other Managers"/>
    <n v="17956"/>
    <s v="Jamie MacKay"/>
    <s v="P06452"/>
    <s v="General Manager Lifeline Retail"/>
    <x v="3"/>
    <x v="27"/>
  </r>
  <r>
    <s v="UCC004212"/>
    <n v="4212"/>
    <s v="Cheryl"/>
    <s v="Shaw"/>
    <s v="FEMALE"/>
    <s v="FAD14"/>
    <s v="P06440"/>
    <s v="Regional Business Manager"/>
    <d v="2003-08-25T00:00:00"/>
    <m/>
    <d v="2022-10-24T00:00:00"/>
    <s v="FULL"/>
    <n v="38"/>
    <n v="1"/>
    <s v="Other Managers"/>
    <n v="17956"/>
    <s v="Jamie MacKay"/>
    <s v="P06452"/>
    <s v="General Manager Lifeline Retail"/>
    <x v="3"/>
    <x v="27"/>
  </r>
  <r>
    <s v="UCC018959"/>
    <n v="18959"/>
    <s v="Donna"/>
    <s v="Green"/>
    <s v="FEMALE"/>
    <s v="FAD14"/>
    <s v="P06510"/>
    <s v="Regional Business Manager Cairns and Townsville"/>
    <d v="2019-11-04T00:00:00"/>
    <m/>
    <d v="2019-11-04T00:00:00"/>
    <s v="FULL"/>
    <n v="38"/>
    <n v="1"/>
    <s v="Other Managers"/>
    <n v="17956"/>
    <s v="Jamie MacKay"/>
    <s v="P06452"/>
    <s v="General Manager Lifeline Retail"/>
    <x v="3"/>
    <x v="27"/>
  </r>
  <r>
    <s v="UCC005267"/>
    <n v="5267"/>
    <s v="Belinda"/>
    <s v="Bath"/>
    <s v="FEMALE"/>
    <s v="FAD14"/>
    <s v="P00280"/>
    <s v="Business Manager"/>
    <d v="1998-11-30T00:00:00"/>
    <m/>
    <d v="2021-04-01T00:00:00"/>
    <s v="FULL"/>
    <n v="38"/>
    <n v="1"/>
    <s v="Other Managers"/>
    <n v="17956"/>
    <s v="Jamie MacKay"/>
    <s v="P06452"/>
    <s v="General Manager Lifeline Retail"/>
    <x v="3"/>
    <x v="27"/>
  </r>
  <r>
    <s v="UCC019129"/>
    <n v="19129"/>
    <s v="Scott"/>
    <s v="Adams"/>
    <s v="MALE"/>
    <s v="FAD14"/>
    <s v="P00852"/>
    <s v="Business Manager"/>
    <d v="2020-02-10T00:00:00"/>
    <m/>
    <d v="2020-02-10T00:00:00"/>
    <s v="FULL"/>
    <n v="38"/>
    <n v="1"/>
    <s v="Other Managers"/>
    <n v="17956"/>
    <s v="Jamie MacKay"/>
    <s v="P06452"/>
    <s v="General Manager Lifeline Retail"/>
    <x v="3"/>
    <x v="27"/>
  </r>
  <r>
    <s v="UCC018243"/>
    <n v="18243"/>
    <s v="Werner"/>
    <s v="Martincich"/>
    <s v="MALE"/>
    <s v="FAD25"/>
    <s v="P06187"/>
    <s v="Senior Business Performance Analyst"/>
    <d v="2019-01-07T00:00:00"/>
    <m/>
    <d v="2019-04-01T00:00:00"/>
    <s v="FULL"/>
    <n v="38"/>
    <n v="1"/>
    <s v="Professionals"/>
    <n v="17956"/>
    <s v="Jamie MacKay"/>
    <s v="P06452"/>
    <s v="General Manager Lifeline Retail"/>
    <x v="3"/>
    <x v="27"/>
  </r>
  <r>
    <s v="UCC018797"/>
    <n v="18797"/>
    <s v="Angela"/>
    <s v="Clark"/>
    <s v="FEMALE"/>
    <s v="FAD44"/>
    <s v="P00237"/>
    <s v="Retail Operations Manager"/>
    <d v="2019-08-19T00:00:00"/>
    <m/>
    <d v="2022-10-31T00:00:00"/>
    <s v="FULL"/>
    <n v="38"/>
    <n v="1"/>
    <s v="Other Managers"/>
    <n v="17956"/>
    <s v="Jamie MacKay"/>
    <s v="P06452"/>
    <s v="General Manager Lifeline Retail"/>
    <x v="3"/>
    <x v="27"/>
  </r>
  <r>
    <s v="UCC018151"/>
    <n v="18151"/>
    <s v="David"/>
    <s v="Gale"/>
    <s v="MALE"/>
    <s v="FAD29"/>
    <s v="P06608"/>
    <s v="State Merchandise and Logistics Manager"/>
    <d v="2018-12-03T00:00:00"/>
    <m/>
    <d v="2022-06-25T00:00:00"/>
    <s v="FULL"/>
    <n v="38"/>
    <n v="1"/>
    <s v="Other Managers"/>
    <n v="17956"/>
    <s v="Jamie MacKay"/>
    <s v="P06452"/>
    <s v="General Manager Lifeline Retail"/>
    <x v="3"/>
    <x v="27"/>
  </r>
  <r>
    <s v="UCC015380"/>
    <n v="15380"/>
    <s v="Felicity"/>
    <s v="Voigt"/>
    <s v="FEMALE"/>
    <s v="FAD35"/>
    <s v="P04022"/>
    <s v="Enterprise Systems Administrator"/>
    <d v="2006-02-13T00:00:00"/>
    <m/>
    <d v="2022-11-09T00:00:00"/>
    <s v="FULL"/>
    <n v="38"/>
    <n v="1"/>
    <s v="Professionals"/>
    <n v="17292"/>
    <s v="Sean Gilbert"/>
    <s v="P07842"/>
    <s v="Manager Client Data Integrity Reporting and Support"/>
    <x v="3"/>
    <x v="28"/>
  </r>
  <r>
    <s v="UCC017469"/>
    <n v="17469"/>
    <s v="Craig"/>
    <s v="Wilson"/>
    <s v="MALE"/>
    <s v="FAD49"/>
    <s v="P06170"/>
    <s v="Functional Support Analyst"/>
    <d v="2018-01-08T00:00:00"/>
    <m/>
    <d v="2022-11-09T00:00:00"/>
    <s v="FULL"/>
    <n v="38"/>
    <n v="1"/>
    <s v="Professionals"/>
    <n v="17292"/>
    <s v="Sean Gilbert"/>
    <s v="P07842"/>
    <s v="Manager Client Data Integrity Reporting and Support"/>
    <x v="3"/>
    <x v="28"/>
  </r>
  <r>
    <s v="UCC017552"/>
    <n v="17552"/>
    <s v="Nicole"/>
    <s v="Mohr"/>
    <s v="FEMALE"/>
    <s v="FAD33"/>
    <s v="P06145"/>
    <s v="Data Migration Stream Lead"/>
    <d v="2018-02-21T00:00:00"/>
    <m/>
    <d v="2022-11-09T00:00:00"/>
    <s v="FULL"/>
    <n v="38"/>
    <n v="1"/>
    <s v="Professionals"/>
    <n v="17292"/>
    <s v="Sean Gilbert"/>
    <s v="P07842"/>
    <s v="Manager Client Data Integrity Reporting and Support"/>
    <x v="3"/>
    <x v="28"/>
  </r>
  <r>
    <s v="UCC017258"/>
    <n v="17258"/>
    <s v="Krystal"/>
    <s v="Beazley"/>
    <s v="FEMALE"/>
    <s v="ACC50"/>
    <s v="P05712"/>
    <s v="ATSI Partnership and Engagement Coordinator"/>
    <d v="2017-10-09T00:00:00"/>
    <m/>
    <d v="2020-12-01T00:00:00"/>
    <s v="FULL"/>
    <n v="38"/>
    <n v="1"/>
    <s v="Community &amp; Persnal Svcs"/>
    <n v="8939"/>
    <s v="Joanne Moses"/>
    <s v="P06446"/>
    <s v="General Manager"/>
    <x v="3"/>
    <x v="28"/>
  </r>
  <r>
    <s v="UCC021671"/>
    <n v="21671"/>
    <s v="Sanesie"/>
    <s v="Dukuly"/>
    <s v="MALE"/>
    <s v="FAD36"/>
    <s v="P00812"/>
    <s v="Multicultural Partnership and Engagement Advisor"/>
    <d v="2023-01-10T00:00:00"/>
    <d v="2023-06-30T00:00:00"/>
    <d v="2023-04-13T00:00:00"/>
    <s v="FULL"/>
    <n v="38"/>
    <n v="1"/>
    <s v="Community &amp; Persnal Svcs"/>
    <n v="8939"/>
    <s v="Joanne Moses"/>
    <s v="P06446"/>
    <s v="General Manager "/>
    <x v="3"/>
    <x v="28"/>
  </r>
  <r>
    <s v="UCC004754"/>
    <n v="4754"/>
    <s v="Simone"/>
    <s v="Harding"/>
    <s v="FEMALE"/>
    <s v="FAD39"/>
    <s v="P05833"/>
    <s v="Practice Training and Development Advisor"/>
    <d v="2004-07-15T00:00:00"/>
    <m/>
    <d v="2022-01-31T00:00:00"/>
    <s v="FULL"/>
    <n v="38"/>
    <n v="1"/>
    <s v="Professionals"/>
    <n v="20760"/>
    <s v="Nikhia Itzkovich"/>
    <s v="P07447"/>
    <s v="Practice Lead"/>
    <x v="3"/>
    <x v="28"/>
  </r>
  <r>
    <s v="UCC014381"/>
    <n v="14381"/>
    <s v="Brett"/>
    <s v="Wilcock"/>
    <s v="MALE"/>
    <s v="FAD39"/>
    <s v="P04091"/>
    <s v="Practice Training and Development Advisor"/>
    <d v="2014-02-10T00:00:00"/>
    <m/>
    <d v="2022-02-14T00:00:00"/>
    <s v="FULL"/>
    <n v="38"/>
    <n v="1"/>
    <s v="Professionals"/>
    <n v="20790"/>
    <s v="Carolyn Robinson"/>
    <s v="P06410"/>
    <s v="Practice Lead"/>
    <x v="3"/>
    <x v="28"/>
  </r>
  <r>
    <s v="UCC015307"/>
    <n v="15307"/>
    <s v="Emma"/>
    <s v="Jarvis"/>
    <s v="FEMALE"/>
    <s v="FAD38"/>
    <s v="P06435"/>
    <s v="Practice Improvement Advisor"/>
    <d v="2015-05-25T00:00:00"/>
    <m/>
    <d v="2022-02-14T00:00:00"/>
    <s v="FULL"/>
    <n v="38"/>
    <n v="1"/>
    <s v="Other Managers"/>
    <n v="20790"/>
    <s v="Carolyn Robinson"/>
    <s v="P06410"/>
    <s v="Practice Lead"/>
    <x v="3"/>
    <x v="28"/>
  </r>
  <r>
    <s v="UCC015418"/>
    <n v="15418"/>
    <s v="Jennifer"/>
    <s v="Williams"/>
    <s v="FEMALE"/>
    <s v="FAD38"/>
    <s v="P06435"/>
    <s v="Practice Improvement Advisor"/>
    <d v="2015-07-08T00:00:00"/>
    <m/>
    <d v="2022-03-14T00:00:00"/>
    <s v="FULL"/>
    <n v="38"/>
    <n v="1"/>
    <s v="Other Managers"/>
    <n v="20790"/>
    <s v="Carolyn Robinson"/>
    <s v="P06410"/>
    <s v="Practice Lead"/>
    <x v="3"/>
    <x v="28"/>
  </r>
  <r>
    <s v="UCC016358"/>
    <n v="16358"/>
    <s v="Larni"/>
    <s v="Casini"/>
    <s v="FEMALE"/>
    <s v="FAD38"/>
    <s v="P06886"/>
    <s v="Practice Improvement Advisor"/>
    <d v="2016-08-22T00:00:00"/>
    <m/>
    <d v="2022-03-14T00:00:00"/>
    <s v="FULL"/>
    <n v="38"/>
    <n v="1"/>
    <s v="Other Managers"/>
    <n v="20790"/>
    <s v="Carolyn Robinson"/>
    <s v="P06410"/>
    <s v="Practice Lead"/>
    <x v="3"/>
    <x v="28"/>
  </r>
  <r>
    <s v="UCC018659"/>
    <n v="18659"/>
    <s v="Amanda"/>
    <s v="Norris"/>
    <s v="FEMALE"/>
    <s v="FAD38"/>
    <s v="P06435"/>
    <s v="Practice Improvement Advisor"/>
    <d v="2019-07-01T00:00:00"/>
    <m/>
    <d v="2022-02-14T00:00:00"/>
    <s v="FULL"/>
    <n v="38"/>
    <n v="1"/>
    <s v="Other Managers"/>
    <n v="20790"/>
    <s v="Carolyn Robinson"/>
    <s v="P06410"/>
    <s v="Practice Lead"/>
    <x v="3"/>
    <x v="28"/>
  </r>
  <r>
    <s v="UCC020095"/>
    <n v="20095"/>
    <s v="Stutee"/>
    <s v="Bhattarai"/>
    <s v="FEMALE"/>
    <s v="FAD38"/>
    <s v="P06053"/>
    <s v="Practice Improvement Advisor"/>
    <d v="2019-11-18T00:00:00"/>
    <m/>
    <d v="2023-01-04T00:00:00"/>
    <s v="FULL"/>
    <n v="38"/>
    <n v="1"/>
    <s v="Other Managers"/>
    <n v="20760"/>
    <s v="Nikhia Itzkovich"/>
    <s v="P07447"/>
    <s v="Practice Lead"/>
    <x v="3"/>
    <x v="28"/>
  </r>
  <r>
    <s v="UCC021083"/>
    <n v="21083"/>
    <s v="Patricia"/>
    <s v="Vuong"/>
    <s v="FEMALE"/>
    <s v="FAD38"/>
    <s v="P07448"/>
    <s v="Practice Improvement Advisor"/>
    <d v="2022-06-27T00:00:00"/>
    <m/>
    <d v="2022-06-27T00:00:00"/>
    <s v="FULL"/>
    <n v="38"/>
    <n v="1"/>
    <s v="Other Managers"/>
    <n v="20790"/>
    <s v="Carolyn Robinson"/>
    <s v="P06410"/>
    <s v="Practice Lead"/>
    <x v="3"/>
    <x v="28"/>
  </r>
  <r>
    <s v="UCC015179"/>
    <n v="15179"/>
    <s v="Raymond"/>
    <s v="Jones"/>
    <s v="MALE"/>
    <s v="FAD40"/>
    <s v="P04615"/>
    <s v="Principal Advisor Client Safety"/>
    <d v="2015-03-11T00:00:00"/>
    <m/>
    <d v="2020-12-01T00:00:00"/>
    <s v="FULL"/>
    <n v="38"/>
    <n v="1"/>
    <s v="Professionals"/>
    <n v="10317"/>
    <s v="Rebecca Windle"/>
    <s v="P04616"/>
    <s v="Client Safety Manager"/>
    <x v="3"/>
    <x v="28"/>
  </r>
  <r>
    <s v="UCC014380"/>
    <n v="14380"/>
    <s v="Balwinder"/>
    <s v="Singh"/>
    <s v="MALE"/>
    <s v="FAD41"/>
    <s v="P06431"/>
    <s v="Principal Practice and Compliance Advisor"/>
    <d v="2014-02-03T00:00:00"/>
    <m/>
    <d v="2022-03-22T00:00:00"/>
    <s v="FULL"/>
    <n v="38"/>
    <n v="1"/>
    <s v="Other Managers"/>
    <n v="10317"/>
    <s v="Rebecca Windle"/>
    <s v="P04616"/>
    <s v="Client Safety Manager"/>
    <x v="3"/>
    <x v="28"/>
  </r>
  <r>
    <s v="UCC015317"/>
    <n v="15317"/>
    <s v="Chez"/>
    <s v="Leggatt-Cook"/>
    <s v="FEMALE"/>
    <s v="FAD11"/>
    <s v="P03152"/>
    <s v="Research and Knowledge Translation Manager"/>
    <d v="2015-06-01T00:00:00"/>
    <m/>
    <d v="2022-07-01T00:00:00"/>
    <s v="FULL"/>
    <n v="38"/>
    <n v="1"/>
    <s v="Senior Managers"/>
    <n v="8939"/>
    <s v="Joanne Moses"/>
    <s v="P06446"/>
    <s v="General Manager"/>
    <x v="3"/>
    <x v="28"/>
  </r>
  <r>
    <s v="UCC010317"/>
    <n v="10317"/>
    <s v="Rebecca"/>
    <s v="Windle"/>
    <s v="FEMALE"/>
    <s v="FAD08"/>
    <s v="P04616"/>
    <s v="Client Safety Manager"/>
    <d v="2009-11-10T00:00:00"/>
    <m/>
    <d v="2022-04-11T00:00:00"/>
    <s v="FULL"/>
    <n v="38"/>
    <n v="1"/>
    <s v="Senior Managers"/>
    <n v="8939"/>
    <s v="Joanne Moses"/>
    <n v="10226"/>
    <s v="General Manager"/>
    <x v="3"/>
    <x v="28"/>
  </r>
  <r>
    <s v="UCC020760"/>
    <n v="20760"/>
    <s v="Nikhia"/>
    <s v="Itzkovich"/>
    <s v="FEMALE"/>
    <s v="ACC35"/>
    <s v="P07447"/>
    <s v="Practice Lead"/>
    <d v="2022-01-31T00:00:00"/>
    <m/>
    <d v="2022-01-31T00:00:00"/>
    <s v="FULL"/>
    <n v="38"/>
    <n v="1"/>
    <s v="Other Managers"/>
    <n v="8939"/>
    <s v="Joanne Moses"/>
    <s v="P06446"/>
    <s v="General Manager "/>
    <x v="3"/>
    <x v="28"/>
  </r>
  <r>
    <s v="UCC020790"/>
    <n v="20790"/>
    <s v="Carolyn"/>
    <s v="Robinson"/>
    <s v="FEMALE"/>
    <s v="ACC35"/>
    <s v="P06410"/>
    <s v="Practice Lead"/>
    <d v="2022-02-14T00:00:00"/>
    <m/>
    <d v="2022-02-14T00:00:00"/>
    <s v="FULL"/>
    <n v="38"/>
    <n v="1"/>
    <s v="Other Managers"/>
    <n v="8939"/>
    <s v="Joanne Moses"/>
    <s v="P06446"/>
    <s v="General Manager "/>
    <x v="3"/>
    <x v="28"/>
  </r>
  <r>
    <s v="UCC017292"/>
    <n v="17292"/>
    <s v="Sean"/>
    <s v="Gilbert"/>
    <s v="MALE"/>
    <s v="FAD10"/>
    <s v="P07842"/>
    <s v="Manager Client Data Integrity Reporting and Support"/>
    <d v="2017-10-06T00:00:00"/>
    <m/>
    <d v="2022-09-01T00:00:00"/>
    <s v="FULL"/>
    <n v="38"/>
    <n v="1"/>
    <s v="Senior Managers"/>
    <n v="8939"/>
    <s v="Joanne Moses"/>
    <s v="P06446"/>
    <s v="General Manager"/>
    <x v="3"/>
    <x v="28"/>
  </r>
  <r>
    <s v="UCC018816"/>
    <n v="18816"/>
    <s v="Andrew"/>
    <s v="Horwood"/>
    <s v="MALE"/>
    <s v="FAD20"/>
    <s v="P06526"/>
    <s v="Manager Performance Management and Reporting"/>
    <d v="2012-10-22T00:00:00"/>
    <m/>
    <d v="2019-08-19T00:00:00"/>
    <s v="FULL"/>
    <n v="38"/>
    <n v="1"/>
    <s v="Other Managers"/>
    <n v="8939"/>
    <s v="Joanne Moses"/>
    <s v="P06446"/>
    <s v="General Manager"/>
    <x v="3"/>
    <x v="28"/>
  </r>
  <r>
    <s v="UCC017817"/>
    <n v="17817"/>
    <s v="Nyomie"/>
    <s v="Sherrington"/>
    <s v="FEMALE"/>
    <s v="FAD12"/>
    <s v="P06411"/>
    <s v="Project and Service Planning Leader"/>
    <d v="2018-06-11T00:00:00"/>
    <m/>
    <d v="2023-03-06T00:00:00"/>
    <s v="PART"/>
    <n v="34"/>
    <n v="0.89473684210526316"/>
    <s v="Professionals"/>
    <n v="14463"/>
    <s v="Donna Reveillac-Shkalla"/>
    <s v="P06450"/>
    <s v="Group Executive Family And Disability Services"/>
    <x v="3"/>
    <x v="8"/>
  </r>
  <r>
    <s v="UCC008939"/>
    <n v="8939"/>
    <s v="Joanne"/>
    <s v="Moses"/>
    <s v="FEMALE"/>
    <s v="ACC05"/>
    <s v="P03882"/>
    <s v="Practice &amp; Quality Manager"/>
    <d v="2008-06-16T00:00:00"/>
    <m/>
    <d v="2018-10-06T00:00:00"/>
    <s v="FULL"/>
    <n v="38"/>
    <n v="1"/>
    <s v="Other Managers"/>
    <n v="14463"/>
    <s v="Donna Reveillac-Shkalla "/>
    <s v="P06450"/>
    <s v="Group Executive Family And Disability Services"/>
    <x v="3"/>
    <x v="8"/>
  </r>
  <r>
    <s v="UCC020741"/>
    <n v="20741"/>
    <s v="Xue"/>
    <s v="Zhang"/>
    <s v="FEMALE"/>
    <s v="FAD07"/>
    <s v="P06466"/>
    <s v="Senior Manager Business Performance and Enablement"/>
    <d v="2016-01-04T00:00:00"/>
    <m/>
    <d v="2022-03-07T00:00:00"/>
    <s v="FULL"/>
    <n v="38"/>
    <n v="1"/>
    <s v="Senior Managers"/>
    <n v="14463"/>
    <s v="Donna Reveillac-Shkalla"/>
    <s v="P06450"/>
    <s v="Group Executive Family And Disability Services"/>
    <x v="3"/>
    <x v="8"/>
  </r>
  <r>
    <s v="UCC021991"/>
    <n v="21991"/>
    <s v="Martin"/>
    <s v="Woollaston"/>
    <s v="MALE"/>
    <s v="FAD02"/>
    <s v="P06451"/>
    <s v="General Manager Disability Services"/>
    <d v="2023-05-01T00:00:00"/>
    <m/>
    <d v="2023-05-01T00:00:00"/>
    <s v="FULL"/>
    <n v="38"/>
    <n v="1"/>
    <s v="Other Exec / Gen Mgrs"/>
    <n v="14463"/>
    <s v="Donna Reveillac-Shkalla"/>
    <s v="P06450"/>
    <s v="Group Executive Family And Disability Services"/>
    <x v="3"/>
    <x v="8"/>
  </r>
  <r>
    <s v="UCC017956"/>
    <n v="17956"/>
    <s v="Jamie"/>
    <s v="Mackay"/>
    <s v="MALE"/>
    <s v="FAD06"/>
    <s v="P06452"/>
    <s v="General Manager Lifeline Retail"/>
    <d v="2018-08-20T00:00:00"/>
    <m/>
    <d v="2023-03-06T00:00:00"/>
    <s v="FULL"/>
    <n v="38"/>
    <n v="1"/>
    <s v="Senior Managers"/>
    <n v="14463"/>
    <s v="Donna Reveillac-Shkalla"/>
    <s v="P06450"/>
    <s v="Group Executive Family And Disability Services"/>
    <x v="3"/>
    <x v="8"/>
  </r>
  <r>
    <s v="UCC019124"/>
    <n v="19124"/>
    <s v="Luke"/>
    <s v="Lindsay"/>
    <s v="MALE"/>
    <s v="FAD05"/>
    <s v="P07389"/>
    <s v="General Manager Lifeline and Wellbeing Service"/>
    <d v="2020-01-20T00:00:00"/>
    <m/>
    <d v="2023-03-07T00:00:00"/>
    <s v="FULL"/>
    <n v="38"/>
    <n v="1"/>
    <s v="Senior Managers"/>
    <n v="14463"/>
    <s v="Donna Reveillac-Shkalla"/>
    <s v="P06450"/>
    <s v="Group Executive Family And Disability Services"/>
    <x v="3"/>
    <x v="8"/>
  </r>
  <r>
    <s v="UCC016308"/>
    <n v="16308"/>
    <s v="Vivien"/>
    <s v="Bull"/>
    <s v="FEMALE"/>
    <s v="FAD03"/>
    <s v="P07388"/>
    <s v="General Manager Family Child and Individual Support"/>
    <d v="2016-08-08T00:00:00"/>
    <m/>
    <d v="2019-01-31T00:00:00"/>
    <s v="FULL"/>
    <n v="38"/>
    <n v="1"/>
    <s v="Other Exec / Gen Mgrs"/>
    <n v="14463"/>
    <s v="Donna Reveillac-Shkalla"/>
    <s v="P06450"/>
    <s v="Group Executive Family And Disability Services"/>
    <x v="3"/>
    <x v="8"/>
  </r>
  <r>
    <s v="UCQ021706"/>
    <n v="21706"/>
    <s v="Jaimee"/>
    <s v="Treloar"/>
    <s v="FEMALE"/>
    <s v="GOV13"/>
    <s v="60GPCA"/>
    <s v="Policy and Compliance Advisor"/>
    <d v="2019-11-25T00:00:00"/>
    <m/>
    <d v="2023-01-16T00:00:00"/>
    <s v="FULL"/>
    <n v="38"/>
    <n v="1"/>
    <s v="Professionals"/>
    <n v="21348"/>
    <s v="Isobel Walles "/>
    <n v="52015"/>
    <s v="Group Compliance Manager"/>
    <x v="4"/>
    <x v="29"/>
  </r>
  <r>
    <s v="UCQ020825"/>
    <n v="20825"/>
    <s v="Charlotte"/>
    <s v="Hope"/>
    <s v="FEMALE"/>
    <s v="GOV15"/>
    <s v="60BSO"/>
    <s v="Board Support Officer"/>
    <d v="2022-03-15T00:00:00"/>
    <m/>
    <d v="2022-05-16T00:00:00"/>
    <s v="FULL"/>
    <n v="38"/>
    <n v="1"/>
    <s v="Clerical &amp; Admin"/>
    <n v="20926"/>
    <s v="Kate O'Donohue"/>
    <s v="60GBSP"/>
    <s v="General Manager Board Support and Policy"/>
    <x v="4"/>
    <x v="29"/>
  </r>
  <r>
    <s v="UCQ021295"/>
    <n v="21295"/>
    <s v="Matthew"/>
    <s v="Foster"/>
    <s v="MALE"/>
    <s v="GOV15"/>
    <s v="601BSO"/>
    <s v="Board Support Officer"/>
    <d v="2022-08-29T00:00:00"/>
    <m/>
    <d v="2022-08-29T00:00:00"/>
    <s v="FULL"/>
    <n v="38"/>
    <n v="1"/>
    <s v="Clerical &amp; Admin"/>
    <n v="20926"/>
    <s v="Kate O'Donohue "/>
    <s v="60GBSP"/>
    <s v="General Manager Board Support and Policy"/>
    <x v="4"/>
    <x v="29"/>
  </r>
  <r>
    <s v="UCQ021348"/>
    <n v="21348"/>
    <s v="Isobel"/>
    <s v="Walles"/>
    <s v="FEMALE"/>
    <s v="GOV05"/>
    <s v="60GCM"/>
    <s v="Group Compliance Manager"/>
    <d v="2022-10-17T00:00:00"/>
    <m/>
    <d v="2022-10-17T00:00:00"/>
    <s v="FULL"/>
    <n v="38"/>
    <n v="1"/>
    <s v="Senior Managers"/>
    <n v="20926"/>
    <s v="Kate O'Donohue"/>
    <s v="60GBSP"/>
    <s v="General Manager Board Support and Policy"/>
    <x v="4"/>
    <x v="29"/>
  </r>
  <r>
    <s v="UCQ018213"/>
    <n v="18213"/>
    <s v="Andreen"/>
    <s v="Jayaratne"/>
    <s v="FEMALE"/>
    <s v="GOV19"/>
    <s v="60PAR1"/>
    <s v="Paralegal"/>
    <d v="2018-12-04T00:00:00"/>
    <m/>
    <d v="2018-12-04T00:00:00"/>
    <s v="FULL"/>
    <n v="38"/>
    <n v="1"/>
    <s v="Clerical &amp; Admin"/>
    <n v="20138"/>
    <s v="Julie Darley "/>
    <s v="60LSLC"/>
    <s v="Senior Legal Counsel"/>
    <x v="4"/>
    <x v="30"/>
  </r>
  <r>
    <s v="UCQ019908"/>
    <n v="19908"/>
    <s v="Catalina"/>
    <s v="Mercado Arboleda"/>
    <s v="FEMALE"/>
    <s v="GOV19"/>
    <s v="60LAP1"/>
    <s v="Legal Administrator and Paralegal"/>
    <d v="2021-03-08T00:00:00"/>
    <m/>
    <d v="2022-10-24T00:00:00"/>
    <s v="FULL"/>
    <n v="38"/>
    <n v="1"/>
    <s v="Professionals"/>
    <n v="19399"/>
    <s v="Cady Simpson "/>
    <s v="60SLC"/>
    <s v="Senior Legal Counsel"/>
    <x v="4"/>
    <x v="30"/>
  </r>
  <r>
    <s v="UCQ021240"/>
    <n v="21240"/>
    <s v="Karen"/>
    <s v="Barter"/>
    <s v="FEMALE"/>
    <s v="MIS10"/>
    <s v="60EAGC"/>
    <s v="Executive Assistant to General Counsel"/>
    <d v="2022-08-01T00:00:00"/>
    <m/>
    <d v="2022-08-01T00:00:00"/>
    <s v="FULL"/>
    <n v="38"/>
    <n v="1"/>
    <s v="Clerical &amp; Admin"/>
    <n v="18686"/>
    <s v="Suzanne Marlow "/>
    <s v="60GML2"/>
    <s v="General Counsel"/>
    <x v="4"/>
    <x v="30"/>
  </r>
  <r>
    <s v="UCQ021711"/>
    <n v="21711"/>
    <s v="Charlotte"/>
    <s v="Goodman"/>
    <s v="FEMALE"/>
    <s v="GOV12"/>
    <s v="60LC2"/>
    <s v="Legal Counsel"/>
    <d v="2023-02-10T00:00:00"/>
    <m/>
    <d v="2023-02-10T00:00:00"/>
    <s v="FULL"/>
    <n v="38"/>
    <n v="1"/>
    <s v="Professionals"/>
    <n v="19399"/>
    <s v="Cady Simpson "/>
    <s v="60SLC"/>
    <s v="Senior Legal Counsel"/>
    <x v="4"/>
    <x v="30"/>
  </r>
  <r>
    <s v="UCQ021798"/>
    <n v="21798"/>
    <s v="Natalie"/>
    <s v="Clark"/>
    <s v="FEMALE"/>
    <s v="GOV12"/>
    <s v="60LC3"/>
    <s v="Legal Counsel"/>
    <d v="2023-03-13T00:00:00"/>
    <m/>
    <d v="2023-03-13T00:00:00"/>
    <s v="FULL"/>
    <n v="38"/>
    <n v="1"/>
    <s v="Professionals"/>
    <n v="20138"/>
    <s v="Julie Darley "/>
    <s v="60LSLC"/>
    <s v="Senior Legal Counsel"/>
    <x v="4"/>
    <x v="30"/>
  </r>
  <r>
    <s v="UCQ021871"/>
    <n v="21871"/>
    <s v="Jolynda"/>
    <s v="Turner"/>
    <s v="FEMALE"/>
    <s v="GOV12"/>
    <s v="60LC1"/>
    <s v="Legal Counsel"/>
    <d v="2023-03-13T00:00:00"/>
    <m/>
    <d v="2023-03-13T00:00:00"/>
    <s v="FULL"/>
    <n v="38"/>
    <n v="1"/>
    <s v="Professionals"/>
    <n v="19399"/>
    <s v="Cady Simpson "/>
    <s v="60SLC"/>
    <s v="Senior Legal Counsel"/>
    <x v="4"/>
    <x v="30"/>
  </r>
  <r>
    <s v="UCQ019399"/>
    <n v="19399"/>
    <s v="Cady"/>
    <s v="Simpson"/>
    <s v="FEMALE"/>
    <s v="GOV10"/>
    <s v="60SLC"/>
    <s v="Senior Legal Counsel"/>
    <d v="2020-07-20T00:00:00"/>
    <m/>
    <d v="2022-07-01T00:00:00"/>
    <s v="FULL"/>
    <n v="38"/>
    <n v="1"/>
    <s v="Professionals"/>
    <n v="18686"/>
    <s v="Suzanne Marlow "/>
    <s v="60GML2"/>
    <s v="General Counsel"/>
    <x v="4"/>
    <x v="30"/>
  </r>
  <r>
    <s v="UCQ020138"/>
    <n v="20138"/>
    <s v="Julie"/>
    <s v="Darley"/>
    <s v="FEMALE"/>
    <s v="GOV10"/>
    <s v="60LSLC"/>
    <s v="Senior Legal Counsel"/>
    <d v="2021-07-01T00:00:00"/>
    <m/>
    <d v="2021-07-01T00:00:00"/>
    <s v="FULL"/>
    <n v="38"/>
    <n v="1"/>
    <s v="Professionals"/>
    <n v="18686"/>
    <s v="Suzanne Marlow "/>
    <s v="60GML2"/>
    <s v="General Counsel"/>
    <x v="4"/>
    <x v="30"/>
  </r>
  <r>
    <s v="UCQ021627"/>
    <n v="21627"/>
    <s v="Gary"/>
    <s v="Goldman"/>
    <s v="MALE"/>
    <s v="GOV10"/>
    <s v="60SLCL"/>
    <s v="Senior Legal Consultant"/>
    <d v="2022-12-05T00:00:00"/>
    <m/>
    <d v="2022-12-05T00:00:00"/>
    <s v="CASUAL"/>
    <n v="38"/>
    <n v="1"/>
    <s v="Professionals"/>
    <n v="18686"/>
    <s v="Suzanne Marlow "/>
    <s v="60GML2"/>
    <s v="General Counsel"/>
    <x v="4"/>
    <x v="30"/>
  </r>
  <r>
    <s v="UCQ019875"/>
    <n v="19875"/>
    <s v="Tony"/>
    <s v="Hewitt"/>
    <s v="MALE"/>
    <s v="GOV16"/>
    <s v="60GRO"/>
    <s v="Group Risk Officer"/>
    <d v="2021-03-01T00:00:00"/>
    <m/>
    <d v="2021-03-01T00:00:00"/>
    <s v="FULL"/>
    <n v="38"/>
    <n v="1"/>
    <s v="Clerical &amp; Admin"/>
    <n v="20548"/>
    <s v="Nikki Beaver"/>
    <s v="60PRA1"/>
    <s v="Manager Group Risk"/>
    <x v="4"/>
    <x v="31"/>
  </r>
  <r>
    <s v="UCQ019667"/>
    <n v="19667"/>
    <s v="Neema"/>
    <s v="Bilash"/>
    <s v="FEMALE"/>
    <s v="GOV16"/>
    <s v="60RO2"/>
    <s v="Risk Officer"/>
    <d v="2014-07-07T00:00:00"/>
    <m/>
    <d v="2022-12-01T00:00:00"/>
    <s v="FULL"/>
    <n v="38"/>
    <n v="1"/>
    <s v="Clerical &amp; Admin"/>
    <n v="20548"/>
    <s v="Nikki Beaver"/>
    <s v="60PRA1"/>
    <s v="Manager Group Risk"/>
    <x v="4"/>
    <x v="31"/>
  </r>
  <r>
    <s v="UCQ021293"/>
    <n v="21293"/>
    <s v="Kerolos"/>
    <s v="Basanty"/>
    <s v="MALE"/>
    <s v="BF86"/>
    <s v="60SAR1"/>
    <s v="Data Analyst"/>
    <d v="2022-08-29T00:00:00"/>
    <m/>
    <d v="2022-08-29T00:00:00"/>
    <s v="FULL"/>
    <n v="38"/>
    <n v="1"/>
    <s v="Professionals"/>
    <n v="17608"/>
    <s v="Omar Imraan"/>
    <s v="60GIAM"/>
    <s v="Group Internal Audit Manager"/>
    <x v="4"/>
    <x v="31"/>
  </r>
  <r>
    <s v="UCQ018704"/>
    <n v="18704"/>
    <s v="Thai"/>
    <s v="Le"/>
    <s v="MALE"/>
    <s v="BF86"/>
    <s v="60DA"/>
    <s v="Data Analyst"/>
    <d v="2014-04-28T00:00:00"/>
    <m/>
    <d v="2019-07-01T00:00:00"/>
    <s v="FULL"/>
    <n v="38"/>
    <n v="1"/>
    <s v="Professionals"/>
    <n v="20548"/>
    <s v="Nikki Beaver"/>
    <s v="60PRA1"/>
    <s v="Manager Group Risk"/>
    <x v="4"/>
    <x v="31"/>
  </r>
  <r>
    <s v="UCQ021660"/>
    <n v="21660"/>
    <s v="Rachael"/>
    <s v="Foster"/>
    <s v="FEMALE"/>
    <s v="GOV09"/>
    <s v="60IS01"/>
    <s v="Insurance Specialist"/>
    <d v="2020-07-27T00:00:00"/>
    <m/>
    <d v="2022-12-30T00:00:00"/>
    <s v="FULL"/>
    <n v="38"/>
    <n v="1"/>
    <s v="Professionals"/>
    <n v="18629"/>
    <s v="Sally Philp "/>
    <s v="60MBCI"/>
    <s v="Manager Business Continuity and Insurance"/>
    <x v="4"/>
    <x v="31"/>
  </r>
  <r>
    <s v="UCQ020939"/>
    <n v="20939"/>
    <s v="Himani"/>
    <s v="Sachdeva"/>
    <s v="FEMALE"/>
    <s v="GOV14"/>
    <s v="60PDAS"/>
    <s v="Principal Data Assurance Specialist"/>
    <d v="2022-04-04T00:00:00"/>
    <m/>
    <d v="2023-01-20T00:00:00"/>
    <s v="FULL"/>
    <n v="38"/>
    <n v="1"/>
    <s v="Professionals"/>
    <n v="17608"/>
    <s v="Omar Imraan"/>
    <s v="60GIAM"/>
    <s v="Group Internal Audit Manager"/>
    <x v="4"/>
    <x v="31"/>
  </r>
  <r>
    <s v="UCQ021762"/>
    <n v="21762"/>
    <s v="Nicole"/>
    <s v="Beaver"/>
    <s v="FEMALE"/>
    <s v="GOV20"/>
    <s v="60PRA1"/>
    <s v="Principal Risk Advisor"/>
    <d v="2023-03-06T00:00:00"/>
    <m/>
    <d v="2023-03-06T00:00:00"/>
    <s v="FULL"/>
    <n v="38"/>
    <n v="1"/>
    <m/>
    <n v="20548"/>
    <s v="Paul Deem "/>
    <s v="60MRAC"/>
    <s v="General Manager Risk and Assurance"/>
    <x v="4"/>
    <x v="31"/>
  </r>
  <r>
    <s v="UCQ017608"/>
    <n v="17608"/>
    <s v="Imraan"/>
    <s v="Omar"/>
    <s v="MALE"/>
    <s v="GOV06"/>
    <s v="60GIAM"/>
    <s v="Group Internal Audit Manager"/>
    <d v="2018-03-12T00:00:00"/>
    <m/>
    <d v="2021-09-27T00:00:00"/>
    <s v="FULL"/>
    <n v="38"/>
    <n v="1"/>
    <s v="Senior Managers"/>
    <n v="20183"/>
    <s v="Paul Deem "/>
    <s v="60MRAC"/>
    <s v="General Manager Risk and Assurance"/>
    <x v="4"/>
    <x v="31"/>
  </r>
  <r>
    <s v="UCQ018629"/>
    <n v="18629"/>
    <s v="Sally"/>
    <s v="Philp"/>
    <s v="FEMALE"/>
    <s v="GOV08"/>
    <s v="60MBCI"/>
    <s v="Manager Business Continuity and Insurance"/>
    <d v="2019-06-03T00:00:00"/>
    <m/>
    <d v="2019-06-03T00:00:00"/>
    <s v="FULL"/>
    <n v="38"/>
    <n v="1"/>
    <s v="Senior Managers"/>
    <n v="20183"/>
    <s v="Paul Deem "/>
    <s v="60MRAC"/>
    <s v="General Manager Risk and Assurance"/>
    <x v="4"/>
    <x v="31"/>
  </r>
  <r>
    <s v="UCQ020548"/>
    <n v="20548"/>
    <s v="Paul"/>
    <s v="Deem"/>
    <s v="MALE"/>
    <s v="GOV07"/>
    <s v="60MRAC"/>
    <s v="Manager Group Risk"/>
    <d v="2021-12-06T00:00:00"/>
    <m/>
    <d v="2021-12-06T00:00:00"/>
    <s v="FULL"/>
    <n v="38"/>
    <n v="1"/>
    <s v="Senior Managers"/>
    <n v="20183"/>
    <s v="Sue McKean"/>
    <s v="60GEG"/>
    <s v="Group Executive Governance"/>
    <x v="4"/>
    <x v="31"/>
  </r>
  <r>
    <s v="UCQ020861"/>
    <n v="20861"/>
    <s v="Honnie"/>
    <s v="Jagers"/>
    <s v="FEMALE"/>
    <s v="GOV18"/>
    <s v="601EA"/>
    <s v="Executive Assistant to Group Executive Governance"/>
    <d v="2022-03-07T00:00:00"/>
    <m/>
    <d v="2022-07-01T00:00:00"/>
    <s v="FULL"/>
    <n v="38"/>
    <n v="1"/>
    <s v="Clerical &amp; Admin"/>
    <n v="14128"/>
    <s v="Susan McKean"/>
    <s v="60GEG"/>
    <s v="Group Executive Governance"/>
    <x v="4"/>
    <x v="8"/>
  </r>
  <r>
    <s v="UCQ020926"/>
    <n v="20926"/>
    <s v="Kate"/>
    <s v="O'Donohue"/>
    <s v="FEMALE"/>
    <s v="GOV03"/>
    <s v="60GBSP"/>
    <s v="General Manager Board Support and Policy"/>
    <d v="2022-05-16T00:00:00"/>
    <m/>
    <d v="2022-05-16T00:00:00"/>
    <s v="FULL"/>
    <n v="38"/>
    <n v="1"/>
    <s v="Senior Managers"/>
    <n v="14128"/>
    <s v="Susan McKean"/>
    <s v="60GEG"/>
    <s v="Group Executive Governance"/>
    <x v="4"/>
    <x v="8"/>
  </r>
  <r>
    <s v="UCQ018686"/>
    <n v="18686"/>
    <s v="Suzanne"/>
    <s v="Marlow"/>
    <s v="FEMALE"/>
    <s v="GOV02"/>
    <s v="60GML2"/>
    <s v="General Counsel"/>
    <d v="2019-06-24T00:00:00"/>
    <m/>
    <d v="2019-06-24T00:00:00"/>
    <s v="FULL"/>
    <n v="38"/>
    <n v="1"/>
    <s v="Senior Managers"/>
    <n v="14128"/>
    <s v="Susan McKean "/>
    <s v="60GEG"/>
    <s v="Group Executive Governance"/>
    <x v="4"/>
    <x v="8"/>
  </r>
  <r>
    <s v="UCH114974"/>
    <n v="114974"/>
    <s v="Lynne"/>
    <s v="Wilson"/>
    <s v="FEMALE"/>
    <s v="HOS103"/>
    <s v="H02358"/>
    <s v="Administration Assistant"/>
    <d v="2022-03-25T00:00:00"/>
    <m/>
    <d v="2023-02-06T00:00:00"/>
    <s v="PART"/>
    <n v="32"/>
    <n v="0.84210526315789469"/>
    <s v="Clerical &amp; Admin"/>
    <n v="800145"/>
    <s v="Brenda Liebenberg"/>
    <s v="H02368"/>
    <s v="Patient Administration Manager"/>
    <x v="5"/>
    <x v="32"/>
  </r>
  <r>
    <s v="UCH800317"/>
    <n v="800317"/>
    <s v="Paul"/>
    <s v="Collins"/>
    <s v="MALE"/>
    <s v="HOS96"/>
    <s v="H02387"/>
    <s v="Maintenance Coordinator"/>
    <d v="2000-07-31T00:00:00"/>
    <m/>
    <d v="2023-02-06T00:00:00"/>
    <s v="FULL"/>
    <n v="38"/>
    <n v="1"/>
    <s v="Technicians And Trades Workers"/>
    <n v="113920"/>
    <s v="Guy Malghem"/>
    <s v="H02492"/>
    <s v="Food Services Manager"/>
    <x v="5"/>
    <x v="32"/>
  </r>
  <r>
    <s v="UCH800219"/>
    <n v="800219"/>
    <s v="Harold"/>
    <s v="Lander"/>
    <s v="MALE"/>
    <s v="HOS86"/>
    <s v="H02529"/>
    <s v="Patient Services Manager"/>
    <d v="1995-03-13T00:00:00"/>
    <m/>
    <d v="2023-04-17T00:00:00"/>
    <s v="FULL"/>
    <n v="38"/>
    <n v="1"/>
    <s v="Other Managers"/>
    <n v="113920"/>
    <s v="Guy Malghem"/>
    <s v="H02492"/>
    <s v="Food Services Manager"/>
    <x v="5"/>
    <x v="32"/>
  </r>
  <r>
    <s v="UCH101073"/>
    <n v="101073"/>
    <s v="Marie"/>
    <s v="Cairns"/>
    <s v="FEMALE"/>
    <s v="HOS88"/>
    <s v="H01859"/>
    <s v="Sterilisation Coordinator TL"/>
    <d v="2006-07-24T00:00:00"/>
    <m/>
    <d v="2023-02-06T00:00:00"/>
    <s v="FULL"/>
    <n v="38"/>
    <n v="1"/>
    <s v="Technicians And Trades Workers"/>
    <n v="113100"/>
    <s v="Melinda Daniels"/>
    <s v="H01723"/>
    <s v="Assistant Director of Nursing"/>
    <x v="5"/>
    <x v="32"/>
  </r>
  <r>
    <s v="UCH115147"/>
    <n v="115147"/>
    <s v="Linda"/>
    <s v="Reilly"/>
    <s v="FEMALE"/>
    <s v="MIS10"/>
    <s v="H02405"/>
    <s v="Executive Assistant"/>
    <d v="2022-07-04T00:00:00"/>
    <m/>
    <d v="2023-02-06T00:00:00"/>
    <s v="FULL"/>
    <n v="38"/>
    <n v="1"/>
    <s v="Clerical &amp; Admin"/>
    <n v="114259"/>
    <s v="Shane Mitchell"/>
    <s v="H02403"/>
    <s v="General Manager"/>
    <x v="5"/>
    <x v="32"/>
  </r>
  <r>
    <s v="UCH113866"/>
    <n v="113866"/>
    <s v="Bradley"/>
    <s v="Suitor"/>
    <s v="MALE"/>
    <s v="HOS70"/>
    <s v="H02394"/>
    <s v="Supply Manager"/>
    <d v="2021-04-12T00:00:00"/>
    <m/>
    <d v="2023-02-06T00:00:00"/>
    <s v="FULL"/>
    <n v="38"/>
    <n v="1"/>
    <s v="Other Managers"/>
    <n v="111031"/>
    <s v="Craig Walker"/>
    <s v="H02398"/>
    <s v="Director Corporate Services"/>
    <x v="5"/>
    <x v="32"/>
  </r>
  <r>
    <s v="UCH800145"/>
    <n v="800145"/>
    <s v="Brenda"/>
    <s v="Liebenberg"/>
    <s v="FEMALE"/>
    <s v="HOS73"/>
    <s v="H02368"/>
    <s v="Patient Administration Manager"/>
    <d v="2001-01-15T00:00:00"/>
    <m/>
    <d v="2023-02-06T00:00:00"/>
    <s v="FULL"/>
    <n v="38"/>
    <n v="1"/>
    <s v="Other Managers"/>
    <n v="111031"/>
    <s v="Craig Walker"/>
    <s v="H02398"/>
    <s v="Director Corporate Services"/>
    <x v="5"/>
    <x v="32"/>
  </r>
  <r>
    <s v="UCH113781"/>
    <n v="113781"/>
    <s v="Rodney"/>
    <s v="Siegle"/>
    <s v="MALE"/>
    <s v="HOS82"/>
    <s v="H02402"/>
    <s v="Management and Reporting Accountant"/>
    <d v="2021-03-01T00:00:00"/>
    <m/>
    <d v="2023-02-06T00:00:00"/>
    <s v="CASUAL"/>
    <n v="38"/>
    <n v="1"/>
    <s v="Professionals"/>
    <n v="111031"/>
    <s v="Craig Walker"/>
    <s v="H02398"/>
    <s v="Director Corporate Services"/>
    <x v="5"/>
    <x v="32"/>
  </r>
  <r>
    <s v="UCH114835"/>
    <n v="114835"/>
    <s v="Kimberly"/>
    <s v="Vernall"/>
    <s v="FEMALE"/>
    <s v="HOS82"/>
    <s v="H02404"/>
    <s v="Management and Reporting Accountant"/>
    <d v="2022-03-07T00:00:00"/>
    <m/>
    <d v="2023-02-06T00:00:00"/>
    <s v="PART"/>
    <n v="23"/>
    <n v="0.60526315789473684"/>
    <s v="Professionals"/>
    <n v="111031"/>
    <s v="Craig Walker"/>
    <s v="H02398"/>
    <s v="Director Corporate Services"/>
    <x v="5"/>
    <x v="32"/>
  </r>
  <r>
    <s v="UCH115069"/>
    <n v="115069"/>
    <s v="Anne"/>
    <s v="Jackson"/>
    <s v="FEMALE"/>
    <s v="HOS56"/>
    <s v="H02239"/>
    <s v="Education Manager"/>
    <d v="2022-05-23T00:00:00"/>
    <m/>
    <d v="2023-02-06T00:00:00"/>
    <s v="FULL"/>
    <n v="38"/>
    <n v="1"/>
    <s v="Other Managers"/>
    <n v="300001"/>
    <s v="Emma-Jane Prosser"/>
    <s v="H02406"/>
    <s v="Director of Clinical Services"/>
    <x v="5"/>
    <x v="32"/>
  </r>
  <r>
    <s v="UCH113673"/>
    <n v="113673"/>
    <s v="Emma"/>
    <s v="Huang"/>
    <s v="FEMALE"/>
    <s v="HOS66"/>
    <s v="H01885"/>
    <s v="Patient Flow Manager"/>
    <d v="2021-01-04T00:00:00"/>
    <m/>
    <d v="2023-02-06T00:00:00"/>
    <s v="FULL"/>
    <n v="38"/>
    <n v="1"/>
    <s v="Other Managers"/>
    <n v="300001"/>
    <s v="Emma-Jane Prosser"/>
    <s v="H02406"/>
    <s v="Director of Clinical Services"/>
    <x v="5"/>
    <x v="32"/>
  </r>
  <r>
    <s v="UCH113920"/>
    <n v="113920"/>
    <s v="Guy"/>
    <s v="Malghem"/>
    <s v="MALE"/>
    <s v="HOS80"/>
    <s v="H02492"/>
    <s v="Food Services Manager"/>
    <d v="2021-04-27T00:00:00"/>
    <m/>
    <d v="2023-02-06T00:00:00"/>
    <s v="FULL"/>
    <n v="38"/>
    <n v="1"/>
    <s v="Other Managers"/>
    <n v="111031"/>
    <s v="Craig Walker"/>
    <s v="H02398"/>
    <s v="Director Corporate Services"/>
    <x v="5"/>
    <x v="32"/>
  </r>
  <r>
    <s v="UCH115542"/>
    <n v="115542"/>
    <s v="Pamela"/>
    <s v="Fotheringham"/>
    <s v="FEMALE"/>
    <s v="HOS81"/>
    <s v="H02543"/>
    <s v="GP Liaison Officer"/>
    <d v="2022-10-17T00:00:00"/>
    <m/>
    <d v="2023-02-06T00:00:00"/>
    <s v="PART"/>
    <n v="32"/>
    <n v="0.84210526315789469"/>
    <s v="Professionals"/>
    <n v="114259"/>
    <s v="Shane Mitchell"/>
    <s v="H02403"/>
    <s v="General Manager"/>
    <x v="5"/>
    <x v="32"/>
  </r>
  <r>
    <s v="UCH112998"/>
    <n v="112998"/>
    <s v="Amanda"/>
    <s v="Mcmaster"/>
    <s v="FEMALE"/>
    <s v="HOS68"/>
    <s v="H02400"/>
    <s v="Quality Manager"/>
    <d v="2019-11-18T00:00:00"/>
    <m/>
    <d v="2023-02-06T00:00:00"/>
    <s v="FULL"/>
    <n v="38"/>
    <n v="1"/>
    <s v="Other Managers"/>
    <n v="300001"/>
    <s v="Emma-Jane Prosser"/>
    <s v="H02406"/>
    <s v="Director of Clinical Services"/>
    <x v="5"/>
    <x v="32"/>
  </r>
  <r>
    <s v="UCH111031"/>
    <n v="111031"/>
    <s v="Craig"/>
    <s v="Walker"/>
    <s v="MALE"/>
    <s v="HOS20"/>
    <s v="H02398"/>
    <s v="Director Corporate Services"/>
    <d v="2021-08-16T00:00:00"/>
    <m/>
    <d v="2023-02-06T00:00:00"/>
    <s v="FULL"/>
    <n v="38"/>
    <n v="1"/>
    <s v="Senior Managers"/>
    <n v="114259"/>
    <s v="Shane Mitchell"/>
    <s v="H02403"/>
    <s v="General Manager"/>
    <x v="5"/>
    <x v="32"/>
  </r>
  <r>
    <s v="UCH107527"/>
    <n v="107527"/>
    <s v="Scott"/>
    <s v="Graham"/>
    <s v="MALE"/>
    <s v="HOS39"/>
    <s v="H02316"/>
    <s v="Medical Practitioner"/>
    <d v="2013-06-03T00:00:00"/>
    <m/>
    <d v="2023-02-06T00:00:00"/>
    <s v="FULL"/>
    <n v="48"/>
    <n v="1.263157894736842"/>
    <s v="Professionals"/>
    <n v="300001"/>
    <s v="Emma-Jane Prosser"/>
    <s v="H02406"/>
    <s v="Director of Clinical Services"/>
    <x v="5"/>
    <x v="32"/>
  </r>
  <r>
    <s v="UCH100633"/>
    <n v="100633"/>
    <s v="Sanjeewa"/>
    <s v="Pathirana Karunarathne"/>
    <s v="MALE"/>
    <s v="HOS39"/>
    <s v="H02315"/>
    <s v="Medical Practitioner"/>
    <d v="2006-02-13T00:00:00"/>
    <m/>
    <d v="2023-02-06T00:00:00"/>
    <s v="FULL"/>
    <n v="50"/>
    <n v="1.3157894736842106"/>
    <s v="Professionals"/>
    <n v="300001"/>
    <s v="Emma-Jane Prosser"/>
    <s v="H02406"/>
    <s v="Director of Clinical Services"/>
    <x v="5"/>
    <x v="32"/>
  </r>
  <r>
    <s v="UCH108081"/>
    <n v="108081"/>
    <s v="Samarage"/>
    <s v="Pathmaperuma"/>
    <s v="FEMALE"/>
    <s v="HOS39"/>
    <s v="H02317"/>
    <s v="Medical Practitioner"/>
    <d v="2014-05-01T00:00:00"/>
    <m/>
    <d v="2023-02-06T00:00:00"/>
    <s v="FULL"/>
    <n v="46"/>
    <n v="1.2105263157894737"/>
    <s v="Professionals"/>
    <n v="300001"/>
    <s v="Emma-Jane Prosser"/>
    <s v="H02406"/>
    <s v="Director of Clinical Services"/>
    <x v="5"/>
    <x v="32"/>
  </r>
  <r>
    <s v="UCH113741"/>
    <n v="113741"/>
    <s v="Mahalia"/>
    <s v="Rose"/>
    <s v="FEMALE"/>
    <s v="HOS42"/>
    <s v="H02320"/>
    <s v="Resident Medical Officer"/>
    <d v="2021-01-25T00:00:00"/>
    <m/>
    <d v="2023-02-06T00:00:00"/>
    <s v="PART"/>
    <n v="10"/>
    <n v="0.26315789473684209"/>
    <s v="Professionals"/>
    <n v="300001"/>
    <s v="Emma-Jane Prosser"/>
    <s v="H02406"/>
    <s v="Director of Clinical Services"/>
    <x v="5"/>
    <x v="32"/>
  </r>
  <r>
    <s v="UCH115447"/>
    <n v="115447"/>
    <s v="Christopher"/>
    <s v="Power"/>
    <s v="MALE"/>
    <s v="HOS42"/>
    <s v="H02321"/>
    <s v="Resident Medical Officer"/>
    <d v="2022-08-15T00:00:00"/>
    <m/>
    <d v="2023-02-06T00:00:00"/>
    <s v="FULL"/>
    <n v="42"/>
    <n v="1.1052631578947369"/>
    <s v="Professionals"/>
    <n v="300001"/>
    <s v="Emma-Jane Prosser"/>
    <s v="H02406"/>
    <s v="Director of Clinical Services"/>
    <x v="5"/>
    <x v="32"/>
  </r>
  <r>
    <s v="UCH116223"/>
    <n v="116223"/>
    <s v="Michael"/>
    <s v="Efendy"/>
    <s v="MALE"/>
    <s v="HOS42"/>
    <s v="H05181"/>
    <s v="Resident Medical Officer"/>
    <d v="2023-03-20T00:00:00"/>
    <m/>
    <d v="2023-03-20T00:00:00"/>
    <s v="CASUAL"/>
    <n v="38"/>
    <n v="1"/>
    <s v="Professionals"/>
    <n v="300001"/>
    <s v="Emma-Jane Prosser"/>
    <s v="H02406"/>
    <s v="Director of Clinical Services"/>
    <x v="5"/>
    <x v="32"/>
  </r>
  <r>
    <s v="UCH113278"/>
    <n v="113278"/>
    <s v="Carl"/>
    <s v="Scott"/>
    <s v="MALE"/>
    <s v="HOS18"/>
    <s v="H02401"/>
    <s v="Director Medical Services"/>
    <d v="2020-03-23T00:00:00"/>
    <m/>
    <d v="2023-02-06T00:00:00"/>
    <s v="PART"/>
    <n v="7.6"/>
    <n v="0.19999999999999998"/>
    <s v="Other Exec / Gen Mgrs"/>
    <n v="114259"/>
    <s v="Shane Mitchell"/>
    <s v="H02403"/>
    <s v="General Manager"/>
    <x v="5"/>
    <x v="32"/>
  </r>
  <r>
    <s v="UCH111681"/>
    <n v="111681"/>
    <s v="James"/>
    <s v="Hughes"/>
    <s v="MALE"/>
    <s v="HOS67"/>
    <s v="H02319"/>
    <s v="Director of Nuero Stimulatiom"/>
    <d v="2018-02-05T00:00:00"/>
    <m/>
    <d v="2023-02-06T00:00:00"/>
    <s v="PART"/>
    <n v="2"/>
    <n v="5.2631578947368418E-2"/>
    <s v="Professionals"/>
    <n v="114259"/>
    <s v="Shane Mitchell"/>
    <s v="H02403"/>
    <s v="General Manager"/>
    <x v="5"/>
    <x v="32"/>
  </r>
  <r>
    <s v="UCH110557"/>
    <n v="110557"/>
    <s v="Dhushantha"/>
    <s v="Illesinghe"/>
    <s v="MALE"/>
    <s v="HOS22"/>
    <s v="H02318"/>
    <s v="Director of Psychiatry"/>
    <d v="2017-02-13T00:00:00"/>
    <m/>
    <d v="2023-02-06T00:00:00"/>
    <s v="PART"/>
    <n v="4"/>
    <n v="0.10526315789473684"/>
    <s v="Other Exec / Gen Mgrs"/>
    <n v="114259"/>
    <s v="Shane Mitchell"/>
    <s v="H02403"/>
    <s v="General Manager"/>
    <x v="5"/>
    <x v="32"/>
  </r>
  <r>
    <s v="UCQ021401"/>
    <n v="21401"/>
    <s v="Elizabeth"/>
    <s v="Nothling"/>
    <s v="FEMALE"/>
    <s v="HOS128"/>
    <s v="601CO1"/>
    <s v="Credentialing Officer"/>
    <d v="2022-02-08T00:00:00"/>
    <m/>
    <d v="2022-10-03T00:00:00"/>
    <s v="FULL"/>
    <n v="38"/>
    <n v="1"/>
    <s v="Clerical &amp; Admin"/>
    <s v="UCH001"/>
    <s v="Vidakovic Branislav"/>
    <s v="60MCGH"/>
    <s v="General Manager Clinical Governance"/>
    <x v="5"/>
    <x v="33"/>
  </r>
  <r>
    <s v="UCQ020250"/>
    <n v="20250"/>
    <s v="Laura"/>
    <s v="Burleigh"/>
    <s v="FEMALE"/>
    <s v="HOS127"/>
    <s v="60CFC1"/>
    <s v="Clinical Forms Coordinator"/>
    <d v="2021-09-06T00:00:00"/>
    <m/>
    <d v="2021-09-06T00:00:00"/>
    <s v="FULL"/>
    <n v="38"/>
    <n v="1"/>
    <s v="Clerical &amp; Admin"/>
    <n v="21481"/>
    <s v="Deborah Jeffers "/>
    <s v="601HIM"/>
    <s v="Group Health Information Manager"/>
    <x v="5"/>
    <x v="33"/>
  </r>
  <r>
    <s v="UCH402494"/>
    <n v="402494"/>
    <s v="Leila"/>
    <s v="Whitefield"/>
    <s v="FEMALE"/>
    <s v="HOS74"/>
    <s v="H00058"/>
    <s v="Clinical Coder"/>
    <d v="2003-05-06T00:00:00"/>
    <m/>
    <d v="2023-02-06T00:00:00"/>
    <s v="CASUAL"/>
    <n v="38"/>
    <n v="1"/>
    <s v="Clerical &amp; Admin"/>
    <n v="19990"/>
    <s v="Sarah Keens"/>
    <s v="UCH001"/>
    <s v="Group Clinical Coding Manager contractor POS"/>
    <x v="5"/>
    <x v="33"/>
  </r>
  <r>
    <s v="UCH107400"/>
    <n v="107400"/>
    <s v="Emma"/>
    <s v="Hansen"/>
    <s v="FEMALE"/>
    <s v="HOS26"/>
    <s v="H05800"/>
    <s v="Clinical Coding Coordinator"/>
    <d v="2013-04-02T00:00:00"/>
    <m/>
    <d v="2023-04-03T00:00:00"/>
    <s v="FULL"/>
    <n v="38"/>
    <n v="1"/>
    <s v="Clerical &amp; Admin"/>
    <n v="19990"/>
    <s v="Sarah Keens"/>
    <s v="UCH001"/>
    <s v="Group Clinical Coding Manager contractor POS"/>
    <x v="5"/>
    <x v="33"/>
  </r>
  <r>
    <s v="UCH114298"/>
    <n v="114298"/>
    <s v="Annie"/>
    <s v="Lam"/>
    <s v="FEMALE"/>
    <s v="HOS75"/>
    <s v="H00039"/>
    <s v="Clinical Informaticist"/>
    <d v="2021-10-11T00:00:00"/>
    <m/>
    <d v="2023-02-06T00:00:00"/>
    <s v="FULL"/>
    <n v="38"/>
    <n v="1"/>
    <s v="Professionals"/>
    <n v="19039"/>
    <s v="Peter Haigh "/>
    <s v="60GMPH"/>
    <s v="General Manager Patients Revenue and Health Fund Relations"/>
    <x v="5"/>
    <x v="33"/>
  </r>
  <r>
    <s v="UCH113294"/>
    <n v="113294"/>
    <s v="Ashleigh"/>
    <s v="Mulholland"/>
    <s v="FEMALE"/>
    <s v="HOS45"/>
    <s v="H05895"/>
    <s v="Health Information Manager"/>
    <d v="2020-07-06T00:00:00"/>
    <m/>
    <d v="2023-05-29T00:00:00"/>
    <s v="FULL"/>
    <n v="38"/>
    <n v="1"/>
    <s v="Other Managers"/>
    <n v="21481"/>
    <s v="Deborah Jeffers"/>
    <s v="601HIM"/>
    <s v="Group Clinical Coding Manager contractor POS"/>
    <x v="5"/>
    <x v="33"/>
  </r>
  <r>
    <s v="UCH972085"/>
    <n v="972085"/>
    <s v="Clare"/>
    <s v="Tosoni"/>
    <s v="FEMALE"/>
    <s v="HOS48"/>
    <s v="H00062"/>
    <s v="Clinical Documentation Specialist"/>
    <d v="1997-02-24T00:00:00"/>
    <m/>
    <d v="2023-02-06T00:00:00"/>
    <s v="PART"/>
    <n v="22.8"/>
    <n v="0.6"/>
    <s v="Professionals"/>
    <n v="19990"/>
    <s v="Sarah Keens"/>
    <s v="UCH001"/>
    <s v="Group Clinical Coding Manager contractor POS"/>
    <x v="5"/>
    <x v="33"/>
  </r>
  <r>
    <s v="UCH114463"/>
    <n v="114463"/>
    <s v="Andrew"/>
    <s v="Kostowski"/>
    <s v="MALE"/>
    <s v="HOS75"/>
    <s v="H00040"/>
    <s v="Clinical Informaticist"/>
    <d v="2021-11-29T00:00:00"/>
    <m/>
    <d v="2023-02-06T00:00:00"/>
    <s v="FULL"/>
    <n v="38"/>
    <n v="1"/>
    <s v="Professionals"/>
    <n v="19039"/>
    <s v="Peter Haigh "/>
    <s v="60GMPH"/>
    <s v="General Manager Patients Revenue and Health Fund Relations"/>
    <x v="5"/>
    <x v="33"/>
  </r>
  <r>
    <s v="UCQ019825"/>
    <n v="19825"/>
    <s v="Elizabeth"/>
    <s v="Morgan"/>
    <s v="FEMALE"/>
    <s v="HOS123"/>
    <s v="60CSP1"/>
    <s v="Clinical Systems and Project Manager"/>
    <d v="2015-05-04T00:00:00"/>
    <m/>
    <d v="2021-01-27T00:00:00"/>
    <s v="FULL"/>
    <n v="38"/>
    <n v="1"/>
    <s v="Professionals"/>
    <n v="19039"/>
    <s v="Peter Haigh "/>
    <s v="60GMPH"/>
    <s v="General Manager Patients Revenue and Health Fund Relations"/>
    <x v="5"/>
    <x v="33"/>
  </r>
  <r>
    <s v="UCQ019990"/>
    <n v="19990"/>
    <s v="Sarah"/>
    <s v="Keens"/>
    <s v="FEMALE"/>
    <s v="HOS124"/>
    <s v="60GCCM"/>
    <s v="Group Clinical Coding Manager"/>
    <d v="2019-08-26T00:00:00"/>
    <m/>
    <d v="2021-04-06T00:00:00"/>
    <s v="FULL"/>
    <n v="38"/>
    <n v="1"/>
    <s v="Other Managers"/>
    <n v="19039"/>
    <s v="Peter Haigh "/>
    <s v="60GMPH"/>
    <s v="General Manager Patients Revenue and Health Fund Relations"/>
    <x v="5"/>
    <x v="33"/>
  </r>
  <r>
    <s v="UCQ020512"/>
    <n v="20512"/>
    <s v="Megan"/>
    <s v="Hayes"/>
    <s v="FEMALE"/>
    <s v="HOS126"/>
    <s v="60GRAM"/>
    <s v="Group Revenue Assurance Manager"/>
    <d v="2021-11-29T00:00:00"/>
    <m/>
    <d v="2022-07-04T00:00:00"/>
    <s v="FULL"/>
    <n v="38"/>
    <n v="1"/>
    <s v="Senior Managers"/>
    <n v="19039"/>
    <s v="Peter Haigh "/>
    <s v="60GMPH"/>
    <s v="General Manager Patients Revenue and Health Fund Relations"/>
    <x v="5"/>
    <x v="33"/>
  </r>
  <r>
    <s v="UCQ021908"/>
    <n v="21908"/>
    <s v="Margaret"/>
    <s v="Street"/>
    <s v="FEMALE"/>
    <s v="HOS122"/>
    <s v="60RIM1"/>
    <s v="Revenue Integrity Manager"/>
    <d v="2023-03-20T00:00:00"/>
    <d v="2025-03-19T00:00:00"/>
    <d v="2023-03-20T00:00:00"/>
    <s v="FULL"/>
    <n v="38"/>
    <n v="1"/>
    <s v="Other Managers"/>
    <n v="19039"/>
    <s v="Peter Haigh "/>
    <s v="60GMPH"/>
    <s v="General Manager Patients Revenue and Health Fund Relations"/>
    <x v="5"/>
    <x v="33"/>
  </r>
  <r>
    <s v="UCQ021481"/>
    <n v="21481"/>
    <s v="Deborah"/>
    <s v="Jeffers"/>
    <s v="FEMALE"/>
    <s v="HOS125"/>
    <s v="601HIM"/>
    <s v="Group Health Information Manager"/>
    <d v="2022-10-31T00:00:00"/>
    <m/>
    <d v="2022-10-31T00:00:00"/>
    <s v="FULL"/>
    <n v="38"/>
    <n v="1"/>
    <s v="Senior Managers"/>
    <n v="19039"/>
    <s v="Peter Haigh "/>
    <s v="60GMPH"/>
    <s v="General Manager Patients Revenue and Health Fund Relations"/>
    <x v="5"/>
    <x v="33"/>
  </r>
  <r>
    <s v="UCH107498"/>
    <n v="107498"/>
    <s v="Debra"/>
    <s v="Sharpe"/>
    <s v="FEMALE"/>
    <s v="HOS31"/>
    <s v="H00070"/>
    <s v="Group Administration Manager"/>
    <d v="2013-07-01T00:00:00"/>
    <m/>
    <d v="2023-02-06T00:00:00"/>
    <s v="PART"/>
    <n v="24"/>
    <n v="0.63157894736842102"/>
    <s v="Senior Managers"/>
    <n v="116192"/>
    <s v="Peter Wood "/>
    <s v="H00359"/>
    <s v="General Manager"/>
    <x v="5"/>
    <x v="33"/>
  </r>
  <r>
    <s v="UCH115403"/>
    <n v="115403"/>
    <s v="Rebecca"/>
    <s v="Gray"/>
    <s v="FEMALE"/>
    <s v="BF41"/>
    <s v="H00360"/>
    <s v="Business Development Manager"/>
    <d v="2022-08-01T00:00:00"/>
    <m/>
    <d v="2023-02-06T00:00:00"/>
    <s v="PART"/>
    <n v="18"/>
    <n v="0.47368421052631576"/>
    <s v="Other Managers"/>
    <n v="18613"/>
    <s v="Michael Krieg "/>
    <s v="H05056"/>
    <s v="Group Executive Hospitals"/>
    <x v="5"/>
    <x v="8"/>
  </r>
  <r>
    <s v="UCQ017977"/>
    <n v="17977"/>
    <s v="Roxanne"/>
    <s v="Adams"/>
    <s v="FEMALE"/>
    <s v="MIS10"/>
    <s v="60EA2"/>
    <s v="Executive Assistant"/>
    <d v="2018-08-20T00:00:00"/>
    <m/>
    <d v="2020-06-22T00:00:00"/>
    <s v="FULL"/>
    <n v="38"/>
    <n v="1"/>
    <s v="Clerical &amp; Admin"/>
    <n v="18613"/>
    <s v="Michael Krieg "/>
    <s v="600EUC"/>
    <s v="Group Executive Hospitals"/>
    <x v="5"/>
    <x v="8"/>
  </r>
  <r>
    <s v="UCQ020532"/>
    <n v="20532"/>
    <s v="Siobhan"/>
    <s v="See"/>
    <s v="FEMALE"/>
    <s v="HOS121"/>
    <s v="60CEL"/>
    <s v="Clinical Education Lead"/>
    <d v="2021-11-15T00:00:00"/>
    <m/>
    <d v="2022-06-06T00:00:00"/>
    <s v="FULL"/>
    <n v="38"/>
    <n v="1"/>
    <s v="Other Managers"/>
    <n v="18613"/>
    <s v="Michael Krieg "/>
    <s v="H05056"/>
    <s v="Group Executive Hospitals"/>
    <x v="5"/>
    <x v="8"/>
  </r>
  <r>
    <s v="UCQ020448"/>
    <n v="20448"/>
    <s v="Branislav"/>
    <s v="Vidakovic"/>
    <s v="MALE"/>
    <s v="HOS120"/>
    <s v="60MCGH"/>
    <s v="General Manager Clinical Governance"/>
    <d v="2021-11-01T00:00:00"/>
    <m/>
    <d v="2021-11-01T00:00:00"/>
    <s v="FULL"/>
    <n v="38"/>
    <n v="1"/>
    <s v="Senior Managers"/>
    <n v="18613"/>
    <s v="Michael Krieg "/>
    <s v="60GGM"/>
    <s v="Group Executive Hospitals"/>
    <x v="5"/>
    <x v="8"/>
  </r>
  <r>
    <s v="UCH115174"/>
    <n v="115174"/>
    <s v="Anne-Marie"/>
    <s v="Foster"/>
    <s v="FEMALE"/>
    <s v="BF15"/>
    <s v="H00073"/>
    <s v="Business Performance Manager"/>
    <d v="2022-07-11T00:00:00"/>
    <m/>
    <d v="2023-02-06T00:00:00"/>
    <s v="FULL"/>
    <n v="38"/>
    <n v="1"/>
    <s v="Senior Managers"/>
    <n v="18613"/>
    <s v="Michael Krieg "/>
    <s v="H05056"/>
    <s v="Group Executive Hospitals"/>
    <x v="5"/>
    <x v="8"/>
  </r>
  <r>
    <s v="UCQ019558"/>
    <n v="19558"/>
    <s v="Andrew"/>
    <s v="Bennett"/>
    <s v="MALE"/>
    <s v="HOS117"/>
    <s v="600GMH"/>
    <s v="General Manager Transformation Hospitals"/>
    <d v="2020-10-12T00:00:00"/>
    <m/>
    <d v="2020-10-12T00:00:00"/>
    <s v="FULL"/>
    <n v="38"/>
    <n v="1"/>
    <s v="Senior Managers"/>
    <n v="18613"/>
    <s v="Michael Krieg "/>
    <s v="600EUC"/>
    <s v="Group Executive Hospitals"/>
    <x v="5"/>
    <x v="8"/>
  </r>
  <r>
    <s v="UCH116192"/>
    <n v="116192"/>
    <s v="Peter"/>
    <s v="Wood"/>
    <s v="MALE"/>
    <s v="ACC05"/>
    <s v="H00359"/>
    <s v="General Manager"/>
    <d v="2023-04-10T00:00:00"/>
    <m/>
    <d v="2023-05-15T00:00:00"/>
    <s v="FULL"/>
    <n v="38"/>
    <n v="1"/>
    <s v="Other Exec / Gen Mgrs"/>
    <n v="18613"/>
    <s v="Michael Krieg "/>
    <s v="H05056"/>
    <s v="Group Executive Hospitals"/>
    <x v="5"/>
    <x v="8"/>
  </r>
  <r>
    <s v="UCQ019039"/>
    <n v="19039"/>
    <s v="Peter"/>
    <s v="Haigh"/>
    <s v="MALE"/>
    <s v="HOS10"/>
    <s v="60GMPH"/>
    <s v="General Manager Patients Revenue and Health Fund Relations"/>
    <d v="2019-11-25T00:00:00"/>
    <m/>
    <d v="2020-01-28T00:00:00"/>
    <s v="FULL"/>
    <n v="38"/>
    <n v="1"/>
    <s v="Other Exec / Gen Mgrs"/>
    <n v="18613"/>
    <s v="Michael Krieg "/>
    <s v="600EUC"/>
    <s v="Group Executive Hospitals"/>
    <x v="5"/>
    <x v="8"/>
  </r>
  <r>
    <s v="UCH300007"/>
    <n v="300007"/>
    <s v="Susan"/>
    <s v="Rigney-Ratcliff"/>
    <s v="FEMALE"/>
    <s v="HOS27"/>
    <s v="H05924"/>
    <s v="Hospitals Project Specialist"/>
    <d v="2023-02-01T00:00:00"/>
    <m/>
    <d v="2023-05-15T00:00:00"/>
    <s v="FULL"/>
    <n v="38"/>
    <n v="1"/>
    <s v="Professionals"/>
    <n v="18613"/>
    <s v="Michael Krieg "/>
    <s v="H05056"/>
    <s v="Group Executive Hospitals"/>
    <x v="5"/>
    <x v="8"/>
  </r>
  <r>
    <s v="UCH114259"/>
    <n v="114259"/>
    <s v="Shane"/>
    <s v="Mitchell"/>
    <s v="MALE"/>
    <s v="ACC05"/>
    <s v="H02403"/>
    <s v="General Manager"/>
    <d v="2021-09-06T00:00:00"/>
    <m/>
    <d v="2023-02-06T00:00:00"/>
    <s v="FULL"/>
    <n v="38"/>
    <n v="1"/>
    <s v="Other Exec / Gen Mgrs"/>
    <n v="18613"/>
    <s v="Michael Krieg "/>
    <s v="H05056"/>
    <s v="Group Executive Hospitals"/>
    <x v="5"/>
    <x v="8"/>
  </r>
  <r>
    <s v="UCH110831"/>
    <n v="110831"/>
    <s v="Mairi"/>
    <s v="Mcneill"/>
    <s v="FEMALE"/>
    <s v="ACC05"/>
    <s v="H01487"/>
    <s v="General Manager"/>
    <d v="2018-12-10T00:00:00"/>
    <m/>
    <d v="2023-02-06T00:00:00"/>
    <s v="FULL"/>
    <n v="38"/>
    <n v="1"/>
    <s v="Other Exec / Gen Mgrs"/>
    <n v="18613"/>
    <s v="Michael Krieg "/>
    <s v="H05056"/>
    <s v="Group Executive Hospitals"/>
    <x v="5"/>
    <x v="8"/>
  </r>
  <r>
    <s v="UCH115012"/>
    <n v="115012"/>
    <s v="Jacinta"/>
    <s v="Van Ghert"/>
    <s v="FEMALE"/>
    <s v="HOS110"/>
    <s v="H01435"/>
    <s v="Sessional Suites Coordinator"/>
    <d v="2022-04-26T00:00:00"/>
    <m/>
    <d v="2023-02-06T00:00:00"/>
    <s v="FULL"/>
    <n v="38"/>
    <n v="1"/>
    <s v="Clerical &amp; Admin"/>
    <n v="114574"/>
    <s v="Steven Croxford"/>
    <s v="H01491"/>
    <s v="Director Corporate Services"/>
    <x v="5"/>
    <x v="34"/>
  </r>
  <r>
    <s v="UCH105337"/>
    <n v="105337"/>
    <s v="Josephine"/>
    <s v="Hourigan"/>
    <s v="FEMALE"/>
    <s v="HOS100"/>
    <s v="H01290"/>
    <s v="SAEC Practice Manager"/>
    <d v="2010-09-20T00:00:00"/>
    <m/>
    <d v="2023-02-06T00:00:00"/>
    <s v="FULL"/>
    <n v="38"/>
    <n v="1"/>
    <s v="Clerical &amp; Admin"/>
    <n v="114574"/>
    <s v="Steven Croxford"/>
    <s v="H01491"/>
    <s v="Director Corporate Services"/>
    <x v="5"/>
    <x v="34"/>
  </r>
  <r>
    <s v="UCH106241"/>
    <n v="106241"/>
    <s v="Keith"/>
    <s v="Munt"/>
    <s v="MALE"/>
    <s v="ACC100"/>
    <s v="H01510"/>
    <s v="Chef MG"/>
    <d v="2011-12-07T00:00:00"/>
    <m/>
    <d v="2023-02-06T00:00:00"/>
    <s v="FULL"/>
    <n v="38"/>
    <n v="1"/>
    <s v="Technicians And Trades Workers"/>
    <n v="114574"/>
    <s v="Steven Croxford"/>
    <s v="H01491"/>
    <s v="Director Corporate Services"/>
    <x v="5"/>
    <x v="34"/>
  </r>
  <r>
    <s v="UCH114341"/>
    <n v="114341"/>
    <s v="Sathyalyna"/>
    <s v="Astley"/>
    <s v="FEMALE"/>
    <s v="MIS10"/>
    <s v="H01489"/>
    <s v="Executive Assistant"/>
    <d v="2021-11-01T00:00:00"/>
    <m/>
    <d v="2023-02-06T00:00:00"/>
    <s v="FULL"/>
    <n v="38"/>
    <n v="1"/>
    <s v="Clerical &amp; Admin"/>
    <n v="110831"/>
    <s v="Mairi McNeill"/>
    <s v="H01487"/>
    <s v="General Manager"/>
    <x v="5"/>
    <x v="34"/>
  </r>
  <r>
    <s v="UCH113763"/>
    <n v="113763"/>
    <s v="Simone"/>
    <s v="James"/>
    <s v="FEMALE"/>
    <s v="HOS84"/>
    <s v="H01624"/>
    <s v="Manager Volunteers"/>
    <d v="2021-03-22T00:00:00"/>
    <m/>
    <d v="2023-02-06T00:00:00"/>
    <s v="PART"/>
    <n v="30"/>
    <n v="0.78947368421052633"/>
    <s v="Other Managers"/>
    <n v="110831"/>
    <s v="Mairi McNeill"/>
    <s v="H01487"/>
    <s v="General Manager"/>
    <x v="5"/>
    <x v="34"/>
  </r>
  <r>
    <s v="UCH105501"/>
    <n v="105501"/>
    <s v="Susan"/>
    <s v="Farlow"/>
    <s v="FEMALE"/>
    <s v="HOS130"/>
    <s v="H01506"/>
    <s v="Hotel Services Manager"/>
    <d v="2010-11-29T00:00:00"/>
    <m/>
    <d v="2023-02-06T00:00:00"/>
    <s v="FULL"/>
    <n v="38"/>
    <n v="1"/>
    <s v="Other Managers"/>
    <n v="114574"/>
    <s v="Steven Croxford"/>
    <s v="H01491"/>
    <s v="Director Corporate Services"/>
    <x v="5"/>
    <x v="34"/>
  </r>
  <r>
    <s v="UCH114894"/>
    <n v="114894"/>
    <s v="Raewyn"/>
    <s v="Morris"/>
    <s v="FEMALE"/>
    <s v="HOS65"/>
    <s v="H01434"/>
    <s v="Patient Administration Manager"/>
    <d v="2022-04-11T00:00:00"/>
    <m/>
    <d v="2023-02-06T00:00:00"/>
    <s v="FULL"/>
    <n v="38"/>
    <n v="1"/>
    <s v="Other Managers"/>
    <n v="114574"/>
    <s v="Steven Croxford"/>
    <s v="H01491"/>
    <s v="Director Corporate Services"/>
    <x v="5"/>
    <x v="34"/>
  </r>
  <r>
    <s v="UCH107765"/>
    <n v="107765"/>
    <s v="Benjamin"/>
    <s v="Blemings"/>
    <s v="MALE"/>
    <s v="HOS33"/>
    <s v="H01477"/>
    <s v="Manager Engineering"/>
    <d v="2013-11-18T00:00:00"/>
    <m/>
    <d v="2023-02-06T00:00:00"/>
    <s v="FULL"/>
    <n v="38"/>
    <n v="1"/>
    <s v="Senior Managers"/>
    <n v="114574"/>
    <s v="Steven Croxford"/>
    <s v="H01491"/>
    <s v="Director Corporate Services"/>
    <x v="5"/>
    <x v="34"/>
  </r>
  <r>
    <s v="UCH109489"/>
    <n v="109489"/>
    <s v="Rosemarie"/>
    <s v="Klingberg"/>
    <s v="FEMALE"/>
    <s v="HOS78"/>
    <s v="H00759"/>
    <s v="Complex Care Coordinator"/>
    <d v="1989-03-13T00:00:00"/>
    <m/>
    <d v="2023-02-06T00:00:00"/>
    <s v="FULL"/>
    <n v="38"/>
    <n v="1"/>
    <s v="Professionals"/>
    <n v="108895"/>
    <s v="Deborah Turton"/>
    <s v="H00758"/>
    <s v="Assistant Director of Nursing Clinical"/>
    <x v="5"/>
    <x v="34"/>
  </r>
  <r>
    <s v="UCH108052"/>
    <n v="108052"/>
    <s v="Sherree"/>
    <s v="Bale"/>
    <s v="FEMALE"/>
    <s v="HOS68"/>
    <s v="H01498"/>
    <s v="Quality Manager"/>
    <d v="2014-05-06T00:00:00"/>
    <m/>
    <d v="2023-02-06T00:00:00"/>
    <s v="FULL"/>
    <n v="38"/>
    <n v="1"/>
    <s v="Other Managers"/>
    <n v="108895"/>
    <s v="Deborah Turton"/>
    <s v="H00758"/>
    <s v="Assistant Director of Nursing Clinical"/>
    <x v="5"/>
    <x v="34"/>
  </r>
  <r>
    <s v="UCH114470"/>
    <n v="114470"/>
    <s v="Peta"/>
    <s v="Donovan"/>
    <s v="FEMALE"/>
    <s v="BF42"/>
    <s v="H01490"/>
    <s v="Business Performance Analyst"/>
    <d v="2021-11-30T00:00:00"/>
    <m/>
    <d v="2023-02-06T00:00:00"/>
    <s v="FULL"/>
    <n v="38"/>
    <n v="1"/>
    <s v="Professionals"/>
    <n v="114574"/>
    <s v="Steven Croxford"/>
    <s v="H01491"/>
    <s v="Director Corporate Services"/>
    <x v="5"/>
    <x v="34"/>
  </r>
  <r>
    <s v="UCH103804"/>
    <n v="103804"/>
    <s v="Monique"/>
    <s v="Luca"/>
    <s v="FEMALE"/>
    <s v="HOS44"/>
    <s v="H01355"/>
    <s v="Allied Health Manager"/>
    <d v="2009-01-16T00:00:00"/>
    <m/>
    <d v="2023-02-06T00:00:00"/>
    <s v="FULL"/>
    <n v="38"/>
    <n v="1"/>
    <s v="Other Managers"/>
    <n v="108895"/>
    <s v="Deborah Turton"/>
    <s v="H00758"/>
    <s v="Assistant Director of Nursing Clinical"/>
    <x v="5"/>
    <x v="34"/>
  </r>
  <r>
    <s v="UCH400635"/>
    <n v="400635"/>
    <s v="Shirley"/>
    <s v="White"/>
    <s v="FEMALE"/>
    <s v="HOS57"/>
    <s v="H00794"/>
    <s v="Hospital Nurse Manager"/>
    <d v="1989-05-15T00:00:00"/>
    <m/>
    <d v="2023-02-06T00:00:00"/>
    <s v="FULL"/>
    <n v="38"/>
    <n v="1"/>
    <s v="Other Managers"/>
    <n v="108895"/>
    <s v="Deborah Turton"/>
    <s v="H00758"/>
    <s v="Assistant Director of Nursing Clinical"/>
    <x v="5"/>
    <x v="34"/>
  </r>
  <r>
    <s v="UCH401037"/>
    <n v="401037"/>
    <s v="Ian"/>
    <s v="Smith"/>
    <s v="MALE"/>
    <s v="HOS43"/>
    <s v="H01473"/>
    <s v="Senior Advisor"/>
    <d v="1999-08-23T00:00:00"/>
    <m/>
    <d v="2023-02-06T00:00:00"/>
    <s v="FULL"/>
    <n v="38"/>
    <n v="1"/>
    <s v="Professionals"/>
    <n v="108895"/>
    <s v="Deborah Turton"/>
    <s v="H00758"/>
    <s v="Assistant Director of Nursing Clinical"/>
    <x v="5"/>
    <x v="34"/>
  </r>
  <r>
    <s v="UCH114946"/>
    <n v="114946"/>
    <s v="Mohammad"/>
    <s v="Khan"/>
    <s v="MALE"/>
    <s v="HOS40"/>
    <s v="H01312"/>
    <s v="Medical Registrar"/>
    <d v="2022-08-08T00:00:00"/>
    <m/>
    <d v="2023-02-06T00:00:00"/>
    <s v="PART"/>
    <n v="20"/>
    <n v="0.52631578947368418"/>
    <s v="Professionals"/>
    <n v="110831"/>
    <s v="Mairi McNeill"/>
    <s v="H01487"/>
    <s v="General Manager"/>
    <x v="5"/>
    <x v="34"/>
  </r>
  <r>
    <s v="UCH114949"/>
    <n v="114949"/>
    <s v="Elliam"/>
    <s v="Hedges"/>
    <s v="MALE"/>
    <s v="HOS40"/>
    <s v="H01313"/>
    <s v="Medical Registrar"/>
    <d v="2022-08-08T00:00:00"/>
    <m/>
    <d v="2023-02-06T00:00:00"/>
    <s v="PART"/>
    <n v="20"/>
    <n v="0.52631578947368418"/>
    <s v="Professionals"/>
    <n v="110831"/>
    <s v="Mairi McNeill"/>
    <s v="H01487"/>
    <s v="General Manager"/>
    <x v="5"/>
    <x v="34"/>
  </r>
  <r>
    <s v="UCH116122"/>
    <n v="116122"/>
    <s v="Allison"/>
    <s v="Brown"/>
    <s v="FEMALE"/>
    <s v="HOS40"/>
    <s v="H01328"/>
    <s v="Medical Registrar"/>
    <d v="2023-02-02T00:00:00"/>
    <m/>
    <d v="2023-02-06T00:00:00"/>
    <s v="PART"/>
    <n v="20"/>
    <n v="0.52631578947368418"/>
    <s v="Professionals"/>
    <n v="110831"/>
    <s v="Mairi McNeill"/>
    <s v="H01487"/>
    <s v="General Manager"/>
    <x v="5"/>
    <x v="34"/>
  </r>
  <r>
    <s v="UCH114574"/>
    <n v="114574"/>
    <s v="Steven"/>
    <s v="Croxford"/>
    <s v="MALE"/>
    <s v="HOS05"/>
    <s v="H01491"/>
    <s v="Director Corporate Services"/>
    <d v="2022-01-10T00:00:00"/>
    <m/>
    <d v="2023-02-06T00:00:00"/>
    <s v="FULL"/>
    <n v="38"/>
    <n v="1"/>
    <s v="Senior Managers"/>
    <n v="110831"/>
    <s v="Mairi McNeill"/>
    <s v="H01487"/>
    <s v="General Manager"/>
    <x v="5"/>
    <x v="34"/>
  </r>
  <r>
    <s v="UCH112840"/>
    <n v="112840"/>
    <s v="Adam"/>
    <s v="Bartlett"/>
    <s v="MALE"/>
    <s v="HOS37"/>
    <s v="H01346"/>
    <s v="Medical Officer"/>
    <d v="2019-08-03T00:00:00"/>
    <m/>
    <d v="2023-02-06T00:00:00"/>
    <s v="CASUAL"/>
    <n v="38"/>
    <n v="1"/>
    <s v="Professionals"/>
    <n v="110831"/>
    <s v="Mairi McNeill"/>
    <s v="H01487"/>
    <s v="General Manager"/>
    <x v="5"/>
    <x v="34"/>
  </r>
  <r>
    <s v="UCH111809"/>
    <n v="111809"/>
    <s v="Ashley"/>
    <s v="Morgan"/>
    <s v="MALE"/>
    <s v="HOS37"/>
    <s v="H01343"/>
    <s v="Medical Officer"/>
    <d v="2018-02-16T00:00:00"/>
    <m/>
    <d v="2023-02-06T00:00:00"/>
    <s v="PART"/>
    <n v="30"/>
    <n v="0.78947368421052633"/>
    <s v="Professionals"/>
    <n v="110831"/>
    <s v="Mairi McNeill"/>
    <s v="H01487"/>
    <s v="General Manager"/>
    <x v="5"/>
    <x v="34"/>
  </r>
  <r>
    <s v="UCH113210"/>
    <n v="113210"/>
    <s v="Mathew"/>
    <s v="Brun"/>
    <s v="MALE"/>
    <s v="HOS37"/>
    <s v="H01348"/>
    <s v="Medical Officer"/>
    <d v="2020-03-25T00:00:00"/>
    <m/>
    <d v="2023-02-06T00:00:00"/>
    <s v="CASUAL"/>
    <n v="38"/>
    <n v="1"/>
    <s v="Professionals"/>
    <n v="110831"/>
    <s v="Mairi McNeill"/>
    <s v="H01487"/>
    <s v="General Manager"/>
    <x v="5"/>
    <x v="34"/>
  </r>
  <r>
    <s v="UCH113186"/>
    <n v="113186"/>
    <s v="Kenny"/>
    <s v="Parra Guasca"/>
    <s v="MALE"/>
    <s v="HOS37"/>
    <s v="H01347"/>
    <s v="Medical Officer"/>
    <d v="2020-02-07T00:00:00"/>
    <m/>
    <d v="2023-02-06T00:00:00"/>
    <s v="PART"/>
    <n v="16.61"/>
    <n v="0.43710526315789472"/>
    <s v="Professionals"/>
    <n v="110831"/>
    <s v="Mairi McNeill"/>
    <s v="H01487"/>
    <s v="General Manager"/>
    <x v="5"/>
    <x v="34"/>
  </r>
  <r>
    <s v="UCH104538"/>
    <n v="104538"/>
    <s v="Atul"/>
    <s v="Sharma"/>
    <s v="MALE"/>
    <s v="HOS37"/>
    <s v="H01334"/>
    <s v="Medical Officer"/>
    <d v="2009-09-16T00:00:00"/>
    <m/>
    <d v="2023-02-06T00:00:00"/>
    <s v="FULL"/>
    <n v="42"/>
    <n v="1.1052631578947369"/>
    <s v="Professionals"/>
    <n v="110831"/>
    <s v="Mairi McNeill"/>
    <s v="H01487"/>
    <s v="General Manager"/>
    <x v="5"/>
    <x v="34"/>
  </r>
  <r>
    <s v="UCH111960"/>
    <n v="111960"/>
    <s v="Gianluigi"/>
    <s v="Li Bassi"/>
    <s v="MALE"/>
    <s v="HOS37"/>
    <s v="H01345"/>
    <s v="Medical Officer"/>
    <d v="2018-10-08T00:00:00"/>
    <m/>
    <d v="2023-02-06T00:00:00"/>
    <s v="FULL"/>
    <n v="38"/>
    <n v="1"/>
    <s v="Professionals"/>
    <n v="110831"/>
    <s v="Mairi McNeill"/>
    <s v="H01487"/>
    <s v="General Manager"/>
    <x v="5"/>
    <x v="34"/>
  </r>
  <r>
    <s v="UCH114536"/>
    <n v="114536"/>
    <s v="Luke"/>
    <s v="Mckean"/>
    <s v="MALE"/>
    <s v="HOS37"/>
    <s v="H01350"/>
    <s v="Medical Officer"/>
    <d v="2021-11-29T00:00:00"/>
    <m/>
    <d v="2023-02-06T00:00:00"/>
    <s v="CASUAL"/>
    <n v="38"/>
    <n v="1"/>
    <s v="Professionals"/>
    <n v="110831"/>
    <s v="Mairi McNeill"/>
    <s v="H01487"/>
    <s v="General Manager"/>
    <x v="5"/>
    <x v="34"/>
  </r>
  <r>
    <s v="UCH700401"/>
    <n v="700401"/>
    <s v="Maree"/>
    <s v="Whitchurch"/>
    <s v="FEMALE"/>
    <s v="HOS37"/>
    <s v="H01333"/>
    <s v="Medical Officer"/>
    <d v="1997-04-05T00:00:00"/>
    <m/>
    <d v="2023-02-06T00:00:00"/>
    <s v="PART"/>
    <n v="15"/>
    <n v="0.39473684210526316"/>
    <s v="Professionals"/>
    <n v="110831"/>
    <s v="Mairi McNeill"/>
    <s v="H01487"/>
    <s v="General Manager"/>
    <x v="5"/>
    <x v="34"/>
  </r>
  <r>
    <s v="UCH700359"/>
    <n v="700359"/>
    <s v="Atef"/>
    <s v="Mousa"/>
    <s v="MALE"/>
    <s v="HOS37"/>
    <s v="H01351"/>
    <s v="Medical Officer"/>
    <d v="1998-04-07T00:00:00"/>
    <m/>
    <d v="2023-02-06T00:00:00"/>
    <s v="PART"/>
    <n v="24"/>
    <n v="0.63157894736842102"/>
    <s v="Professionals"/>
    <n v="110831"/>
    <s v="Mairi McNeill"/>
    <s v="H01487"/>
    <s v="General Manager"/>
    <x v="5"/>
    <x v="34"/>
  </r>
  <r>
    <s v="UCH106917"/>
    <n v="106917"/>
    <s v="John"/>
    <s v="Fraser"/>
    <s v="MALE"/>
    <s v="HOS16"/>
    <s v="H01335"/>
    <s v="Director Intensive Care"/>
    <d v="2012-07-01T00:00:00"/>
    <m/>
    <d v="2023-02-06T00:00:00"/>
    <s v="PART"/>
    <n v="12"/>
    <n v="0.31578947368421051"/>
    <s v="Other Exec / Gen Mgrs"/>
    <n v="110831"/>
    <s v="Mairi McNeill"/>
    <s v="H01487"/>
    <s v="General Manager"/>
    <x v="5"/>
    <x v="34"/>
  </r>
  <r>
    <s v="UCH115390"/>
    <n v="115390"/>
    <s v="Simon"/>
    <s v="Rohde"/>
    <s v="MALE"/>
    <s v="HOS15"/>
    <s v="H01321"/>
    <s v="Director Emergency Medicine"/>
    <d v="2022-07-11T00:00:00"/>
    <m/>
    <d v="2023-02-06T00:00:00"/>
    <s v="PART"/>
    <n v="15"/>
    <n v="0.39473684210526316"/>
    <s v="Other Exec / Gen Mgrs"/>
    <n v="110831"/>
    <s v="Mairi McNeill"/>
    <s v="H01487"/>
    <s v="General Manager"/>
    <x v="5"/>
    <x v="34"/>
  </r>
  <r>
    <s v="UCH900579"/>
    <n v="900579"/>
    <s v="Craig"/>
    <s v="Bite"/>
    <s v="MALE"/>
    <s v="HOS96"/>
    <s v="H00354"/>
    <s v="Maintenance Coordinator"/>
    <d v="2003-07-07T00:00:00"/>
    <m/>
    <d v="2023-02-06T00:00:00"/>
    <s v="FULL"/>
    <n v="38"/>
    <n v="1"/>
    <s v="Technicians And Trades Workers"/>
    <n v="116192"/>
    <s v="Peter Wood"/>
    <s v="H00359"/>
    <s v="General Manager"/>
    <x v="5"/>
    <x v="35"/>
  </r>
  <r>
    <s v="UCH114171"/>
    <n v="114171"/>
    <s v="Adam"/>
    <s v="Grosskopf"/>
    <s v="MALE"/>
    <s v="HOS89"/>
    <s v="H00356"/>
    <s v="Supply Manager"/>
    <d v="2021-08-02T00:00:00"/>
    <m/>
    <d v="2023-02-06T00:00:00"/>
    <s v="FULL"/>
    <n v="38"/>
    <n v="1"/>
    <s v="Other Managers"/>
    <n v="116192"/>
    <s v="Peter Wood"/>
    <s v="H00359"/>
    <s v="General Manager"/>
    <x v="5"/>
    <x v="35"/>
  </r>
  <r>
    <s v="UCH112332"/>
    <n v="112332"/>
    <s v="Suzanne"/>
    <s v="Wadley-Smith"/>
    <s v="FEMALE"/>
    <s v="HOS86"/>
    <s v="H00345"/>
    <s v="Patient Services Manager"/>
    <d v="2018-10-29T00:00:00"/>
    <m/>
    <d v="2023-02-06T00:00:00"/>
    <s v="FULL"/>
    <n v="38"/>
    <n v="1"/>
    <s v="Other Managers"/>
    <n v="116192"/>
    <s v="Peter Wood"/>
    <s v="H00359"/>
    <s v="General Manager"/>
    <x v="5"/>
    <x v="35"/>
  </r>
  <r>
    <s v="UCH115889"/>
    <n v="115889"/>
    <s v="Johanna"/>
    <s v="Uluiva"/>
    <s v="FEMALE"/>
    <s v="HOS105"/>
    <s v="H00361"/>
    <s v="Executive Assistant"/>
    <d v="2022-11-07T00:00:00"/>
    <m/>
    <d v="2023-02-06T00:00:00"/>
    <s v="PART"/>
    <n v="30"/>
    <n v="0.78947368421052633"/>
    <s v="Clerical &amp; Admin"/>
    <n v="116192"/>
    <s v="Peter Wood"/>
    <s v="H00359"/>
    <s v="General Manager"/>
    <x v="5"/>
    <x v="35"/>
  </r>
  <r>
    <s v="UCH114678"/>
    <n v="114678"/>
    <s v="Annabelle"/>
    <s v="Kreutzer"/>
    <s v="FEMALE"/>
    <s v="HOS32"/>
    <s v="H00312"/>
    <s v="House Medical Officer"/>
    <d v="2022-02-07T00:00:00"/>
    <m/>
    <d v="2023-02-06T00:00:00"/>
    <s v="FULL"/>
    <n v="38"/>
    <n v="1"/>
    <s v="Professionals"/>
    <n v="116192"/>
    <s v="Peter Wood"/>
    <s v="H00359"/>
    <s v="General Manager"/>
    <x v="5"/>
    <x v="35"/>
  </r>
  <r>
    <s v="UCH105844"/>
    <n v="105844"/>
    <s v="Larnie"/>
    <s v="Wright"/>
    <s v="FEMALE"/>
    <s v="HOS57"/>
    <s v="H00157"/>
    <s v="Hospital Nurse Manager"/>
    <d v="2011-05-16T00:00:00"/>
    <m/>
    <d v="2023-02-06T00:00:00"/>
    <s v="FULL"/>
    <n v="38"/>
    <n v="1"/>
    <s v="Other Managers"/>
    <n v="300006"/>
    <s v="Kathleen Thorpe"/>
    <s v="H00362"/>
    <s v="Director of Clinical Services"/>
    <x v="5"/>
    <x v="35"/>
  </r>
  <r>
    <s v="UCH116378"/>
    <n v="116378"/>
    <s v="Jinjin"/>
    <s v="Gao"/>
    <s v="FEMALE"/>
    <s v="HOS136"/>
    <s v="H05953"/>
    <s v="Senior Quality, Safety, and Compliance Manager"/>
    <d v="2023-05-02T00:00:00"/>
    <m/>
    <d v="2023-06-05T00:00:00"/>
    <s v="CASUAL"/>
    <n v="38"/>
    <n v="1"/>
    <s v="Other Managers"/>
    <n v="300006"/>
    <s v="Kathleen Thorpe"/>
    <s v="H00362"/>
    <s v="Director of Clinical Services"/>
    <x v="5"/>
    <x v="35"/>
  </r>
  <r>
    <s v="UCH113143"/>
    <n v="113143"/>
    <s v="Garry"/>
    <s v="Weston"/>
    <s v="MALE"/>
    <s v="BF18"/>
    <s v="H00358"/>
    <s v="Commercial Manager"/>
    <d v="2020-01-20T00:00:00"/>
    <m/>
    <d v="2023-02-06T00:00:00"/>
    <s v="PART"/>
    <n v="19"/>
    <n v="0.5"/>
    <s v="Senior Managers"/>
    <n v="116192"/>
    <s v="Peter Wood"/>
    <s v="H00359"/>
    <s v="General Manager"/>
    <x v="5"/>
    <x v="35"/>
  </r>
  <r>
    <s v="UCH111093"/>
    <n v="111093"/>
    <s v="Melanie"/>
    <s v="Geoghegan"/>
    <s v="FEMALE"/>
    <s v="HOS32"/>
    <s v="H00298"/>
    <s v="House Medical Officer"/>
    <d v="2022-04-1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5068"/>
    <n v="115068"/>
    <s v="Will"/>
    <s v="Divall"/>
    <s v="MALE"/>
    <s v="HOS32"/>
    <s v="H00314"/>
    <s v="House Medical Officer"/>
    <d v="2022-05-22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5173"/>
    <n v="115173"/>
    <s v="Alastair"/>
    <s v="Macfarlane"/>
    <s v="MALE"/>
    <s v="HOS32"/>
    <s v="H00315"/>
    <s v="House Medical Officer"/>
    <d v="2022-06-20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5188"/>
    <n v="115188"/>
    <s v="Lauren"/>
    <s v="Turner"/>
    <s v="FEMALE"/>
    <s v="HOS32"/>
    <s v="H00316"/>
    <s v="House Medical Officer"/>
    <d v="2022-06-12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5314"/>
    <n v="115314"/>
    <s v="Kit"/>
    <s v="Harvey"/>
    <s v="MALE"/>
    <s v="HOS32"/>
    <s v="H00317"/>
    <s v="House Medical Officer"/>
    <d v="2022-07-08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5380"/>
    <n v="115380"/>
    <s v="Christian"/>
    <s v="Inglis"/>
    <s v="MALE"/>
    <s v="HOS32"/>
    <s v="H00318"/>
    <s v="House Medical Officer"/>
    <d v="2022-08-0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6075"/>
    <n v="116075"/>
    <s v="Yuki"/>
    <s v="Mori"/>
    <s v="MALE"/>
    <s v="HOS32"/>
    <s v="H00320"/>
    <s v="House Medical Officer"/>
    <d v="2023-02-06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2116"/>
    <n v="112116"/>
    <s v="Shaun"/>
    <s v="Kang"/>
    <s v="MALE"/>
    <s v="HOS32"/>
    <s v="H00300"/>
    <s v="House Medical Officer"/>
    <d v="2018-08-20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2643"/>
    <n v="112643"/>
    <s v="Michael"/>
    <s v="Anani"/>
    <s v="MALE"/>
    <s v="HOS32"/>
    <s v="H00301"/>
    <s v="House Medical Officer"/>
    <d v="2019-05-10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2846"/>
    <n v="112846"/>
    <s v="Muhammad"/>
    <s v="Shah"/>
    <s v="MALE"/>
    <s v="HOS32"/>
    <s v="H00302"/>
    <s v="House Medical Officer"/>
    <d v="2019-08-12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3295"/>
    <n v="113295"/>
    <s v="Rebecca"/>
    <s v="Randall"/>
    <s v="FEMALE"/>
    <s v="HOS32"/>
    <s v="H00303"/>
    <s v="House Medical Officer"/>
    <d v="2020-06-0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3807"/>
    <n v="113807"/>
    <s v="Tijeerd"/>
    <s v="Sleeswijk Visser"/>
    <s v="MALE"/>
    <s v="HOS32"/>
    <s v="H00304"/>
    <s v="House Medical Officer"/>
    <d v="2021-03-0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3880"/>
    <n v="113880"/>
    <s v="Thomas"/>
    <s v="Alexander"/>
    <s v="MALE"/>
    <s v="HOS32"/>
    <s v="H00305"/>
    <s v="House Medical Officer"/>
    <d v="2021-04-26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046"/>
    <n v="114046"/>
    <s v="Camilla"/>
    <s v="Lyttle"/>
    <s v="FEMALE"/>
    <s v="HOS32"/>
    <s v="H00306"/>
    <s v="House Medical Officer"/>
    <d v="2021-06-22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178"/>
    <n v="114178"/>
    <s v="Matthew"/>
    <s v="Wood"/>
    <s v="MALE"/>
    <s v="HOS32"/>
    <s v="H00307"/>
    <s v="House Medical Officer"/>
    <d v="2021-07-19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185"/>
    <n v="114185"/>
    <s v="Vignaa"/>
    <s v="Gandhi"/>
    <s v="MALE"/>
    <s v="HOS32"/>
    <s v="H00308"/>
    <s v="House Medical Officer"/>
    <d v="2021-08-05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232"/>
    <n v="114232"/>
    <s v="Daniel"/>
    <s v="Hampsey"/>
    <s v="MALE"/>
    <s v="HOS32"/>
    <s v="H00309"/>
    <s v="House Medical Officer"/>
    <d v="2021-08-30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390"/>
    <n v="114390"/>
    <s v="Lauren"/>
    <s v="Rodgers"/>
    <s v="FEMALE"/>
    <s v="HOS32"/>
    <s v="H00310"/>
    <s v="House Medical Officer"/>
    <d v="2021-11-0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448"/>
    <n v="114448"/>
    <s v="Matthew"/>
    <s v="Cozier"/>
    <s v="MALE"/>
    <s v="HOS32"/>
    <s v="H00311"/>
    <s v="House Medical Officer"/>
    <d v="2021-11-01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893"/>
    <n v="114893"/>
    <s v="Amandeep"/>
    <s v="Chugha"/>
    <s v="MALE"/>
    <s v="HOS32"/>
    <s v="H00313"/>
    <s v="House Medical Officer"/>
    <d v="2022-03-14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0547"/>
    <n v="110547"/>
    <s v="Gareth"/>
    <s v="Davies"/>
    <s v="MALE"/>
    <s v="HOS32"/>
    <s v="H00297"/>
    <s v="House Medical Officer"/>
    <d v="2016-09-19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1102"/>
    <n v="111102"/>
    <s v="Julian"/>
    <s v="Koh"/>
    <s v="MALE"/>
    <s v="HOS32"/>
    <s v="H00299"/>
    <s v="House Medical Officer"/>
    <d v="2017-05-04T00:00:00"/>
    <m/>
    <d v="2023-02-06T00:00:00"/>
    <s v="CASUAL"/>
    <n v="38"/>
    <n v="1"/>
    <s v="Professionals"/>
    <n v="116192"/>
    <s v="Peter Wood"/>
    <s v="H00359"/>
    <s v="General Manager"/>
    <x v="5"/>
    <x v="35"/>
  </r>
  <r>
    <s v="UCH114935"/>
    <n v="114935"/>
    <s v="William"/>
    <s v="Trethan"/>
    <s v="MALE"/>
    <s v="HOS106"/>
    <s v="H04967"/>
    <s v="Lodge Manager"/>
    <d v="2022-04-11T00:00:00"/>
    <m/>
    <d v="2023-02-06T00:00:00"/>
    <s v="FULL"/>
    <n v="38"/>
    <n v="1"/>
    <s v="Other Managers"/>
    <n v="111502"/>
    <s v="Stephen Beer"/>
    <s v="H04975"/>
    <s v="Accommodation Services Manager"/>
    <x v="5"/>
    <x v="36"/>
  </r>
  <r>
    <s v="UCH114940"/>
    <n v="114940"/>
    <s v="Wendy"/>
    <s v="Trethan"/>
    <s v="FEMALE"/>
    <s v="HOS106"/>
    <s v="H04968"/>
    <s v="Lodge Manager"/>
    <d v="2022-04-11T00:00:00"/>
    <m/>
    <d v="2023-02-06T00:00:00"/>
    <s v="FULL"/>
    <n v="38"/>
    <n v="1"/>
    <s v="Other Managers"/>
    <n v="111502"/>
    <s v="Stephen Beer"/>
    <s v="H04975"/>
    <s v="Accommodation Services Manager"/>
    <x v="5"/>
    <x v="36"/>
  </r>
  <r>
    <s v="UCH114196"/>
    <n v="114196"/>
    <s v="Yasmine"/>
    <s v="Rosenzweig"/>
    <s v="FEMALE"/>
    <s v="BF112"/>
    <s v="H05909"/>
    <s v="Finance System Support Officer"/>
    <d v="2021-08-09T00:00:00"/>
    <d v="2023-11-17T00:00:00"/>
    <d v="2023-05-15T00:00:00"/>
    <s v="FULL"/>
    <n v="38"/>
    <n v="1"/>
    <s v="Professionals"/>
    <n v="100809"/>
    <s v="Renee Bowe"/>
    <s v="H04727"/>
    <s v="Manager Patient Accounts"/>
    <x v="5"/>
    <x v="36"/>
  </r>
  <r>
    <s v="UCH114450"/>
    <n v="114450"/>
    <s v="Deva"/>
    <s v="Khokhar"/>
    <s v="FEMALE"/>
    <s v="HOS97"/>
    <s v="H04996"/>
    <s v="Medical Education Coordinator"/>
    <d v="2021-11-08T00:00:00"/>
    <m/>
    <d v="2023-02-06T00:00:00"/>
    <s v="FULL"/>
    <n v="38"/>
    <n v="1"/>
    <s v="Professionals"/>
    <n v="113569"/>
    <s v="Joanne Henderling"/>
    <s v="H04997"/>
    <s v="Practice Manager"/>
    <x v="5"/>
    <x v="36"/>
  </r>
  <r>
    <s v="UCH114783"/>
    <n v="114783"/>
    <s v="Dimity"/>
    <s v="Barlow"/>
    <s v="FEMALE"/>
    <s v="HOS97"/>
    <s v="H04998"/>
    <s v="Medical Education Coordinator"/>
    <d v="2022-03-02T00:00:00"/>
    <m/>
    <d v="2023-03-20T00:00:00"/>
    <s v="PART"/>
    <n v="22.8"/>
    <n v="0.6"/>
    <s v="Professionals"/>
    <n v="113569"/>
    <s v="Joanne Henderling"/>
    <s v="H04997"/>
    <s v="Practice Manager"/>
    <x v="5"/>
    <x v="36"/>
  </r>
  <r>
    <s v="UCH114829"/>
    <n v="114829"/>
    <s v="Louisa"/>
    <s v="Bryar"/>
    <s v="FEMALE"/>
    <s v="HOS97"/>
    <s v="H04999"/>
    <s v="Medical Education Coordinator"/>
    <d v="2022-04-01T00:00:00"/>
    <m/>
    <d v="2023-02-06T00:00:00"/>
    <s v="PART"/>
    <n v="18.5"/>
    <n v="0.48684210526315791"/>
    <s v="Professionals"/>
    <n v="113569"/>
    <s v="Joanne Henderling"/>
    <s v="H04997"/>
    <s v="Practice Manager"/>
    <x v="5"/>
    <x v="36"/>
  </r>
  <r>
    <s v="UCH110772"/>
    <n v="110772"/>
    <s v="Mark"/>
    <s v="Reilly"/>
    <s v="MALE"/>
    <s v="HOS97"/>
    <s v="H04987"/>
    <s v="Medical Education Coordinator"/>
    <d v="2017-01-01T00:00:00"/>
    <m/>
    <d v="2023-02-06T00:00:00"/>
    <s v="FULL"/>
    <n v="38"/>
    <n v="1"/>
    <s v="Professionals"/>
    <n v="113569"/>
    <s v="Joanne Henderling"/>
    <s v="H04997"/>
    <s v="Practice Manager"/>
    <x v="5"/>
    <x v="36"/>
  </r>
  <r>
    <s v="UCH111502"/>
    <n v="111502"/>
    <s v="Stephen"/>
    <s v="Beer"/>
    <s v="MALE"/>
    <s v="HOS93"/>
    <s v="H04975"/>
    <s v="Accommodation Services Manager"/>
    <d v="2017-12-11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111501"/>
    <n v="111501"/>
    <s v="Ina"/>
    <s v="Nelson"/>
    <s v="FEMALE"/>
    <s v="HOS93"/>
    <s v="H04974"/>
    <s v="Accommodation Services Manager"/>
    <d v="2017-12-11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113569"/>
    <n v="113569"/>
    <s v="Joanne"/>
    <s v="Henderling"/>
    <s v="FEMALE"/>
    <s v="HOS98"/>
    <s v="H04992"/>
    <s v="Practice Manager"/>
    <d v="2020-10-26T00:00:00"/>
    <m/>
    <d v="2023-02-06T00:00:00"/>
    <s v="FULL"/>
    <n v="38"/>
    <n v="1"/>
    <s v="Clerical &amp; Admin"/>
    <n v="114744"/>
    <s v="Stephen Cook"/>
    <s v="H05000"/>
    <s v="Chief Academic Medical Officer"/>
    <x v="5"/>
    <x v="36"/>
  </r>
  <r>
    <s v="UCH111675"/>
    <n v="111675"/>
    <s v="Jessica"/>
    <s v="Ward"/>
    <s v="FEMALE"/>
    <s v="HOS111"/>
    <s v="H04693"/>
    <s v="Patient Services Officer TL"/>
    <d v="2018-02-05T00:00:00"/>
    <m/>
    <d v="2023-02-06T00:00:00"/>
    <s v="FULL"/>
    <n v="38"/>
    <n v="1"/>
    <s v="Clerical &amp; Admin"/>
    <n v="108365"/>
    <s v="Jessica Strong"/>
    <s v="H04681"/>
    <s v="Patient Admin Manager"/>
    <x v="5"/>
    <x v="36"/>
  </r>
  <r>
    <s v="UCH110410"/>
    <n v="110410"/>
    <s v="Shannon"/>
    <s v="Lytras"/>
    <s v="FEMALE"/>
    <s v="HOS94"/>
    <s v="H00071"/>
    <s v="Ethics Committee Coordinator"/>
    <d v="2016-06-21T00:00:00"/>
    <m/>
    <d v="2023-02-06T00:00:00"/>
    <s v="PART"/>
    <n v="24"/>
    <n v="0.63157894736842102"/>
    <s v="Clerical &amp; Admin"/>
    <n v="111165"/>
    <s v="Trisha O'Moore-Sullivan"/>
    <s v="H04804"/>
    <s v="Director of Medical Services"/>
    <x v="5"/>
    <x v="36"/>
  </r>
  <r>
    <s v="UCH115028"/>
    <n v="115028"/>
    <s v="Yuchen"/>
    <s v="Wang"/>
    <s v="FEMALE"/>
    <s v="HOS99"/>
    <s v="H04955"/>
    <s v="Restaurant Manager"/>
    <d v="2022-05-03T00:00:00"/>
    <m/>
    <d v="2023-02-06T00:00:00"/>
    <s v="FULL"/>
    <n v="38"/>
    <n v="1"/>
    <s v="Other Managers"/>
    <n v="107129"/>
    <s v="Luke Hoskin"/>
    <s v="H04849"/>
    <s v="Hospitality Services Manager"/>
    <x v="5"/>
    <x v="36"/>
  </r>
  <r>
    <s v="UCH106293"/>
    <n v="106293"/>
    <s v="Ian"/>
    <s v="Chambers"/>
    <s v="MALE"/>
    <s v="HOS109"/>
    <s v="H04749"/>
    <s v="Security Technical Officer"/>
    <d v="2012-01-09T00:00:00"/>
    <m/>
    <d v="2023-02-18T00:00:00"/>
    <s v="FULL"/>
    <n v="38"/>
    <n v="1"/>
    <s v="Community &amp; Persnal Svcs"/>
    <n v="105390"/>
    <s v="Brigitte McCann"/>
    <s v="H04747"/>
    <s v="Manager Security"/>
    <x v="5"/>
    <x v="36"/>
  </r>
  <r>
    <s v="UCH113078"/>
    <n v="113078"/>
    <s v="Rohit"/>
    <s v="Tarika"/>
    <s v="MALE"/>
    <s v="ACC84"/>
    <s v="H04879"/>
    <s v="Head Chef"/>
    <d v="2020-01-20T00:00:00"/>
    <m/>
    <d v="2023-02-06T00:00:00"/>
    <s v="FULL"/>
    <n v="38"/>
    <n v="1"/>
    <s v="Technicians And Trades Workers"/>
    <n v="103047"/>
    <s v="Mahadevan Jegatheesan"/>
    <s v="H04839"/>
    <s v="Operations Manager Food Services"/>
    <x v="5"/>
    <x v="36"/>
  </r>
  <r>
    <s v="UCH107796"/>
    <n v="107796"/>
    <s v="Gary"/>
    <s v="Pember"/>
    <s v="MALE"/>
    <s v="HOS102"/>
    <s v="H04984"/>
    <s v="Volunteer Manager"/>
    <d v="2013-12-02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402121"/>
    <n v="402121"/>
    <s v="Nicholas"/>
    <s v="Harper"/>
    <s v="MALE"/>
    <s v="HOS101"/>
    <s v="H04798"/>
    <s v="Team Leader Supply"/>
    <d v="2002-06-24T00:00:00"/>
    <m/>
    <d v="2023-02-06T00:00:00"/>
    <s v="FULL"/>
    <n v="38"/>
    <n v="1"/>
    <s v="Clerical &amp; Admin"/>
    <n v="113978"/>
    <s v="Robert Deans"/>
    <s v="H04791"/>
    <s v="Metro Supply Manager"/>
    <x v="5"/>
    <x v="36"/>
  </r>
  <r>
    <s v="UCH960022"/>
    <n v="960022"/>
    <s v="Amanda"/>
    <s v="Lum"/>
    <s v="FEMALE"/>
    <s v="HOS98"/>
    <s v="H04262"/>
    <s v="Practice Manager"/>
    <d v="1996-01-09T00:00:00"/>
    <m/>
    <d v="2023-02-06T00:00:00"/>
    <s v="FULL"/>
    <n v="38"/>
    <n v="1"/>
    <s v="Clerical &amp; Admin"/>
    <n v="114983"/>
    <s v="Tuesday Cole"/>
    <s v="H04250"/>
    <s v="Director Breast Clinic"/>
    <x v="5"/>
    <x v="36"/>
  </r>
  <r>
    <s v="UCH110281"/>
    <n v="110281"/>
    <s v="Frederick"/>
    <s v="Wong"/>
    <s v="MALE"/>
    <s v="HOS91"/>
    <s v="H04734"/>
    <s v="Team Leader Patient Accounts"/>
    <d v="2016-05-30T00:00:00"/>
    <m/>
    <d v="2023-02-06T00:00:00"/>
    <s v="FULL"/>
    <n v="38"/>
    <n v="1"/>
    <s v="Clerical &amp; Admin"/>
    <n v="100809"/>
    <s v="Renee Bowe"/>
    <s v="H04727"/>
    <s v="Manager Patient Accounts"/>
    <x v="5"/>
    <x v="36"/>
  </r>
  <r>
    <s v="UCH103047"/>
    <n v="103047"/>
    <s v="Mahadevan"/>
    <s v="Jegatheesan"/>
    <s v="MALE"/>
    <s v="HOS85"/>
    <s v="H04839"/>
    <s v="Operations Manager Food Services"/>
    <d v="2008-04-07T00:00:00"/>
    <m/>
    <d v="2023-02-06T00:00:00"/>
    <s v="FULL"/>
    <n v="38"/>
    <n v="1"/>
    <s v="Other Managers"/>
    <n v="107129"/>
    <s v="Luke Hoskin"/>
    <s v="H04849"/>
    <s v="Hospitality Services Manager"/>
    <x v="5"/>
    <x v="36"/>
  </r>
  <r>
    <s v="UCH101143"/>
    <n v="101143"/>
    <s v="Paul"/>
    <s v="Williams"/>
    <s v="MALE"/>
    <s v="HOS63"/>
    <s v="H03730"/>
    <s v="Manager Orderlies"/>
    <d v="2006-09-11T00:00:00"/>
    <m/>
    <d v="2023-02-23T00:00:00"/>
    <s v="FULL"/>
    <n v="38"/>
    <n v="1"/>
    <s v="Other Managers"/>
    <n v="113324"/>
    <s v="Daniel Pocock"/>
    <s v="H03194"/>
    <s v="Assistant Director of Nursing"/>
    <x v="5"/>
    <x v="36"/>
  </r>
  <r>
    <s v="UCH115165"/>
    <n v="115165"/>
    <s v="Lydia"/>
    <s v="Ng"/>
    <s v="FEMALE"/>
    <s v="HOS76"/>
    <s v="H04252"/>
    <s v="Clinical Systems Manager"/>
    <d v="2022-08-01T00:00:00"/>
    <m/>
    <d v="2023-02-06T00:00:00"/>
    <s v="FULL"/>
    <n v="38"/>
    <n v="1"/>
    <s v="Other Managers"/>
    <n v="114983"/>
    <s v="Tuesday Cole"/>
    <s v="H04250"/>
    <s v="Director Breast Clinic"/>
    <x v="5"/>
    <x v="36"/>
  </r>
  <r>
    <s v="UCH107519"/>
    <n v="107519"/>
    <s v="Rosa"/>
    <s v="Deane"/>
    <s v="FEMALE"/>
    <s v="HOS105"/>
    <s v="H04801"/>
    <s v="Executive Assistant MG"/>
    <d v="2013-06-17T00:00:00"/>
    <m/>
    <d v="2023-02-06T00:00:00"/>
    <s v="FULL"/>
    <n v="38"/>
    <n v="1"/>
    <s v="Clerical &amp; Admin"/>
    <m/>
    <s v="Ian Grisold"/>
    <s v="H04805"/>
    <s v="General Manager"/>
    <x v="5"/>
    <x v="36"/>
  </r>
  <r>
    <s v="UCH105390"/>
    <n v="105390"/>
    <s v="Brigitte"/>
    <s v="Mccann"/>
    <s v="FEMALE"/>
    <s v="HOS83"/>
    <s v="H04747"/>
    <s v="Manager Security"/>
    <d v="2010-10-11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008006"/>
    <n v="8006"/>
    <s v="Peter"/>
    <s v="Lahey"/>
    <s v="MALE"/>
    <s v="HOS135"/>
    <s v="H05885"/>
    <s v="Engineering Supervisor"/>
    <d v="1994-01-10T00:00:00"/>
    <m/>
    <d v="2023-06-26T00:00:00"/>
    <s v="FULL"/>
    <n v="38"/>
    <n v="1"/>
    <s v="Professionals"/>
    <n v="114657"/>
    <s v="Stephen Day"/>
    <s v="H04809"/>
    <s v="Manager Engineering"/>
    <x v="5"/>
    <x v="36"/>
  </r>
  <r>
    <s v="UCH115588"/>
    <n v="115588"/>
    <s v="Xin"/>
    <s v="Wang"/>
    <s v="FEMALE"/>
    <s v="HOS79"/>
    <s v="H04808"/>
    <s v="Financial Analyst"/>
    <d v="2022-10-17T00:00:00"/>
    <m/>
    <d v="2023-02-06T00:00:00"/>
    <s v="FULL"/>
    <n v="38"/>
    <n v="1"/>
    <s v="Professionals"/>
    <n v="700103"/>
    <s v="Fergus Pollock"/>
    <s v="H04809"/>
    <s v="Director Corporate Services"/>
    <x v="5"/>
    <x v="36"/>
  </r>
  <r>
    <s v="UCH111081"/>
    <n v="111081"/>
    <s v="Julia"/>
    <s v="Chan"/>
    <s v="FEMALE"/>
    <s v="BF42"/>
    <s v="H04803"/>
    <s v="Business Performance Analyst"/>
    <d v="2017-05-08T00:00:00"/>
    <m/>
    <d v="2023-04-29T00:00:00"/>
    <s v="FULL"/>
    <n v="38"/>
    <n v="1"/>
    <s v="Professionals"/>
    <n v="700103"/>
    <s v="Fergus Pollock"/>
    <s v="H04809"/>
    <s v="Director Corporate Services"/>
    <x v="5"/>
    <x v="36"/>
  </r>
  <r>
    <s v="UCH108365"/>
    <n v="108365"/>
    <s v="Jessica"/>
    <s v="Strong"/>
    <s v="FEMALE"/>
    <s v="HOS65"/>
    <s v="H04681"/>
    <s v="Patient Admin Manager"/>
    <d v="2014-09-22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100809"/>
    <n v="100809"/>
    <s v="Renee"/>
    <s v="Bowe"/>
    <s v="FEMALE"/>
    <s v="HOS34"/>
    <s v="H04727"/>
    <s v="Manager Patient Accounts"/>
    <d v="1997-02-17T00:00:00"/>
    <m/>
    <d v="2023-02-06T00:00:00"/>
    <s v="FULL"/>
    <n v="38"/>
    <n v="1"/>
    <s v="Senior Managers"/>
    <n v="700103"/>
    <s v="Fergus Pollock"/>
    <s v="H04809"/>
    <s v="Director Corporate Services"/>
    <x v="5"/>
    <x v="36"/>
  </r>
  <r>
    <s v="UCH002369"/>
    <n v="2369"/>
    <s v="Elizabeth"/>
    <s v="De Goede"/>
    <s v="FEMALE"/>
    <s v="HOS132"/>
    <s v="1NC200"/>
    <s v="Clinical Nurse Consultant"/>
    <d v="1993-02-09T00:00:00"/>
    <m/>
    <d v="2023-02-06T00:00:00"/>
    <s v="FULL"/>
    <n v="38"/>
    <n v="1"/>
    <s v="Professionals"/>
    <n v="111865"/>
    <s v="Justine Jones"/>
    <s v="H03191"/>
    <s v="Director Perioperative Services"/>
    <x v="5"/>
    <x v="36"/>
  </r>
  <r>
    <s v="UCH114531"/>
    <n v="114531"/>
    <s v="Maree"/>
    <s v="Johnson"/>
    <s v="FEMALE"/>
    <s v="HOS54"/>
    <s v="H04821"/>
    <s v="Consumer Engagement and Liaison Lead"/>
    <d v="2021-11-29T00:00:00"/>
    <m/>
    <d v="2023-02-06T00:00:00"/>
    <s v="PART"/>
    <n v="32"/>
    <n v="0.84210526315789469"/>
    <s v="Professionals"/>
    <n v="114639"/>
    <s v="Katherine Jackman"/>
    <s v="H04822"/>
    <s v="Manager Quality and Safety"/>
    <x v="5"/>
    <x v="36"/>
  </r>
  <r>
    <s v="UCH002538"/>
    <n v="2538"/>
    <s v="Shona"/>
    <s v="Di Clemente"/>
    <s v="FEMALE"/>
    <s v="HOS62"/>
    <s v="H03199"/>
    <s v="Manager Nursing Coordinators"/>
    <d v="1991-03-18T00:00:00"/>
    <m/>
    <d v="2016-11-21T00:00:00"/>
    <s v="FULL"/>
    <n v="38"/>
    <n v="1"/>
    <s v="Professionals"/>
    <n v="113125"/>
    <s v="Carole Smith"/>
    <s v="H03193"/>
    <s v="Assistant Director of Nursing"/>
    <x v="5"/>
    <x v="36"/>
  </r>
  <r>
    <s v="UCH113978"/>
    <n v="113978"/>
    <s v="Robert"/>
    <s v="Deans"/>
    <s v="MALE"/>
    <s v="HOS64"/>
    <s v="H04791"/>
    <s v="Metro Supply Manager"/>
    <d v="2021-05-31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107129"/>
    <n v="107129"/>
    <s v="Luke"/>
    <s v="Hoskin"/>
    <s v="MALE"/>
    <s v="HOS60"/>
    <s v="H04849"/>
    <s v="Hospitality Services Manager"/>
    <d v="2012-12-18T00:00:00"/>
    <m/>
    <d v="2023-02-06T00:00:00"/>
    <s v="FULL"/>
    <n v="38"/>
    <n v="1"/>
    <s v="Other Managers"/>
    <n v="700103"/>
    <s v="Fergus Pollock"/>
    <s v="H04809"/>
    <s v="Director Corporate Services"/>
    <x v="5"/>
    <x v="36"/>
  </r>
  <r>
    <s v="UCH992190"/>
    <n v="992190"/>
    <s v="Sallyann"/>
    <s v="Epple"/>
    <s v="FEMALE"/>
    <s v="HOS55"/>
    <s v="H04076"/>
    <s v="Director Staff Development"/>
    <d v="1999-11-22T00:00:00"/>
    <m/>
    <d v="2023-02-06T00:00:00"/>
    <s v="FULL"/>
    <n v="38"/>
    <n v="1"/>
    <s v="Other Managers"/>
    <n v="110500"/>
    <s v="Cheryl Clayton"/>
    <s v="H04802"/>
    <s v="Director of Clinical Services"/>
    <x v="5"/>
    <x v="36"/>
  </r>
  <r>
    <s v="UCH106596"/>
    <n v="106596"/>
    <s v="Ali"/>
    <s v="Munroe"/>
    <s v="FEMALE"/>
    <s v="HOS92"/>
    <s v="H00069"/>
    <s v="Workstream Lead"/>
    <d v="2012-04-16T00:00:00"/>
    <m/>
    <d v="2022-02-01T00:00:00"/>
    <s v="FULL"/>
    <n v="38"/>
    <n v="1"/>
    <m/>
    <m/>
    <s v="Ian Grisold"/>
    <s v="H04805"/>
    <s v="General Manager"/>
    <x v="5"/>
    <x v="36"/>
  </r>
  <r>
    <s v="UCH018003"/>
    <n v="18003"/>
    <s v="David"/>
    <s v="Gray"/>
    <s v="MALE"/>
    <s v="HOS33"/>
    <s v="H04763"/>
    <s v="Manager Engineering"/>
    <d v="2001-04-03T00:00:00"/>
    <m/>
    <d v="2023-02-06T00:00:00"/>
    <s v="FULL"/>
    <n v="38"/>
    <n v="1"/>
    <s v="Senior Managers"/>
    <n v="700103"/>
    <s v="Fergus Pollock"/>
    <s v="P06472"/>
    <s v="Director Corporate Services"/>
    <x v="5"/>
    <x v="36"/>
  </r>
  <r>
    <s v="UCH114639"/>
    <n v="114639"/>
    <s v="Katherine"/>
    <s v="Jackman"/>
    <s v="FEMALE"/>
    <s v="HOS35"/>
    <s v="H04822"/>
    <s v="Manager Quality and Safety"/>
    <d v="2022-01-17T00:00:00"/>
    <m/>
    <d v="2023-02-06T00:00:00"/>
    <s v="FULL"/>
    <n v="38"/>
    <n v="1"/>
    <s v="Senior Managers"/>
    <n v="110500"/>
    <s v="Cheryl Clayton"/>
    <s v="H04802"/>
    <s v="Director of Clinical Services"/>
    <x v="5"/>
    <x v="36"/>
  </r>
  <r>
    <s v="UCH116049"/>
    <n v="116049"/>
    <s v="Trish"/>
    <s v="Kahawita"/>
    <s v="FEMALE"/>
    <s v="HOS40"/>
    <s v="H04407"/>
    <s v="Registrar"/>
    <d v="2023-02-06T00:00:00"/>
    <m/>
    <d v="2023-02-06T00:00:00"/>
    <s v="FULL"/>
    <n v="38"/>
    <n v="1"/>
    <s v="Professionals"/>
    <n v="101109"/>
    <s v="John McConaghy"/>
    <s v="H04403"/>
    <s v="Director Palliative Care"/>
    <x v="5"/>
    <x v="36"/>
  </r>
  <r>
    <s v="UCH115972"/>
    <n v="115972"/>
    <s v="Soraya"/>
    <s v="Bews"/>
    <s v="FEMALE"/>
    <s v="HOS44"/>
    <s v="H04529"/>
    <s v="Allied Health Manager"/>
    <d v="2023-01-23T00:00:00"/>
    <m/>
    <d v="2023-02-06T00:00:00"/>
    <s v="FULL"/>
    <n v="38"/>
    <n v="1"/>
    <s v="Senior Managers"/>
    <n v="110500"/>
    <s v="Cheryl Clayton"/>
    <s v="H04802"/>
    <s v="Director of Clinical Services"/>
    <x v="5"/>
    <x v="36"/>
  </r>
  <r>
    <s v="UCH030802"/>
    <n v="30802"/>
    <s v="Bala"/>
    <s v="Venkatesh"/>
    <s v="MALE"/>
    <s v="HOS16"/>
    <s v="H04340"/>
    <s v="Director Intensive Care"/>
    <d v="2003-08-25T00:00:00"/>
    <m/>
    <d v="2023-02-06T00:00:00"/>
    <s v="PART"/>
    <n v="30.4"/>
    <n v="0.79999999999999993"/>
    <s v="Other Exec / Gen Mgrs"/>
    <n v="111165"/>
    <s v="Trisha O'Moore-Sullivan"/>
    <s v="H04804"/>
    <s v="Director of Medical Services"/>
    <x v="5"/>
    <x v="36"/>
  </r>
  <r>
    <s v="UCH109452"/>
    <n v="109452"/>
    <s v="Jeremy"/>
    <s v="Cohen"/>
    <s v="MALE"/>
    <s v="HOS30"/>
    <s v="H04350"/>
    <s v="Deputy Director Intensive Care"/>
    <d v="2016-05-16T00:00:00"/>
    <m/>
    <d v="2023-02-06T00:00:00"/>
    <s v="PART"/>
    <n v="4.75"/>
    <n v="0.125"/>
    <s v="Senior Managers"/>
    <n v="30802"/>
    <s v="Bala Venkatesh"/>
    <s v="H04340"/>
    <s v="Director Intensive Care"/>
    <x v="5"/>
    <x v="36"/>
  </r>
  <r>
    <s v="UCH110082"/>
    <n v="110082"/>
    <s v="Roslyn"/>
    <s v="Purcell"/>
    <s v="FEMALE"/>
    <s v="HOS30"/>
    <s v="H04351"/>
    <s v="Deputy Director Intensive Care"/>
    <d v="2016-05-16T00:00:00"/>
    <m/>
    <d v="2023-02-06T00:00:00"/>
    <s v="PART"/>
    <n v="4.75"/>
    <n v="0.125"/>
    <s v="Senior Managers"/>
    <n v="30802"/>
    <s v="Bala Venkatesh"/>
    <s v="H04340"/>
    <s v="Director Intensive Care"/>
    <x v="5"/>
    <x v="36"/>
  </r>
  <r>
    <s v="UCH114983"/>
    <n v="114983"/>
    <s v="Tuesday"/>
    <s v="Cole"/>
    <s v="FEMALE"/>
    <s v="HOS13"/>
    <s v="H04250"/>
    <s v="Director Breast Clinic"/>
    <d v="2022-07-11T00:00:00"/>
    <m/>
    <d v="2023-02-06T00:00:00"/>
    <s v="PART"/>
    <n v="34.200000000000003"/>
    <n v="0.9"/>
    <s v="Other Exec / Gen Mgrs"/>
    <m/>
    <s v="Ian Grisold"/>
    <s v="H04805"/>
    <s v="General Manager"/>
    <x v="5"/>
    <x v="36"/>
  </r>
  <r>
    <s v="UCH700103"/>
    <n v="700103"/>
    <s v="Fergus"/>
    <s v="Pollock"/>
    <s v="MALE"/>
    <s v="HOS05"/>
    <s v="H04809"/>
    <s v="Director Corporate Services"/>
    <d v="2000-11-01T00:00:00"/>
    <m/>
    <d v="2023-02-06T00:00:00"/>
    <s v="FULL"/>
    <n v="38"/>
    <n v="1"/>
    <s v="Other Exec / Gen Mgrs"/>
    <m/>
    <m/>
    <s v="H04805"/>
    <s v="General Manager"/>
    <x v="5"/>
    <x v="36"/>
  </r>
  <r>
    <s v="UCH999015"/>
    <n v="999015"/>
    <s v="John"/>
    <s v="Allan"/>
    <s v="MALE"/>
    <s v="HOS04"/>
    <s v="H05000"/>
    <s v="Chief Academic Medical Officer"/>
    <d v="1999-03-01T00:00:00"/>
    <m/>
    <d v="2023-02-06T00:00:00"/>
    <s v="CASUAL"/>
    <n v="38"/>
    <n v="1"/>
    <s v="Professionals"/>
    <n v="110831"/>
    <s v="Mairi McNeill"/>
    <s v="H01487"/>
    <s v="General Manager"/>
    <x v="5"/>
    <x v="36"/>
  </r>
  <r>
    <s v="UCH114744"/>
    <n v="114744"/>
    <s v="Stephen"/>
    <s v="Cook"/>
    <s v="MALE"/>
    <s v="HOS04"/>
    <s v="H04997"/>
    <s v="Chief Academic Medical Officer"/>
    <d v="2022-02-14T00:00:00"/>
    <m/>
    <d v="2023-02-06T00:00:00"/>
    <s v="PART"/>
    <n v="19"/>
    <n v="0.5"/>
    <s v="Professionals"/>
    <n v="111165"/>
    <s v="Trisha O'Moore-Sullivan"/>
    <s v="H04804"/>
    <s v="Director of Medical Services"/>
    <x v="5"/>
    <x v="36"/>
  </r>
  <r>
    <s v="UCH112151"/>
    <n v="112151"/>
    <s v="Damien"/>
    <s v="Coyle"/>
    <s v="FEMALE"/>
    <s v="HOS37"/>
    <s v="H04359"/>
    <s v="Medical Officer"/>
    <d v="2019-01-14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6097"/>
    <n v="116097"/>
    <s v="Melissa"/>
    <s v="Tomba"/>
    <s v="FEMALE"/>
    <s v="HOS37"/>
    <s v="H05068"/>
    <s v="Medical Officer"/>
    <d v="2023-02-14T00:00:00"/>
    <m/>
    <d v="2023-02-14T00:00:00"/>
    <s v="PART"/>
    <n v="16"/>
    <n v="0.42105263157894735"/>
    <s v="Professionals"/>
    <n v="102732"/>
    <s v="Michelle Delamont"/>
    <s v="H04203"/>
    <s v="Medical Lead"/>
    <x v="5"/>
    <x v="36"/>
  </r>
  <r>
    <s v="UCH115284"/>
    <n v="115284"/>
    <s v="Nathan"/>
    <s v="Jeffery"/>
    <s v="MALE"/>
    <s v="HOS37"/>
    <s v="H04389"/>
    <s v="Medical Officer"/>
    <d v="2022-07-10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5018"/>
    <n v="115018"/>
    <s v="Alexander"/>
    <s v="Thom"/>
    <s v="MALE"/>
    <s v="HOS37"/>
    <s v="H04386"/>
    <s v="Medical Officer"/>
    <d v="2022-08-15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5149"/>
    <n v="115149"/>
    <s v="Alasdair"/>
    <s v="Dyne"/>
    <s v="MALE"/>
    <s v="HOS37"/>
    <s v="H04388"/>
    <s v="Medical Officer"/>
    <d v="2022-06-05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5347"/>
    <n v="115347"/>
    <s v="Amin"/>
    <s v="Golmohamad"/>
    <s v="MALE"/>
    <s v="HOS37"/>
    <s v="H04391"/>
    <s v="Medical Officer"/>
    <d v="2022-07-11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1389"/>
    <n v="111389"/>
    <s v="Robert"/>
    <s v="Carmichael"/>
    <s v="MALE"/>
    <s v="HOS37"/>
    <s v="H04356"/>
    <s v="Medical Officer"/>
    <d v="2018-02-05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08989"/>
    <n v="108989"/>
    <s v="Hesly"/>
    <s v="Fuentes-Patarroyo"/>
    <s v="MALE"/>
    <s v="HOS37"/>
    <s v="H04349"/>
    <s v="Medical Officer"/>
    <d v="2015-06-10T00:00:00"/>
    <m/>
    <d v="2023-02-06T00:00:00"/>
    <s v="PART"/>
    <n v="25"/>
    <n v="0.65789473684210531"/>
    <s v="Professionals"/>
    <n v="30802"/>
    <s v="Bala Venkatesh"/>
    <s v="H04340"/>
    <s v="Director Intensive Care"/>
    <x v="5"/>
    <x v="36"/>
  </r>
  <r>
    <s v="UCH112729"/>
    <n v="112729"/>
    <s v="Benjamin"/>
    <s v="Gardiner"/>
    <s v="MALE"/>
    <s v="HOS37"/>
    <s v="H04363"/>
    <s v="Medical Officer"/>
    <d v="2020-02-0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5557"/>
    <n v="115557"/>
    <s v="Demi"/>
    <s v="Gray"/>
    <s v="FEMALE"/>
    <s v="HOS37"/>
    <s v="H04401"/>
    <s v="Medical Officer"/>
    <d v="2023-02-06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1510"/>
    <n v="111510"/>
    <s v="Alexander"/>
    <s v="Nesbitt"/>
    <s v="MALE"/>
    <s v="HOS37"/>
    <s v="H04357"/>
    <s v="Medical Officer"/>
    <d v="2018-02-0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2471"/>
    <n v="112471"/>
    <s v="Holly"/>
    <s v="Bernardi"/>
    <s v="FEMALE"/>
    <s v="HOS37"/>
    <s v="H04361"/>
    <s v="Medical Officer"/>
    <d v="2019-02-09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0498"/>
    <n v="110498"/>
    <s v="Gemma"/>
    <s v="Dashwood"/>
    <s v="FEMALE"/>
    <s v="HOS37"/>
    <s v="H04352"/>
    <s v="Medical Officer"/>
    <d v="2017-02-06T00:00:00"/>
    <m/>
    <d v="2023-02-06T00:00:00"/>
    <s v="PART"/>
    <n v="31.25"/>
    <n v="0.82236842105263153"/>
    <s v="Professionals"/>
    <n v="111165"/>
    <s v="Trisha O'Moore-Sullivan"/>
    <s v="H04804"/>
    <s v="Director of Medical Services"/>
    <x v="5"/>
    <x v="36"/>
  </r>
  <r>
    <s v="UCH112600"/>
    <n v="112600"/>
    <s v="Erin"/>
    <s v="Fergus"/>
    <s v="FEMALE"/>
    <s v="HOS37"/>
    <s v="H04362"/>
    <s v="Medical Officer"/>
    <d v="2019-04-07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3106"/>
    <n v="113106"/>
    <s v="Rachel"/>
    <s v="Johnston"/>
    <s v="FEMALE"/>
    <s v="HOS37"/>
    <s v="H04364"/>
    <s v="Medical Officer"/>
    <d v="2019-12-10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5527"/>
    <n v="115527"/>
    <s v="Esha"/>
    <s v="Wijenayake"/>
    <s v="FEMALE"/>
    <s v="HOS37"/>
    <s v="H04394"/>
    <s v="Medical Officer"/>
    <d v="2022-08-28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4617"/>
    <n v="114617"/>
    <s v="Loretta"/>
    <s v="Deuble"/>
    <s v="FEMALE"/>
    <s v="HOS37"/>
    <s v="H04249"/>
    <s v="Medical Officer"/>
    <d v="2022-02-01T00:00:00"/>
    <m/>
    <d v="2023-04-06T00:00:00"/>
    <s v="PART"/>
    <n v="17"/>
    <n v="0.44736842105263158"/>
    <s v="Professionals"/>
    <n v="114983"/>
    <s v="Tuesday Cole"/>
    <s v="H04250"/>
    <s v="Director Breast Clinic"/>
    <x v="5"/>
    <x v="36"/>
  </r>
  <r>
    <s v="UCH114610"/>
    <n v="114610"/>
    <s v="Leena"/>
    <s v="O'Brien"/>
    <s v="FEMALE"/>
    <s v="HOS37"/>
    <s v="H04248"/>
    <s v="Medical Officer"/>
    <d v="2022-01-06T00:00:00"/>
    <m/>
    <d v="2023-05-01T00:00:00"/>
    <s v="PART"/>
    <n v="17"/>
    <n v="0.44736842105263158"/>
    <s v="Professionals"/>
    <n v="114983"/>
    <s v="Tuesday Cole"/>
    <s v="H04250"/>
    <s v="Director Breast Clinic"/>
    <x v="5"/>
    <x v="36"/>
  </r>
  <r>
    <s v="UCH000036"/>
    <n v="36"/>
    <s v="Elizabeth"/>
    <s v="Evans"/>
    <s v="FEMALE"/>
    <s v="HOS37"/>
    <s v="H04188"/>
    <s v="Medical Officer"/>
    <d v="1986-11-28T00:00:00"/>
    <m/>
    <d v="2023-02-06T00:00:00"/>
    <s v="PART"/>
    <n v="8"/>
    <n v="0.21052631578947367"/>
    <s v="Professionals"/>
    <n v="114983"/>
    <s v="Tuesday Cole"/>
    <s v="H04250"/>
    <s v="Director Breast Clinic"/>
    <x v="5"/>
    <x v="36"/>
  </r>
  <r>
    <s v="UCH116448"/>
    <n v="116448"/>
    <s v="Wing Fung Ralph"/>
    <s v="Lee"/>
    <s v="MALE"/>
    <s v="HOS38"/>
    <s v="H04390"/>
    <s v="Medical Officer"/>
    <d v="2023-06-12T00:00:00"/>
    <m/>
    <d v="2023-06-12T00:00:00"/>
    <s v="CASUAL"/>
    <n v="38"/>
    <n v="1"/>
    <s v="Professionals"/>
    <n v="111165"/>
    <s v="Trisha O'Moore-Sullivan"/>
    <s v="H04804"/>
    <s v="Director of Medical Services"/>
    <x v="5"/>
    <x v="36"/>
  </r>
  <r>
    <s v="UCH114466"/>
    <n v="114466"/>
    <s v="Irina"/>
    <s v="Kulina"/>
    <s v="FEMALE"/>
    <s v="HOS37"/>
    <s v="H04382"/>
    <s v="Medical Officer"/>
    <d v="2021-11-1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4459"/>
    <n v="114459"/>
    <s v="Robert"/>
    <s v="Nicholson"/>
    <s v="MALE"/>
    <s v="HOS37"/>
    <s v="H04380"/>
    <s v="Medical Officer"/>
    <d v="2021-11-1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4465"/>
    <n v="114465"/>
    <s v="Ravinesh"/>
    <s v="Singh"/>
    <s v="MALE"/>
    <s v="HOS37"/>
    <s v="H04381"/>
    <s v="Medical Officer"/>
    <d v="2021-11-15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4395"/>
    <n v="114395"/>
    <s v="Jihye"/>
    <s v="Jung"/>
    <s v="FEMALE"/>
    <s v="HOS37"/>
    <s v="H04379"/>
    <s v="Medical Officer"/>
    <d v="2021-10-24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6414"/>
    <n v="116414"/>
    <s v="David"/>
    <s v="Koh"/>
    <s v="MALE"/>
    <s v="HOS37"/>
    <s v="H04397"/>
    <s v="Medical Officer"/>
    <d v="2023-05-29T00:00:00"/>
    <m/>
    <d v="2023-05-29T00:00:00"/>
    <s v="CASUAL"/>
    <n v="38"/>
    <n v="1"/>
    <s v="Professionals"/>
    <n v="111165"/>
    <s v="Trisha O'Moore-Sullivan"/>
    <s v="H04804"/>
    <s v="Director of Medical Services"/>
    <x v="5"/>
    <x v="36"/>
  </r>
  <r>
    <s v="UCH114502"/>
    <n v="114502"/>
    <s v="Daniel"/>
    <s v="Roche"/>
    <s v="MALE"/>
    <s v="HOS37"/>
    <s v="H04383"/>
    <s v="Medical Officer"/>
    <d v="2021-11-11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4570"/>
    <n v="114570"/>
    <s v="Anmol"/>
    <s v="Tandon"/>
    <s v="MALE"/>
    <s v="HOS37"/>
    <s v="H04384"/>
    <s v="Medical Officer"/>
    <d v="2021-12-06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5648"/>
    <n v="115648"/>
    <s v="Jillian"/>
    <s v="Gardner"/>
    <s v="FEMALE"/>
    <s v="HOS37"/>
    <s v="H04257"/>
    <s v="Medical Officer"/>
    <d v="2022-10-27T00:00:00"/>
    <m/>
    <d v="2023-02-06T00:00:00"/>
    <s v="PART"/>
    <n v="16"/>
    <n v="0.42105263157894735"/>
    <s v="Professionals"/>
    <n v="102732"/>
    <s v="Michelle Delamont"/>
    <s v="H04203"/>
    <s v="Medical Lead"/>
    <x v="5"/>
    <x v="36"/>
  </r>
  <r>
    <s v="UCH113236"/>
    <n v="113236"/>
    <s v="David"/>
    <s v="Liu"/>
    <s v="MALE"/>
    <s v="HOS37"/>
    <s v="H04367"/>
    <s v="Medical Officer"/>
    <d v="2020-03-16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3174"/>
    <n v="113174"/>
    <s v="Sameer"/>
    <s v="Nobeebux"/>
    <s v="MALE"/>
    <s v="HOS37"/>
    <s v="H04365"/>
    <s v="Medical Officer"/>
    <d v="2020-02-10T00:00:00"/>
    <m/>
    <d v="2023-02-06T00:00:00"/>
    <s v="PART"/>
    <n v="12.5"/>
    <n v="0.32894736842105265"/>
    <s v="Professionals"/>
    <n v="111165"/>
    <s v="Trisha O'Moore-Sullivan"/>
    <s v="H04804"/>
    <s v="Director of Medical Services"/>
    <x v="5"/>
    <x v="36"/>
  </r>
  <r>
    <s v="UCH990800"/>
    <n v="990800"/>
    <s v="Thomas"/>
    <s v="Brucklacher"/>
    <s v="MALE"/>
    <s v="HOS37"/>
    <s v="H04400"/>
    <s v="Medical Officer"/>
    <d v="1999-01-11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0617"/>
    <n v="110617"/>
    <s v="Cally"/>
    <s v="Buchan"/>
    <s v="FEMALE"/>
    <s v="HOS37"/>
    <s v="H04354"/>
    <s v="Medical Officer"/>
    <d v="2016-10-2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000808"/>
    <n v="808"/>
    <s v="Gregory"/>
    <s v="Ellison"/>
    <s v="MALE"/>
    <s v="HOS37"/>
    <s v="H04339"/>
    <s v="Medical Officer"/>
    <d v="1994-12-28T00:00:00"/>
    <m/>
    <d v="2023-02-06T00:00:00"/>
    <s v="FULL"/>
    <n v="43.75"/>
    <n v="1.1513157894736843"/>
    <s v="Professionals"/>
    <n v="30802"/>
    <s v="Bala Venkatesh"/>
    <s v="H04340"/>
    <s v="Director Intensive Care"/>
    <x v="5"/>
    <x v="36"/>
  </r>
  <r>
    <s v="UCH111254"/>
    <n v="111254"/>
    <s v="Cassie"/>
    <s v="Foote"/>
    <s v="FEMALE"/>
    <s v="HOS37"/>
    <s v="H04355"/>
    <s v="Medical Officer"/>
    <d v="2018-02-05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4209"/>
    <n v="114209"/>
    <s v="Sarah"/>
    <s v="Neumann"/>
    <s v="FEMALE"/>
    <s v="HOS37"/>
    <s v="H04378"/>
    <s v="Medical Officer"/>
    <d v="2021-08-02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06095"/>
    <n v="106095"/>
    <s v="Angeline"/>
    <s v="Reid"/>
    <s v="FEMALE"/>
    <s v="HOS37"/>
    <s v="H04344"/>
    <s v="Medical Officer"/>
    <d v="2011-09-02T00:00:00"/>
    <m/>
    <d v="2023-02-06T00:00:00"/>
    <s v="CASUAL"/>
    <n v="38"/>
    <n v="1"/>
    <s v="Professionals"/>
    <n v="30802"/>
    <s v="Bala Venkatesh"/>
    <s v="H04340"/>
    <s v="Director Intensive Care"/>
    <x v="5"/>
    <x v="36"/>
  </r>
  <r>
    <s v="UCH112456"/>
    <n v="112456"/>
    <s v="Dayang"/>
    <s v="Awg Iskandar"/>
    <s v="FEMALE"/>
    <s v="HOS37"/>
    <s v="H04360"/>
    <s v="Medical Officer"/>
    <d v="2019-01-21T00:00:00"/>
    <m/>
    <d v="2023-02-06T00:00:00"/>
    <s v="PART"/>
    <n v="24"/>
    <n v="0.63157894736842102"/>
    <s v="Professionals"/>
    <n v="111165"/>
    <s v="Trisha O'Moore-Sullivan"/>
    <s v="H04804"/>
    <s v="Director of Medical Services"/>
    <x v="5"/>
    <x v="36"/>
  </r>
  <r>
    <s v="UCH105297"/>
    <n v="105297"/>
    <s v="Dominique"/>
    <s v="Carroll"/>
    <s v="FEMALE"/>
    <s v="HOS37"/>
    <s v="H04343"/>
    <s v="Medical Officer"/>
    <d v="2010-08-23T00:00:00"/>
    <m/>
    <d v="2023-02-06T00:00:00"/>
    <s v="PART"/>
    <n v="12.5"/>
    <n v="0.32894736842105265"/>
    <s v="Professionals"/>
    <n v="111165"/>
    <s v="Trisha O'Moore-Sullivan"/>
    <s v="H04804"/>
    <s v="Director of Medical Services"/>
    <x v="5"/>
    <x v="36"/>
  </r>
  <r>
    <s v="UCH113200"/>
    <n v="113200"/>
    <s v="Anis"/>
    <s v="Che Rahim"/>
    <s v="MALE"/>
    <s v="HOS37"/>
    <s v="H04366"/>
    <s v="Medical Officer"/>
    <d v="2020-02-25T00:00:00"/>
    <m/>
    <d v="2023-02-06T00:00:00"/>
    <s v="PART"/>
    <n v="18.75"/>
    <n v="0.49342105263157893"/>
    <s v="Professionals"/>
    <n v="111165"/>
    <s v="Trisha O'Moore-Sullivan"/>
    <s v="H04804"/>
    <s v="Director of Medical Services"/>
    <x v="5"/>
    <x v="36"/>
  </r>
  <r>
    <s v="UCH113335"/>
    <n v="113335"/>
    <s v="Matthew"/>
    <s v="Dentry"/>
    <s v="MALE"/>
    <s v="HOS37"/>
    <s v="H04372"/>
    <s v="Medical Officer"/>
    <d v="2020-08-03T00:00:00"/>
    <m/>
    <d v="2023-04-17T00:00:00"/>
    <s v="CASUAL"/>
    <n v="38"/>
    <n v="1"/>
    <s v="Professionals"/>
    <n v="111165"/>
    <s v="Trisha O'Moore-Sullivan"/>
    <s v="H04804"/>
    <s v="Director of Medical Services"/>
    <x v="5"/>
    <x v="36"/>
  </r>
  <r>
    <s v="UCH113297"/>
    <n v="113297"/>
    <s v="Shaela"/>
    <s v="Doig"/>
    <s v="FEMALE"/>
    <s v="HOS37"/>
    <s v="H04371"/>
    <s v="Medical Officer"/>
    <d v="2020-06-01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3737"/>
    <n v="113737"/>
    <s v="Jeya"/>
    <s v="Jeya Balu"/>
    <s v="MALE"/>
    <s v="HOS37"/>
    <s v="H04376"/>
    <s v="Medical Officer"/>
    <d v="2021-02-01T00:00:00"/>
    <m/>
    <d v="2023-02-06T00:00:00"/>
    <s v="PART"/>
    <n v="12.5"/>
    <n v="0.32894736842105265"/>
    <s v="Professionals"/>
    <n v="111165"/>
    <s v="Trisha O'Moore-Sullivan"/>
    <s v="H04804"/>
    <s v="Director of Medical Services"/>
    <x v="5"/>
    <x v="36"/>
  </r>
  <r>
    <s v="UCH108674"/>
    <n v="108674"/>
    <s v="Srividya"/>
    <s v="Kota"/>
    <s v="FEMALE"/>
    <s v="HOS37"/>
    <s v="H04348"/>
    <s v="Medical Officer"/>
    <d v="2015-01-27T00:00:00"/>
    <m/>
    <d v="2023-02-06T00:00:00"/>
    <s v="PART"/>
    <n v="25"/>
    <n v="0.65789473684210531"/>
    <s v="Professionals"/>
    <n v="111165"/>
    <s v="Trisha O'Moore-Sullivan"/>
    <s v="H04804"/>
    <s v="Director of Medical Services"/>
    <x v="5"/>
    <x v="36"/>
  </r>
  <r>
    <s v="UCH113798"/>
    <n v="113798"/>
    <s v="Alice"/>
    <s v="Lai"/>
    <s v="FEMALE"/>
    <s v="HOS37"/>
    <s v="H04377"/>
    <s v="Medical Officer"/>
    <d v="2021-03-01T00:00:00"/>
    <m/>
    <d v="2023-02-06T00:00:00"/>
    <s v="PART"/>
    <n v="18.75"/>
    <n v="0.49342105263157893"/>
    <s v="Professionals"/>
    <n v="111165"/>
    <s v="Trisha O'Moore-Sullivan"/>
    <s v="H04804"/>
    <s v="Director of Medical Services"/>
    <x v="5"/>
    <x v="36"/>
  </r>
  <r>
    <s v="UCH107677"/>
    <n v="107677"/>
    <s v="Lorraine"/>
    <s v="Marshall"/>
    <s v="FEMALE"/>
    <s v="HOS37"/>
    <s v="H04347"/>
    <s v="Medical Officer"/>
    <d v="2014-02-10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04118"/>
    <n v="104118"/>
    <s v="Mihaela"/>
    <s v="Petrila"/>
    <s v="FEMALE"/>
    <s v="HOS37"/>
    <s v="H04342"/>
    <s v="Medical Officer"/>
    <d v="2008-12-19T00:00:00"/>
    <m/>
    <d v="2023-02-06T00:00:00"/>
    <s v="PART"/>
    <n v="37.5"/>
    <n v="0.98684210526315785"/>
    <s v="Professionals"/>
    <n v="111165"/>
    <s v="Trisha O'Moore-Sullivan"/>
    <s v="H04804"/>
    <s v="Director of Medical Services"/>
    <x v="5"/>
    <x v="36"/>
  </r>
  <r>
    <s v="UCH111591"/>
    <n v="111591"/>
    <s v="Robyn"/>
    <s v="Shea"/>
    <s v="FEMALE"/>
    <s v="HOS37"/>
    <s v="H04358"/>
    <s v="Medical Officer"/>
    <d v="2017-12-09T00:00:00"/>
    <m/>
    <d v="2023-02-06T00:00:00"/>
    <s v="PART"/>
    <n v="12.5"/>
    <n v="0.32894736842105265"/>
    <s v="Professionals"/>
    <n v="111165"/>
    <s v="Trisha O'Moore-Sullivan"/>
    <s v="H04804"/>
    <s v="Director of Medical Services"/>
    <x v="5"/>
    <x v="36"/>
  </r>
  <r>
    <s v="UCH107431"/>
    <n v="107431"/>
    <s v="Akhil"/>
    <s v="Shukla"/>
    <s v="MALE"/>
    <s v="HOS37"/>
    <s v="H04345"/>
    <s v="Medical Officer"/>
    <d v="2013-04-22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3714"/>
    <n v="113714"/>
    <s v="Syed"/>
    <s v="Syed Ahmad"/>
    <s v="MALE"/>
    <s v="HOS37"/>
    <s v="H04375"/>
    <s v="Medical Officer"/>
    <d v="2021-02-08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0605"/>
    <n v="110605"/>
    <s v="Carmen"/>
    <s v="Yip"/>
    <s v="FEMALE"/>
    <s v="HOS37"/>
    <s v="H04353"/>
    <s v="Medical Officer"/>
    <d v="2018-02-05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07546"/>
    <n v="107546"/>
    <s v="Lai-Man"/>
    <s v="Chuk"/>
    <s v="MALE"/>
    <s v="HOS71"/>
    <s v="H04346"/>
    <s v="Senior Paediatric RMO"/>
    <d v="2013-07-08T00:00:00"/>
    <m/>
    <d v="2023-02-06T00:00:00"/>
    <s v="FULL"/>
    <n v="38"/>
    <n v="1"/>
    <s v="Professionals"/>
    <n v="111165"/>
    <s v="Trisha O'Moore-Sullivan"/>
    <s v="H04804"/>
    <s v="Director of Medical Services"/>
    <x v="5"/>
    <x v="36"/>
  </r>
  <r>
    <s v="UCH115799"/>
    <n v="115799"/>
    <s v="Christopher"/>
    <s v="Bong"/>
    <s v="MALE"/>
    <s v="HOS37"/>
    <s v="H04396"/>
    <s v="Medical Officer"/>
    <d v="2022-10-18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115892"/>
    <n v="115892"/>
    <s v="Kay"/>
    <s v="Teo"/>
    <s v="FEMALE"/>
    <s v="HOS37"/>
    <s v="H04398"/>
    <s v="Medical Officer"/>
    <d v="2022-11-09T00:00:00"/>
    <m/>
    <d v="2023-02-06T00:00:00"/>
    <s v="CASUAL"/>
    <n v="38"/>
    <n v="1"/>
    <s v="Professionals"/>
    <n v="111165"/>
    <s v="Trisha O'Moore-Sullivan"/>
    <s v="H04804"/>
    <s v="Director of Medical Services"/>
    <x v="5"/>
    <x v="36"/>
  </r>
  <r>
    <s v="UCH000805"/>
    <n v="805"/>
    <s v="Andrew"/>
    <s v="Pearson"/>
    <s v="MALE"/>
    <s v="HOS37"/>
    <s v="H04338"/>
    <s v="Medical Officer"/>
    <d v="1994-03-28T00:00:00"/>
    <m/>
    <d v="2023-02-06T00:00:00"/>
    <s v="FULL"/>
    <n v="43.75"/>
    <n v="1.1513157894736843"/>
    <s v="Professionals"/>
    <n v="111165"/>
    <s v="Trisha O'Moore-Sullivan"/>
    <s v="H04804"/>
    <s v="Director of Medical Services"/>
    <x v="5"/>
    <x v="36"/>
  </r>
  <r>
    <s v="UCH107853"/>
    <n v="107853"/>
    <s v="Adele"/>
    <s v="Barber"/>
    <s v="FEMALE"/>
    <s v="HOS37"/>
    <s v="H04223"/>
    <s v="Medical Officer"/>
    <d v="2014-02-03T00:00:00"/>
    <m/>
    <d v="2023-02-06T00:00:00"/>
    <s v="PART"/>
    <n v="14"/>
    <n v="0.36842105263157893"/>
    <s v="Professionals"/>
    <n v="114983"/>
    <s v="Tuesday Cole"/>
    <s v="H04250"/>
    <s v="Director Breast Clinic"/>
    <x v="5"/>
    <x v="36"/>
  </r>
  <r>
    <s v="UCH107451"/>
    <n v="107451"/>
    <s v="Elizabeth"/>
    <s v="Day"/>
    <s v="FEMALE"/>
    <s v="HOS37"/>
    <s v="H04222"/>
    <s v="Medical Officer"/>
    <d v="2013-05-15T00:00:00"/>
    <m/>
    <d v="2023-02-06T00:00:00"/>
    <s v="PART"/>
    <n v="16.5"/>
    <n v="0.43421052631578949"/>
    <s v="Professionals"/>
    <n v="114983"/>
    <s v="Tuesday Cole"/>
    <s v="H04250"/>
    <s v="Director Breast Clinic"/>
    <x v="5"/>
    <x v="36"/>
  </r>
  <r>
    <s v="UCH105751"/>
    <n v="105751"/>
    <s v="Julia"/>
    <s v="Fielding"/>
    <s v="FEMALE"/>
    <s v="HOS37"/>
    <s v="H04216"/>
    <s v="Medical Officer"/>
    <d v="2011-03-14T00:00:00"/>
    <m/>
    <d v="2023-02-06T00:00:00"/>
    <s v="CASUAL"/>
    <n v="38"/>
    <n v="1"/>
    <s v="Professionals"/>
    <n v="114983"/>
    <s v="Tuesday Cole"/>
    <s v="H04250"/>
    <s v="Director Breast Clinic"/>
    <x v="5"/>
    <x v="36"/>
  </r>
  <r>
    <s v="UCH108687"/>
    <n v="108687"/>
    <s v="Jane"/>
    <s v="Glasheen"/>
    <s v="FEMALE"/>
    <s v="HOS37"/>
    <s v="H04225"/>
    <s v="Medical Officer"/>
    <d v="2015-02-02T00:00:00"/>
    <m/>
    <d v="2023-02-06T00:00:00"/>
    <s v="PART"/>
    <n v="15"/>
    <n v="0.39473684210526316"/>
    <s v="Professionals"/>
    <n v="114983"/>
    <s v="Tuesday Cole"/>
    <s v="H04250"/>
    <s v="Director Breast Clinic"/>
    <x v="5"/>
    <x v="36"/>
  </r>
  <r>
    <s v="UCH108207"/>
    <n v="108207"/>
    <s v="Kirsten"/>
    <s v="Price"/>
    <s v="FEMALE"/>
    <s v="HOS37"/>
    <s v="H04224"/>
    <s v="Medical Officer"/>
    <d v="2014-07-21T00:00:00"/>
    <m/>
    <d v="2023-02-20T00:00:00"/>
    <s v="PART"/>
    <n v="14"/>
    <n v="0.36842105263157893"/>
    <s v="Professionals"/>
    <n v="114983"/>
    <s v="Tuesday Cole"/>
    <s v="H04250"/>
    <s v="Director Breast Clinic"/>
    <x v="5"/>
    <x v="36"/>
  </r>
  <r>
    <s v="UCH030800"/>
    <n v="30800"/>
    <s v="Letitia"/>
    <s v="Hanson"/>
    <s v="FEMALE"/>
    <s v="HOS37"/>
    <s v="H04195"/>
    <s v="Medical Officer"/>
    <d v="2003-03-06T00:00:00"/>
    <m/>
    <d v="2023-02-06T00:00:00"/>
    <s v="PART"/>
    <n v="28"/>
    <n v="0.73684210526315785"/>
    <s v="Professionals"/>
    <n v="114983"/>
    <s v="Tuesday Cole"/>
    <s v="H04250"/>
    <s v="Director Breast Clinic"/>
    <x v="5"/>
    <x v="36"/>
  </r>
  <r>
    <s v="UCH104762"/>
    <n v="104762"/>
    <s v="Clare"/>
    <s v="Montwill-Griffin"/>
    <s v="FEMALE"/>
    <s v="HOS37"/>
    <s v="H04206"/>
    <s v="Medical Officer"/>
    <d v="2010-02-08T00:00:00"/>
    <m/>
    <d v="2023-04-03T00:00:00"/>
    <s v="PART"/>
    <n v="22"/>
    <n v="0.57894736842105265"/>
    <s v="Professionals"/>
    <n v="114983"/>
    <s v="Tuesday Cole"/>
    <s v="H04250"/>
    <s v="Director Breast Clinic"/>
    <x v="5"/>
    <x v="36"/>
  </r>
  <r>
    <s v="UCH114325"/>
    <n v="114325"/>
    <s v="Kathleen"/>
    <s v="Taylor"/>
    <s v="FEMALE"/>
    <s v="HOS37"/>
    <s v="H04246"/>
    <s v="Medical Officer"/>
    <d v="2021-09-28T00:00:00"/>
    <m/>
    <d v="2023-02-06T00:00:00"/>
    <s v="PART"/>
    <n v="19"/>
    <n v="0.5"/>
    <s v="Professionals"/>
    <n v="114983"/>
    <s v="Tuesday Cole"/>
    <s v="H04250"/>
    <s v="Director Breast Clinic"/>
    <x v="5"/>
    <x v="36"/>
  </r>
  <r>
    <s v="UCH000042"/>
    <n v="42"/>
    <s v="Lisa"/>
    <s v="Erzetich"/>
    <s v="FEMALE"/>
    <s v="HOS37"/>
    <s v="H05115"/>
    <s v="Medical Officer"/>
    <d v="1991-08-26T00:00:00"/>
    <m/>
    <d v="2023-02-06T00:00:00"/>
    <s v="PART"/>
    <n v="28.5"/>
    <n v="0.75"/>
    <s v="Professionals"/>
    <n v="102732"/>
    <s v="Michelle Delamont"/>
    <s v="H04203"/>
    <s v="Medical Lead"/>
    <x v="5"/>
    <x v="36"/>
  </r>
  <r>
    <s v="UCH000900"/>
    <n v="900"/>
    <s v="Maxeen"/>
    <s v="Devenport"/>
    <s v="FEMALE"/>
    <s v="HOS37"/>
    <s v="H04191"/>
    <s v="Medical Officer"/>
    <d v="1994-05-16T00:00:00"/>
    <m/>
    <d v="2023-02-06T00:00:00"/>
    <s v="PART"/>
    <n v="16.5"/>
    <n v="0.43421052631578949"/>
    <s v="Professionals"/>
    <n v="114983"/>
    <s v="Tuesday Cole"/>
    <s v="H04250"/>
    <s v="Director Breast Clinic"/>
    <x v="5"/>
    <x v="36"/>
  </r>
  <r>
    <s v="UCH101796"/>
    <n v="101796"/>
    <s v="Carmen"/>
    <s v="Gutierrez Blanco"/>
    <s v="FEMALE"/>
    <s v="HOS37"/>
    <s v="H04199"/>
    <s v="Medical Officer"/>
    <d v="2007-04-10T00:00:00"/>
    <m/>
    <d v="2023-02-06T00:00:00"/>
    <s v="PART"/>
    <n v="19"/>
    <n v="0.5"/>
    <s v="Professionals"/>
    <n v="114983"/>
    <s v="Tuesday Cole"/>
    <s v="H04250"/>
    <s v="Director Breast Clinic"/>
    <x v="5"/>
    <x v="36"/>
  </r>
  <r>
    <s v="UCH050021"/>
    <n v="50021"/>
    <s v="Jane"/>
    <s v="Ramsbottom"/>
    <s v="FEMALE"/>
    <s v="HOS37"/>
    <s v="H04197"/>
    <s v="Medical Officer"/>
    <d v="2005-03-17T00:00:00"/>
    <m/>
    <d v="2023-02-06T00:00:00"/>
    <s v="PART"/>
    <n v="28.5"/>
    <n v="0.75"/>
    <s v="Professionals"/>
    <n v="114983"/>
    <s v="Tuesday Cole"/>
    <s v="H04250"/>
    <s v="Director Breast Clinic"/>
    <x v="5"/>
    <x v="36"/>
  </r>
  <r>
    <s v="UCH102732"/>
    <n v="102732"/>
    <s v="Michelle"/>
    <s v="Delamont"/>
    <s v="FEMALE"/>
    <s v="HOS36"/>
    <s v="H04203"/>
    <s v="Medical Lead"/>
    <d v="2008-02-04T00:00:00"/>
    <m/>
    <d v="2023-02-06T00:00:00"/>
    <s v="FULL"/>
    <n v="38"/>
    <n v="1"/>
    <s v="Professionals"/>
    <n v="114983"/>
    <s v="Tuesday Cole"/>
    <s v="H04250"/>
    <s v="Director Breast Clinic"/>
    <x v="5"/>
    <x v="36"/>
  </r>
  <r>
    <s v="UCH112700"/>
    <n v="112700"/>
    <s v="Jeffrey"/>
    <s v="Conn"/>
    <s v="MALE"/>
    <s v="HOS12"/>
    <s v="H04990"/>
    <s v="Clinical Sub-Dean"/>
    <d v="2019-07-24T00:00:00"/>
    <m/>
    <d v="2023-02-06T00:00:00"/>
    <s v="CASUAL"/>
    <n v="38"/>
    <n v="1"/>
    <s v="Other Managers"/>
    <n v="114744"/>
    <s v="Stephen Cook"/>
    <s v="H05000"/>
    <s v="Chief Academic Medical Officer"/>
    <x v="5"/>
    <x v="36"/>
  </r>
  <r>
    <s v="UCH114446"/>
    <n v="114446"/>
    <s v="Riesa"/>
    <s v="Ginsberg"/>
    <s v="FEMALE"/>
    <s v="HOS12"/>
    <s v="H04994"/>
    <s v="Clinical Sub-Dean"/>
    <d v="2022-01-10T00:00:00"/>
    <m/>
    <d v="2023-02-06T00:00:00"/>
    <s v="CASUAL"/>
    <n v="38"/>
    <n v="1"/>
    <s v="Other Managers"/>
    <n v="114744"/>
    <s v="Stephen Cook"/>
    <s v="H05000"/>
    <s v="Chief Academic Medical Officer"/>
    <x v="5"/>
    <x v="36"/>
  </r>
  <r>
    <s v="UCH114447"/>
    <n v="114447"/>
    <s v="Matthew"/>
    <s v="Rawlins"/>
    <s v="MALE"/>
    <s v="HOS12"/>
    <s v="H04995"/>
    <s v="Clinical Sub-Dean"/>
    <d v="2022-01-10T00:00:00"/>
    <m/>
    <d v="2023-02-06T00:00:00"/>
    <s v="CASUAL"/>
    <n v="38"/>
    <n v="1"/>
    <s v="Other Managers"/>
    <n v="114744"/>
    <s v="Stephen Cook"/>
    <s v="H05000"/>
    <s v="Chief Academic Medical Officer"/>
    <x v="5"/>
    <x v="36"/>
  </r>
  <r>
    <s v="UCH113615"/>
    <n v="113615"/>
    <s v="Samuel"/>
    <s v="Borzi"/>
    <s v="MALE"/>
    <s v="HOS12"/>
    <s v="H04993"/>
    <s v="Clinical Sub-Dean"/>
    <d v="2020-11-11T00:00:00"/>
    <m/>
    <d v="2023-02-06T00:00:00"/>
    <s v="CASUAL"/>
    <n v="38"/>
    <n v="1"/>
    <s v="Other Managers"/>
    <n v="999015"/>
    <s v="John Allan"/>
    <s v="H05000"/>
    <s v="Chief Academic Medical Officer"/>
    <x v="5"/>
    <x v="36"/>
  </r>
  <r>
    <s v="UCH110829"/>
    <n v="110829"/>
    <s v="Jennifer"/>
    <s v="Bowes"/>
    <s v="FEMALE"/>
    <s v="HOS12"/>
    <s v="H04988"/>
    <s v="Clinical Sub-Dean"/>
    <d v="2017-01-18T00:00:00"/>
    <m/>
    <d v="2023-02-06T00:00:00"/>
    <s v="CASUAL"/>
    <n v="38"/>
    <n v="1"/>
    <s v="Other Managers"/>
    <n v="999015"/>
    <s v="John Allan"/>
    <s v="H05000"/>
    <s v="Chief Academic Medical Officer"/>
    <x v="5"/>
    <x v="36"/>
  </r>
  <r>
    <s v="UCH103173"/>
    <n v="103173"/>
    <s v="Luke"/>
    <s v="Jeremijenko"/>
    <s v="MALE"/>
    <s v="HOS12"/>
    <s v="H04985"/>
    <s v="Clinical Sub-Dean"/>
    <d v="2008-03-12T00:00:00"/>
    <m/>
    <d v="2023-02-06T00:00:00"/>
    <s v="CASUAL"/>
    <n v="38"/>
    <n v="1"/>
    <s v="Other Managers"/>
    <n v="999015"/>
    <s v="John Allan"/>
    <s v="H05000"/>
    <s v="Chief Academic Medical Officer"/>
    <x v="5"/>
    <x v="36"/>
  </r>
  <r>
    <s v="UCH112614"/>
    <n v="112614"/>
    <s v="Daniel"/>
    <s v="Soobratty"/>
    <s v="MALE"/>
    <s v="HOS12"/>
    <s v="H04989"/>
    <s v="Clinical Sub-Dean"/>
    <d v="2019-05-08T00:00:00"/>
    <m/>
    <d v="2023-02-06T00:00:00"/>
    <s v="CASUAL"/>
    <n v="38"/>
    <n v="1"/>
    <s v="Other Managers"/>
    <n v="999015"/>
    <s v="John Allan"/>
    <s v="H05000"/>
    <s v="Chief Academic Medical Officer"/>
    <x v="5"/>
    <x v="36"/>
  </r>
  <r>
    <s v="UCH109437"/>
    <n v="109437"/>
    <s v="Markian"/>
    <s v="Choptiany"/>
    <s v="MALE"/>
    <s v="HOS12"/>
    <s v="H04986"/>
    <s v="Clinical Sub-Dean"/>
    <d v="2016-01-11T00:00:00"/>
    <m/>
    <d v="2023-02-06T00:00:00"/>
    <s v="CASUAL"/>
    <n v="38"/>
    <n v="1"/>
    <s v="Other Managers"/>
    <n v="114744"/>
    <s v="Stephen Cook"/>
    <s v="H05000"/>
    <s v="Chief Academic Medical Officer"/>
    <x v="5"/>
    <x v="36"/>
  </r>
  <r>
    <s v="UCH112101"/>
    <n v="112101"/>
    <s v="Laurence"/>
    <s v="Leong"/>
    <s v="MALE"/>
    <s v="HOS72"/>
    <s v="H04404"/>
    <s v="Senior Staff Specialist"/>
    <d v="2018-08-27T00:00:00"/>
    <m/>
    <d v="2023-02-06T00:00:00"/>
    <s v="PART"/>
    <n v="30"/>
    <n v="0.78947368421052633"/>
    <s v="Other Managers"/>
    <n v="101109"/>
    <s v="John McConaghy"/>
    <s v="H04403"/>
    <s v="Director Palliative Care"/>
    <x v="5"/>
    <x v="36"/>
  </r>
  <r>
    <s v="UCH101109"/>
    <n v="101109"/>
    <s v="John"/>
    <s v="Mcconaghy"/>
    <s v="MALE"/>
    <s v="HOS23"/>
    <s v="H04403"/>
    <s v="Director Palliative Care"/>
    <d v="2006-08-08T00:00:00"/>
    <m/>
    <d v="2023-02-06T00:00:00"/>
    <s v="FULL"/>
    <n v="40"/>
    <n v="1.0526315789473684"/>
    <s v="Other Exec / Gen Mgrs"/>
    <n v="111165"/>
    <s v="Trisha O'Moore-Sullivan"/>
    <s v="H04804"/>
    <s v="Director of Medical Services"/>
    <x v="5"/>
    <x v="36"/>
  </r>
  <r>
    <s v="UCH116269"/>
    <n v="116269"/>
    <s v="Elizabeth"/>
    <s v="Waldie"/>
    <s v="FEMALE"/>
    <s v="HOS116"/>
    <s v="H05201"/>
    <s v="Medical Director"/>
    <d v="2023-03-20T00:00:00"/>
    <m/>
    <d v="2023-03-20T00:00:00"/>
    <s v="PART"/>
    <n v="24"/>
    <n v="0.63157894736842102"/>
    <s v="Other Exec / Gen Mgrs"/>
    <n v="111165"/>
    <s v="Trisha O'Moore-Sullivan"/>
    <s v="H04804"/>
    <s v="Director of Medical Services"/>
    <x v="5"/>
    <x v="36"/>
  </r>
  <r>
    <s v="UCH114399"/>
    <n v="114399"/>
    <s v="Carmel"/>
    <s v="Arnold"/>
    <s v="FEMALE"/>
    <s v="HOS108"/>
    <s v="H04976"/>
    <s v="Relief Lodge Manager"/>
    <d v="2021-11-22T00:00:00"/>
    <m/>
    <d v="2023-02-06T00:00:00"/>
    <s v="CASUAL"/>
    <n v="38"/>
    <n v="1"/>
    <s v="Other Managers"/>
    <n v="111502"/>
    <s v="Stephen Beer"/>
    <s v="H04975"/>
    <s v="Accommodation Services Manager"/>
    <x v="5"/>
    <x v="36"/>
  </r>
  <r>
    <s v="UCH114400"/>
    <n v="114400"/>
    <s v="Terrence"/>
    <s v="Arnold"/>
    <s v="MALE"/>
    <s v="HOS108"/>
    <s v="H04977"/>
    <s v="Relief Lodge Manager"/>
    <d v="2021-11-22T00:00:00"/>
    <m/>
    <d v="2023-02-06T00:00:00"/>
    <s v="CASUAL"/>
    <n v="38"/>
    <n v="1"/>
    <s v="Other Managers"/>
    <n v="111502"/>
    <s v="Stephen Beer"/>
    <s v="H04975"/>
    <s v="Accommodation Services Manager"/>
    <x v="5"/>
    <x v="36"/>
  </r>
  <r>
    <s v="UCH111165"/>
    <n v="111165"/>
    <s v="Trisha"/>
    <s v="O'Moore-Sullivan"/>
    <s v="FEMALE"/>
    <s v="HOS08"/>
    <s v="H04804"/>
    <s v="Director of Medical Services"/>
    <d v="2022-10-17T00:00:00"/>
    <m/>
    <d v="2023-02-06T00:00:00"/>
    <s v="FULL"/>
    <n v="38"/>
    <n v="1"/>
    <s v="Other Exec / Gen Mgrs"/>
    <m/>
    <s v="Ian Grisold"/>
    <s v="H04805"/>
    <s v="General Manager"/>
    <x v="5"/>
    <x v="36"/>
  </r>
  <r>
    <s v="UCH115563"/>
    <n v="115563"/>
    <s v="Bronwen"/>
    <s v="Swan"/>
    <s v="FEMALE"/>
    <s v="HOS108"/>
    <s v="H04979"/>
    <s v="Relief Lodge Manager"/>
    <d v="2022-12-07T00:00:00"/>
    <m/>
    <d v="2023-02-06T00:00:00"/>
    <s v="CASUAL"/>
    <n v="38"/>
    <n v="1"/>
    <s v="Other Managers"/>
    <n v="111502"/>
    <s v="Stephen Beer"/>
    <s v="H04975"/>
    <s v="Accommodation Services Manager"/>
    <x v="5"/>
    <x v="36"/>
  </r>
  <r>
    <s v="UCH115564"/>
    <n v="115564"/>
    <s v="Anthony"/>
    <s v="Swan"/>
    <s v="MALE"/>
    <s v="HOS108"/>
    <s v="H04980"/>
    <s v="Relief Lodge Manager"/>
    <d v="2022-12-07T00:00:00"/>
    <m/>
    <d v="2023-02-06T00:00:00"/>
    <s v="CASUAL"/>
    <n v="38"/>
    <n v="1"/>
    <s v="Other Managers"/>
    <n v="111502"/>
    <s v="Stephen Beer"/>
    <s v="H04975"/>
    <s v="Accommodation Services Manager"/>
    <x v="5"/>
    <x v="36"/>
  </r>
  <r>
    <s v="UCH101454"/>
    <n v="101454"/>
    <s v="Alan"/>
    <s v="Coulthard"/>
    <s v="MALE"/>
    <s v="HOS69"/>
    <s v="H04198"/>
    <s v="Radiologist"/>
    <d v="2006-11-24T00:00:00"/>
    <m/>
    <d v="2023-02-06T00:00:00"/>
    <s v="CASUAL"/>
    <n v="38"/>
    <n v="1"/>
    <s v="Professionals"/>
    <n v="114983"/>
    <s v="Tuesday Cole"/>
    <s v="H04250"/>
    <s v="Director Breast Clinic"/>
    <x v="5"/>
    <x v="36"/>
  </r>
  <r>
    <s v="UCQ021821"/>
    <n v="21821"/>
    <s v="Samuel"/>
    <s v="Jackson"/>
    <s v="MALE"/>
    <s v="MCA28"/>
    <s v="60CAPA"/>
    <s v="Policy Advisor"/>
    <d v="2023-02-27T00:00:00"/>
    <d v="2023-12-31T00:00:00"/>
    <d v="2023-02-27T00:00:00"/>
    <s v="FULL"/>
    <n v="38"/>
    <n v="1"/>
    <s v="Professionals"/>
    <n v="20796"/>
    <s v="Daniel Wong "/>
    <s v="60SMAG"/>
    <s v="Senior Manager Advocacy and Government Relations"/>
    <x v="6"/>
    <x v="37"/>
  </r>
  <r>
    <s v="UCQ020645"/>
    <n v="20645"/>
    <s v="Sally"/>
    <s v="Smith"/>
    <s v="FEMALE"/>
    <s v="MCA30"/>
    <s v="60MEC1"/>
    <s v="Marketing Coordinator"/>
    <d v="2022-01-10T00:00:00"/>
    <m/>
    <d v="2022-01-10T00:00:00"/>
    <s v="PART"/>
    <n v="20"/>
    <n v="0.52631578947368418"/>
    <s v="Professionals"/>
    <n v="17810"/>
    <s v="Brenda Lohe "/>
    <s v="60DAPM"/>
    <s v="Design and Production Manager"/>
    <x v="6"/>
    <x v="38"/>
  </r>
  <r>
    <s v="UCH109395"/>
    <n v="109395"/>
    <s v="Genevieve"/>
    <s v="Pale"/>
    <s v="FEMALE"/>
    <s v="MCA30"/>
    <s v="8MK700"/>
    <s v="Marketing Coordinator"/>
    <d v="2015-12-14T00:00:00"/>
    <m/>
    <d v="2023-02-06T00:00:00"/>
    <s v="FULL"/>
    <n v="38"/>
    <n v="1"/>
    <s v="Professionals"/>
    <n v="22037"/>
    <s v="Kellie Hefner "/>
    <s v="60SMS1"/>
    <s v="Senior Marketing Specialist"/>
    <x v="6"/>
    <x v="38"/>
  </r>
  <r>
    <s v="UCQ021825"/>
    <n v="21825"/>
    <s v="Emma"/>
    <s v="Powney"/>
    <s v="FEMALE"/>
    <s v="MCA32"/>
    <s v="60GD1"/>
    <s v="Graphic Designer"/>
    <d v="2023-03-27T00:00:00"/>
    <m/>
    <d v="2023-03-27T00:00:00"/>
    <s v="FULL"/>
    <n v="38"/>
    <n v="1"/>
    <s v="Professionals"/>
    <n v="17810"/>
    <s v="Brenda Lohe "/>
    <s v="60DAPM"/>
    <s v="Design and Production Manager"/>
    <x v="6"/>
    <x v="38"/>
  </r>
  <r>
    <s v="UCH106906"/>
    <n v="106906"/>
    <s v="Fiona"/>
    <s v="Casey-Lord"/>
    <s v="FEMALE"/>
    <s v="MCA32"/>
    <s v="H00080"/>
    <s v="Graphic Designer"/>
    <d v="2012-08-27T00:00:00"/>
    <m/>
    <d v="2023-03-06T00:00:00"/>
    <s v="PART"/>
    <n v="34.200000000000003"/>
    <n v="0.9"/>
    <s v="Professionals"/>
    <n v="17810"/>
    <s v="Brenda Lohe "/>
    <s v="60DAPM"/>
    <s v="Design and Production Manager"/>
    <x v="6"/>
    <x v="38"/>
  </r>
  <r>
    <s v="UCQ021480"/>
    <n v="21480"/>
    <s v="Claire"/>
    <s v="Walker"/>
    <s v="FEMALE"/>
    <s v="MCA27"/>
    <s v="60MS02"/>
    <s v="Marketing Specialist"/>
    <d v="2022-11-07T00:00:00"/>
    <d v="2023-11-10T00:00:00"/>
    <d v="2022-11-07T00:00:00"/>
    <s v="PART"/>
    <n v="22"/>
    <n v="0.57894736842105265"/>
    <s v="Professionals"/>
    <n v="16716"/>
    <s v="Serena Jones "/>
    <s v="60SMS1"/>
    <s v="Senior Marketing Specialist"/>
    <x v="6"/>
    <x v="38"/>
  </r>
  <r>
    <s v="UCQ021324"/>
    <n v="21324"/>
    <s v="Laura"/>
    <s v="Seal"/>
    <s v="FEMALE"/>
    <s v="MCA27"/>
    <s v="60MS01"/>
    <s v="Marketing Specialist"/>
    <d v="2022-09-05T00:00:00"/>
    <d v="2024-06-30T00:00:00"/>
    <d v="2022-09-05T00:00:00"/>
    <s v="FULL"/>
    <n v="38"/>
    <n v="1"/>
    <s v="Professionals"/>
    <n v="16716"/>
    <s v="Serena Jones "/>
    <s v="60SMS1"/>
    <s v="Senior Marketing Specialist"/>
    <x v="6"/>
    <x v="38"/>
  </r>
  <r>
    <s v="UCQ021959"/>
    <n v="21959"/>
    <s v="Tracy"/>
    <s v="Wilson"/>
    <s v="FEMALE"/>
    <s v="MCA27"/>
    <s v="60MS05"/>
    <s v="Marketing Specialist"/>
    <d v="2023-04-17T00:00:00"/>
    <d v="2024-04-19T00:00:00"/>
    <d v="2023-04-17T00:00:00"/>
    <s v="FULL"/>
    <n v="38"/>
    <n v="1"/>
    <s v="Professionals"/>
    <n v="22037"/>
    <s v="Kellie Hefner "/>
    <s v="60SMS1"/>
    <s v="Senior Marketing Specialist"/>
    <x v="6"/>
    <x v="38"/>
  </r>
  <r>
    <s v="UCQ019909"/>
    <n v="19909"/>
    <s v="Veronica"/>
    <s v="Lim"/>
    <s v="FEMALE"/>
    <s v="MCA27"/>
    <s v="60RLMS"/>
    <s v="Retirement Living Marketing Specialist"/>
    <d v="2021-03-17T00:00:00"/>
    <m/>
    <d v="2021-11-30T00:00:00"/>
    <s v="FULL"/>
    <n v="38"/>
    <n v="1"/>
    <s v="Professionals"/>
    <n v="22037"/>
    <s v="Kellie Hefner "/>
    <s v="60SMS3"/>
    <s v="Senior Marketing Specialist"/>
    <x v="6"/>
    <x v="38"/>
  </r>
  <r>
    <s v="UCQ016716"/>
    <n v="16716"/>
    <s v="Serena"/>
    <s v="Jones"/>
    <s v="FEMALE"/>
    <s v="MCA15"/>
    <s v="60SMS1"/>
    <s v="Senior Marketing Specialist"/>
    <d v="2017-01-30T00:00:00"/>
    <m/>
    <d v="2022-01-24T00:00:00"/>
    <s v="FULL"/>
    <n v="38"/>
    <n v="1"/>
    <s v="Professionals"/>
    <n v="16058"/>
    <s v="Natalie Hodgskin "/>
    <s v="P05442"/>
    <s v="Brand And Marketing Manager"/>
    <x v="6"/>
    <x v="38"/>
  </r>
  <r>
    <s v="UCQ017810"/>
    <n v="17810"/>
    <s v="Brenda"/>
    <s v="Lohe"/>
    <s v="FEMALE"/>
    <s v="MCA12"/>
    <s v="60DAPM"/>
    <s v="Design and Production Manager"/>
    <d v="2018-06-05T00:00:00"/>
    <m/>
    <d v="2022-03-07T00:00:00"/>
    <s v="FULL"/>
    <n v="38"/>
    <n v="1"/>
    <s v="Other Managers"/>
    <n v="16058"/>
    <s v="Natalie Hodgskin "/>
    <s v="P05442"/>
    <s v="Brand And Marketing Manager"/>
    <x v="6"/>
    <x v="38"/>
  </r>
  <r>
    <s v="UCQ022037"/>
    <n v="22037"/>
    <s v="Kellie"/>
    <s v="Hefner"/>
    <s v="FEMALE"/>
    <s v="MCA15"/>
    <s v="60SMS3"/>
    <s v="Senior Marketing Specialist"/>
    <d v="2023-05-11T00:00:00"/>
    <m/>
    <d v="2023-05-11T00:00:00"/>
    <s v="FULL"/>
    <n v="38"/>
    <n v="1"/>
    <s v="Professionals"/>
    <n v="16058"/>
    <s v="Natalie Hodgskin "/>
    <s v="P05442"/>
    <s v="Brand And Marketing Manager"/>
    <x v="6"/>
    <x v="38"/>
  </r>
  <r>
    <s v="UCQ021653"/>
    <n v="21653"/>
    <s v="Deborah"/>
    <s v="Marshall"/>
    <s v="FEMALE"/>
    <s v="MCA25"/>
    <s v="60ICS"/>
    <s v="Communications Specialist"/>
    <d v="2023-01-30T00:00:00"/>
    <d v="2023-12-22T00:00:00"/>
    <d v="2023-01-30T00:00:00"/>
    <s v="FULL"/>
    <n v="38"/>
    <n v="1"/>
    <s v="Professionals"/>
    <n v="21994"/>
    <s v="Melissa Nelson "/>
    <s v="602CM1"/>
    <s v="Communications Manager"/>
    <x v="6"/>
    <x v="39"/>
  </r>
  <r>
    <s v="UCQ020463"/>
    <n v="20463"/>
    <s v="Lauren"/>
    <s v="Barrett"/>
    <s v="FEMALE"/>
    <s v="MCA25"/>
    <s v="60ICS1"/>
    <s v="Communications Specialist"/>
    <d v="2021-10-25T00:00:00"/>
    <m/>
    <d v="2022-07-01T00:00:00"/>
    <s v="FULL"/>
    <n v="38"/>
    <n v="1"/>
    <s v="Professionals"/>
    <n v="19080"/>
    <s v="Adelle Yates "/>
    <s v="60CCLH"/>
    <s v="Communications Manager Hospitals and ACCS"/>
    <x v="6"/>
    <x v="39"/>
  </r>
  <r>
    <s v="UCQ020666"/>
    <n v="20666"/>
    <s v="Emma"/>
    <s v="Prior"/>
    <s v="FEMALE"/>
    <s v="MCA17"/>
    <s v="601CS"/>
    <s v="Communications Specialist"/>
    <d v="2022-01-10T00:00:00"/>
    <m/>
    <d v="2023-03-01T00:00:00"/>
    <s v="PART"/>
    <n v="30"/>
    <n v="0.78947368421052633"/>
    <s v="Professionals"/>
    <n v="21994"/>
    <s v="Melissa Nelson "/>
    <s v="602CM1"/>
    <s v="Communications Manager"/>
    <x v="6"/>
    <x v="39"/>
  </r>
  <r>
    <s v="UCQ021323"/>
    <n v="21323"/>
    <s v="Kim"/>
    <s v="Godfrey-Hempsall"/>
    <s v="MALE"/>
    <s v="MCA17"/>
    <s v="60COMS"/>
    <s v="Communications Specialist"/>
    <d v="2022-09-05T00:00:00"/>
    <m/>
    <d v="2022-09-05T00:00:00"/>
    <s v="FULL"/>
    <n v="38"/>
    <n v="1"/>
    <s v="Professionals"/>
    <n v="21994"/>
    <s v="Melissa Nelson "/>
    <s v="602CM1"/>
    <s v="Communications Manager"/>
    <x v="6"/>
    <x v="39"/>
  </r>
  <r>
    <s v="UCQ019723"/>
    <n v="19723"/>
    <s v="Melissa"/>
    <s v="Keating"/>
    <s v="FEMALE"/>
    <s v="MCA17"/>
    <s v="601SCS"/>
    <s v="Communications Specialist"/>
    <d v="2021-01-18T00:00:00"/>
    <m/>
    <d v="2022-07-01T00:00:00"/>
    <s v="FULL"/>
    <n v="38"/>
    <n v="1"/>
    <s v="Professionals"/>
    <n v="19080"/>
    <s v="Adelle Yates "/>
    <s v="60CCLH"/>
    <s v="Communications Manager Hospitals and ACCS"/>
    <x v="6"/>
    <x v="39"/>
  </r>
  <r>
    <s v="UCQ020884"/>
    <n v="20884"/>
    <s v="Amy"/>
    <s v="Walter"/>
    <s v="FEMALE"/>
    <s v="MCA29"/>
    <s v="60SCA1"/>
    <s v="Senior Communications Advisor"/>
    <d v="2019-04-29T00:00:00"/>
    <m/>
    <d v="2022-05-31T00:00:00"/>
    <s v="PART"/>
    <n v="30"/>
    <n v="0.78947368421052633"/>
    <s v="Professionals"/>
    <n v="19080"/>
    <s v="Adelle Yates "/>
    <s v="60CCLH"/>
    <s v="Communications Manager Hospitals and ACCS"/>
    <x v="6"/>
    <x v="39"/>
  </r>
  <r>
    <s v="UCQ020388"/>
    <n v="20388"/>
    <s v="Colleen"/>
    <s v="Mcmillan"/>
    <s v="FEMALE"/>
    <s v="MCA18"/>
    <s v="60CEAN"/>
    <s v="Communications Engagement and Business Development Specialist"/>
    <d v="2005-10-13T00:00:00"/>
    <m/>
    <d v="2021-09-06T00:00:00"/>
    <s v="PART"/>
    <n v="30"/>
    <n v="0.78947368421052633"/>
    <s v="Other Managers"/>
    <n v="19080"/>
    <s v="Adelle Yates "/>
    <s v="60CCLH"/>
    <s v="Communications Manager Hospitals and ACCS"/>
    <x v="6"/>
    <x v="39"/>
  </r>
  <r>
    <s v="UCQ021146"/>
    <n v="21146"/>
    <s v="Alyssa"/>
    <s v="Kremmer"/>
    <s v="FEMALE"/>
    <s v="MCA29"/>
    <s v="601SCA"/>
    <s v="Senior Communications Advisor"/>
    <d v="2022-07-05T00:00:00"/>
    <d v="2024-01-26T00:00:00"/>
    <d v="2022-09-19T00:00:00"/>
    <s v="FULL"/>
    <n v="38"/>
    <n v="1"/>
    <s v="Professionals"/>
    <n v="19080"/>
    <s v="Adelle Yates "/>
    <s v="60CCLH"/>
    <s v="Communications Manager Hospitals and ACCS"/>
    <x v="6"/>
    <x v="39"/>
  </r>
  <r>
    <s v="UCQ022041"/>
    <n v="22041"/>
    <s v="Renee"/>
    <s v="Jones"/>
    <s v="FEMALE"/>
    <s v="MCA34"/>
    <s v="60COLP"/>
    <s v="Communications Lead Projects"/>
    <d v="2023-05-08T00:00:00"/>
    <m/>
    <d v="2023-05-08T00:00:00"/>
    <s v="FULL"/>
    <n v="38"/>
    <n v="1"/>
    <s v="Professionals"/>
    <n v="17104"/>
    <s v="Dilkara Whish-Wilson "/>
    <s v="60CCMC"/>
    <s v="Group Manager Corporate Communications"/>
    <x v="6"/>
    <x v="39"/>
  </r>
  <r>
    <s v="UCQ022096"/>
    <n v="22096"/>
    <s v="Catherine"/>
    <s v="Vo"/>
    <s v="FEMALE"/>
    <s v="MCA35"/>
    <s v="60SMCE"/>
    <s v="Corporate Events Manager"/>
    <d v="2023-06-12T00:00:00"/>
    <m/>
    <d v="2023-06-12T00:00:00"/>
    <s v="FULL"/>
    <n v="38"/>
    <n v="1"/>
    <s v="Senior Managers"/>
    <n v="17104"/>
    <s v="Dilkara Whish-Wilson "/>
    <s v="60CCMC"/>
    <s v="Group Manager Corporate Communications"/>
    <x v="6"/>
    <x v="39"/>
  </r>
  <r>
    <s v="UCQ021994"/>
    <n v="21994"/>
    <s v="Melissa"/>
    <s v="Nelson"/>
    <s v="FEMALE"/>
    <s v="MCA33"/>
    <s v="602CM1"/>
    <s v="Communications Manager"/>
    <d v="2023-04-11T00:00:00"/>
    <m/>
    <d v="2023-04-11T00:00:00"/>
    <s v="FULL"/>
    <n v="38"/>
    <n v="1"/>
    <s v="Other Managers"/>
    <n v="17104"/>
    <s v="Dilkara Whish-Wilson "/>
    <s v="60CCMC"/>
    <s v="Group Manager Corporate Communications"/>
    <x v="6"/>
    <x v="39"/>
  </r>
  <r>
    <s v="UCQ019080"/>
    <n v="19080"/>
    <s v="Adelle"/>
    <s v="Yates"/>
    <s v="FEMALE"/>
    <s v="MCA10"/>
    <s v="60CCLH"/>
    <s v="Communications Manager Hospitals and ACCS"/>
    <d v="2019-12-16T00:00:00"/>
    <m/>
    <d v="2023-04-10T00:00:00"/>
    <s v="FULL"/>
    <n v="38"/>
    <n v="1"/>
    <s v="Other Managers"/>
    <n v="17104"/>
    <s v="Dilkara Whish-Wilson "/>
    <s v="60CCMC"/>
    <s v="Group Manager Corporate Communications"/>
    <x v="6"/>
    <x v="39"/>
  </r>
  <r>
    <s v="UCQ020844"/>
    <n v="20844"/>
    <s v="Teresa"/>
    <s v="Alo Warde"/>
    <s v="FEMALE"/>
    <s v="MCA19"/>
    <s v="60CAGC"/>
    <s v="Customer Advisory Group Coordinator"/>
    <d v="2022-03-07T00:00:00"/>
    <m/>
    <d v="2022-04-21T00:00:00"/>
    <s v="FULL"/>
    <n v="38"/>
    <n v="1"/>
    <s v="Clerical &amp; Admin"/>
    <n v="20407"/>
    <s v="Kimberley Wilson "/>
    <s v="60GMCE"/>
    <s v="General Manager Customer Experience and Insights"/>
    <x v="6"/>
    <x v="40"/>
  </r>
  <r>
    <s v="UCQ019542"/>
    <n v="19542"/>
    <s v="Eleanor"/>
    <s v="Holmes"/>
    <s v="FEMALE"/>
    <s v="MCA20"/>
    <s v="60CXIG"/>
    <s v="Customer Experience Designer"/>
    <d v="2016-03-07T00:00:00"/>
    <m/>
    <d v="2022-07-01T00:00:00"/>
    <s v="FULL"/>
    <n v="38"/>
    <n v="1"/>
    <s v="Professionals"/>
    <n v="20407"/>
    <s v="Kimberley Wilson "/>
    <s v="60GMCE"/>
    <s v="General Manager Customer Experience and Insights"/>
    <x v="6"/>
    <x v="40"/>
  </r>
  <r>
    <s v="UCQ021193"/>
    <n v="21193"/>
    <s v="Behnam"/>
    <s v="Abedin"/>
    <s v="MALE"/>
    <s v="MCA21"/>
    <s v="60CIA1"/>
    <s v="Customer Insights Analyst"/>
    <d v="2022-08-01T00:00:00"/>
    <m/>
    <d v="2022-10-18T00:00:00"/>
    <s v="FULL"/>
    <n v="38"/>
    <n v="1"/>
    <s v="Professionals"/>
    <n v="21011"/>
    <s v="Nicolas Jostsons"/>
    <s v="601VCL"/>
    <s v="Voice of Customer Lead"/>
    <x v="6"/>
    <x v="40"/>
  </r>
  <r>
    <s v="UCQ020653"/>
    <n v="20653"/>
    <s v="Abby"/>
    <s v="Mayfield"/>
    <s v="FEMALE"/>
    <s v="MCA33"/>
    <s v="MCA27"/>
    <s v="Marketing Specialist"/>
    <d v="2022-01-24T00:00:00"/>
    <m/>
    <d v="2023-04-17T00:00:00"/>
    <s v="FULL"/>
    <n v="38"/>
    <n v="1"/>
    <s v="Professionals"/>
    <n v="20407"/>
    <s v="Kimberley Wilson "/>
    <s v="60GMCE"/>
    <s v="General Manager Customer Experience and Insights"/>
    <x v="6"/>
    <x v="40"/>
  </r>
  <r>
    <s v="UCQ020854"/>
    <n v="20854"/>
    <s v="Lillisa"/>
    <s v="Piotrkowski"/>
    <s v="FEMALE"/>
    <s v="MCA16"/>
    <s v="60VCL"/>
    <s v="Voice of the Customer Lead"/>
    <d v="2022-03-09T00:00:00"/>
    <m/>
    <d v="2022-03-09T00:00:00"/>
    <s v="FULL"/>
    <n v="38"/>
    <n v="1"/>
    <s v="Professionals"/>
    <n v="20407"/>
    <s v="Kimberley Wilson "/>
    <s v="60GMCE"/>
    <s v="General Manager Customer Experience and Insights"/>
    <x v="6"/>
    <x v="40"/>
  </r>
  <r>
    <s v="UCQ022109"/>
    <n v="22109"/>
    <s v="Keirin"/>
    <s v="Bullock"/>
    <s v="FEMALE"/>
    <s v="MCA11"/>
    <s v="60DSCE"/>
    <s v="Customer Experience And Design Specialist"/>
    <d v="2023-06-21T00:00:00"/>
    <m/>
    <d v="2023-06-21T00:00:00"/>
    <s v="FULL"/>
    <n v="38"/>
    <n v="1"/>
    <s v="Other Managers"/>
    <n v="20407"/>
    <s v="Kimberley Wilson "/>
    <s v="60GMCE"/>
    <s v="General Manager Customer Experience and Insights"/>
    <x v="6"/>
    <x v="40"/>
  </r>
  <r>
    <s v="UCQ021011"/>
    <n v="21011"/>
    <s v="Nicolas"/>
    <s v="Jostsons"/>
    <s v="MALE"/>
    <s v="MCA16"/>
    <s v="601VCL"/>
    <s v="Voice of Customer Lead"/>
    <d v="2022-05-30T00:00:00"/>
    <m/>
    <d v="2022-05-30T00:00:00"/>
    <s v="FULL"/>
    <n v="38"/>
    <n v="1"/>
    <s v="Professionals"/>
    <n v="20407"/>
    <s v="Kimberley Wilson "/>
    <s v="60GMCE"/>
    <s v="General Manager Customer Experience and Insights"/>
    <x v="6"/>
    <x v="40"/>
  </r>
  <r>
    <s v="UCQ020618"/>
    <n v="20618"/>
    <s v="Sarah"/>
    <s v="Merkli"/>
    <s v="FEMALE"/>
    <s v="MCA11"/>
    <s v="60CEXD"/>
    <s v="Customer Experience and Design Specialist"/>
    <d v="2021-12-13T00:00:00"/>
    <m/>
    <d v="2022-07-01T00:00:00"/>
    <s v="FULL"/>
    <n v="38"/>
    <n v="1"/>
    <s v="Other Managers"/>
    <n v="20407"/>
    <s v="Kimberley Wilson "/>
    <s v="60GMCE"/>
    <s v="General Manager Customer Experience and Insights"/>
    <x v="6"/>
    <x v="40"/>
  </r>
  <r>
    <s v="UCQ020621"/>
    <n v="20621"/>
    <s v="Sarah"/>
    <s v="Hutson-Crowell"/>
    <s v="FEMALE"/>
    <s v="MCA11"/>
    <s v="60CEAS"/>
    <s v="Customer Experience and Design Specialist"/>
    <d v="2021-12-13T00:00:00"/>
    <m/>
    <d v="2022-07-01T00:00:00"/>
    <s v="FULL"/>
    <n v="38"/>
    <n v="1"/>
    <s v="Other Managers"/>
    <n v="20407"/>
    <s v="Kimberley Wilson "/>
    <s v="60GMCE"/>
    <s v="General Manager Customer Experience and Insights"/>
    <x v="6"/>
    <x v="40"/>
  </r>
  <r>
    <s v="UCQ016914"/>
    <n v="16914"/>
    <s v="Michael"/>
    <s v="Kent"/>
    <s v="MALE"/>
    <s v="MCA24"/>
    <s v="60DMS"/>
    <s v="Digital Marketing Specialist"/>
    <d v="2017-05-02T00:00:00"/>
    <m/>
    <d v="2017-05-02T00:00:00"/>
    <s v="FULL"/>
    <n v="38"/>
    <n v="1"/>
    <m/>
    <n v="16647"/>
    <s v="Daniel Shaw "/>
    <s v="60UDMM"/>
    <s v="Digital Marketing Manager"/>
    <x v="6"/>
    <x v="41"/>
  </r>
  <r>
    <s v="UCQ021328"/>
    <n v="21328"/>
    <s v="Eric"/>
    <s v="Dobson"/>
    <s v="MALE"/>
    <s v="MCA22"/>
    <s v="60DCSM"/>
    <s v="Digital Content and Social Media Specialist"/>
    <d v="2022-08-24T00:00:00"/>
    <m/>
    <d v="2022-08-24T00:00:00"/>
    <s v="FULL"/>
    <n v="38"/>
    <n v="1"/>
    <s v="Professionals"/>
    <n v="16647"/>
    <s v="Daniel Shaw "/>
    <s v="60UDMM"/>
    <s v="Digital Marketing Manager"/>
    <x v="6"/>
    <x v="41"/>
  </r>
  <r>
    <s v="BLU151820"/>
    <n v="56357"/>
    <s v="Jeremy"/>
    <s v="Sultana"/>
    <s v="MALE"/>
    <s v="MCA23"/>
    <n v="36081"/>
    <s v="Digital Designer"/>
    <d v="2012-04-02T00:00:00"/>
    <m/>
    <d v="2016-11-07T00:00:00"/>
    <s v="FULL"/>
    <n v="38"/>
    <n v="1"/>
    <s v="Professionals"/>
    <n v="16647"/>
    <s v="Daniel Shaw "/>
    <s v="60UDMM"/>
    <s v="Digital Marketing Manager"/>
    <x v="6"/>
    <x v="41"/>
  </r>
  <r>
    <s v="UCQ016989"/>
    <n v="16989"/>
    <s v="Renae"/>
    <s v="Spinks"/>
    <s v="FEMALE"/>
    <s v="MCA13"/>
    <s v="60SDCP"/>
    <s v="Senior Digital Content Producer"/>
    <d v="2017-07-03T00:00:00"/>
    <m/>
    <d v="2017-07-03T00:00:00"/>
    <s v="FULL"/>
    <n v="38"/>
    <n v="1"/>
    <s v="Professionals"/>
    <n v="16647"/>
    <s v="Daniel Shaw "/>
    <s v="60UDMM"/>
    <s v="Digital Marketing Manager"/>
    <x v="6"/>
    <x v="41"/>
  </r>
  <r>
    <s v="UCQ021892"/>
    <n v="21892"/>
    <s v="Christopher"/>
    <s v="Winters"/>
    <s v="MALE"/>
    <s v="MCA07"/>
    <s v="601SDM"/>
    <s v="Senior Digital Marketing and Social Specialist"/>
    <d v="2023-03-20T00:00:00"/>
    <m/>
    <d v="2023-03-20T00:00:00"/>
    <s v="FULL"/>
    <n v="38"/>
    <n v="1"/>
    <s v="Professionals"/>
    <n v="16647"/>
    <s v="Daniel Shaw "/>
    <s v="60UDMM"/>
    <s v="Digital Marketing Manager"/>
    <x v="6"/>
    <x v="41"/>
  </r>
  <r>
    <s v="UCQ021879"/>
    <n v="21879"/>
    <s v="Briarne"/>
    <s v="Manley"/>
    <s v="FEMALE"/>
    <s v="MCA06"/>
    <s v="60SDMS"/>
    <s v="Senior Digital Marketing Specialist"/>
    <d v="2023-03-13T00:00:00"/>
    <m/>
    <d v="2023-03-13T00:00:00"/>
    <s v="FULL"/>
    <n v="38"/>
    <n v="1"/>
    <s v="Professionals"/>
    <n v="16647"/>
    <s v="Daniel Shaw "/>
    <s v="60UDMM"/>
    <s v="Digital Marketing Manager"/>
    <x v="6"/>
    <x v="41"/>
  </r>
  <r>
    <s v="UCH104299"/>
    <n v="104299"/>
    <s v="Rachael"/>
    <s v="Fauchon"/>
    <s v="FEMALE"/>
    <s v="MCA14"/>
    <s v="H00079"/>
    <s v="Support Officer Fundraising"/>
    <d v="2009-07-14T00:00:00"/>
    <m/>
    <d v="2023-02-06T00:00:00"/>
    <s v="FULL"/>
    <n v="38"/>
    <n v="1"/>
    <s v="Community &amp; Persnal Svcs"/>
    <n v="20169"/>
    <s v="Joseph Fitzgerald "/>
    <s v="60DCAM"/>
    <s v="Director Corporate Affairs and Marketing"/>
    <x v="6"/>
    <x v="8"/>
  </r>
  <r>
    <s v="UCQ016647"/>
    <n v="16647"/>
    <s v="Daniel"/>
    <s v="Shaw"/>
    <s v="MALE"/>
    <s v="MCA05"/>
    <s v="60UDMM"/>
    <s v="Digital Marketing Manager"/>
    <d v="2016-12-19T00:00:00"/>
    <m/>
    <d v="2016-12-19T00:00:00"/>
    <s v="FULL"/>
    <n v="38"/>
    <n v="1"/>
    <s v="Senior Managers"/>
    <n v="20169"/>
    <s v="Joseph Fitzgerald "/>
    <s v="60DCAM"/>
    <s v="Director Corporate Affairs and Marketing"/>
    <x v="6"/>
    <x v="8"/>
  </r>
  <r>
    <s v="UCC016058"/>
    <n v="16058"/>
    <s v="Natalie"/>
    <s v="Hodgskin"/>
    <s v="FEMALE"/>
    <s v="MCA02"/>
    <s v="P05442"/>
    <s v="Brand And Marketing Manager"/>
    <d v="2016-04-04T00:00:00"/>
    <m/>
    <d v="2016-10-04T00:00:00"/>
    <s v="FULL"/>
    <n v="38"/>
    <n v="1"/>
    <s v="Senior Managers"/>
    <n v="20169"/>
    <s v="Joseph Fitzgerald "/>
    <s v="60DCAM"/>
    <s v="Director Corporate Affairs and Marketing"/>
    <x v="6"/>
    <x v="8"/>
  </r>
  <r>
    <s v="UCQ020796"/>
    <n v="20796"/>
    <s v="Daniel"/>
    <s v="Wong"/>
    <s v="MALE"/>
    <s v="MCA09"/>
    <s v="60SMAG"/>
    <s v="Senior Manager Advocacy and Government Relations"/>
    <d v="2022-02-11T00:00:00"/>
    <m/>
    <d v="2022-07-01T00:00:00"/>
    <s v="FULL"/>
    <n v="38"/>
    <n v="1"/>
    <s v="Senior Managers"/>
    <n v="20169"/>
    <s v="Joseph Fitzgerald "/>
    <s v="60DCAM"/>
    <s v="Director Corporate Affairs and Marketing"/>
    <x v="6"/>
    <x v="8"/>
  </r>
  <r>
    <s v="UCQ017104"/>
    <n v="17104"/>
    <s v="Dilkara"/>
    <s v="Whish-Wilson"/>
    <s v="FEMALE"/>
    <s v="MCA04"/>
    <s v="60CCMC"/>
    <s v="Group Manager Corporate Communications"/>
    <d v="2017-07-31T00:00:00"/>
    <m/>
    <d v="2021-09-01T00:00:00"/>
    <s v="FULL"/>
    <n v="38"/>
    <n v="1"/>
    <s v="Senior Managers"/>
    <n v="20169"/>
    <s v="Joseph Fitzgerald "/>
    <s v="60DCAM"/>
    <s v="Director Corporate Affairs and Marketing"/>
    <x v="6"/>
    <x v="8"/>
  </r>
  <r>
    <s v="UCQ020407"/>
    <n v="20407"/>
    <s v="Kimberley"/>
    <s v="Wilson"/>
    <s v="FEMALE"/>
    <s v="MCA03"/>
    <s v="60GMCE"/>
    <s v="General Manager Customer Experience and Insights"/>
    <d v="2021-10-25T00:00:00"/>
    <m/>
    <d v="2022-03-01T00:00:00"/>
    <s v="FULL"/>
    <n v="38"/>
    <n v="1"/>
    <s v="Senior Managers"/>
    <n v="20169"/>
    <s v="Joseph Fitzgerald "/>
    <s v="60DCAM"/>
    <s v="Director Corporate Affairs and Marketing"/>
    <x v="6"/>
    <x v="8"/>
  </r>
  <r>
    <s v="UCQ021913"/>
    <n v="21913"/>
    <s v="Catherine"/>
    <s v="Alexander"/>
    <s v="FEMALE"/>
    <s v="HOS103"/>
    <s v="P0CAA"/>
    <s v=" Administration Assistant"/>
    <d v="2023-03-23T00:00:00"/>
    <m/>
    <d v="2023-03-23T00:00:00"/>
    <s v="FULL"/>
    <n v="38"/>
    <n v="1"/>
    <s v="Clerical &amp; Admin"/>
    <s v="C00001"/>
    <s v="Adam Mcintosh"/>
    <s v="C60DOM"/>
    <s v="Associate Director of Mission: Pastoral Care"/>
    <x v="7"/>
    <x v="42"/>
  </r>
  <r>
    <s v="BLU195818"/>
    <n v="88710"/>
    <s v="Kerry"/>
    <s v="Lovell"/>
    <s v="FEMALE"/>
    <s v="MIS11"/>
    <n v="53719"/>
    <s v="Spiritual and Pastoral Care Pract"/>
    <d v="2022-11-21T00:00:00"/>
    <m/>
    <d v="2022-11-21T00:00:00"/>
    <s v="PART"/>
    <n v="15.2"/>
    <n v="0.39999999999999997"/>
    <s v="Professionals"/>
    <n v="169196"/>
    <s v="Adam Mcintosh"/>
    <n v="39233"/>
    <s v="Associate Director of Mission: Pastoral Care"/>
    <x v="7"/>
    <x v="42"/>
  </r>
  <r>
    <s v="UCQ020531"/>
    <n v="20531"/>
    <s v="Andrea"/>
    <s v="Griggs"/>
    <s v="FEMALE"/>
    <s v="MIS09"/>
    <s v="P0CAO"/>
    <s v="Chaplaincy Administration Officer"/>
    <d v="2022-04-04T00:00:00"/>
    <m/>
    <d v="2022-04-04T00:00:00"/>
    <s v="PART"/>
    <n v="24"/>
    <n v="0.63157894736842102"/>
    <s v="Clerical &amp; Admin"/>
    <s v="C00001"/>
    <s v="Peter Armstrong"/>
    <s v="C60DOM"/>
    <s v="Director of Mission"/>
    <x v="7"/>
    <x v="42"/>
  </r>
  <r>
    <s v="UCQ019932"/>
    <n v="19932"/>
    <s v="Sarah"/>
    <s v="Tucker"/>
    <s v="FEMALE"/>
    <s v="MIS07"/>
    <s v="60PMP"/>
    <s v="Prison Ministry Lived Experience Art Program Faciliator"/>
    <d v="2021-03-01T00:00:00"/>
    <m/>
    <d v="2023-03-06T00:00:00"/>
    <s v="PART"/>
    <n v="19"/>
    <n v="0.5"/>
    <s v="Professionals"/>
    <m/>
    <s v="Jessie Sanders"/>
    <m/>
    <s v="State Manager Prison Ministry"/>
    <x v="7"/>
    <x v="42"/>
  </r>
  <r>
    <s v="UCQ021533"/>
    <n v="21533"/>
    <s v="Anna"/>
    <s v="Skoubourdis"/>
    <s v="FEMALE"/>
    <s v="MIS12"/>
    <s v="60INT"/>
    <s v="Intern"/>
    <d v="2022-11-28T00:00:00"/>
    <m/>
    <d v="2022-11-28T00:00:00"/>
    <s v="CASUAL"/>
    <n v="38"/>
    <n v="1"/>
    <s v="Clerical &amp; Admin"/>
    <n v="13571"/>
    <s v="Angela Thomson"/>
    <s v="P05601"/>
    <s v="Service Leader"/>
    <x v="7"/>
    <x v="42"/>
  </r>
  <r>
    <s v="UCQ021549"/>
    <n v="21549"/>
    <s v="Sariah"/>
    <s v="Dobby"/>
    <s v="FEMALE"/>
    <s v="MIS12"/>
    <s v="604INT"/>
    <s v="Intern"/>
    <d v="2022-11-21T00:00:00"/>
    <m/>
    <d v="2022-11-21T00:00:00"/>
    <s v="CASUAL"/>
    <n v="38"/>
    <n v="1"/>
    <s v="Clerical &amp; Admin"/>
    <n v="20302"/>
    <s v="Lauren Gribble"/>
    <s v="P07397"/>
    <s v="Local Services Manager Community Support"/>
    <x v="7"/>
    <x v="42"/>
  </r>
  <r>
    <s v="UCQ021551"/>
    <n v="21551"/>
    <s v="Patricia"/>
    <s v="Stow"/>
    <s v="FEMALE"/>
    <s v="MIS12"/>
    <s v="603INT"/>
    <s v="Intern"/>
    <d v="2022-11-21T00:00:00"/>
    <m/>
    <d v="2022-11-21T00:00:00"/>
    <s v="CASUAL"/>
    <n v="38"/>
    <n v="1"/>
    <s v="Clerical &amp; Admin"/>
    <n v="20885"/>
    <s v="Melanie Boekel"/>
    <s v="P05799"/>
    <s v="Local Service Manager"/>
    <x v="7"/>
    <x v="42"/>
  </r>
  <r>
    <s v="UCQ021535"/>
    <n v="21535"/>
    <s v="Kaya"/>
    <s v="Ware"/>
    <s v="FEMALE"/>
    <s v="MIS12"/>
    <s v="601INT"/>
    <s v="Intern"/>
    <d v="2022-11-15T00:00:00"/>
    <m/>
    <d v="2022-11-15T00:00:00"/>
    <s v="CASUAL"/>
    <n v="38"/>
    <n v="1"/>
    <s v="Clerical &amp; Admin"/>
    <n v="19487"/>
    <s v="Tara Nutter"/>
    <s v="P05104"/>
    <s v="Local Service Manager"/>
    <x v="7"/>
    <x v="42"/>
  </r>
  <r>
    <s v="BLU176942"/>
    <n v="76100"/>
    <s v="Sharon"/>
    <s v="Baker"/>
    <s v="FEMALE"/>
    <s v="MIS11"/>
    <n v="51710"/>
    <s v="Spiritual and Pastoral Care Pract"/>
    <d v="2019-03-11T00:00:00"/>
    <m/>
    <d v="2022-08-01T00:00:00"/>
    <s v="PART"/>
    <n v="30.4"/>
    <n v="0.79999999999999993"/>
    <s v="Professionals"/>
    <n v="169196"/>
    <s v="Adam Mcintosh"/>
    <n v="39233"/>
    <s v="Associate Director of Mission: Pastoral Care"/>
    <x v="7"/>
    <x v="42"/>
  </r>
  <r>
    <s v="BLU178241"/>
    <n v="79074"/>
    <s v="Sally"/>
    <s v="Smith"/>
    <s v="FEMALE"/>
    <s v="MIS11"/>
    <n v="51585"/>
    <s v="Spiritual and Pastoral Care Pract"/>
    <d v="2020-02-03T00:00:00"/>
    <m/>
    <d v="2020-02-03T00:00:00"/>
    <s v="PART"/>
    <n v="30.4"/>
    <n v="0.79999999999999993"/>
    <s v="Professionals"/>
    <n v="169196"/>
    <s v="Adam Mcintosh"/>
    <n v="39233"/>
    <s v="Associate Director of Mission: Pastoral Care"/>
    <x v="7"/>
    <x v="42"/>
  </r>
  <r>
    <s v="UCQ022099"/>
    <n v="22099"/>
    <s v="Jessica"/>
    <s v="Abernethy"/>
    <s v="FEMALE"/>
    <s v="MIS19"/>
    <s v="60RASO"/>
    <s v="RAP Administration Support Officer"/>
    <d v="2023-06-05T00:00:00"/>
    <m/>
    <d v="2023-06-05T00:00:00"/>
    <s v="FULL"/>
    <n v="38"/>
    <n v="1"/>
    <s v="Clerical &amp; Admin"/>
    <n v="18928"/>
    <s v="Nikki Burns"/>
    <s v="60RPA1"/>
    <s v="RAP Partner Hospitals Corporate Synod"/>
    <x v="7"/>
    <x v="42"/>
  </r>
  <r>
    <s v="BLU196463"/>
    <n v="89308"/>
    <s v="Gretzel"/>
    <s v="Mandingiado"/>
    <s v="FEMALE"/>
    <s v="MIS05"/>
    <n v="43187"/>
    <s v="Chaplaincy Coordinator"/>
    <d v="2022-11-21T00:00:00"/>
    <m/>
    <d v="2022-11-21T00:00:00"/>
    <s v="FULL"/>
    <n v="38"/>
    <n v="1"/>
    <s v="Professionals"/>
    <n v="169196"/>
    <s v="Adam Mcintosh"/>
    <n v="39233"/>
    <s v="Associate Director of Mission: Pastoral Care"/>
    <x v="7"/>
    <x v="42"/>
  </r>
  <r>
    <s v="BLU190699"/>
    <n v="86973"/>
    <s v="Merisa"/>
    <s v="Holland"/>
    <s v="FEMALE"/>
    <s v="MIS11"/>
    <n v="54891"/>
    <s v="Spiritual and Pastoral Care Pract"/>
    <d v="2022-05-16T00:00:00"/>
    <m/>
    <d v="2022-05-16T00:00:00"/>
    <s v="PART"/>
    <n v="26.6"/>
    <n v="0.70000000000000007"/>
    <s v="Professionals"/>
    <n v="169196"/>
    <s v="Adam Mcintosh"/>
    <n v="39233"/>
    <s v="Associate Director of Mission: Pastoral Care"/>
    <x v="7"/>
    <x v="42"/>
  </r>
  <r>
    <s v="UCQ020011"/>
    <n v="20011"/>
    <s v="Sarah"/>
    <s v="Martelli"/>
    <s v="FEMALE"/>
    <s v="MIS10"/>
    <s v="60RAA"/>
    <s v="Executive Assistant"/>
    <d v="2021-04-19T00:00:00"/>
    <m/>
    <d v="2021-04-19T00:00:00"/>
    <s v="FULL"/>
    <n v="38"/>
    <n v="1"/>
    <s v="Clerical &amp; Admin"/>
    <s v="C00001"/>
    <s v="Peter Armstrong"/>
    <s v="C60DOM"/>
    <s v="Director of Mission"/>
    <x v="7"/>
    <x v="42"/>
  </r>
  <r>
    <s v="UCQ020652"/>
    <n v="20652"/>
    <s v="Candice"/>
    <s v="Hamilton"/>
    <s v="FEMALE"/>
    <s v="MIS17"/>
    <s v="60RPA2"/>
    <s v="RAP Partner Workforce Leadership Wellbeing"/>
    <d v="2022-01-17T00:00:00"/>
    <m/>
    <d v="2023-04-01T00:00:00"/>
    <s v="FULL"/>
    <n v="38"/>
    <n v="1"/>
    <s v="Clerical &amp; Admin"/>
    <n v="20202"/>
    <s v="Kym Korbe"/>
    <s v="60MRAP"/>
    <s v="Manager RAP Program"/>
    <x v="7"/>
    <x v="42"/>
  </r>
  <r>
    <s v="UCQ018928"/>
    <n v="18928"/>
    <s v="Nikki"/>
    <s v="Burns"/>
    <s v="FEMALE"/>
    <s v="MIS16"/>
    <s v="60RPA1"/>
    <s v="RAP Partner Hospitals Corporate Synod"/>
    <d v="2019-10-14T00:00:00"/>
    <m/>
    <d v="2023-04-01T00:00:00"/>
    <s v="FULL"/>
    <n v="38"/>
    <n v="1"/>
    <s v="Clerical &amp; Admin"/>
    <n v="20202"/>
    <s v="Kym Korbe"/>
    <s v="60MRAP"/>
    <s v="Manager RAP Program"/>
    <x v="7"/>
    <x v="42"/>
  </r>
  <r>
    <s v="UCQ021479"/>
    <n v="21479"/>
    <s v="Jeremy"/>
    <s v="Canard"/>
    <s v="MALE"/>
    <s v="MIS18"/>
    <s v="60ESAD"/>
    <s v="Environmental Sustainability Advisor"/>
    <d v="2022-10-31T00:00:00"/>
    <m/>
    <d v="2023-05-01T00:00:00"/>
    <s v="FULL"/>
    <n v="38"/>
    <n v="1"/>
    <s v="Clerical &amp; Admin"/>
    <n v="17917"/>
    <s v="Simone Elias"/>
    <s v="60SMES"/>
    <s v="Senior Manager Environmental Sustainability"/>
    <x v="7"/>
    <x v="42"/>
  </r>
  <r>
    <s v="UCQ020202"/>
    <n v="20202"/>
    <s v="Kym"/>
    <s v="Korbe"/>
    <s v="FEMALE"/>
    <s v="MIS01"/>
    <s v="60MRAP"/>
    <s v="Manager RAP Program"/>
    <d v="2021-08-12T00:00:00"/>
    <m/>
    <d v="2021-08-12T00:00:00"/>
    <s v="FULL"/>
    <n v="38"/>
    <n v="1"/>
    <s v="Senior Managers"/>
    <s v="C00001"/>
    <s v="Peter Armstrong"/>
    <s v="C60DOM"/>
    <s v="Director of Mission"/>
    <x v="7"/>
    <x v="42"/>
  </r>
  <r>
    <s v="UCQ017917"/>
    <n v="17917"/>
    <s v="Simone"/>
    <s v="Elias"/>
    <s v="FEMALE"/>
    <s v="MIS02"/>
    <s v="60SMES"/>
    <s v="Senior Manager Environmental Sustainability"/>
    <d v="2018-07-02T00:00:00"/>
    <m/>
    <d v="2022-08-22T00:00:00"/>
    <s v="FULL"/>
    <n v="38"/>
    <n v="1"/>
    <s v="Senior Managers"/>
    <s v="C00001"/>
    <s v="Peter Armstrong"/>
    <s v="C60DOM"/>
    <s v="Director of Mission"/>
    <x v="7"/>
    <x v="42"/>
  </r>
  <r>
    <s v="UCQ018716"/>
    <n v="18716"/>
    <s v="Ivo"/>
    <s v="Musulin"/>
    <s v="MALE"/>
    <s v="2030_01"/>
    <s v="60GM20"/>
    <s v="Group General Manager Transformation"/>
    <d v="2019-07-01T00:00:00"/>
    <m/>
    <d v="2023-02-10T00:00:00"/>
    <s v="FULL"/>
    <n v="38"/>
    <n v="1"/>
    <s v="Other Exec / Gen Mgrs"/>
    <n v="17409"/>
    <s v="Craig Barke"/>
    <s v="60CEO2"/>
    <s v="Chief Executive Officer"/>
    <x v="8"/>
    <x v="43"/>
  </r>
  <r>
    <s v="UCQ020169"/>
    <n v="20169"/>
    <s v="Joseph"/>
    <s v="Fitzgerald"/>
    <s v="MALE"/>
    <s v="MCA01"/>
    <s v="60DCAM"/>
    <s v="Director Corporate Affairs and Marketing"/>
    <d v="2021-08-09T00:00:00"/>
    <m/>
    <d v="2021-08-09T00:00:00"/>
    <s v="FULL"/>
    <n v="38"/>
    <n v="1"/>
    <s v="Other Exec / Gen Mgrs"/>
    <n v="17409"/>
    <s v="Craig Barke"/>
    <s v="60CEO2"/>
    <s v="Chief Executive Officer"/>
    <x v="8"/>
    <x v="44"/>
  </r>
  <r>
    <s v="UCQ016426"/>
    <n v="16426"/>
    <s v="Erin"/>
    <s v="Argus"/>
    <s v="FEMALE"/>
    <s v="BF83"/>
    <s v="60SAO"/>
    <s v="Senior Administration Officer"/>
    <d v="2016-10-04T00:00:00"/>
    <m/>
    <d v="2023-03-06T00:00:00"/>
    <s v="PART"/>
    <n v="15"/>
    <n v="0.39473684210526316"/>
    <s v="Clerical &amp; Admin"/>
    <n v="12120"/>
    <s v="Jessica Reid "/>
    <s v="60EA1"/>
    <s v="Executive Assistant to the CEO"/>
    <x v="8"/>
    <x v="45"/>
  </r>
  <r>
    <s v="UCQ012120"/>
    <n v="12120"/>
    <s v="Jessica"/>
    <s v="Reid"/>
    <s v="FEMALE"/>
    <s v="CEO02"/>
    <s v="60EA1"/>
    <s v="Executive Assistant to the CEO"/>
    <d v="2011-08-18T00:00:00"/>
    <m/>
    <d v="2018-04-16T00:00:00"/>
    <s v="FULL"/>
    <n v="38"/>
    <n v="1"/>
    <s v="Clerical &amp; Admin"/>
    <n v="17409"/>
    <s v="Craig Barke"/>
    <s v="60CEO2"/>
    <s v="Chief Executive Officer"/>
    <x v="8"/>
    <x v="45"/>
  </r>
  <r>
    <s v="UCQ021341"/>
    <n v="21341"/>
    <s v="Amanda"/>
    <s v="Byrne"/>
    <s v="FEMALE"/>
    <s v="PC21"/>
    <s v="60HRBP"/>
    <s v="Human Resources Business Partner"/>
    <d v="2022-09-19T00:00:00"/>
    <m/>
    <d v="2023-01-24T00:00:00"/>
    <s v="PART"/>
    <n v="30"/>
    <n v="0.78947368421052633"/>
    <s v="Other Managers"/>
    <n v="21703"/>
    <s v="Leisa Jones "/>
    <s v="601SBP"/>
    <s v="Senior Human Resources Business Partner"/>
    <x v="9"/>
    <x v="46"/>
  </r>
  <r>
    <s v="UCQ018093"/>
    <n v="18093"/>
    <s v="Katharine"/>
    <s v="Langley"/>
    <s v="FEMALE"/>
    <s v="PC21"/>
    <s v="T0BP7"/>
    <s v="Human Resources Business Partner"/>
    <d v="2018-10-22T00:00:00"/>
    <m/>
    <d v="2023-04-17T00:00:00"/>
    <s v="FULL"/>
    <n v="38"/>
    <n v="1"/>
    <s v="Other Managers"/>
    <n v="20101"/>
    <s v="Helene Wiemers "/>
    <s v="60SMBP"/>
    <s v="Senior Manager Business Partnering"/>
    <x v="9"/>
    <x v="46"/>
  </r>
  <r>
    <s v="UCQ020254"/>
    <n v="20254"/>
    <s v="Emma"/>
    <s v="Peterson"/>
    <s v="FEMALE"/>
    <s v="PC39"/>
    <s v="60EES"/>
    <s v="Employee Experience Specialist"/>
    <d v="2021-08-23T00:00:00"/>
    <m/>
    <d v="2023-04-18T00:00:00"/>
    <s v="FULL"/>
    <n v="38"/>
    <n v="1"/>
    <s v="Professionals"/>
    <n v="20101"/>
    <s v="Helene Wiemers "/>
    <s v="60SMBP"/>
    <s v="Senior Manager Business Partnering"/>
    <x v="9"/>
    <x v="46"/>
  </r>
  <r>
    <s v="UCQ021933"/>
    <n v="21933"/>
    <s v="Caitlin"/>
    <s v="Farley"/>
    <s v="FEMALE"/>
    <s v="PC87"/>
    <s v="601SHR"/>
    <s v="Human Resources Advisor"/>
    <d v="2023-03-27T00:00:00"/>
    <d v="2024-01-27T00:00:00"/>
    <d v="2023-03-27T00:00:00"/>
    <s v="FULL"/>
    <n v="38"/>
    <n v="1"/>
    <s v="Professionals"/>
    <n v="21468"/>
    <s v=" Lea Baxter"/>
    <s v="60BPGM"/>
    <s v="General Manager Business Partnering FaDS and Hospitals"/>
    <x v="9"/>
    <x v="46"/>
  </r>
  <r>
    <s v="UCQ021761"/>
    <n v="21761"/>
    <s v="Joanne"/>
    <s v="Varga"/>
    <s v="FEMALE"/>
    <s v="PC21"/>
    <s v="60BP3"/>
    <s v="Human Resources Business Partner"/>
    <d v="2023-02-27T00:00:00"/>
    <m/>
    <d v="2023-02-27T00:00:00"/>
    <s v="FULL"/>
    <n v="38"/>
    <n v="1"/>
    <s v="Other Managers"/>
    <n v="17109"/>
    <s v="Neuza Fernandes-Green "/>
    <s v="60SBP1"/>
    <s v="Senior Human Resources Business Partner"/>
    <x v="9"/>
    <x v="46"/>
  </r>
  <r>
    <s v="UCQ021918"/>
    <n v="21918"/>
    <s v="Jennifer"/>
    <s v="Gibson"/>
    <s v="FEMALE"/>
    <s v="PC21"/>
    <s v="602BPH"/>
    <s v="Human Resources Business Partner"/>
    <d v="2023-03-20T00:00:00"/>
    <d v="2024-03-22T00:00:00"/>
    <d v="2023-03-20T00:00:00"/>
    <s v="FULL"/>
    <n v="38"/>
    <n v="1"/>
    <s v="Other Managers"/>
    <n v="21468"/>
    <s v=" Lea Baxter"/>
    <s v="60BPGM"/>
    <s v="General Manager Business Partnering FaDS and Hospitals"/>
    <x v="9"/>
    <x v="46"/>
  </r>
  <r>
    <s v="UCQ021923"/>
    <n v="21923"/>
    <s v="Melissa"/>
    <s v="Hare"/>
    <s v="FEMALE"/>
    <s v="PC21"/>
    <s v="601BPH"/>
    <s v="Human Resources Business Partner"/>
    <d v="2023-03-20T00:00:00"/>
    <d v="2024-03-22T00:00:00"/>
    <d v="2023-03-20T00:00:00"/>
    <s v="FULL"/>
    <n v="38"/>
    <n v="1"/>
    <s v="Other Managers"/>
    <n v="21468"/>
    <s v=" Lea Baxter"/>
    <s v="60BPGM"/>
    <s v="General Manager Business Partnering FaDS and Hospitals"/>
    <x v="9"/>
    <x v="46"/>
  </r>
  <r>
    <s v="UCQ021263"/>
    <n v="21263"/>
    <s v="Elizabeth"/>
    <s v="Gillott"/>
    <s v="FEMALE"/>
    <s v="PC21"/>
    <s v="60BP5"/>
    <s v="Human Resources Business Partner"/>
    <d v="2022-08-22T00:00:00"/>
    <m/>
    <d v="2022-08-22T00:00:00"/>
    <s v="FULL"/>
    <n v="38"/>
    <n v="1"/>
    <s v="Other Managers"/>
    <n v="17325"/>
    <s v=" Karen Bartley"/>
    <s v="60SBP6"/>
    <s v="Senior Human Resource Business Partner"/>
    <x v="9"/>
    <x v="46"/>
  </r>
  <r>
    <s v="UCQ017778"/>
    <n v="17778"/>
    <s v="Carolyn"/>
    <s v="Turnbull"/>
    <s v="FEMALE"/>
    <s v="PC21"/>
    <s v="60BP4"/>
    <s v="Human Resources Business Partner"/>
    <d v="2018-06-04T00:00:00"/>
    <m/>
    <d v="2022-11-21T00:00:00"/>
    <s v="FULL"/>
    <n v="38"/>
    <n v="1"/>
    <s v="Other Managers"/>
    <n v="17778"/>
    <s v="Carolyn Turnbull "/>
    <s v="60HPC4"/>
    <s v="Senior Human Resource Business Partner"/>
    <x v="9"/>
    <x v="46"/>
  </r>
  <r>
    <s v="UCQ021273"/>
    <n v="21273"/>
    <s v="Annina"/>
    <s v="Perdacher"/>
    <s v="FEMALE"/>
    <s v="PC21"/>
    <s v="60BP1"/>
    <s v="Human Resources Business Partner"/>
    <d v="2022-08-22T00:00:00"/>
    <m/>
    <d v="2022-08-22T00:00:00"/>
    <s v="FULL"/>
    <n v="38"/>
    <n v="1"/>
    <s v="Other Managers"/>
    <n v="17778"/>
    <s v="Carolyn Turnbull "/>
    <s v="60SBP7"/>
    <s v="Senior Human Resource Business Partner"/>
    <x v="9"/>
    <x v="46"/>
  </r>
  <r>
    <s v="UCQ021351"/>
    <n v="21351"/>
    <s v="Karen"/>
    <s v="Isbister"/>
    <s v="FEMALE"/>
    <s v="PC21"/>
    <s v="60BP10"/>
    <s v="Human Resources Business Partner"/>
    <d v="2022-09-12T00:00:00"/>
    <m/>
    <d v="2023-01-23T00:00:00"/>
    <s v="FULL"/>
    <n v="38"/>
    <n v="1"/>
    <s v="Other Managers"/>
    <n v="17778"/>
    <s v="Carolyn Turnbull "/>
    <s v="60SBP7"/>
    <s v="Senior Human Resource Business Partner"/>
    <x v="9"/>
    <x v="46"/>
  </r>
  <r>
    <s v="UCQ016902"/>
    <n v="16902"/>
    <s v="Sarah"/>
    <s v="Daviess"/>
    <s v="FEMALE"/>
    <s v="PC15"/>
    <s v="60SBP9"/>
    <s v="Senior Human Resources Business Partner"/>
    <d v="2017-04-27T00:00:00"/>
    <m/>
    <d v="2022-07-01T00:00:00"/>
    <s v="FULL"/>
    <n v="38"/>
    <n v="1"/>
    <s v="Senior Managers"/>
    <n v="21468"/>
    <s v="Lea Baxter"/>
    <s v="60BPGM"/>
    <s v="General Manager Business Partnering FaDS and Hospitals"/>
    <x v="9"/>
    <x v="46"/>
  </r>
  <r>
    <s v="UCQ017109"/>
    <n v="17109"/>
    <s v="Neuza"/>
    <s v="Fernandes-Green"/>
    <s v="FEMALE"/>
    <s v="PC15"/>
    <s v="60SBP1"/>
    <s v="Senior Human Resources Business Partner"/>
    <d v="2017-02-14T00:00:00"/>
    <m/>
    <d v="2022-07-01T00:00:00"/>
    <s v="FULL"/>
    <n v="38"/>
    <n v="1"/>
    <s v="Senior Managers"/>
    <n v="21468"/>
    <s v="Lea Baxter"/>
    <s v="60BPGM"/>
    <s v="General Manager Business Partnering FaDS and Hospitals"/>
    <x v="9"/>
    <x v="46"/>
  </r>
  <r>
    <s v="UCQ021791"/>
    <n v="21791"/>
    <s v="Michelle"/>
    <s v="Fraser"/>
    <s v="FEMALE"/>
    <s v="PC15"/>
    <s v="60SBP"/>
    <s v="Senior Human Resources Business Partner"/>
    <d v="2023-03-13T00:00:00"/>
    <m/>
    <d v="2023-03-13T00:00:00"/>
    <s v="FULL"/>
    <n v="38"/>
    <n v="1"/>
    <s v="Senior Managers"/>
    <n v="20101"/>
    <s v="Helene Wiemers "/>
    <s v="60SMBP"/>
    <s v="Senior Manager Business Partnering"/>
    <x v="9"/>
    <x v="46"/>
  </r>
  <r>
    <s v="UCQ018069"/>
    <n v="18069"/>
    <s v="Monica"/>
    <s v="Porreca"/>
    <s v="FEMALE"/>
    <s v="PC15"/>
    <s v="T0SBP6"/>
    <s v="Senior Human Resources Business Partner"/>
    <d v="2018-10-09T00:00:00"/>
    <m/>
    <d v="2023-01-23T00:00:00"/>
    <s v="FULL"/>
    <n v="38"/>
    <n v="1"/>
    <s v="Senior Managers"/>
    <n v="21819"/>
    <s v="Haley Lee "/>
    <s v="60HPC4"/>
    <s v="General Manager Business Partnering"/>
    <x v="9"/>
    <x v="46"/>
  </r>
  <r>
    <s v="UCQ017325"/>
    <n v="17325"/>
    <s v="Karen"/>
    <s v="Bartley"/>
    <s v="FEMALE"/>
    <s v="PC15"/>
    <s v="60SBP6"/>
    <s v="Senior Human Resources Business Partner"/>
    <d v="2007-03-12T00:00:00"/>
    <m/>
    <d v="2023-04-19T00:00:00"/>
    <s v="FULL"/>
    <n v="38"/>
    <n v="1"/>
    <s v="Other Managers"/>
    <n v="21819"/>
    <s v="Haley Lee "/>
    <s v="60HPC4"/>
    <s v="General Manager Business Partnering"/>
    <x v="9"/>
    <x v="46"/>
  </r>
  <r>
    <s v="UCQ021703"/>
    <n v="21703"/>
    <s v="Leisa"/>
    <s v="Jones"/>
    <s v="FEMALE"/>
    <s v="PC15"/>
    <s v="601SBP"/>
    <s v="Senior Human Resources Business Partner"/>
    <d v="2023-01-17T00:00:00"/>
    <m/>
    <d v="2023-01-17T00:00:00"/>
    <s v="FULL"/>
    <n v="38"/>
    <n v="1"/>
    <s v="Senior Managers"/>
    <n v="21468"/>
    <s v="Lea Baxter"/>
    <s v="60BPGM"/>
    <s v="General Manager Business Partnering FaDS and Hospitals"/>
    <x v="9"/>
    <x v="46"/>
  </r>
  <r>
    <s v="UCQ022165"/>
    <n v="22165"/>
    <s v="Phillip"/>
    <s v="Beekhuizen"/>
    <s v="MALE"/>
    <s v="PC15"/>
    <s v="60SBP7"/>
    <s v="Senior Human Resources Business Partner"/>
    <d v="2023-06-26T00:00:00"/>
    <m/>
    <d v="2023-06-26T00:00:00"/>
    <s v="FULL"/>
    <n v="38"/>
    <n v="1"/>
    <s v="Senior Managers"/>
    <n v="21468"/>
    <s v=" Lea Baxter"/>
    <s v="60BPGM"/>
    <s v="General Manager Business Partnering FaDS and Hospitals"/>
    <x v="9"/>
    <x v="46"/>
  </r>
  <r>
    <s v="UCQ019791"/>
    <n v="19791"/>
    <s v="Amee"/>
    <s v="Christie"/>
    <s v="FEMALE"/>
    <s v="PC40"/>
    <s v="60ERA1"/>
    <s v="Employee Relations Advisor"/>
    <d v="2021-01-20T00:00:00"/>
    <m/>
    <d v="2023-02-07T00:00:00"/>
    <s v="PART"/>
    <n v="26"/>
    <n v="0.68421052631578949"/>
    <s v="Professionals"/>
    <n v="22085"/>
    <s v="Deanne Forrestal"/>
    <s v="60ERL2"/>
    <s v="Employee Relations Lead"/>
    <x v="9"/>
    <x v="47"/>
  </r>
  <r>
    <s v="UCQ021302"/>
    <n v="21302"/>
    <s v="Matthew"/>
    <s v="Torrisi"/>
    <s v="MALE"/>
    <s v="PC40"/>
    <s v="60ERA5"/>
    <s v="Employee Relations Advisor"/>
    <d v="2022-08-29T00:00:00"/>
    <m/>
    <d v="2023-02-07T00:00:00"/>
    <s v="FULL"/>
    <n v="38"/>
    <n v="1"/>
    <s v="Professionals"/>
    <n v="21799"/>
    <s v="Candice Van Lierop "/>
    <s v="60ERL1"/>
    <s v="Employee Relations Lead"/>
    <x v="9"/>
    <x v="47"/>
  </r>
  <r>
    <s v="UCQ019065"/>
    <n v="19065"/>
    <s v="Natasha-Marie"/>
    <s v="Davies"/>
    <s v="FEMALE"/>
    <s v="PC40"/>
    <s v="60ERA2"/>
    <s v="Employee Relations Advisor"/>
    <d v="2019-12-09T00:00:00"/>
    <m/>
    <d v="2023-02-07T00:00:00"/>
    <s v="FULL"/>
    <n v="38"/>
    <n v="1"/>
    <s v="Professionals"/>
    <n v="22007"/>
    <s v="Blanche MacQuinto "/>
    <s v="60ERL"/>
    <s v="Employee Relations Lead"/>
    <x v="9"/>
    <x v="47"/>
  </r>
  <r>
    <s v="UCQ021078"/>
    <n v="21078"/>
    <s v="Samantha"/>
    <s v="Donpon"/>
    <s v="FEMALE"/>
    <s v="PC40"/>
    <s v="60ERA3"/>
    <s v="Employee Relations Advisor"/>
    <d v="2022-06-06T00:00:00"/>
    <m/>
    <d v="2023-02-07T00:00:00"/>
    <s v="FULL"/>
    <n v="38"/>
    <n v="1"/>
    <s v="Professionals"/>
    <n v="22007"/>
    <s v="Blanche MacQuinto "/>
    <s v="60ERL"/>
    <s v="Employee Relations Lead"/>
    <x v="9"/>
    <x v="47"/>
  </r>
  <r>
    <s v="UCQ020252"/>
    <n v="20252"/>
    <s v="Annabel"/>
    <s v="Hutch"/>
    <s v="FEMALE"/>
    <s v="PC40"/>
    <s v="60ERA4"/>
    <s v="Employee Relations Advisor"/>
    <d v="2021-08-30T00:00:00"/>
    <m/>
    <d v="2023-02-07T00:00:00"/>
    <s v="FULL"/>
    <n v="38"/>
    <n v="1"/>
    <s v="Professionals"/>
    <n v="21799"/>
    <s v="Candice Van Lierop "/>
    <s v="60ERL1"/>
    <s v="Employee Relations Lead"/>
    <x v="9"/>
    <x v="47"/>
  </r>
  <r>
    <s v="UCQ021894"/>
    <n v="21894"/>
    <s v="Alice"/>
    <s v="Kellichan"/>
    <s v="FEMALE"/>
    <s v="PC40"/>
    <s v="60ERA6"/>
    <s v="Employee Relations Advisor"/>
    <d v="2023-03-13T00:00:00"/>
    <m/>
    <d v="2023-05-29T00:00:00"/>
    <s v="FULL"/>
    <n v="38"/>
    <n v="1"/>
    <s v="Professionals"/>
    <n v="21753"/>
    <s v="Melissa Bostock"/>
    <s v="60SMER"/>
    <s v="Senior Manager Employee Relations"/>
    <x v="9"/>
    <x v="47"/>
  </r>
  <r>
    <s v="UCQ021799"/>
    <n v="21799"/>
    <s v="Candice"/>
    <s v="Van Lierop"/>
    <s v="FEMALE"/>
    <s v="PC19"/>
    <s v="60ERL1"/>
    <s v="Employee Relations Lead"/>
    <d v="2023-02-27T00:00:00"/>
    <m/>
    <d v="2023-02-27T00:00:00"/>
    <s v="PART"/>
    <n v="30"/>
    <n v="0.78947368421052633"/>
    <s v="Professionals"/>
    <n v="21753"/>
    <s v="Melissa Bostock"/>
    <s v="60SMER"/>
    <s v="Senior Manager Employee Relations"/>
    <x v="9"/>
    <x v="47"/>
  </r>
  <r>
    <s v="UCQ022007"/>
    <n v="22007"/>
    <s v="Blanche"/>
    <s v="Macquinto"/>
    <s v="FEMALE"/>
    <s v="PC19"/>
    <s v="60ERL"/>
    <s v="Employee Relations Lead"/>
    <d v="2023-04-24T00:00:00"/>
    <m/>
    <d v="2023-04-24T00:00:00"/>
    <s v="FULL"/>
    <n v="38"/>
    <n v="1"/>
    <s v="Professionals"/>
    <n v="21753"/>
    <s v="Melissa Bostock"/>
    <s v="60SMER"/>
    <s v="Senior Manager Employee Relations"/>
    <x v="9"/>
    <x v="47"/>
  </r>
  <r>
    <s v="UCQ022085"/>
    <n v="22085"/>
    <s v="Deanne"/>
    <s v="Forrestal"/>
    <s v="FEMALE"/>
    <s v="PC19"/>
    <s v="60ERL2"/>
    <s v="Employee Relations Lead"/>
    <d v="2023-06-12T00:00:00"/>
    <m/>
    <d v="2023-06-16T00:00:00"/>
    <s v="FULL"/>
    <n v="38"/>
    <n v="1"/>
    <s v="Professionals"/>
    <n v="21753"/>
    <s v="Melissa Bostock"/>
    <s v="60SMER"/>
    <s v="Senior Manager Employee Relations"/>
    <x v="9"/>
    <x v="47"/>
  </r>
  <r>
    <s v="UCQ022050"/>
    <n v="22050"/>
    <s v="Laura"/>
    <s v="Forman"/>
    <s v="FEMALE"/>
    <s v="PC100"/>
    <s v="60ERC"/>
    <s v="Employee Relations Counsel"/>
    <d v="2023-05-16T00:00:00"/>
    <m/>
    <d v="2023-05-16T00:00:00"/>
    <s v="PART"/>
    <n v="34"/>
    <n v="0.89473684210526316"/>
    <s v="Professionals"/>
    <n v="21753"/>
    <s v="Melissa Bostock"/>
    <s v="60SMER"/>
    <s v="Senior Manager Employee Relations"/>
    <x v="9"/>
    <x v="47"/>
  </r>
  <r>
    <s v="UCQ021604"/>
    <n v="21604"/>
    <s v="Kaely"/>
    <s v="Wake"/>
    <s v="FEMALE"/>
    <s v="PC42"/>
    <s v="60HSWA"/>
    <s v="Health Safety and Wellbeing Advisor"/>
    <d v="2014-06-12T00:00:00"/>
    <m/>
    <d v="2022-12-15T00:00:00"/>
    <s v="FULL"/>
    <n v="38"/>
    <n v="1"/>
    <s v="Professionals"/>
    <n v="19607"/>
    <s v="Damien Knight"/>
    <s v="60HSWTL"/>
    <s v="Team Leader - Health Safety &amp; Wellbeing - ACCS &amp; FADS"/>
    <x v="9"/>
    <x v="48"/>
  </r>
  <r>
    <s v="UCQ019751"/>
    <n v="19751"/>
    <s v="Kerry"/>
    <s v="Hansen"/>
    <s v="FEMALE"/>
    <s v="PC90"/>
    <s v="601R@W"/>
    <s v="Recover Work Claims Officer"/>
    <d v="2021-01-13T00:00:00"/>
    <m/>
    <d v="2021-01-13T00:00:00"/>
    <s v="PART"/>
    <n v="34"/>
    <n v="0.89473684210526316"/>
    <s v="Professionals"/>
    <n v="19627"/>
    <s v="Suzanne Smith "/>
    <s v="60RWTL"/>
    <s v="Manager Recover At Work"/>
    <x v="9"/>
    <x v="48"/>
  </r>
  <r>
    <s v="UCQ021992"/>
    <n v="21992"/>
    <s v="Nirali"/>
    <s v="Barot"/>
    <s v="FEMALE"/>
    <s v="PC90"/>
    <s v="601RAW"/>
    <s v="Recover At Work Officer"/>
    <d v="2023-04-24T00:00:00"/>
    <m/>
    <d v="2023-04-24T00:00:00"/>
    <s v="FULL"/>
    <n v="38"/>
    <n v="1"/>
    <s v="Professionals"/>
    <n v="19627"/>
    <s v="Suzanne Smith "/>
    <s v="60RWTL"/>
    <s v="Manager Recover At Work"/>
    <x v="9"/>
    <x v="48"/>
  </r>
  <r>
    <s v="BLU156444"/>
    <n v="88346"/>
    <s v="Christine"/>
    <s v="Forsyth"/>
    <s v="FEMALE"/>
    <s v="ACC68"/>
    <n v="51275"/>
    <s v="Senior Manual Handling Coach"/>
    <d v="2013-07-08T00:00:00"/>
    <m/>
    <d v="2022-09-06T00:00:00"/>
    <s v="FULL"/>
    <n v="38"/>
    <n v="1"/>
    <s v="Professionals"/>
    <n v="20076"/>
    <s v="Sue Pelizzari"/>
    <s v="60TLMH"/>
    <s v="Team Leader Manual Handling Program"/>
    <x v="9"/>
    <x v="48"/>
  </r>
  <r>
    <s v="UCQ019979"/>
    <n v="19979"/>
    <s v="Clare"/>
    <s v="Condon"/>
    <s v="FEMALE"/>
    <s v="PC78"/>
    <s v="60HSWP"/>
    <s v="HSW Program Officer"/>
    <d v="2021-04-07T00:00:00"/>
    <m/>
    <d v="2021-04-07T00:00:00"/>
    <s v="FULL"/>
    <n v="38"/>
    <n v="1"/>
    <m/>
    <n v="19500"/>
    <s v="Nicole Hanlon "/>
    <s v="60GMWH"/>
    <s v="General Manager Health Safety and Wellbeing"/>
    <x v="9"/>
    <x v="48"/>
  </r>
  <r>
    <s v="BLU187705"/>
    <n v="84341"/>
    <s v="Chelsea"/>
    <s v="Ansell"/>
    <s v="FEMALE"/>
    <s v="ACC68"/>
    <n v="53734"/>
    <s v="Senior Manual Handling Coach"/>
    <d v="2021-10-05T00:00:00"/>
    <m/>
    <d v="2021-10-05T00:00:00"/>
    <s v="FULL"/>
    <n v="38"/>
    <n v="1"/>
    <s v="Professionals"/>
    <n v="20076"/>
    <s v="Sue Pelizzari"/>
    <s v="60TLMH"/>
    <s v="Team Leader Manual Handling Program"/>
    <x v="9"/>
    <x v="48"/>
  </r>
  <r>
    <s v="UCQ018979"/>
    <n v="18979"/>
    <s v="Natalie"/>
    <s v="Chiswell"/>
    <s v="FEMALE"/>
    <s v="ACC68"/>
    <s v="60SMHC"/>
    <s v="Senior Manual Handling Coach"/>
    <d v="2019-11-04T00:00:00"/>
    <d v="2024-06-28T00:00:00"/>
    <d v="2023-03-13T00:00:00"/>
    <s v="PART"/>
    <n v="30"/>
    <n v="0.78947368421052633"/>
    <s v="Professionals"/>
    <n v="20076"/>
    <s v="Sue Pelizzari"/>
    <s v="60TLMH"/>
    <s v="Team Leader Manual Handling Program"/>
    <x v="9"/>
    <x v="48"/>
  </r>
  <r>
    <s v="UCQ019574"/>
    <n v="19574"/>
    <s v="Patricia"/>
    <s v="Christie"/>
    <s v="FEMALE"/>
    <s v="PC59"/>
    <s v="60RWA2"/>
    <s v="Recover at Work Advisor"/>
    <d v="2015-05-25T00:00:00"/>
    <m/>
    <d v="2021-06-27T00:00:00"/>
    <s v="FULL"/>
    <n v="38"/>
    <n v="1"/>
    <s v="Professionals"/>
    <n v="19627"/>
    <s v="Suzanne Smith "/>
    <s v="60RWTL"/>
    <s v="Manager Recover At Work"/>
    <x v="9"/>
    <x v="48"/>
  </r>
  <r>
    <s v="UCQ019889"/>
    <n v="19889"/>
    <s v="Brenton"/>
    <s v="Fitzgerald"/>
    <s v="MALE"/>
    <s v="ACC68"/>
    <s v="60SMH4"/>
    <s v="Senior Manual Handling Coach"/>
    <d v="2019-11-04T00:00:00"/>
    <m/>
    <d v="2021-10-04T00:00:00"/>
    <s v="FULL"/>
    <n v="38"/>
    <n v="1"/>
    <s v="Professionals"/>
    <n v="20076"/>
    <s v="Sue Pelizzari"/>
    <s v="60TLMH"/>
    <s v="Team Leader Manual Handling Program"/>
    <x v="9"/>
    <x v="48"/>
  </r>
  <r>
    <s v="BLU160637"/>
    <n v="64309"/>
    <s v="Emma"/>
    <s v="Sealy"/>
    <s v="FEMALE"/>
    <s v="ACC68"/>
    <n v="51322"/>
    <s v="Senior Manual Handling Coach"/>
    <d v="2015-01-20T00:00:00"/>
    <m/>
    <d v="2019-11-04T00:00:00"/>
    <s v="FULL"/>
    <n v="38"/>
    <n v="1"/>
    <s v="Professionals"/>
    <n v="20076"/>
    <s v="Sue Pelizzari"/>
    <s v="60TLMH"/>
    <s v="Team Leader Manual Handling Program"/>
    <x v="9"/>
    <x v="48"/>
  </r>
  <r>
    <s v="UCQ020127"/>
    <n v="20127"/>
    <s v="Tobias"/>
    <s v="Bateman"/>
    <s v="MALE"/>
    <s v="ACC68"/>
    <s v="601SMC"/>
    <s v="Senior Manual Handling Coach"/>
    <d v="2012-01-25T00:00:00"/>
    <d v="2024-06-28T00:00:00"/>
    <d v="2022-06-11T00:00:00"/>
    <s v="FULL"/>
    <n v="38"/>
    <n v="1"/>
    <s v="Professionals"/>
    <n v="20076"/>
    <s v="Sue Pelizzari"/>
    <s v="60TLMH"/>
    <s v="Team Leader Manual Handling Program"/>
    <x v="9"/>
    <x v="48"/>
  </r>
  <r>
    <s v="UCQ021084"/>
    <n v="21084"/>
    <s v="Cassandra"/>
    <s v="Jas"/>
    <s v="FEMALE"/>
    <s v="PC64"/>
    <s v="601HSA"/>
    <s v="Senior Health and Safety Advisor"/>
    <d v="2022-05-30T00:00:00"/>
    <m/>
    <d v="2022-08-15T00:00:00"/>
    <s v="FULL"/>
    <n v="38"/>
    <n v="1"/>
    <s v="Professionals"/>
    <n v="19607"/>
    <s v="Damien Knight"/>
    <s v="60HSL1"/>
    <s v="Health and Safety Team Leader"/>
    <x v="9"/>
    <x v="48"/>
  </r>
  <r>
    <s v="UCQ019614"/>
    <n v="19614"/>
    <s v="Ammie"/>
    <s v="Mitrovic"/>
    <s v="FEMALE"/>
    <s v="PC64"/>
    <s v="60SWH3"/>
    <s v="Senior Health and Safety Advisor"/>
    <d v="2015-08-03T00:00:00"/>
    <m/>
    <d v="2022-08-15T00:00:00"/>
    <s v="FULL"/>
    <n v="38"/>
    <n v="1"/>
    <s v="Professionals"/>
    <n v="19607"/>
    <s v="Damien Knight"/>
    <s v="60HSL1"/>
    <s v="Health and Safety Team Leader"/>
    <x v="9"/>
    <x v="48"/>
  </r>
  <r>
    <s v="UCQ020827"/>
    <n v="20827"/>
    <s v="Amanda"/>
    <s v="Marshall"/>
    <s v="FEMALE"/>
    <s v="PC64"/>
    <s v="60SHS3"/>
    <s v="Senior Health and Safety Advisor"/>
    <d v="2022-03-07T00:00:00"/>
    <m/>
    <d v="2022-10-18T00:00:00"/>
    <s v="FULL"/>
    <n v="38"/>
    <n v="1"/>
    <s v="Professionals"/>
    <n v="19607"/>
    <s v="Damien Knight"/>
    <s v="60HSL1"/>
    <s v="Health and Safety Team Leader"/>
    <x v="9"/>
    <x v="48"/>
  </r>
  <r>
    <s v="UCQ020542"/>
    <n v="20542"/>
    <s v="Renee"/>
    <s v="Watts"/>
    <s v="FEMALE"/>
    <s v="PC41"/>
    <s v="60HSIC"/>
    <s v="Health and Safety Systems and Strategic Improvements Coordinator"/>
    <d v="2021-11-29T00:00:00"/>
    <m/>
    <d v="2023-05-15T00:00:00"/>
    <s v="FULL"/>
    <n v="38"/>
    <n v="1"/>
    <s v="Professionals"/>
    <n v="19210"/>
    <s v="Danielle Dittmer "/>
    <s v="60MHS"/>
    <s v="Manager Health and Safety - Systems and Strategic Improvements"/>
    <x v="9"/>
    <x v="48"/>
  </r>
  <r>
    <s v="UCQ019606"/>
    <n v="19606"/>
    <s v="Catherine"/>
    <s v="Nolan"/>
    <s v="FEMALE"/>
    <s v="PC64"/>
    <s v="60SWH4"/>
    <s v="Senior Health and Safety Advisor"/>
    <d v="2009-04-14T00:00:00"/>
    <m/>
    <d v="2022-08-15T00:00:00"/>
    <s v="FULL"/>
    <n v="38"/>
    <n v="1"/>
    <s v="Professionals"/>
    <n v="19607"/>
    <s v="Damien Knight"/>
    <s v="60HSL1"/>
    <s v="Health and Safety Team Leader"/>
    <x v="9"/>
    <x v="48"/>
  </r>
  <r>
    <s v="BLU188094"/>
    <n v="84339"/>
    <s v="Aidan"/>
    <s v="Canagasuriam"/>
    <s v="MALE"/>
    <s v="ACC68"/>
    <n v="53732"/>
    <s v="Senior Manual Handling Coach"/>
    <d v="2021-01-11T00:00:00"/>
    <m/>
    <d v="2022-11-04T00:00:00"/>
    <s v="FULL"/>
    <n v="38"/>
    <n v="1"/>
    <s v="Professionals"/>
    <n v="20076"/>
    <s v="Sue Pelizzari"/>
    <s v="60TLMH"/>
    <s v="Team Leader Manual Handling Program"/>
    <x v="9"/>
    <x v="48"/>
  </r>
  <r>
    <s v="UCQ019224"/>
    <n v="19224"/>
    <s v="Christopher"/>
    <s v="Ogden"/>
    <s v="MALE"/>
    <s v="PC64"/>
    <s v="60SWH9"/>
    <s v="Senior Health and Safety Advisor"/>
    <d v="2020-03-16T00:00:00"/>
    <m/>
    <d v="2022-10-18T00:00:00"/>
    <s v="FULL"/>
    <n v="38"/>
    <n v="1"/>
    <s v="Professionals"/>
    <n v="19607"/>
    <s v="Damien Knight"/>
    <s v="60HSL1"/>
    <s v="Health and Safety Team Leader"/>
    <x v="9"/>
    <x v="48"/>
  </r>
  <r>
    <s v="UCQ021068"/>
    <n v="21068"/>
    <s v="Sean"/>
    <s v="O'Connor"/>
    <s v="MALE"/>
    <s v="PC64"/>
    <s v="60SHS4"/>
    <s v="Senior Health and Safety Advisor"/>
    <d v="2022-05-30T00:00:00"/>
    <m/>
    <d v="2022-08-15T00:00:00"/>
    <s v="FULL"/>
    <n v="38"/>
    <n v="1"/>
    <s v="Professionals"/>
    <n v="19607"/>
    <s v="Damien Knight"/>
    <s v="60HSL1"/>
    <s v="Health and Safety Team Leader"/>
    <x v="9"/>
    <x v="48"/>
  </r>
  <r>
    <s v="UCQ018674"/>
    <n v="18674"/>
    <s v="Lucinda"/>
    <s v="Hensen"/>
    <s v="FEMALE"/>
    <s v="PC51"/>
    <s v="600MHA"/>
    <s v="Manual Handling Advisor"/>
    <d v="2019-06-17T00:00:00"/>
    <m/>
    <d v="2022-06-07T00:00:00"/>
    <s v="PART"/>
    <n v="30"/>
    <n v="0.78947368421052633"/>
    <s v="Professionals"/>
    <n v="20076"/>
    <s v="Sue Pelizzari"/>
    <s v="60TLMH"/>
    <s v="Team Leader Manual Handling Program"/>
    <x v="9"/>
    <x v="48"/>
  </r>
  <r>
    <s v="UCQ020058"/>
    <n v="20058"/>
    <s v="Danielle"/>
    <s v="Baker"/>
    <s v="FEMALE"/>
    <s v="PC42"/>
    <s v="60RWS1"/>
    <s v="Wellbeing Advisor"/>
    <d v="2021-05-10T00:00:00"/>
    <m/>
    <d v="2023-05-15T00:00:00"/>
    <s v="PART"/>
    <n v="30"/>
    <n v="0.78947368421052633"/>
    <s v="Professionals"/>
    <n v="19210"/>
    <s v="Danielle Dittmer "/>
    <s v="60MHS"/>
    <s v="Manager Health and Safety - Systems and Strategic Improvements"/>
    <x v="9"/>
    <x v="48"/>
  </r>
  <r>
    <s v="UCQ021516"/>
    <n v="21516"/>
    <s v="Matthew"/>
    <s v="Wyvill"/>
    <s v="MALE"/>
    <s v="PC41"/>
    <s v="60HSA1"/>
    <s v="Health and Safety Systems and Improvements Coordinator"/>
    <d v="2022-12-05T00:00:00"/>
    <m/>
    <d v="2022-12-05T00:00:00"/>
    <s v="FULL"/>
    <n v="38"/>
    <n v="1"/>
    <s v="Professionals"/>
    <n v="19210"/>
    <s v="Danielle Dittmer "/>
    <s v="60MHS"/>
    <s v="Manager Health and Safety - Systems and Strategic Improvements"/>
    <x v="9"/>
    <x v="48"/>
  </r>
  <r>
    <s v="UCQ020925"/>
    <n v="20925"/>
    <s v="Jacqueline"/>
    <s v="Smith"/>
    <s v="FEMALE"/>
    <s v="PC41"/>
    <s v="60HSA4"/>
    <s v="Health and Safety Systems and improvements Coordinator"/>
    <d v="2022-05-09T00:00:00"/>
    <m/>
    <d v="2023-02-21T00:00:00"/>
    <s v="FULL"/>
    <n v="38"/>
    <n v="1"/>
    <s v="Professionals"/>
    <n v="19210"/>
    <s v="Danielle Dittmer "/>
    <s v="60MHS"/>
    <s v="Manager Health and Safety - Systems and Strategic Improvements"/>
    <x v="9"/>
    <x v="48"/>
  </r>
  <r>
    <s v="UCQ022068"/>
    <n v="22068"/>
    <s v="Nina"/>
    <s v="Valencia"/>
    <s v="FEMALE"/>
    <s v="PC64"/>
    <s v="609HSA"/>
    <s v="Senior Health Safety and Wellbeing Advisor"/>
    <d v="2023-05-22T00:00:00"/>
    <m/>
    <d v="2023-05-22T00:00:00"/>
    <s v="FULL"/>
    <n v="38"/>
    <n v="1"/>
    <s v="Professionals"/>
    <n v="19980"/>
    <s v="Louise Dore "/>
    <s v="60TLWH"/>
    <s v="Team Leader - Health Safety &amp; Wellbeing Hospitals "/>
    <x v="9"/>
    <x v="48"/>
  </r>
  <r>
    <s v="UCQ017359"/>
    <n v="17359"/>
    <s v="Marcia"/>
    <s v="Macdonald"/>
    <s v="FEMALE"/>
    <s v="PC66"/>
    <s v="60SC@W"/>
    <s v="Senior Recover at Work Advisor"/>
    <d v="2017-11-20T00:00:00"/>
    <m/>
    <d v="2023-01-10T00:00:00"/>
    <s v="FULL"/>
    <n v="38"/>
    <n v="1"/>
    <s v="Professionals"/>
    <n v="19627"/>
    <s v="Suzanne Smith "/>
    <s v="60RWTL"/>
    <s v="Manager Recover At Work"/>
    <x v="9"/>
    <x v="48"/>
  </r>
  <r>
    <s v="UCQ022056"/>
    <n v="22056"/>
    <s v="Renae"/>
    <s v="Pollock"/>
    <s v="FEMALE"/>
    <s v="PC66"/>
    <s v="601SRA"/>
    <s v="Senior Recover At Work Advisor"/>
    <d v="2023-05-15T00:00:00"/>
    <m/>
    <d v="2023-05-15T00:00:00"/>
    <s v="FULL"/>
    <n v="38"/>
    <n v="1"/>
    <s v="Professionals"/>
    <n v="19627"/>
    <s v="Suzanne Smith "/>
    <s v="60RWTL"/>
    <s v="Manager Recover At Work"/>
    <x v="9"/>
    <x v="48"/>
  </r>
  <r>
    <s v="UCQ019770"/>
    <n v="19770"/>
    <s v="Alan"/>
    <s v="Mills"/>
    <s v="MALE"/>
    <s v="PC101"/>
    <s v="60SMHA"/>
    <s v="Handling with Care Program Specialist"/>
    <d v="2021-01-13T00:00:00"/>
    <m/>
    <d v="2023-05-16T00:00:00"/>
    <s v="FULL"/>
    <n v="38"/>
    <n v="1"/>
    <s v="Professionals"/>
    <n v="20076"/>
    <s v="Sue Pelizzari"/>
    <s v="60TLMH"/>
    <s v="Team Leader Manual Handling Program"/>
    <x v="9"/>
    <x v="48"/>
  </r>
  <r>
    <s v="UCQ020040"/>
    <n v="20040"/>
    <s v="Luke"/>
    <s v="Campbell"/>
    <s v="MALE"/>
    <s v="PC64"/>
    <s v="604HSA"/>
    <s v="Senior Health and Safety Advisor"/>
    <d v="2021-05-06T00:00:00"/>
    <m/>
    <d v="2023-05-15T00:00:00"/>
    <s v="FULL"/>
    <n v="38"/>
    <n v="1"/>
    <s v="Professionals"/>
    <n v="19980"/>
    <s v="Louise Dore "/>
    <s v="60TLWH"/>
    <s v="Team Leader - Health Safety &amp; Wellbeing Hospitals "/>
    <x v="9"/>
    <x v="48"/>
  </r>
  <r>
    <s v="UCQ021446"/>
    <n v="21446"/>
    <s v="Michelle"/>
    <s v="Jones"/>
    <s v="FEMALE"/>
    <s v="PC59"/>
    <s v="60RWA1"/>
    <s v="Recover at Work Advisor"/>
    <d v="2022-11-07T00:00:00"/>
    <m/>
    <d v="2022-11-07T00:00:00"/>
    <s v="FULL"/>
    <n v="38"/>
    <n v="1"/>
    <s v="Professionals"/>
    <n v="19627"/>
    <s v="Suzanne Smith "/>
    <s v="60RWTL"/>
    <s v="Manager Recover At Work"/>
    <x v="9"/>
    <x v="48"/>
  </r>
  <r>
    <s v="UCQ019806"/>
    <n v="19806"/>
    <s v="Camille"/>
    <s v="Munro"/>
    <s v="FEMALE"/>
    <s v="PC66"/>
    <s v="601SRW"/>
    <s v="Senior Recover at Work Advisor"/>
    <d v="2021-01-13T00:00:00"/>
    <m/>
    <d v="2023-01-30T00:00:00"/>
    <s v="FULL"/>
    <n v="38"/>
    <n v="1"/>
    <s v="Professionals"/>
    <n v="19607"/>
    <s v="Damien Knight"/>
    <s v="60HSL1"/>
    <s v="Health and Safety Team Leader"/>
    <x v="9"/>
    <x v="48"/>
  </r>
  <r>
    <s v="UCQ020184"/>
    <n v="20184"/>
    <s v="Susan"/>
    <s v="Podger"/>
    <s v="FEMALE"/>
    <s v="PC66"/>
    <s v="60SRAW"/>
    <s v="Senior Recover at Work Advisor"/>
    <d v="2021-07-19T00:00:00"/>
    <m/>
    <d v="2022-07-12T00:00:00"/>
    <s v="FULL"/>
    <n v="38"/>
    <n v="1"/>
    <s v="Professionals"/>
    <n v="19627"/>
    <s v="Suzanne Smith "/>
    <s v="60RWTL"/>
    <s v="Manager Recover At Work"/>
    <x v="9"/>
    <x v="48"/>
  </r>
  <r>
    <s v="UCQ020513"/>
    <n v="20513"/>
    <s v="Gaylene"/>
    <s v="Smith"/>
    <s v="FEMALE"/>
    <s v="PC64"/>
    <s v="602HSA"/>
    <s v="Senior Health and Safety Advisor"/>
    <d v="2021-11-22T00:00:00"/>
    <m/>
    <d v="2022-02-21T00:00:00"/>
    <s v="PART"/>
    <n v="34"/>
    <n v="0.89473684210526316"/>
    <s v="Professionals"/>
    <n v="19500"/>
    <s v="Louise Dore "/>
    <s v="60GMWH"/>
    <s v="Team Leader - Health Safety &amp; Wellbeing Hospitals "/>
    <x v="9"/>
    <x v="48"/>
  </r>
  <r>
    <s v="UCQ019607"/>
    <n v="19607"/>
    <s v="Damien"/>
    <s v="Knight"/>
    <s v="MALE"/>
    <s v="PC99"/>
    <s v="60HSL1"/>
    <s v="Health and Safety Team Leader"/>
    <d v="2012-09-24T00:00:00"/>
    <m/>
    <d v="2023-05-15T00:00:00"/>
    <s v="FULL"/>
    <n v="38"/>
    <n v="1"/>
    <s v="Professionals"/>
    <n v="17666"/>
    <s v="Larissa Erzetich "/>
    <s v="60HSWM"/>
    <s v="Manager Health Safety and Wellbeing"/>
    <x v="9"/>
    <x v="48"/>
  </r>
  <r>
    <s v="UCQ021826"/>
    <n v="21826"/>
    <s v="Sarah-Jane"/>
    <s v="Robson"/>
    <s v="FEMALE"/>
    <s v="PC97"/>
    <s v="60CCL"/>
    <s v="Culture and Capability Lead"/>
    <d v="2023-03-20T00:00:00"/>
    <m/>
    <d v="2023-03-20T00:00:00"/>
    <s v="PART"/>
    <n v="30"/>
    <n v="0.78947368421052633"/>
    <s v="Professionals"/>
    <n v="19210"/>
    <s v="Danielle Dittmer "/>
    <s v="60MHS"/>
    <s v="Manager Health and Safety - Systems and Strategic Improvements"/>
    <x v="9"/>
    <x v="48"/>
  </r>
  <r>
    <s v="UCQ018412"/>
    <n v="18412"/>
    <s v="Claire"/>
    <s v="Winter"/>
    <s v="FEMALE"/>
    <s v="PC66"/>
    <s v="60SCWA"/>
    <s v="Senior Recover at Work Advisor"/>
    <d v="2019-03-04T00:00:00"/>
    <m/>
    <d v="2021-06-01T00:00:00"/>
    <s v="FULL"/>
    <n v="38"/>
    <n v="1"/>
    <s v="Professionals"/>
    <n v="19627"/>
    <s v="Suzanne Smith "/>
    <s v="60RWTL"/>
    <s v="Manager Recover At Work"/>
    <x v="9"/>
    <x v="48"/>
  </r>
  <r>
    <s v="UCQ019731"/>
    <n v="19731"/>
    <s v="Karen"/>
    <s v="Summers"/>
    <s v="FEMALE"/>
    <s v="PC66"/>
    <s v="60SRWA"/>
    <s v="Senior Recover at Work Advisor"/>
    <d v="2021-01-13T00:00:00"/>
    <m/>
    <d v="2022-07-12T00:00:00"/>
    <s v="FULL"/>
    <n v="38"/>
    <n v="1"/>
    <s v="Professionals"/>
    <n v="19627"/>
    <s v="Suzanne Smith "/>
    <s v="60RWTL"/>
    <s v="Manager Recover At Work"/>
    <x v="9"/>
    <x v="48"/>
  </r>
  <r>
    <s v="UCQ018756"/>
    <n v="18756"/>
    <s v="Rebecca"/>
    <s v="Loane"/>
    <s v="FEMALE"/>
    <s v="PC66"/>
    <s v="60SR@W"/>
    <s v="Senior Recover at Work Advisor"/>
    <d v="2019-08-12T00:00:00"/>
    <m/>
    <d v="2022-07-12T00:00:00"/>
    <s v="PART"/>
    <n v="34"/>
    <n v="0.89473684210526316"/>
    <s v="Professionals"/>
    <n v="19627"/>
    <s v="Suzanne Smith "/>
    <s v="60RWTL"/>
    <s v="Manager Recover At Work"/>
    <x v="9"/>
    <x v="48"/>
  </r>
  <r>
    <s v="UCQ020076"/>
    <n v="20076"/>
    <s v="Susann"/>
    <s v="Pelizzari"/>
    <s v="FEMALE"/>
    <s v="PC24"/>
    <s v="60TLMH"/>
    <s v="Team Leader Manual Handling Program"/>
    <d v="2021-05-18T00:00:00"/>
    <d v="2024-06-30T00:00:00"/>
    <d v="2023-05-15T00:00:00"/>
    <s v="FULL"/>
    <n v="38"/>
    <n v="1"/>
    <s v="Professionals"/>
    <n v="19210"/>
    <s v="Danielle Dittmer"/>
    <s v="60MHS"/>
    <s v="Manager Health and Safety - Systems and Strategic Improvements"/>
    <x v="9"/>
    <x v="48"/>
  </r>
  <r>
    <s v="UCQ019980"/>
    <n v="19980"/>
    <s v="Louise"/>
    <s v="Dore"/>
    <s v="FEMALE"/>
    <s v="PC99"/>
    <s v="60TLWH"/>
    <s v="Team Leader WHS"/>
    <d v="2021-04-06T00:00:00"/>
    <m/>
    <d v="2023-03-27T00:00:00"/>
    <s v="FULL"/>
    <n v="38"/>
    <n v="1"/>
    <s v="Professionals"/>
    <n v="19500"/>
    <s v="Nicole Hanlon "/>
    <s v="60GMWH"/>
    <s v="General Manager Health Safety and Wellbeing"/>
    <x v="9"/>
    <x v="48"/>
  </r>
  <r>
    <s v="UCQ019627"/>
    <n v="19627"/>
    <s v="Suzanne"/>
    <s v="Smith"/>
    <s v="FEMALE"/>
    <s v="PC29"/>
    <s v="60RWTL"/>
    <s v="Manager Recover At Work"/>
    <d v="2012-01-10T00:00:00"/>
    <d v="2024-06-30T00:00:00"/>
    <d v="2023-04-17T00:00:00"/>
    <s v="PART"/>
    <n v="22"/>
    <n v="0.57894736842105265"/>
    <s v="Professionals"/>
    <n v="19500"/>
    <s v="Nicole Hanlon "/>
    <s v="60GMWH"/>
    <s v="General Manager Health Safety and Wellbeing"/>
    <x v="9"/>
    <x v="48"/>
  </r>
  <r>
    <s v="UCQ019210"/>
    <n v="19210"/>
    <s v="Danielle"/>
    <s v="Dittmer"/>
    <s v="FEMALE"/>
    <s v="PC24"/>
    <s v="60MHS"/>
    <s v="Manager Health and Safety - Systems and Strategic Improvements"/>
    <d v="2020-03-02T00:00:00"/>
    <m/>
    <d v="2023-03-20T00:00:00"/>
    <s v="FULL"/>
    <n v="38"/>
    <n v="1"/>
    <s v="Other Managers"/>
    <n v="19500"/>
    <s v="Nicole Hanlon "/>
    <s v="60GMWH"/>
    <s v="General Manager Health Safety and Wellbeing"/>
    <x v="9"/>
    <x v="48"/>
  </r>
  <r>
    <s v="UCQ017666"/>
    <n v="17666"/>
    <s v="Larissa"/>
    <s v="Erzetich"/>
    <s v="FEMALE"/>
    <s v="PC24"/>
    <s v="60HSWM"/>
    <s v="Manager Health Safety and Wellbeing"/>
    <d v="2018-04-03T00:00:00"/>
    <m/>
    <d v="2023-02-21T00:00:00"/>
    <s v="PART"/>
    <n v="34"/>
    <n v="0.89473684210526316"/>
    <s v="Other Managers"/>
    <n v="19500"/>
    <s v="Nicole Hanlon "/>
    <s v="60GMWH"/>
    <s v="General Manager Health Safety and Wellbeing"/>
    <x v="9"/>
    <x v="48"/>
  </r>
  <r>
    <s v="BLU194562"/>
    <n v="87994"/>
    <s v="Saele"/>
    <s v="Tauailo"/>
    <s v="FEMALE"/>
    <s v="PC88"/>
    <n v="48556"/>
    <s v="L&amp;D Support Officer"/>
    <d v="2022-08-01T00:00:00"/>
    <m/>
    <d v="2022-08-01T00:00:00"/>
    <s v="FULL"/>
    <n v="38"/>
    <n v="1"/>
    <s v="Clerical &amp; Admin"/>
    <n v="52885"/>
    <s v="Julie Chapman-Smith "/>
    <n v="51901"/>
    <s v="Online Learning Environment Specialist "/>
    <x v="9"/>
    <x v="49"/>
  </r>
  <r>
    <s v="UCQ022142"/>
    <n v="22142"/>
    <s v="Singing "/>
    <s v="Chen"/>
    <s v="FEMALE"/>
    <s v="PC103"/>
    <s v="601SPA"/>
    <s v="Student Placements Administrator"/>
    <d v="2023-06-19T00:00:00"/>
    <m/>
    <d v="2023-06-19T00:00:00"/>
    <s v="FULL"/>
    <n v="38"/>
    <n v="1"/>
    <s v="Professionals"/>
    <n v="20042"/>
    <s v="Michelle Templin"/>
    <s v="60SWP1"/>
    <s v="Manager Strategic Workforce Partnerships"/>
    <x v="9"/>
    <x v="49"/>
  </r>
  <r>
    <s v="BLU174597"/>
    <n v="86378"/>
    <s v="Amanda"/>
    <s v="James"/>
    <s v="FEMALE"/>
    <s v="PC89"/>
    <n v="50062"/>
    <s v="Learning Delivery Officer"/>
    <d v="2022-03-16T00:00:00"/>
    <m/>
    <d v="2022-08-15T00:00:00"/>
    <s v="FULL"/>
    <n v="38"/>
    <n v="1"/>
    <s v="Clerical &amp; Admin"/>
    <n v="21710"/>
    <s v="Marianne Feron"/>
    <s v="60LDTL"/>
    <s v="Learning Delivery Team Leader"/>
    <x v="9"/>
    <x v="49"/>
  </r>
  <r>
    <s v="UCQ021278"/>
    <n v="21278"/>
    <s v="Stephanie"/>
    <s v="Richardson"/>
    <s v="FEMALE"/>
    <s v="PC84"/>
    <s v="60TC1"/>
    <s v="Training Coordinator"/>
    <d v="2018-04-24T00:00:00"/>
    <m/>
    <d v="2022-08-23T00:00:00"/>
    <s v="FULL"/>
    <n v="38"/>
    <n v="1"/>
    <s v="Professionals"/>
    <n v="20042"/>
    <s v="Templin Michelle"/>
    <s v="60SWP1"/>
    <s v="Manager Strategic Workforce Partnerships"/>
    <x v="9"/>
    <x v="49"/>
  </r>
  <r>
    <s v="BLU160054"/>
    <n v="63849"/>
    <s v="Helen "/>
    <s v="Rand"/>
    <s v="FEMALE"/>
    <s v="PC46"/>
    <n v="35069"/>
    <s v="Learning &amp; Development Officer"/>
    <d v="2014-10-29T00:00:00"/>
    <m/>
    <d v="2022-01-01T00:00:00"/>
    <s v="FULL"/>
    <n v="38"/>
    <n v="1"/>
    <s v="Clerical &amp; Admin"/>
    <n v="21710"/>
    <s v="Marianne Feron"/>
    <s v="60LDTL"/>
    <s v="Learning Delivery Team Leader"/>
    <x v="9"/>
    <x v="49"/>
  </r>
  <r>
    <s v="BLU119810"/>
    <n v="28319"/>
    <s v="Aime"/>
    <s v="Harding"/>
    <s v="FEMALE"/>
    <s v="PC44"/>
    <n v="44649"/>
    <s v="L&amp;D Coordinator"/>
    <d v="2004-05-19T00:00:00"/>
    <m/>
    <d v="2019-11-20T00:00:00"/>
    <s v="PART"/>
    <n v="22.8"/>
    <n v="0.6"/>
    <s v="Professionals"/>
    <n v="21710"/>
    <s v="Marianne Feron"/>
    <s v="60LDTL"/>
    <s v="Learning Delivery Team Leader"/>
    <x v="9"/>
    <x v="49"/>
  </r>
  <r>
    <s v="UCQ022120"/>
    <n v="22120"/>
    <s v="Jade"/>
    <s v="Hassett"/>
    <s v="FEMALE"/>
    <s v="PC104"/>
    <s v="60SPC1"/>
    <s v="Student Placements Coordinator"/>
    <d v="2023-06-19T00:00:00"/>
    <m/>
    <d v="2023-06-19T00:00:00"/>
    <s v="FULL"/>
    <n v="38"/>
    <n v="1"/>
    <s v="Professionals"/>
    <n v="20042"/>
    <s v="Michelle Templin"/>
    <s v="60SWP1"/>
    <s v="Manager Strategic Workforce Partnerships"/>
    <x v="9"/>
    <x v="49"/>
  </r>
  <r>
    <s v="BLU148635"/>
    <n v="52739"/>
    <s v="Julia"/>
    <s v="Lendvai"/>
    <s v="FEMALE"/>
    <s v="PC44"/>
    <n v="21768"/>
    <s v="L&amp;D Coordinator"/>
    <d v="2011-04-25T00:00:00"/>
    <m/>
    <d v="2022-01-01T00:00:00"/>
    <s v="PART"/>
    <n v="30.4"/>
    <n v="0.79999999999999993"/>
    <s v="Professionals"/>
    <n v="21710"/>
    <s v="Marianne Feron"/>
    <s v="60LDTL"/>
    <s v="Learning Delivery Team Leader"/>
    <x v="9"/>
    <x v="49"/>
  </r>
  <r>
    <s v="BLU163585"/>
    <n v="67406"/>
    <s v="Paige"/>
    <s v="Bjelke-Petersen"/>
    <s v="FEMALE"/>
    <s v="PC48"/>
    <n v="55275"/>
    <s v="L&amp;D Design Officer"/>
    <d v="2016-06-06T00:00:00"/>
    <m/>
    <d v="2022-07-04T00:00:00"/>
    <s v="FULL"/>
    <n v="38"/>
    <n v="1"/>
    <s v="Professionals"/>
    <n v="21867"/>
    <s v="Peter McKenzie"/>
    <s v="60SMOC"/>
    <s v="Learning Design Team Leader"/>
    <x v="9"/>
    <x v="49"/>
  </r>
  <r>
    <s v="UCQ019083"/>
    <n v="19083"/>
    <s v="Yun-San"/>
    <s v="Liu"/>
    <s v="FEMALE"/>
    <s v="PC37"/>
    <s v="60ELD"/>
    <s v="eLearning Developer"/>
    <d v="2019-12-13T00:00:00"/>
    <m/>
    <d v="2019-12-13T00:00:00"/>
    <s v="FULL"/>
    <n v="38"/>
    <n v="1"/>
    <s v="Professionals"/>
    <n v="21867"/>
    <s v="Peter McKenzie"/>
    <s v="60SMOC"/>
    <s v="Learning Design Team Leader"/>
    <x v="9"/>
    <x v="49"/>
  </r>
  <r>
    <s v="UCQ019611"/>
    <n v="19611"/>
    <s v="Kristy"/>
    <s v="Judd"/>
    <s v="FEMALE"/>
    <s v="PC35"/>
    <s v="60CBPC"/>
    <s v="Capability Building Project Coordinator"/>
    <d v="2020-11-16T00:00:00"/>
    <m/>
    <d v="2022-10-28T00:00:00"/>
    <s v="PART"/>
    <n v="30"/>
    <n v="0.78947368421052633"/>
    <s v="Professionals"/>
    <n v="21867"/>
    <s v="Peita Town "/>
    <s v="60SMOC"/>
    <s v="Senior Manager Organisational Capability"/>
    <x v="9"/>
    <x v="49"/>
  </r>
  <r>
    <s v="UCQ022110"/>
    <n v="22110"/>
    <s v="Helen"/>
    <s v="Tao"/>
    <s v="FEMALE"/>
    <s v="PC80"/>
    <s v="60LEO1"/>
    <s v="Online Learning Environment Officer"/>
    <d v="2023-06-05T00:00:00"/>
    <m/>
    <d v="2023-06-05T00:00:00"/>
    <s v="PART"/>
    <n v="22.8"/>
    <n v="0.6"/>
    <s v="Professionals"/>
    <n v="52885"/>
    <s v="Julie Chapman-Smith "/>
    <n v="51901"/>
    <s v="Online Learning Environment Specialist "/>
    <x v="9"/>
    <x v="49"/>
  </r>
  <r>
    <s v="UCQ021153"/>
    <n v="21153"/>
    <s v="David"/>
    <s v="Boyle"/>
    <s v="MALE"/>
    <s v="PC48"/>
    <s v="60LDO1"/>
    <s v="Learning Design Officer"/>
    <d v="2022-07-04T00:00:00"/>
    <m/>
    <d v="2022-07-04T00:00:00"/>
    <s v="FULL"/>
    <n v="38"/>
    <n v="1"/>
    <s v="Professionals"/>
    <n v="21867"/>
    <s v="Peter McKenzie"/>
    <s v="60SMOC"/>
    <s v="Learning Design Team Leader"/>
    <x v="9"/>
    <x v="49"/>
  </r>
  <r>
    <s v="UCQ021663"/>
    <n v="21663"/>
    <s v="Emma"/>
    <s v="Forster"/>
    <s v="FEMALE"/>
    <s v="PC80"/>
    <s v="60OLEO"/>
    <s v="Online Learning Environment Officer"/>
    <d v="2023-01-23T00:00:00"/>
    <m/>
    <d v="2023-01-23T00:00:00"/>
    <s v="FULL"/>
    <n v="38"/>
    <n v="1"/>
    <s v="Professionals"/>
    <n v="52885"/>
    <s v="Julie Chapman-Smith "/>
    <n v="51901"/>
    <s v="Online Learning Environment Specialist "/>
    <x v="9"/>
    <x v="49"/>
  </r>
  <r>
    <s v="BLU136759"/>
    <n v="52885"/>
    <s v="Julie"/>
    <s v="Chapman-Smith"/>
    <s v="FEMALE"/>
    <s v="PC52"/>
    <n v="51901"/>
    <s v="Online Learning Environment Specialist"/>
    <d v="2011-05-09T00:00:00"/>
    <m/>
    <d v="2020-02-29T00:00:00"/>
    <s v="FULL"/>
    <n v="38"/>
    <n v="1"/>
    <s v="Professionals"/>
    <n v="21867"/>
    <s v="Peita Town "/>
    <s v="60SMOC"/>
    <s v="Senior Manager Organisational Capability"/>
    <x v="9"/>
    <x v="49"/>
  </r>
  <r>
    <s v="UCQ021710"/>
    <n v="21710"/>
    <s v="Marianne"/>
    <s v="Feron"/>
    <s v="FEMALE"/>
    <s v="PC47"/>
    <s v="60LDTL"/>
    <s v="Learning Delivery Team Leader"/>
    <d v="2023-01-16T00:00:00"/>
    <m/>
    <d v="2023-01-16T00:00:00"/>
    <s v="FULL"/>
    <n v="38"/>
    <n v="1"/>
    <s v="Professionals"/>
    <n v="21867"/>
    <s v="Peita Town "/>
    <s v="60SMOC"/>
    <s v="Senior Manager Organisational Capability"/>
    <x v="9"/>
    <x v="49"/>
  </r>
  <r>
    <s v="UCQ019704"/>
    <n v="19704"/>
    <s v="Charmaine"/>
    <s v="Fanaola"/>
    <s v="FEMALE"/>
    <s v="PC49"/>
    <s v="60LDS1"/>
    <s v="Learning Design Specialist"/>
    <d v="2020-12-02T00:00:00"/>
    <m/>
    <d v="2023-01-16T00:00:00"/>
    <s v="FULL"/>
    <n v="38"/>
    <n v="1"/>
    <s v="Professionals"/>
    <n v="21867"/>
    <s v="Peter McKenzie"/>
    <s v="60SMOC"/>
    <s v="Learning Design Team Leader"/>
    <x v="9"/>
    <x v="49"/>
  </r>
  <r>
    <s v="BLU174657"/>
    <n v="74892"/>
    <s v="Peter"/>
    <s v="McKenzie"/>
    <s v="MALE"/>
    <s v="PC22"/>
    <n v="51027"/>
    <s v="L&amp;D Design Leader"/>
    <d v="2018-11-26T00:00:00"/>
    <m/>
    <d v="2020-05-04T00:00:00"/>
    <s v="FULL"/>
    <n v="38"/>
    <n v="1"/>
    <s v="Professionals"/>
    <n v="21867"/>
    <s v="Peita Town "/>
    <s v="60SMOC"/>
    <s v="Senior Manager Organisational Capability"/>
    <x v="9"/>
    <x v="49"/>
  </r>
  <r>
    <s v="UCQ021338"/>
    <n v="21338"/>
    <s v="Kara"/>
    <s v="Pomerenke"/>
    <s v="FEMALE"/>
    <s v="PC27"/>
    <s v="60ODP"/>
    <s v="Organisational Development Specialist"/>
    <d v="2022-09-16T00:00:00"/>
    <d v="2023-09-15T00:00:00"/>
    <d v="2022-09-19T00:00:00"/>
    <s v="PART"/>
    <n v="30"/>
    <n v="0.78947368421052633"/>
    <s v="Professionals"/>
    <n v="21867"/>
    <s v="Peita Town "/>
    <s v="60SMOC"/>
    <s v="Senior Manager Organisational Capability"/>
    <x v="9"/>
    <x v="49"/>
  </r>
  <r>
    <s v="UCQ021128"/>
    <n v="21128"/>
    <s v="Margaret"/>
    <s v="Black"/>
    <s v="FEMALE"/>
    <s v="ACC13"/>
    <s v="60CMSL"/>
    <s v="Change Manager"/>
    <d v="2019-11-26T00:00:00"/>
    <d v="2023-12-15T00:00:00"/>
    <d v="2022-06-27T00:00:00"/>
    <s v="PART"/>
    <n v="30"/>
    <n v="0.78947368421052633"/>
    <s v="Other Managers"/>
    <n v="21867"/>
    <s v="Peita Town "/>
    <s v="60SMOC"/>
    <s v="Senior Manager Organisational Capability"/>
    <x v="9"/>
    <x v="49"/>
  </r>
  <r>
    <s v="UCQ021289"/>
    <n v="21289"/>
    <s v="Lee"/>
    <s v="Hanscomb"/>
    <s v="FEMALE"/>
    <s v="PC30"/>
    <s v="60SOD1"/>
    <s v="Senior Organisational Development Specialist"/>
    <d v="2022-08-29T00:00:00"/>
    <d v="2024-08-23T00:00:00"/>
    <d v="2022-08-29T00:00:00"/>
    <s v="FULL"/>
    <n v="38"/>
    <n v="1"/>
    <s v="Professionals"/>
    <n v="21867"/>
    <s v="Peita Town "/>
    <s v="60SMOC"/>
    <s v="Senior Manager Organisational Capability"/>
    <x v="9"/>
    <x v="49"/>
  </r>
  <r>
    <s v="UCQ018286"/>
    <n v="18286"/>
    <s v="Ana"/>
    <s v="Rogers"/>
    <s v="FEMALE"/>
    <s v="PC23"/>
    <s v="60PAOD"/>
    <s v="Manager Leadership Strategic Initaitives "/>
    <d v="2011-10-24T00:00:00"/>
    <m/>
    <d v="2022-11-30T00:00:00"/>
    <s v="PART"/>
    <n v="25"/>
    <n v="0.65789473684210531"/>
    <s v="Other Managers"/>
    <n v="21867"/>
    <s v="Peita Town "/>
    <s v="60SMOC"/>
    <s v="Senior Manager Organisational Capability"/>
    <x v="9"/>
    <x v="49"/>
  </r>
  <r>
    <s v="UCQ021233"/>
    <n v="21233"/>
    <s v="Erinn"/>
    <s v="Fitzpatrick"/>
    <s v="FEMALE"/>
    <s v="PC30"/>
    <s v="60SODS"/>
    <s v="Senior Organisational Development Specialist"/>
    <d v="2022-08-08T00:00:00"/>
    <m/>
    <d v="2022-08-08T00:00:00"/>
    <s v="PART"/>
    <n v="30"/>
    <n v="0.78947368421052633"/>
    <s v="Professionals"/>
    <n v="21867"/>
    <s v="Peita Town "/>
    <s v="60SMOC"/>
    <s v="Senior Manager Organisational Capability"/>
    <x v="9"/>
    <x v="49"/>
  </r>
  <r>
    <s v="UCQ019177"/>
    <n v="19177"/>
    <s v="Patricia"/>
    <s v="Mckinnon"/>
    <s v="FEMALE"/>
    <s v="PC10"/>
    <s v="60MADC"/>
    <s v="Manager Organisational Design and Change"/>
    <d v="2010-02-16T00:00:00"/>
    <m/>
    <d v="2021-05-13T00:00:00"/>
    <s v="FULL"/>
    <n v="38"/>
    <n v="1"/>
    <s v="Senior Managers"/>
    <n v="21867"/>
    <s v="Peita Town "/>
    <s v="60SMOC"/>
    <s v="Senior Manager Organisational Capability"/>
    <x v="9"/>
    <x v="49"/>
  </r>
  <r>
    <s v="UCQ020042"/>
    <n v="20042"/>
    <s v="Michelle"/>
    <s v="Templin"/>
    <s v="FEMALE"/>
    <s v="PC11"/>
    <s v="60SWP1"/>
    <s v="Manager Strategic Workforce Partnerships"/>
    <d v="2021-05-04T00:00:00"/>
    <m/>
    <d v="2022-07-01T00:00:00"/>
    <s v="FULL"/>
    <n v="38"/>
    <n v="1"/>
    <s v="Senior Managers"/>
    <n v="21867"/>
    <s v="Peita Town "/>
    <s v="60SMOC"/>
    <s v="Senior Manager Organisational Capability"/>
    <x v="9"/>
    <x v="49"/>
  </r>
  <r>
    <s v="UCQ021702"/>
    <n v="21702"/>
    <s v="Chloe"/>
    <s v="Rumble"/>
    <s v="FEMALE"/>
    <s v="PC87"/>
    <s v="60HR11"/>
    <s v="Human Resource Officer"/>
    <d v="2023-01-16T00:00:00"/>
    <m/>
    <d v="2023-01-16T00:00:00"/>
    <s v="FULL"/>
    <n v="38"/>
    <n v="1"/>
    <s v="Clerical &amp; Admin"/>
    <n v="19569"/>
    <s v="Gregory Wolff"/>
    <s v="60PAM1"/>
    <s v="People Advisory Manager"/>
    <x v="9"/>
    <x v="50"/>
  </r>
  <r>
    <s v="UCQ021398"/>
    <n v="21398"/>
    <s v="Michael"/>
    <s v="Mcnab"/>
    <s v="MALE"/>
    <s v="PC93"/>
    <s v="60HR16"/>
    <s v="Human Resource Officer"/>
    <d v="2022-09-29T00:00:00"/>
    <d v="2024-06-12T00:00:00"/>
    <d v="2023-06-12T00:00:00"/>
    <s v="FULL"/>
    <n v="38"/>
    <n v="1"/>
    <s v="Clerical &amp; Admin"/>
    <n v="73972"/>
    <s v="Tammy Wade"/>
    <s v="60MWC"/>
    <s v="Manager Workforce Compliance"/>
    <x v="9"/>
    <x v="50"/>
  </r>
  <r>
    <s v="UCQ017943"/>
    <n v="17943"/>
    <s v="Jodie"/>
    <s v="Scrogings"/>
    <s v="FEMALE"/>
    <s v="PC96"/>
    <s v="60UQ12"/>
    <s v="Payroll Administration Officer"/>
    <d v="2018-07-30T00:00:00"/>
    <m/>
    <d v="2020-11-01T00:00:00"/>
    <s v="FULL"/>
    <n v="38"/>
    <n v="1"/>
    <s v="Clerical &amp; Admin"/>
    <n v="18024"/>
    <s v="Scott Kennedy "/>
    <s v="60PM2"/>
    <s v="Payroll Manager"/>
    <x v="9"/>
    <x v="50"/>
  </r>
  <r>
    <s v="UCQ009014"/>
    <n v="9014"/>
    <s v="Angela"/>
    <s v="Woods"/>
    <s v="FEMALE"/>
    <s v="PC93"/>
    <s v="60HR04"/>
    <s v="Human Resource Officer"/>
    <d v="2002-04-30T00:00:00"/>
    <m/>
    <d v="2023-03-06T00:00:00"/>
    <s v="FULL"/>
    <n v="38"/>
    <n v="1"/>
    <s v="Clerical &amp; Admin"/>
    <n v="19736"/>
    <s v="Katik Duan "/>
    <s v="60MWI"/>
    <s v="Manager Workforce Information"/>
    <x v="9"/>
    <x v="50"/>
  </r>
  <r>
    <s v="UCQ021536"/>
    <n v="21536"/>
    <s v="Olivia"/>
    <s v="Bundock"/>
    <s v="FEMALE"/>
    <s v="PC87"/>
    <s v="60PC14"/>
    <s v="Human Resource Officer"/>
    <d v="2022-12-07T00:00:00"/>
    <m/>
    <d v="2022-12-07T00:00:00"/>
    <s v="FULL"/>
    <n v="38"/>
    <n v="1"/>
    <s v="Clerical &amp; Admin"/>
    <n v="19569"/>
    <s v="Gregory Wolff"/>
    <s v="60PAM1"/>
    <s v="People Advisory Manager"/>
    <x v="9"/>
    <x v="50"/>
  </r>
  <r>
    <s v="UCQ021192"/>
    <n v="21192"/>
    <s v="Jannah"/>
    <s v="Santos"/>
    <s v="FEMALE"/>
    <s v="PC93"/>
    <s v="60HR15"/>
    <s v="Human Resource Officer"/>
    <d v="2022-07-12T00:00:00"/>
    <m/>
    <d v="2023-04-03T00:00:00"/>
    <s v="FULL"/>
    <n v="38"/>
    <n v="1"/>
    <s v="Clerical &amp; Admin"/>
    <n v="19569"/>
    <s v="Gregory Wolff"/>
    <s v="60PAM1"/>
    <s v="People Advisory Manager"/>
    <x v="9"/>
    <x v="50"/>
  </r>
  <r>
    <s v="UCQ021691"/>
    <n v="21691"/>
    <s v="Sarah"/>
    <s v="Waldie"/>
    <s v="FEMALE"/>
    <s v="PC93"/>
    <s v="60HR17"/>
    <s v="Human Resource Officer"/>
    <d v="2023-01-03T00:00:00"/>
    <d v="2024-06-28T00:00:00"/>
    <d v="2023-01-03T00:00:00"/>
    <s v="FULL"/>
    <n v="38"/>
    <n v="1"/>
    <s v="Clerical &amp; Admin"/>
    <n v="19569"/>
    <s v="Gregory Wolff"/>
    <s v="60PAM1"/>
    <s v="People Advisory Manager"/>
    <x v="9"/>
    <x v="50"/>
  </r>
  <r>
    <s v="UCQ022131"/>
    <n v="22131"/>
    <s v="Thomas"/>
    <s v="Mellor"/>
    <s v="MALE"/>
    <s v="PC93"/>
    <s v="60HR03"/>
    <s v="Human Resource Officer"/>
    <d v="2023-06-19T00:00:00"/>
    <m/>
    <d v="2023-06-19T00:00:00"/>
    <s v="FULL"/>
    <n v="38"/>
    <n v="1"/>
    <s v="Clerical &amp; Admin"/>
    <n v="19569"/>
    <s v="Gregory Wolff"/>
    <s v="60PAM1"/>
    <s v="People Advisory Manager"/>
    <x v="9"/>
    <x v="50"/>
  </r>
  <r>
    <s v="UCQ022141"/>
    <n v="22141"/>
    <s v="George"/>
    <s v="Fletcher"/>
    <s v="MALE"/>
    <s v="PC93"/>
    <s v="60HR07"/>
    <s v="Human Resource Officer"/>
    <d v="2023-06-21T00:00:00"/>
    <m/>
    <d v="2023-06-21T00:00:00"/>
    <s v="PART"/>
    <n v="15"/>
    <n v="0.39473684210526316"/>
    <s v="Clerical &amp; Admin"/>
    <n v="19569"/>
    <s v="Gregory Wolff"/>
    <s v="60PAM1"/>
    <s v="People Advisory Manager"/>
    <x v="9"/>
    <x v="50"/>
  </r>
  <r>
    <s v="UCQ021253"/>
    <n v="21253"/>
    <s v="Tanzeel"/>
    <s v="Abro"/>
    <s v="MALE"/>
    <s v="PC94"/>
    <s v="60UQ10"/>
    <s v="Payroll Officer"/>
    <d v="2022-08-16T00:00:00"/>
    <m/>
    <d v="2022-08-16T00:00:00"/>
    <s v="FULL"/>
    <n v="38"/>
    <n v="1"/>
    <s v="Clerical &amp; Admin"/>
    <n v="18024"/>
    <s v="Scott Kennedy "/>
    <s v="60PM2"/>
    <s v="Payroll Manager"/>
    <x v="9"/>
    <x v="50"/>
  </r>
  <r>
    <s v="UCQ021822"/>
    <n v="21822"/>
    <s v="Emily"/>
    <s v="Verrall"/>
    <s v="FEMALE"/>
    <s v="PC94"/>
    <s v="60UQ17"/>
    <s v="Payroll Officer"/>
    <d v="2023-02-28T00:00:00"/>
    <m/>
    <d v="2023-02-28T00:00:00"/>
    <s v="FULL"/>
    <n v="38"/>
    <n v="1"/>
    <s v="Clerical &amp; Admin"/>
    <n v="18024"/>
    <s v="Scott Kennedy "/>
    <s v="60PM2"/>
    <s v="Payroll Manager"/>
    <x v="9"/>
    <x v="50"/>
  </r>
  <r>
    <s v="UCQ021813"/>
    <n v="21813"/>
    <s v="Huanhuan"/>
    <s v="Yang"/>
    <s v="FEMALE"/>
    <s v="PC94"/>
    <s v="60UQP6"/>
    <s v="Payroll Officer"/>
    <d v="2023-02-28T00:00:00"/>
    <d v="2023-08-25T00:00:00"/>
    <d v="2023-02-28T00:00:00"/>
    <s v="FULL"/>
    <n v="38"/>
    <n v="1"/>
    <s v="Clerical &amp; Admin"/>
    <n v="18024"/>
    <s v="Scott Kennedy "/>
    <s v="60PM2"/>
    <s v="Payroll Manager"/>
    <x v="9"/>
    <x v="50"/>
  </r>
  <r>
    <s v="UCQ021196"/>
    <n v="21196"/>
    <s v="Joseph"/>
    <s v="Fogliaresi"/>
    <s v="MALE"/>
    <s v="PC94"/>
    <s v="60UQP8"/>
    <s v="Payroll Officer"/>
    <d v="2022-07-19T00:00:00"/>
    <m/>
    <d v="2022-12-27T00:00:00"/>
    <s v="FULL"/>
    <n v="38"/>
    <n v="1"/>
    <s v="Clerical &amp; Admin"/>
    <n v="18024"/>
    <s v="Scott Kennedy "/>
    <s v="60PM2"/>
    <s v="Payroll Manager"/>
    <x v="9"/>
    <x v="50"/>
  </r>
  <r>
    <s v="UCQ020386"/>
    <n v="20386"/>
    <s v="Madeline"/>
    <s v="Pfeffer"/>
    <s v="FEMALE"/>
    <s v="PC87"/>
    <s v="60PCA6"/>
    <s v="Human Resource Advisor"/>
    <d v="2019-02-13T00:00:00"/>
    <m/>
    <d v="2021-12-06T00:00:00"/>
    <s v="FULL"/>
    <n v="38"/>
    <n v="1"/>
    <s v="Professionals"/>
    <n v="19569"/>
    <s v="Gregory Wolff"/>
    <s v="60PAM1"/>
    <s v="People Advisory Manager"/>
    <x v="9"/>
    <x v="50"/>
  </r>
  <r>
    <s v="UCQ021662"/>
    <n v="21662"/>
    <s v="Dilna"/>
    <s v="Jayadevan"/>
    <s v="FEMALE"/>
    <s v="PC92"/>
    <s v="60WCA"/>
    <s v="Workforce Compliance Advisor"/>
    <d v="2023-01-16T00:00:00"/>
    <m/>
    <d v="2023-01-16T00:00:00"/>
    <s v="FULL"/>
    <n v="38"/>
    <n v="1"/>
    <s v="Clerical &amp; Admin"/>
    <n v="73972"/>
    <s v="Tammy Wade"/>
    <s v="60MWC"/>
    <s v="Manager Workforce Compliance"/>
    <x v="9"/>
    <x v="50"/>
  </r>
  <r>
    <s v="UCQ021704"/>
    <n v="21704"/>
    <s v="Madison"/>
    <s v="Stanley"/>
    <s v="FEMALE"/>
    <s v="PC92"/>
    <s v="60PA05"/>
    <s v="Workforce Compliance Advisor"/>
    <d v="2023-01-16T00:00:00"/>
    <m/>
    <d v="2023-01-16T00:00:00"/>
    <s v="FULL"/>
    <n v="38"/>
    <n v="1"/>
    <s v="Clerical &amp; Admin"/>
    <n v="73972"/>
    <s v="Tammy Wade"/>
    <s v="60MWC"/>
    <s v="Manager Workforce Compliance"/>
    <x v="9"/>
    <x v="50"/>
  </r>
  <r>
    <s v="UCQ018609"/>
    <n v="18609"/>
    <s v="Juan"/>
    <s v="Kosegarten Villarreal"/>
    <s v="MALE"/>
    <s v="PC92"/>
    <s v="60PC15"/>
    <s v="Workforce Compliance Advisor"/>
    <d v="2019-05-20T00:00:00"/>
    <m/>
    <d v="2019-05-20T00:00:00"/>
    <s v="FULL"/>
    <n v="38"/>
    <n v="1"/>
    <s v="Professionals"/>
    <n v="73972"/>
    <s v="Tammy Wade"/>
    <s v="60MWC"/>
    <s v="Manager Workforce Compliance"/>
    <x v="9"/>
    <x v="50"/>
  </r>
  <r>
    <s v="UCQ017095"/>
    <n v="17095"/>
    <s v="Jemma"/>
    <s v="Bosden"/>
    <s v="FEMALE"/>
    <s v="PC87"/>
    <s v="60PCA4"/>
    <s v="Human Resource Advisor"/>
    <d v="2014-06-02T00:00:00"/>
    <m/>
    <d v="2023-07-01T00:00:00"/>
    <s v="FULL"/>
    <n v="38"/>
    <n v="1"/>
    <s v="Professionals"/>
    <n v="19569"/>
    <s v="Gregory Wolff"/>
    <s v="60PAM1"/>
    <s v="People Advisory Manager"/>
    <x v="9"/>
    <x v="50"/>
  </r>
  <r>
    <s v="UCQ018267"/>
    <n v="18267"/>
    <s v="Shantanu"/>
    <s v="Pophali"/>
    <s v="MALE"/>
    <s v="PC87"/>
    <s v="60PC14"/>
    <s v="Human Resource Advisor"/>
    <d v="2019-01-07T00:00:00"/>
    <m/>
    <d v="2021-12-06T00:00:00"/>
    <s v="FULL"/>
    <n v="38"/>
    <n v="1"/>
    <s v="Professionals"/>
    <n v="17146"/>
    <s v="Jodie Skipper "/>
    <s v="60PCHS"/>
    <s v="People and Culture HRIS SME"/>
    <x v="9"/>
    <x v="50"/>
  </r>
  <r>
    <s v="UCC014911"/>
    <n v="14911"/>
    <s v="Lisa"/>
    <s v="Blott"/>
    <s v="FEMALE"/>
    <s v="PC93"/>
    <s v="P06031"/>
    <s v="HR Officer"/>
    <d v="2014-11-11T00:00:00"/>
    <m/>
    <d v="2018-03-13T00:00:00"/>
    <s v="FULL"/>
    <n v="38"/>
    <n v="1"/>
    <s v="Clerical &amp; Admin"/>
    <n v="19569"/>
    <s v="Gregory Wolff"/>
    <s v="60PAM1"/>
    <s v="People Advisory Manager"/>
    <x v="9"/>
    <x v="50"/>
  </r>
  <r>
    <s v="UCQ021432"/>
    <n v="21432"/>
    <s v="Rie"/>
    <s v="Kasai"/>
    <s v="FEMALE"/>
    <s v="PC93"/>
    <s v="60HR20"/>
    <s v="Human Resource Officer"/>
    <d v="2022-10-13T00:00:00"/>
    <m/>
    <d v="2022-10-13T00:00:00"/>
    <s v="CASUAL"/>
    <n v="38"/>
    <n v="1"/>
    <s v="Clerical &amp; Admin"/>
    <n v="19569"/>
    <s v="Gregory Wolff"/>
    <s v="60PAM1"/>
    <s v="People Advisory Manager"/>
    <x v="9"/>
    <x v="50"/>
  </r>
  <r>
    <s v="UCQ021428"/>
    <n v="21428"/>
    <s v="Seoyoon"/>
    <s v="Nam"/>
    <s v="FEMALE"/>
    <s v="PC93"/>
    <s v="60HR19"/>
    <s v="Human Resource Officer"/>
    <d v="2022-10-07T00:00:00"/>
    <m/>
    <d v="2022-10-07T00:00:00"/>
    <s v="CASUAL"/>
    <n v="38"/>
    <n v="1"/>
    <s v="Clerical &amp; Admin"/>
    <n v="19569"/>
    <s v="Gregory Wolff"/>
    <s v="60PAM1"/>
    <s v="People Advisory Manager"/>
    <x v="9"/>
    <x v="50"/>
  </r>
  <r>
    <s v="UCQ021982"/>
    <n v="21982"/>
    <s v="Georgia"/>
    <s v="Ryan"/>
    <s v="FEMALE"/>
    <s v="PC93"/>
    <s v="60HR06"/>
    <s v="Human Resource Officer"/>
    <d v="2023-04-11T00:00:00"/>
    <m/>
    <d v="2023-04-11T00:00:00"/>
    <s v="CASUAL"/>
    <n v="38"/>
    <n v="1"/>
    <s v="Clerical &amp; Admin"/>
    <n v="19569"/>
    <s v="Gregory Wolff"/>
    <s v="60PAM1"/>
    <s v="People Advisory Manager"/>
    <x v="9"/>
    <x v="50"/>
  </r>
  <r>
    <s v="UCQ021925"/>
    <n v="21925"/>
    <s v="Jayda"/>
    <s v="Pashby"/>
    <s v="FEMALE"/>
    <s v="PC93"/>
    <s v="60HR08"/>
    <s v="Human Resource Officer"/>
    <d v="2023-03-27T00:00:00"/>
    <m/>
    <d v="2023-03-27T00:00:00"/>
    <s v="CASUAL"/>
    <n v="38"/>
    <n v="1"/>
    <s v="Clerical &amp; Admin"/>
    <n v="19569"/>
    <s v="Gregory Wolff"/>
    <s v="60PAM1"/>
    <s v="People Advisory Manager"/>
    <x v="9"/>
    <x v="50"/>
  </r>
  <r>
    <s v="UCQ020460"/>
    <n v="20460"/>
    <s v="Daniel"/>
    <s v="Callaghan"/>
    <s v="MALE"/>
    <s v="PC93"/>
    <s v="60PC21"/>
    <s v="Human Resource Advisor"/>
    <d v="2021-10-18T00:00:00"/>
    <m/>
    <d v="2023-10-01T00:00:00"/>
    <s v="FULL"/>
    <n v="38"/>
    <n v="1"/>
    <s v="Professionals"/>
    <n v="19569"/>
    <s v="Gregory Wolff"/>
    <s v="60PAM1"/>
    <s v="People Advisory Manager"/>
    <x v="9"/>
    <x v="50"/>
  </r>
  <r>
    <s v="UCQ020577"/>
    <n v="20577"/>
    <s v="Kyle"/>
    <s v="Lehfeldt"/>
    <s v="MALE"/>
    <s v="PC87"/>
    <s v="60PCA5"/>
    <s v="Human Resource Advisor"/>
    <d v="2021-12-06T00:00:00"/>
    <m/>
    <d v="2023-03-07T00:00:00"/>
    <s v="FULL"/>
    <n v="38"/>
    <n v="1"/>
    <s v="Professionals"/>
    <n v="19569"/>
    <s v="Gregory Wolff"/>
    <s v="60PAM1"/>
    <s v="People Advisory Manager"/>
    <x v="9"/>
    <x v="50"/>
  </r>
  <r>
    <s v="UCQ021406"/>
    <n v="21406"/>
    <s v="Allison"/>
    <s v="Taylor"/>
    <s v="FEMALE"/>
    <s v="PC94"/>
    <s v="60UQP9"/>
    <s v="Payroll Officer"/>
    <d v="2022-10-10T00:00:00"/>
    <m/>
    <d v="2022-10-10T00:00:00"/>
    <s v="FULL"/>
    <n v="38"/>
    <n v="1"/>
    <s v="Clerical &amp; Admin"/>
    <n v="19346"/>
    <s v="Debra Smith "/>
    <s v="60PM1"/>
    <s v="Payroll Manager"/>
    <x v="9"/>
    <x v="50"/>
  </r>
  <r>
    <s v="UCQ021828"/>
    <n v="21828"/>
    <s v="Ayana"/>
    <s v="Joshy"/>
    <s v="FEMALE"/>
    <s v="PC94"/>
    <s v="60PO12"/>
    <s v="Payroll Officer"/>
    <d v="2023-02-28T00:00:00"/>
    <m/>
    <d v="2023-02-28T00:00:00"/>
    <s v="FULL"/>
    <n v="38"/>
    <n v="1"/>
    <s v="Clerical &amp; Admin"/>
    <n v="19346"/>
    <s v="Debra Smith "/>
    <s v="60PM1"/>
    <s v="Payroll Manager"/>
    <x v="9"/>
    <x v="50"/>
  </r>
  <r>
    <s v="UCQ017155"/>
    <n v="17155"/>
    <s v="Pamela"/>
    <s v="Glancy"/>
    <s v="FEMALE"/>
    <s v="PC94"/>
    <s v="60UQP1"/>
    <s v="Payroll Officer"/>
    <d v="2017-08-22T00:00:00"/>
    <m/>
    <d v="2020-03-30T00:00:00"/>
    <s v="FULL"/>
    <n v="38"/>
    <n v="1"/>
    <s v="Clerical &amp; Admin"/>
    <n v="19346"/>
    <s v="Debra Smith "/>
    <s v="60PM1"/>
    <s v="Payroll Manager"/>
    <x v="9"/>
    <x v="50"/>
  </r>
  <r>
    <s v="UCQ022101"/>
    <n v="22101"/>
    <s v="Kelsey"/>
    <s v="Yu"/>
    <s v="FEMALE"/>
    <s v="PC94"/>
    <s v="60UQP3"/>
    <s v="Payroll Officer"/>
    <d v="2023-06-05T00:00:00"/>
    <m/>
    <d v="2023-06-05T00:00:00"/>
    <s v="FULL"/>
    <n v="38"/>
    <n v="1"/>
    <s v="Clerical &amp; Admin"/>
    <n v="19346"/>
    <s v="Debra Smith "/>
    <s v="60PM1"/>
    <s v="Payroll Manager"/>
    <x v="9"/>
    <x v="50"/>
  </r>
  <r>
    <s v="UCQ020584"/>
    <n v="20584"/>
    <s v="Arthur"/>
    <s v="Doyle"/>
    <s v="MALE"/>
    <s v="PC94"/>
    <s v="60UQP5"/>
    <s v="Payroll Officer"/>
    <d v="2021-12-07T00:00:00"/>
    <m/>
    <d v="2022-12-27T00:00:00"/>
    <s v="FULL"/>
    <n v="38"/>
    <n v="1"/>
    <s v="Clerical &amp; Admin"/>
    <n v="18024"/>
    <s v="Scott Kennedy "/>
    <s v="60PM2"/>
    <s v="Payroll Manager"/>
    <x v="9"/>
    <x v="50"/>
  </r>
  <r>
    <s v="UCQ021245"/>
    <n v="21245"/>
    <s v="Brooke"/>
    <s v="Allen"/>
    <s v="FEMALE"/>
    <s v="PC94"/>
    <s v="60UP11"/>
    <s v="Payroll Officer"/>
    <d v="2022-08-01T00:00:00"/>
    <m/>
    <d v="2022-12-27T00:00:00"/>
    <s v="FULL"/>
    <n v="38"/>
    <n v="1"/>
    <s v="Clerical &amp; Admin"/>
    <n v="18024"/>
    <s v="Scott Kennedy "/>
    <s v="60PM2"/>
    <s v="Payroll Manager"/>
    <x v="9"/>
    <x v="50"/>
  </r>
  <r>
    <s v="UCQ021875"/>
    <n v="21875"/>
    <s v="Jie"/>
    <s v="Lin"/>
    <s v="FEMALE"/>
    <s v="PC94"/>
    <s v="60UQ13"/>
    <s v="Payroll Officer"/>
    <d v="2023-03-14T00:00:00"/>
    <m/>
    <d v="2023-03-14T00:00:00"/>
    <s v="FULL"/>
    <n v="38"/>
    <n v="1"/>
    <s v="Clerical &amp; Admin"/>
    <n v="18024"/>
    <s v="Scott Kennedy "/>
    <s v="60PM2"/>
    <s v="Payroll Manager"/>
    <x v="9"/>
    <x v="50"/>
  </r>
  <r>
    <s v="UCQ019321"/>
    <n v="19321"/>
    <s v="Leah"/>
    <s v="Whittred"/>
    <s v="FEMALE"/>
    <s v="PC94"/>
    <s v="60UQP7"/>
    <s v="Payroll Officer"/>
    <d v="2020-05-07T00:00:00"/>
    <m/>
    <d v="2022-06-28T00:00:00"/>
    <s v="FULL"/>
    <n v="38"/>
    <n v="1"/>
    <s v="Clerical &amp; Admin"/>
    <n v="18024"/>
    <s v="Scott Kennedy "/>
    <n v="52117"/>
    <s v="Payroll Manager"/>
    <x v="9"/>
    <x v="50"/>
  </r>
  <r>
    <s v="UCQ021599"/>
    <n v="21599"/>
    <s v="Manjot"/>
    <s v="Singh"/>
    <s v="MALE"/>
    <s v="PC94"/>
    <s v="60UQ11"/>
    <s v="Payroll Officer"/>
    <d v="2022-12-06T00:00:00"/>
    <m/>
    <d v="2022-12-06T00:00:00"/>
    <s v="FULL"/>
    <n v="38"/>
    <n v="1"/>
    <s v="Clerical &amp; Admin"/>
    <n v="18024"/>
    <s v="Scott Kennedy "/>
    <s v="60PM2"/>
    <s v="Payroll Manager"/>
    <x v="9"/>
    <x v="50"/>
  </r>
  <r>
    <s v="UCQ021052"/>
    <n v="21052"/>
    <s v="Vasavi"/>
    <s v="Segu"/>
    <s v="FEMALE"/>
    <s v="PC94"/>
    <s v="6012PO"/>
    <s v="Payroll Officer"/>
    <d v="2022-05-09T00:00:00"/>
    <m/>
    <d v="2022-12-27T00:00:00"/>
    <s v="FULL"/>
    <n v="38"/>
    <n v="1"/>
    <s v="Clerical &amp; Admin"/>
    <n v="18024"/>
    <s v="Scott Kennedy "/>
    <s v="60PM2"/>
    <s v="Payroll Manager"/>
    <x v="9"/>
    <x v="50"/>
  </r>
  <r>
    <s v="UCQ022172"/>
    <n v="22172"/>
    <s v="Mary"/>
    <s v="Hecker"/>
    <s v="FEMALE"/>
    <s v="PC94"/>
    <s v="60UP12"/>
    <s v="Payroll Officer"/>
    <d v="2023-06-12T00:00:00"/>
    <m/>
    <d v="2023-06-12T00:00:00"/>
    <s v="FULL"/>
    <n v="38"/>
    <n v="1"/>
    <s v="Clerical &amp; Admin"/>
    <n v="18024"/>
    <s v="Scott Kennedy "/>
    <s v="60PM2"/>
    <s v="Payroll Manager"/>
    <x v="9"/>
    <x v="50"/>
  </r>
  <r>
    <s v="UCQ020972"/>
    <n v="20972"/>
    <s v="Timothy"/>
    <s v="Schmidt"/>
    <s v="MALE"/>
    <s v="PC94"/>
    <s v="60UQ15"/>
    <s v="Payroll Officer"/>
    <d v="2022-04-05T00:00:00"/>
    <m/>
    <d v="2022-06-28T00:00:00"/>
    <s v="FULL"/>
    <n v="38"/>
    <n v="1"/>
    <s v="Clerical &amp; Admin"/>
    <n v="19346"/>
    <s v="Debra Smith "/>
    <s v="60PM1"/>
    <s v="Payroll Manager"/>
    <x v="9"/>
    <x v="50"/>
  </r>
  <r>
    <s v="UCQ017678"/>
    <n v="17678"/>
    <s v="Lilian"/>
    <s v="Lam"/>
    <s v="FEMALE"/>
    <s v="PC68"/>
    <s v="606TAA"/>
    <s v="Talent Acquisition Advisor"/>
    <d v="2014-09-08T00:00:00"/>
    <m/>
    <d v="2021-07-28T00:00:00"/>
    <s v="FULL"/>
    <n v="38"/>
    <n v="1"/>
    <s v="Professionals"/>
    <n v="17146"/>
    <s v="Jodie Skipper "/>
    <s v="60PCHS"/>
    <s v="People and Culture HRIS SME"/>
    <x v="9"/>
    <x v="50"/>
  </r>
  <r>
    <s v="UCQ019788"/>
    <n v="19788"/>
    <s v="Leanne"/>
    <s v="Tombe"/>
    <s v="FEMALE"/>
    <s v="PC94"/>
    <s v="60UP10"/>
    <s v="Payroll Officer"/>
    <d v="2021-02-01T00:00:00"/>
    <m/>
    <d v="2021-04-06T00:00:00"/>
    <s v="FULL"/>
    <n v="38"/>
    <n v="1"/>
    <s v="Clerical &amp; Admin"/>
    <n v="19346"/>
    <s v="Debra Smith "/>
    <s v="60PM1"/>
    <s v="Payroll Manager"/>
    <x v="9"/>
    <x v="50"/>
  </r>
  <r>
    <s v="UCQ020439"/>
    <n v="20439"/>
    <s v="Yao"/>
    <s v="Wu"/>
    <s v="FEMALE"/>
    <s v="PC94"/>
    <s v="60UQ14"/>
    <s v="Payroll Officer"/>
    <d v="2021-10-11T00:00:00"/>
    <m/>
    <d v="2022-08-23T00:00:00"/>
    <s v="FULL"/>
    <n v="38"/>
    <n v="1"/>
    <s v="Clerical &amp; Admin"/>
    <n v="19346"/>
    <s v="Debra Smith "/>
    <s v="60PM1"/>
    <s v="Payroll Manager"/>
    <x v="9"/>
    <x v="50"/>
  </r>
  <r>
    <s v="UCQ017748"/>
    <n v="17748"/>
    <s v="Lisa"/>
    <s v="Smith"/>
    <s v="FEMALE"/>
    <s v="PC87"/>
    <s v="60PC22"/>
    <s v="Human Resource Advisor"/>
    <d v="2002-09-02T00:00:00"/>
    <m/>
    <d v="2020-06-02T00:00:00"/>
    <s v="PART"/>
    <n v="22"/>
    <n v="0.57894736842105265"/>
    <s v="Professionals"/>
    <n v="19569"/>
    <s v="Gregory Wolff"/>
    <s v="60PAM1"/>
    <s v="People Advisory Manager"/>
    <x v="9"/>
    <x v="50"/>
  </r>
  <r>
    <s v="UCQ019801"/>
    <n v="19801"/>
    <s v="Denzil"/>
    <s v="Stevenson"/>
    <s v="MALE"/>
    <s v="PC94"/>
    <s v="60UQP2"/>
    <s v="Payroll Officer"/>
    <d v="2021-01-19T00:00:00"/>
    <m/>
    <d v="2021-01-19T00:00:00"/>
    <s v="FULL"/>
    <n v="38"/>
    <n v="1"/>
    <s v="Clerical &amp; Admin"/>
    <n v="18024"/>
    <s v="Scott Kennedy "/>
    <s v="60PM2"/>
    <s v="Payroll Manager"/>
    <x v="9"/>
    <x v="50"/>
  </r>
  <r>
    <s v="UCQ018943"/>
    <n v="18943"/>
    <s v="Tamara"/>
    <s v="Cook"/>
    <s v="FEMALE"/>
    <s v="PC94"/>
    <s v="60PO13"/>
    <s v="Payroll Officer"/>
    <d v="2019-10-21T00:00:00"/>
    <m/>
    <d v="2023-05-13T00:00:00"/>
    <s v="FULL"/>
    <n v="38"/>
    <n v="1"/>
    <s v="Clerical &amp; Admin"/>
    <n v="18024"/>
    <s v="Scott Kennedy "/>
    <s v="60PM2"/>
    <s v="Payroll Manager"/>
    <x v="9"/>
    <x v="50"/>
  </r>
  <r>
    <s v="BLU119724"/>
    <n v="28262"/>
    <s v="Lianne"/>
    <s v="Christian"/>
    <s v="FEMALE"/>
    <s v="PC62"/>
    <n v="55430"/>
    <s v="Workforce Information Advisor"/>
    <d v="2004-05-04T00:00:00"/>
    <m/>
    <d v="2018-03-13T00:00:00"/>
    <s v="FULL"/>
    <n v="38"/>
    <n v="1"/>
    <s v="Professionals"/>
    <n v="19736"/>
    <s v="Katik Duan"/>
    <s v="C1290"/>
    <s v="Manager Workforce Information"/>
    <x v="9"/>
    <x v="50"/>
  </r>
  <r>
    <s v="UCQ021800"/>
    <n v="21800"/>
    <s v="Christine"/>
    <s v="Mooney"/>
    <s v="FEMALE"/>
    <s v="ACC72"/>
    <s v="60WFIA"/>
    <s v="Workforce Information Advisor"/>
    <d v="1997-08-01T00:00:00"/>
    <m/>
    <d v="2023-02-21T00:00:00"/>
    <s v="FULL"/>
    <n v="38"/>
    <n v="1"/>
    <s v="Professionals"/>
    <n v="19736"/>
    <s v="Katik Duan "/>
    <s v="60MWI"/>
    <s v="Manager Workforce Information"/>
    <x v="9"/>
    <x v="50"/>
  </r>
  <r>
    <s v="UCQ020432"/>
    <n v="20432"/>
    <s v="Shreyas"/>
    <s v="Vaidhyanathan"/>
    <s v="MALE"/>
    <s v="ACC72"/>
    <s v="601AWI"/>
    <s v="Workforce Information Advisor"/>
    <d v="2021-10-11T00:00:00"/>
    <m/>
    <d v="2022-09-12T00:00:00"/>
    <s v="FULL"/>
    <n v="38"/>
    <n v="1"/>
    <s v="Professionals"/>
    <n v="19736"/>
    <s v="Katik Duan "/>
    <s v="60MWI"/>
    <s v="Manager Workforce Information"/>
    <x v="9"/>
    <x v="50"/>
  </r>
  <r>
    <s v="UCQ019833"/>
    <n v="19833"/>
    <s v="Rohit"/>
    <s v="Tapas"/>
    <s v="MALE"/>
    <s v="PC62"/>
    <s v="60SWIA"/>
    <s v="Senior Workforce Information Advisor"/>
    <d v="2021-02-15T00:00:00"/>
    <m/>
    <d v="2022-12-03T00:00:00"/>
    <s v="FULL"/>
    <n v="38"/>
    <n v="1"/>
    <m/>
    <n v="17146"/>
    <s v="Jodie Skipper "/>
    <s v="60PCHS"/>
    <s v="People and Culture HRIS SME"/>
    <x v="9"/>
    <x v="50"/>
  </r>
  <r>
    <s v="BLU138449"/>
    <n v="45077"/>
    <s v="Eileen"/>
    <s v="Renshaw"/>
    <s v="FEMALE"/>
    <s v="PC82"/>
    <n v="48413"/>
    <s v="Senior Human Resource Advisor"/>
    <d v="2009-02-16T00:00:00"/>
    <m/>
    <d v="2019-12-16T00:00:00"/>
    <s v="FULL"/>
    <n v="38"/>
    <n v="1"/>
    <s v="Professionals"/>
    <n v="19569"/>
    <s v="Gregory Wolff"/>
    <s v="60PAM1"/>
    <s v="People Advisory Manager"/>
    <x v="9"/>
    <x v="50"/>
  </r>
  <r>
    <s v="UCQ021931"/>
    <n v="21931"/>
    <s v="Caroline"/>
    <s v="Roman"/>
    <s v="FEMALE"/>
    <s v="PC82"/>
    <s v="60PC24"/>
    <s v="Senior Human Resource Advisor"/>
    <d v="2023-04-17T00:00:00"/>
    <m/>
    <d v="2023-05-16T00:00:00"/>
    <s v="FULL"/>
    <n v="38"/>
    <n v="1"/>
    <s v="Professionals"/>
    <n v="19569"/>
    <s v="Gregory Wolff"/>
    <s v="60PAM1"/>
    <s v="People Advisory Manager"/>
    <x v="9"/>
    <x v="50"/>
  </r>
  <r>
    <s v="BLU167339"/>
    <n v="70159"/>
    <s v="Nicola"/>
    <s v="Jordan"/>
    <s v="FEMALE"/>
    <s v="PC82"/>
    <n v="30824"/>
    <s v="Senior Human Resource Advisor"/>
    <d v="2017-06-13T00:00:00"/>
    <m/>
    <d v="2022-07-01T00:00:00"/>
    <s v="FULL"/>
    <n v="38"/>
    <n v="1"/>
    <s v="Professionals"/>
    <n v="19569"/>
    <s v="Gregory Wolff"/>
    <s v="60PAM1"/>
    <s v="People Advisory Manager"/>
    <x v="9"/>
    <x v="50"/>
  </r>
  <r>
    <s v="UCQ021019"/>
    <n v="21019"/>
    <s v="Tania"/>
    <s v="Angell"/>
    <s v="FEMALE"/>
    <s v="PC82"/>
    <s v="60PC13"/>
    <s v="Senior Human Resource Advisor"/>
    <d v="2022-05-09T00:00:00"/>
    <m/>
    <d v="2023-05-01T00:00:00"/>
    <s v="FULL"/>
    <n v="38"/>
    <n v="1"/>
    <s v="Professionals"/>
    <n v="19569"/>
    <s v="Gregory Wolff"/>
    <s v="60PAM1"/>
    <s v="People Advisory Manager"/>
    <x v="9"/>
    <x v="50"/>
  </r>
  <r>
    <s v="UCQ018732"/>
    <n v="18732"/>
    <s v="Olivia"/>
    <s v="Duindam"/>
    <s v="FEMALE"/>
    <s v="PC82"/>
    <s v="60PC27"/>
    <s v="Senior Human Resource Advisor"/>
    <d v="2019-08-01T00:00:00"/>
    <m/>
    <d v="2023-02-07T00:00:00"/>
    <s v="FULL"/>
    <n v="38"/>
    <n v="1"/>
    <s v="Professionals"/>
    <n v="19569"/>
    <s v="Gregory Wolff"/>
    <s v="60PAM1"/>
    <s v="People Advisory Manager"/>
    <x v="9"/>
    <x v="50"/>
  </r>
  <r>
    <s v="UCQ017948"/>
    <n v="17948"/>
    <s v="Darlene"/>
    <s v="Cooke"/>
    <s v="FEMALE"/>
    <s v="PC81"/>
    <s v="60DPC1"/>
    <s v="Payroll Coordinator"/>
    <d v="2018-08-08T00:00:00"/>
    <m/>
    <d v="2020-06-01T00:00:00"/>
    <s v="FULL"/>
    <n v="38"/>
    <n v="1"/>
    <s v="Clerical &amp; Admin"/>
    <n v="19346"/>
    <s v="Debra Smith "/>
    <s v="60PM1"/>
    <s v="Payroll Manager"/>
    <x v="9"/>
    <x v="50"/>
  </r>
  <r>
    <s v="UCQ022004"/>
    <n v="22004"/>
    <s v="Marco"/>
    <s v="Mentasti"/>
    <s v="MALE"/>
    <s v="PC81"/>
    <s v="602DPC"/>
    <s v="Payroll Coordinator"/>
    <d v="2023-05-08T00:00:00"/>
    <m/>
    <d v="2023-05-08T00:00:00"/>
    <s v="FULL"/>
    <n v="38"/>
    <n v="1"/>
    <s v="Clerical &amp; Admin"/>
    <n v="19346"/>
    <s v="Debra Smith "/>
    <s v="60PM1"/>
    <s v="Payroll Manager"/>
    <x v="9"/>
    <x v="50"/>
  </r>
  <r>
    <s v="UCQ021207"/>
    <n v="21207"/>
    <s v="Shruti"/>
    <s v="Gaur"/>
    <s v="FEMALE"/>
    <s v="PC63"/>
    <s v="601SDA"/>
    <s v="People and Culture Report Developer"/>
    <d v="2022-08-01T00:00:00"/>
    <d v="2024-03-29T00:00:00"/>
    <d v="2022-08-01T00:00:00"/>
    <s v="FULL"/>
    <n v="38"/>
    <n v="1"/>
    <s v="Professionals"/>
    <n v="19736"/>
    <s v="Katik Duan "/>
    <s v="60MWI"/>
    <s v="Manager Workforce Information"/>
    <x v="9"/>
    <x v="50"/>
  </r>
  <r>
    <s v="UCQ019730"/>
    <n v="19730"/>
    <s v="Kavita"/>
    <s v="Andrews"/>
    <s v="FEMALE"/>
    <s v="PC81"/>
    <s v="600PC1"/>
    <s v="Payroll Coordinator"/>
    <d v="2021-01-19T00:00:00"/>
    <m/>
    <d v="2022-04-05T00:00:00"/>
    <s v="FULL"/>
    <n v="38"/>
    <n v="1"/>
    <s v="Clerical &amp; Admin"/>
    <n v="18024"/>
    <s v="Scott Kennedy "/>
    <s v="60PM2"/>
    <s v="Payroll Manager"/>
    <x v="9"/>
    <x v="50"/>
  </r>
  <r>
    <s v="UCQ021909"/>
    <n v="21909"/>
    <s v="Abbie"/>
    <s v="Rossouw"/>
    <s v="FEMALE"/>
    <s v="PC82"/>
    <s v="60PC20"/>
    <s v="Senior Human Resource Advisor"/>
    <d v="2023-03-27T00:00:00"/>
    <m/>
    <d v="2023-03-27T00:00:00"/>
    <s v="FULL"/>
    <n v="38"/>
    <n v="1"/>
    <s v="Professionals"/>
    <n v="19569"/>
    <s v="Gregory Wolff"/>
    <s v="60PAM1"/>
    <s v="People Advisory Manager"/>
    <x v="9"/>
    <x v="50"/>
  </r>
  <r>
    <s v="UCQ022130"/>
    <n v="22130"/>
    <s v="Amy"/>
    <s v="Northey"/>
    <s v="FEMALE"/>
    <s v="PC82"/>
    <s v="6022PC"/>
    <s v="Senior Human Resource Advisor"/>
    <d v="2023-06-12T00:00:00"/>
    <m/>
    <d v="2023-06-12T00:00:00"/>
    <s v="FULL"/>
    <n v="38"/>
    <n v="1"/>
    <s v="Professionals"/>
    <n v="19569"/>
    <s v="Gregory Wolff"/>
    <s v="60PAM1"/>
    <s v="People Advisory Manager"/>
    <x v="9"/>
    <x v="50"/>
  </r>
  <r>
    <s v="UCQ017117"/>
    <n v="17117"/>
    <s v="Robert"/>
    <s v="Hussey"/>
    <s v="MALE"/>
    <s v="PC54"/>
    <s v="60PCA7"/>
    <s v="People Advisory Team Leader"/>
    <d v="2015-03-02T00:00:00"/>
    <m/>
    <d v="2023-02-17T00:00:00"/>
    <s v="FULL"/>
    <n v="38"/>
    <n v="1"/>
    <m/>
    <n v="17146"/>
    <s v="Jodie Skipper "/>
    <s v="60PCHS"/>
    <s v="People and Culture HRIS SME"/>
    <x v="9"/>
    <x v="50"/>
  </r>
  <r>
    <s v="UCQ021417"/>
    <n v="21417"/>
    <s v="Waruna"/>
    <s v="Kothalawala"/>
    <s v="MALE"/>
    <s v="PC43"/>
    <s v="60DA2"/>
    <s v="HRIS Data Analyst"/>
    <d v="2022-10-06T00:00:00"/>
    <d v="2024-04-24T00:00:00"/>
    <d v="2022-10-06T00:00:00"/>
    <s v="FULL"/>
    <n v="38"/>
    <n v="1"/>
    <s v="Professionals"/>
    <n v="17146"/>
    <s v="Jodie Skipper "/>
    <s v="60PCHS"/>
    <s v="People and Culture HRIS SME"/>
    <x v="9"/>
    <x v="50"/>
  </r>
  <r>
    <s v="UCQ021687"/>
    <n v="21687"/>
    <s v="Grace"/>
    <s v="Talbot"/>
    <s v="FEMALE"/>
    <s v="PC36"/>
    <s v="60PLC1"/>
    <s v="Process Lead Compensation"/>
    <d v="2023-01-09T00:00:00"/>
    <m/>
    <d v="2023-01-09T00:00:00"/>
    <s v="FULL"/>
    <n v="38"/>
    <n v="1"/>
    <s v="Professionals"/>
    <n v="17146"/>
    <s v="Jodie Skipper "/>
    <s v="60GMPC"/>
    <s v="People and Culture HRIS SME"/>
    <x v="9"/>
    <x v="50"/>
  </r>
  <r>
    <s v="UCQ021467"/>
    <n v="21467"/>
    <s v="Evelyn"/>
    <s v="Nogueira"/>
    <s v="FEMALE"/>
    <s v="PC58"/>
    <s v="60PLWP"/>
    <s v="Process Lead Worker Position Job and Org"/>
    <d v="2022-11-14T00:00:00"/>
    <m/>
    <d v="2022-11-14T00:00:00"/>
    <s v="FULL"/>
    <n v="38"/>
    <n v="1"/>
    <s v="Professionals"/>
    <n v="17146"/>
    <s v="Jodie Skipper "/>
    <s v="60PCHS"/>
    <s v="People and Culture HRIS SME"/>
    <x v="9"/>
    <x v="50"/>
  </r>
  <r>
    <s v="UCQ021650"/>
    <n v="21650"/>
    <s v="Anantharaju"/>
    <s v="Durairaju"/>
    <s v="MALE"/>
    <s v="PC18"/>
    <s v="60TAAU"/>
    <s v="Transition and Adoption Analyst"/>
    <d v="2023-02-13T00:00:00"/>
    <d v="2024-02-16T00:00:00"/>
    <d v="2023-02-13T00:00:00"/>
    <s v="FULL"/>
    <n v="38"/>
    <n v="1"/>
    <s v="Professionals"/>
    <n v="17146"/>
    <s v="Jodie Skipper "/>
    <s v="60PCHS"/>
    <s v="People and Culture HRIS SME"/>
    <x v="9"/>
    <x v="50"/>
  </r>
  <r>
    <s v="UCQ019569"/>
    <n v="19569"/>
    <s v="Gregory"/>
    <s v="Wolff"/>
    <s v="MALE"/>
    <s v="PC102"/>
    <s v="60MWC"/>
    <s v="Manager Workforce Compliance"/>
    <d v="2013-04-08T00:00:00"/>
    <m/>
    <d v="2021-07-05T00:00:00"/>
    <s v="FULL"/>
    <n v="38"/>
    <n v="1"/>
    <m/>
    <n v="17019"/>
    <s v="Lisa McGill "/>
    <s v="60GMPC"/>
    <s v="General Manager Service Delivery"/>
    <x v="9"/>
    <x v="50"/>
  </r>
  <r>
    <s v="UCQ019346"/>
    <n v="19346"/>
    <s v="Debra"/>
    <s v="Smith"/>
    <s v="FEMALE"/>
    <s v="PC53"/>
    <s v="60PM1"/>
    <s v="Payroll Manager"/>
    <d v="2020-06-05T00:00:00"/>
    <m/>
    <d v="2020-06-05T00:00:00"/>
    <s v="FULL"/>
    <n v="38"/>
    <n v="1"/>
    <s v="Other Managers"/>
    <n v="17019"/>
    <s v="Lisa McGill "/>
    <s v="60GMPC"/>
    <s v="General Manager Service Delivery"/>
    <x v="9"/>
    <x v="50"/>
  </r>
  <r>
    <s v="UCQ018024"/>
    <n v="18024"/>
    <s v="Scott"/>
    <s v="Kennedy"/>
    <s v="MALE"/>
    <s v="PC53"/>
    <s v="60PM2"/>
    <s v="Payroll Manager"/>
    <d v="2018-09-10T00:00:00"/>
    <m/>
    <d v="2022-07-12T00:00:00"/>
    <s v="FULL"/>
    <n v="38"/>
    <n v="1"/>
    <s v="Other Managers"/>
    <n v="17019"/>
    <s v="Lisa McGill "/>
    <s v="60GMPC"/>
    <s v="General Manager Service Delivery"/>
    <x v="9"/>
    <x v="50"/>
  </r>
  <r>
    <s v="UCQ020545"/>
    <n v="20545"/>
    <s v="Renil"/>
    <s v="Nair"/>
    <s v="MALE"/>
    <s v="PC67"/>
    <s v="601SWP"/>
    <s v="Specialist Workforce Planning Information and Process Optimisation"/>
    <d v="2021-12-13T00:00:00"/>
    <m/>
    <d v="2021-12-13T00:00:00"/>
    <s v="FULL"/>
    <n v="38"/>
    <n v="1"/>
    <s v="Professionals"/>
    <n v="19736"/>
    <s v="Katik Duan "/>
    <s v="60MWI"/>
    <s v="Manager Workforce Information"/>
    <x v="9"/>
    <x v="50"/>
  </r>
  <r>
    <s v="UCQ017767"/>
    <n v="17767"/>
    <s v="Dylan"/>
    <s v="Mudge"/>
    <s v="MALE"/>
    <m/>
    <m/>
    <s v="No nominal role"/>
    <d v="2018-05-30T00:00:00"/>
    <m/>
    <d v="2022-07-01T00:00:00"/>
    <s v="FULL"/>
    <n v="38"/>
    <n v="1"/>
    <s v="Other Managers"/>
    <n v="17019"/>
    <s v="Lisa McGill "/>
    <s v="60GMPC"/>
    <s v="General Manager Service Delivery"/>
    <x v="9"/>
    <x v="50"/>
  </r>
  <r>
    <s v="UCQ019736"/>
    <n v="19736"/>
    <s v="Katik"/>
    <s v="Duan"/>
    <s v="MALE"/>
    <s v="PC26"/>
    <s v="60MWI"/>
    <s v="Manager Workforce Information"/>
    <d v="2021-01-18T00:00:00"/>
    <m/>
    <d v="2022-05-17T00:00:00"/>
    <s v="FULL"/>
    <n v="38"/>
    <n v="1"/>
    <s v="Other Managers"/>
    <n v="17019"/>
    <s v="Lisa McGill "/>
    <s v="60GMPC"/>
    <s v="General Manager Service Delivery"/>
    <x v="9"/>
    <x v="50"/>
  </r>
  <r>
    <s v="UCQ017146"/>
    <n v="17146"/>
    <s v="Jodie"/>
    <s v="Skipper"/>
    <s v="FEMALE"/>
    <s v="PC12"/>
    <s v="60PAM1"/>
    <s v="People Advisory Manager"/>
    <d v="2017-08-21T00:00:00"/>
    <m/>
    <d v="2018-02-27T00:00:00"/>
    <s v="FULL"/>
    <n v="38"/>
    <n v="1"/>
    <s v="Senior Managers"/>
    <n v="17019"/>
    <s v="Lisa McGill "/>
    <s v="60GMPC"/>
    <s v="General Manager Service Delivery"/>
    <x v="9"/>
    <x v="50"/>
  </r>
  <r>
    <s v="UCQ021789"/>
    <n v="21789"/>
    <s v="Ekaterina"/>
    <s v="Strochilova"/>
    <s v="FEMALE"/>
    <s v="MIS10"/>
    <s v="60PCEA"/>
    <s v="Executive Assistant"/>
    <d v="2023-02-13T00:00:00"/>
    <m/>
    <d v="2023-02-13T00:00:00"/>
    <s v="PART"/>
    <n v="30"/>
    <n v="0.78947368421052633"/>
    <s v="Clerical &amp; Admin"/>
    <n v="22143"/>
    <s v="Shannon Richards"/>
    <s v="60GEHR"/>
    <s v="Group Executive People and Culture"/>
    <x v="9"/>
    <x v="8"/>
  </r>
  <r>
    <s v="UCQ021318"/>
    <n v="21318"/>
    <s v="Joanne"/>
    <s v="Gallagher"/>
    <s v="FEMALE"/>
    <s v="PC28"/>
    <s v="60PDL1"/>
    <s v="Program Delivery Lead"/>
    <d v="2022-09-05T00:00:00"/>
    <m/>
    <d v="2023-01-09T00:00:00"/>
    <s v="PART"/>
    <n v="22"/>
    <n v="0.57894736842105265"/>
    <s v="Professionals"/>
    <n v="21342"/>
    <s v="Shane Patterson "/>
    <s v="60PDL2"/>
    <s v="Program Delivery Lead"/>
    <x v="9"/>
    <x v="8"/>
  </r>
  <r>
    <s v="UCQ021342"/>
    <n v="21342"/>
    <s v="Shane"/>
    <s v="Patterson"/>
    <s v="MALE"/>
    <s v="PC28"/>
    <s v="60PDL2"/>
    <s v="Program Delivery Lead"/>
    <d v="2022-10-04T00:00:00"/>
    <d v="2025-10-03T00:00:00"/>
    <d v="2022-10-04T00:00:00"/>
    <s v="FULL"/>
    <n v="38"/>
    <n v="1"/>
    <s v="Professionals"/>
    <n v="22143"/>
    <s v="Shannon Richards"/>
    <s v="60GEHR"/>
    <s v="Group Executive People and Culture"/>
    <x v="9"/>
    <x v="8"/>
  </r>
  <r>
    <s v="UCQ021867"/>
    <n v="21867"/>
    <s v="Peita"/>
    <s v="Town"/>
    <s v="FEMALE"/>
    <s v="PC45"/>
    <s v="60SMOC"/>
    <s v="Senior Manager Organisational Capability"/>
    <d v="2010-08-30T00:00:00"/>
    <m/>
    <d v="2023-03-07T00:00:00"/>
    <s v="FULL"/>
    <n v="38"/>
    <n v="1"/>
    <s v="Senior Managers"/>
    <n v="22143"/>
    <s v="Shannon Richards"/>
    <s v="60GEHR"/>
    <s v="Group Executive People and Culture"/>
    <x v="9"/>
    <x v="8"/>
  </r>
  <r>
    <s v="UCQ019002"/>
    <n v="19002"/>
    <s v="Ryan"/>
    <s v="Ray"/>
    <s v="MALE"/>
    <s v="PC07"/>
    <s v="60SMWE"/>
    <s v="Senior Manager Workforce Experience"/>
    <d v="2008-04-21T00:00:00"/>
    <m/>
    <d v="2023-03-07T00:00:00"/>
    <s v="FULL"/>
    <n v="38"/>
    <n v="1"/>
    <s v="Senior Managers"/>
    <n v="22143"/>
    <s v="Shannon Richards"/>
    <s v="60GEHR"/>
    <s v="Group Executive People and Culture"/>
    <x v="9"/>
    <x v="8"/>
  </r>
  <r>
    <s v="UCQ020078"/>
    <n v="20078"/>
    <s v="Amanda"/>
    <s v="Dyson"/>
    <s v="FEMALE"/>
    <s v="PC16"/>
    <s v="60ACM"/>
    <s v="Talent Acquisition Manager"/>
    <d v="2021-04-12T00:00:00"/>
    <m/>
    <d v="2022-11-21T00:00:00"/>
    <s v="FULL"/>
    <n v="38"/>
    <n v="1"/>
    <m/>
    <n v="22143"/>
    <s v="Shannon Richards"/>
    <s v="60GEHR"/>
    <s v="Group Executive People and Culture"/>
    <x v="9"/>
    <x v="8"/>
  </r>
  <r>
    <s v="UCQ020101"/>
    <n v="20101"/>
    <s v="Helene"/>
    <s v="Bryant"/>
    <s v="FEMALE"/>
    <s v="PC05"/>
    <s v="60SMBP"/>
    <s v="Senior Manager Business Partnering"/>
    <d v="2021-05-17T00:00:00"/>
    <m/>
    <d v="2023-04-10T00:00:00"/>
    <s v="PART"/>
    <n v="34"/>
    <n v="0.89473684210526316"/>
    <s v="Senior Managers"/>
    <n v="22143"/>
    <s v="Shannon Richards"/>
    <s v="60GEHR"/>
    <s v="Group Executive People and Culture"/>
    <x v="9"/>
    <x v="8"/>
  </r>
  <r>
    <s v="UCQ021753"/>
    <n v="21753"/>
    <s v="Melissa"/>
    <s v="Bostock"/>
    <s v="FEMALE"/>
    <s v="PC06"/>
    <s v="60SMER"/>
    <s v="Senior Manager Employee Relations"/>
    <d v="2023-03-28T00:00:00"/>
    <m/>
    <d v="2023-03-28T00:00:00"/>
    <s v="FULL"/>
    <n v="38"/>
    <n v="1"/>
    <s v="Senior Managers"/>
    <n v="22143"/>
    <s v="Shannon Richards"/>
    <s v="60GEHR"/>
    <s v="Group Executive People and Culture"/>
    <x v="9"/>
    <x v="8"/>
  </r>
  <r>
    <s v="UCQ021468"/>
    <n v="21468"/>
    <s v="Lea"/>
    <s v="Baxter"/>
    <s v="FEMALE"/>
    <s v="PC03"/>
    <s v="60BPGM"/>
    <s v="General Manager Business Partnering FaDS and Hospitals"/>
    <d v="2022-10-26T00:00:00"/>
    <m/>
    <d v="2023-02-13T00:00:00"/>
    <s v="FULL"/>
    <n v="38"/>
    <n v="1"/>
    <s v="Other Exec / Gen Mgrs"/>
    <n v="22143"/>
    <s v="Shannon Richards"/>
    <s v="60GEHR"/>
    <s v="Group Executive People and Culture"/>
    <x v="9"/>
    <x v="8"/>
  </r>
  <r>
    <s v="UCQ017019"/>
    <n v="17019"/>
    <s v="Lisa"/>
    <s v="Mcgill"/>
    <s v="FEMALE"/>
    <s v="PC04"/>
    <s v="60GMPC"/>
    <s v="General Manager Service Delivery"/>
    <d v="2002-07-22T00:00:00"/>
    <m/>
    <d v="2022-02-08T00:00:00"/>
    <s v="FULL"/>
    <n v="38"/>
    <n v="1"/>
    <s v="Other Exec / Gen Mgrs"/>
    <n v="22143"/>
    <s v="Shannon Richards"/>
    <s v="60GEHR"/>
    <s v="Group Executive People and Culture"/>
    <x v="9"/>
    <x v="8"/>
  </r>
  <r>
    <s v="UCQ021819"/>
    <n v="21819"/>
    <s v="Haley"/>
    <s v="Lee"/>
    <s v="FEMALE"/>
    <s v="PC03"/>
    <s v="60HPC4"/>
    <s v="General Manager Business Partnering"/>
    <d v="2023-04-19T00:00:00"/>
    <m/>
    <d v="2023-04-19T00:00:00"/>
    <s v="FULL"/>
    <n v="38"/>
    <n v="1"/>
    <s v="Other Exec / Gen Mgrs"/>
    <n v="22143"/>
    <s v="Shannon Richards"/>
    <s v="60GEHR"/>
    <s v="Group Executive People and Culture"/>
    <x v="9"/>
    <x v="8"/>
  </r>
  <r>
    <s v="UCQ019500"/>
    <n v="19500"/>
    <s v="Nicole"/>
    <s v="Hanlon"/>
    <s v="FEMALE"/>
    <s v="PC02"/>
    <s v="60GEHR"/>
    <s v="General Manager Health Safety &amp; Wellbeing"/>
    <d v="2020-09-21T00:00:00"/>
    <m/>
    <d v="2023-04-22T00:00:00"/>
    <s v="FULL"/>
    <n v="38"/>
    <n v="1"/>
    <s v="Other Exec / Gen Mgrs"/>
    <n v="22143"/>
    <s v="Shannon Richards"/>
    <s v="60GEHR"/>
    <s v="General Manager Business Partnering"/>
    <x v="9"/>
    <x v="8"/>
  </r>
  <r>
    <s v="UCQ020583"/>
    <n v="20583"/>
    <s v="Ornella"/>
    <s v="Cristante"/>
    <s v="FEMALE"/>
    <s v="PC91"/>
    <s v="602TAC"/>
    <s v="Talent Acquisition Coordinator"/>
    <d v="2021-12-06T00:00:00"/>
    <d v="2023-12-31T00:00:00"/>
    <d v="2022-06-12T00:00:00"/>
    <s v="FULL"/>
    <n v="38"/>
    <n v="1"/>
    <s v="Professionals"/>
    <n v="20269"/>
    <s v="Lauren Morrow"/>
    <s v="60TAP3"/>
    <s v="Talent Acquisition Team Leader ACCS"/>
    <x v="9"/>
    <x v="51"/>
  </r>
  <r>
    <s v="UCQ021781"/>
    <n v="21781"/>
    <s v="Isabella"/>
    <s v="Donnelly"/>
    <s v="FEMALE"/>
    <s v="ACC69"/>
    <s v="60TAR"/>
    <s v="Talent Acquisition Resourcer"/>
    <d v="2023-02-20T00:00:00"/>
    <d v="2023-06-30T00:00:00"/>
    <s v="2/20/2023"/>
    <s v="PART"/>
    <n v="22"/>
    <n v="0.57894736842105265"/>
    <s v="Professionals"/>
    <n v="20269"/>
    <s v="Lauren Morrow"/>
    <s v="60TAP3"/>
    <s v="Talent Acquisition Team Leader ACCS"/>
    <x v="9"/>
    <x v="51"/>
  </r>
  <r>
    <s v="UCQ021758"/>
    <n v="21758"/>
    <s v="Jordan"/>
    <s v="Miller"/>
    <s v="FEMALE"/>
    <s v="PC91"/>
    <s v="60TAC1"/>
    <s v="Talent Acquisition Coordinator"/>
    <d v="2023-02-13T00:00:00"/>
    <m/>
    <s v="2/13/2023"/>
    <s v="FULL"/>
    <n v="38"/>
    <n v="1"/>
    <s v="Professionals"/>
    <n v="19385"/>
    <s v="Emma Anthony"/>
    <s v="60TAP1"/>
    <s v="Talent Acquisition Partner"/>
    <x v="9"/>
    <x v="51"/>
  </r>
  <r>
    <s v="UCQ021689"/>
    <n v="21689"/>
    <s v="Rebekah"/>
    <s v="Milner"/>
    <s v="FEMALE"/>
    <s v="PC91"/>
    <s v="604TAC"/>
    <s v="Talent Acquisition Coordinator"/>
    <d v="2023-01-10T00:00:00"/>
    <m/>
    <d v="2023-10-01T00:00:00"/>
    <s v="PART"/>
    <n v="22"/>
    <n v="0.57894736842105265"/>
    <s v="Professionals"/>
    <n v="21914"/>
    <s v="Emma Ryan "/>
    <s v="60TAP"/>
    <s v="Talent Acquisition Partner"/>
    <x v="9"/>
    <x v="51"/>
  </r>
  <r>
    <s v="UCQ022095"/>
    <n v="22095"/>
    <s v="Madeline"/>
    <s v="Wallis"/>
    <s v="FEMALE"/>
    <s v="PC91"/>
    <s v="603TAC"/>
    <s v="Talent Acquisition Coordinator"/>
    <d v="2023-06-05T00:00:00"/>
    <m/>
    <d v="2023-06-05T00:00:00"/>
    <s v="FULL"/>
    <n v="38"/>
    <n v="1"/>
    <s v="Professionals"/>
    <n v="21914"/>
    <s v="Emma Ryan "/>
    <s v="60TAP"/>
    <s v="Talent Acquisition Partner"/>
    <x v="9"/>
    <x v="51"/>
  </r>
  <r>
    <s v="UCQ021842"/>
    <n v="21842"/>
    <s v="Elyce"/>
    <s v="Carling"/>
    <s v="FEMALE"/>
    <s v="PC91"/>
    <s v="60TAC"/>
    <s v="Talent Acquisition Coordinator"/>
    <d v="2021-10-19T00:00:00"/>
    <m/>
    <d v="2023-08-03T00:00:00"/>
    <s v="FULL"/>
    <n v="38"/>
    <n v="1"/>
    <s v="Professionals"/>
    <n v="20269"/>
    <s v="Lauren Morrow"/>
    <s v="60TAP3"/>
    <s v="Talent Acquisition Team Leader ACCS"/>
    <x v="9"/>
    <x v="51"/>
  </r>
  <r>
    <s v="UCQ021564"/>
    <n v="21564"/>
    <s v="Zoe"/>
    <s v="Silva"/>
    <s v="FEMALE"/>
    <s v="PC91"/>
    <s v="605TAC"/>
    <s v="Talent Acquisition Coordinator"/>
    <d v="2022-11-28T00:00:00"/>
    <d v="2023-12-31T00:00:00"/>
    <s v="11/28/2022"/>
    <s v="FULL"/>
    <n v="38"/>
    <n v="1"/>
    <s v="Professionals"/>
    <n v="20269"/>
    <s v="Lauren Morrow"/>
    <s v="60TAP3"/>
    <s v="Talent Acquisition Team Leader ACCS"/>
    <x v="9"/>
    <x v="51"/>
  </r>
  <r>
    <s v="UCQ020704"/>
    <n v="20704"/>
    <s v="Samantha"/>
    <s v="Walker"/>
    <s v="FEMALE"/>
    <s v="PC68"/>
    <s v="60TAA0"/>
    <s v="Talent Acquisition Advisor"/>
    <d v="2022-01-19T00:00:00"/>
    <m/>
    <s v="3/13/2023"/>
    <s v="FULL"/>
    <n v="38"/>
    <n v="1"/>
    <s v="Professionals"/>
    <n v="20269"/>
    <s v="Lauren Morrow"/>
    <s v="60TAP3"/>
    <s v="Talent Acquisition Team Leader ACCS"/>
    <x v="9"/>
    <x v="51"/>
  </r>
  <r>
    <s v="UCQ021151"/>
    <n v="21151"/>
    <s v="Olivia"/>
    <s v="Hawthorne"/>
    <s v="FEMALE"/>
    <s v="PC91"/>
    <s v="606TAC"/>
    <s v="Talent Acquisition Coordinator"/>
    <d v="2020-12-29T00:00:00"/>
    <m/>
    <s v="4/24/2023"/>
    <s v="PART"/>
    <n v="34"/>
    <n v="0.89473684210526316"/>
    <s v="Professionals"/>
    <n v="20269"/>
    <s v="Lauren Morrow"/>
    <s v="60TAP3"/>
    <s v="Talent Acquisition Team Leader ACCS"/>
    <x v="9"/>
    <x v="51"/>
  </r>
  <r>
    <s v="UCQ020726"/>
    <n v="20726"/>
    <s v="Sabine"/>
    <s v="Dijkstra Moutinho"/>
    <s v="FEMALE"/>
    <s v="PC68"/>
    <s v="607TAA"/>
    <s v="Talent Acquisition Advisor"/>
    <d v="2022-02-04T00:00:00"/>
    <m/>
    <s v="8/15/2022"/>
    <s v="PART"/>
    <n v="22"/>
    <n v="0.57894736842105265"/>
    <s v="Professionals"/>
    <n v="19385"/>
    <s v="Emma Anthony"/>
    <s v="60TAP1"/>
    <s v="Talent Acquisition Partner"/>
    <x v="9"/>
    <x v="51"/>
  </r>
  <r>
    <s v="UCQ021995"/>
    <n v="21995"/>
    <s v="Tamara"/>
    <s v="Orika"/>
    <s v="FEMALE"/>
    <s v="PC68"/>
    <s v="605TAA"/>
    <s v="Talent Acquisition Advisor"/>
    <d v="2023-04-17T00:00:00"/>
    <m/>
    <s v="4/17/2023"/>
    <s v="FULL"/>
    <n v="38"/>
    <n v="1"/>
    <s v="Professionals"/>
    <n v="20269"/>
    <s v="Lauren Morrow"/>
    <s v="60TAP3"/>
    <s v="Talent Acquisition Team Leader ACCS"/>
    <x v="9"/>
    <x v="51"/>
  </r>
  <r>
    <s v="UCQ020214"/>
    <n v="20214"/>
    <s v="Karina"/>
    <s v="Kurucz"/>
    <s v="FEMALE"/>
    <s v="PC91"/>
    <s v="601TAC"/>
    <s v="Talent Acquisition Coordinator"/>
    <d v="2021-08-02T00:00:00"/>
    <m/>
    <d v="2021-08-02T00:00:00"/>
    <s v="FULL"/>
    <n v="38"/>
    <n v="1"/>
    <s v="Professionals"/>
    <n v="20269"/>
    <s v="Lauren Morrow"/>
    <s v="60TAP3"/>
    <s v="Talent Acquisition Team Leader ACCS"/>
    <x v="9"/>
    <x v="51"/>
  </r>
  <r>
    <s v="UCQ019798"/>
    <n v="19798"/>
    <s v="Andrew"/>
    <s v="Lin"/>
    <s v="MALE"/>
    <s v="PC68"/>
    <s v="603TAA"/>
    <s v="Talent Acquisition Advisor"/>
    <d v="2021-01-20T00:00:00"/>
    <m/>
    <d v="2021-01-07T00:00:00"/>
    <s v="FULL"/>
    <n v="38"/>
    <n v="1"/>
    <s v="Professionals"/>
    <n v="19385"/>
    <s v="Emma Anthony"/>
    <s v="60TAP1"/>
    <s v="Talent Acquisition Partner"/>
    <x v="9"/>
    <x v="51"/>
  </r>
  <r>
    <s v="UCQ021327"/>
    <n v="21327"/>
    <s v="Cara"/>
    <s v="Clifford"/>
    <s v="FEMALE"/>
    <s v="PC68"/>
    <s v="60TAA5"/>
    <s v="Talent Acquisition Advisor"/>
    <d v="2022-10-03T00:00:00"/>
    <d v="2023-10-03T00:00:00"/>
    <d v="2022-03-10T00:00:00"/>
    <s v="FULL"/>
    <n v="38"/>
    <n v="1"/>
    <s v="Professionals"/>
    <n v="20269"/>
    <s v="Lauren Morrow"/>
    <s v="60TAP3"/>
    <s v="Talent Acquisition Team Leader ACCS"/>
    <x v="9"/>
    <x v="51"/>
  </r>
  <r>
    <s v="UCQ021797"/>
    <n v="21797"/>
    <s v="Christie-Lee"/>
    <s v="Horvat"/>
    <s v="FEMALE"/>
    <s v="PC68"/>
    <s v="60TAA"/>
    <s v="Talent Acquisition Advisor"/>
    <d v="2023-02-20T00:00:00"/>
    <d v="2024-08-19T00:00:00"/>
    <s v="2/20/2023"/>
    <s v="FULL"/>
    <n v="38"/>
    <n v="1"/>
    <s v="Professionals"/>
    <n v="20269"/>
    <s v="Lauren Morrow"/>
    <s v="60TAP3"/>
    <s v="Talent Acquisition Team Leader ACCS"/>
    <x v="9"/>
    <x v="51"/>
  </r>
  <r>
    <s v="UCQ021786"/>
    <n v="21786"/>
    <s v="Kirsten"/>
    <s v="Benfield"/>
    <s v="FEMALE"/>
    <s v="PC68"/>
    <s v="60TAA!"/>
    <s v="Talent Acquisition Advisor"/>
    <d v="2023-02-15T00:00:00"/>
    <m/>
    <s v="2/15/2023"/>
    <s v="FULL"/>
    <n v="38"/>
    <n v="1"/>
    <s v="Professionals"/>
    <n v="20269"/>
    <s v="Lauren Morrow"/>
    <s v="60TAP3"/>
    <s v="Talent Acquisition Team Leader ACCS"/>
    <x v="9"/>
    <x v="51"/>
  </r>
  <r>
    <s v="UCQ021326"/>
    <n v="21326"/>
    <s v="Sonakshi"/>
    <s v="Chand"/>
    <s v="FEMALE"/>
    <s v="PC68"/>
    <s v="602TAA"/>
    <s v="Talent Acquisition Advisor"/>
    <d v="2022-09-26T00:00:00"/>
    <d v="2023-09-26T00:00:00"/>
    <s v="9/26/2022"/>
    <s v="FULL"/>
    <n v="38"/>
    <n v="1"/>
    <s v="Professionals"/>
    <n v="20269"/>
    <s v="Lauren Morrow"/>
    <s v="60TAP3"/>
    <s v="Talent Acquisition Team Leader ACCS"/>
    <x v="9"/>
    <x v="51"/>
  </r>
  <r>
    <s v="UCQ021827"/>
    <n v="21827"/>
    <s v="Natasha"/>
    <s v="Kershaw"/>
    <s v="FEMALE"/>
    <s v="PC68"/>
    <s v="60TAAA"/>
    <s v="Talent Acquisition Advisor"/>
    <d v="2023-03-06T00:00:00"/>
    <m/>
    <d v="2023-06-03T00:00:00"/>
    <s v="FULL"/>
    <n v="38"/>
    <n v="1"/>
    <s v="Professionals"/>
    <n v="20269"/>
    <s v="Lauren Morrow"/>
    <s v="60TAP3"/>
    <s v="Talent Acquisition Team Leader ACCS"/>
    <x v="9"/>
    <x v="51"/>
  </r>
  <r>
    <s v="UCQ020227"/>
    <n v="20227"/>
    <s v="Kristen"/>
    <s v="Price"/>
    <s v="FEMALE"/>
    <s v="PC91"/>
    <s v="609TAA"/>
    <s v="Talent Acquisition Advisor"/>
    <d v="2021-08-09T00:00:00"/>
    <m/>
    <s v="1/23/2023"/>
    <s v="FULL"/>
    <n v="38"/>
    <n v="1"/>
    <s v="Professionals"/>
    <n v="19385"/>
    <s v="Emma Anthony"/>
    <s v="60TAP1"/>
    <s v="Talent Acquisition Partner"/>
    <x v="9"/>
    <x v="51"/>
  </r>
  <r>
    <s v="UCQ019797"/>
    <n v="19797"/>
    <s v="Jacqueline"/>
    <s v="O'Brien"/>
    <s v="FEMALE"/>
    <s v="PC68"/>
    <s v="604TAA"/>
    <s v="Talent Acquisition Advisor"/>
    <d v="2021-01-20T00:00:00"/>
    <m/>
    <d v="2021-01-07T00:00:00"/>
    <s v="FULL"/>
    <n v="38"/>
    <n v="1"/>
    <s v="Professionals"/>
    <n v="21914"/>
    <s v="Emma Ryan "/>
    <s v="60TAP"/>
    <s v="Talent Acquisition Partner"/>
    <x v="9"/>
    <x v="51"/>
  </r>
  <r>
    <s v="UCQ021029"/>
    <n v="21029"/>
    <s v="Lily"/>
    <s v="Campbell"/>
    <s v="FEMALE"/>
    <s v="PC68"/>
    <s v="610TAA"/>
    <s v="Talent Acquisition Advisor"/>
    <d v="2022-05-30T00:00:00"/>
    <m/>
    <s v="10/17/2022"/>
    <s v="FULL"/>
    <n v="38"/>
    <n v="1"/>
    <s v="Professionals"/>
    <n v="19385"/>
    <s v="Emma Anthony"/>
    <s v="60TAP1"/>
    <s v="Talent Acquisition Partner"/>
    <x v="9"/>
    <x v="51"/>
  </r>
  <r>
    <s v="UCQ021016"/>
    <n v="21016"/>
    <s v="Clare"/>
    <s v="Smith"/>
    <s v="FEMALE"/>
    <s v="PC68"/>
    <s v="60TAA6"/>
    <s v="Talent Acquisition Advisor"/>
    <d v="2022-06-06T00:00:00"/>
    <m/>
    <s v="2/13/2023"/>
    <s v="FULL"/>
    <n v="38"/>
    <n v="1"/>
    <s v="Professionals"/>
    <n v="20269"/>
    <s v="Lauren Morrow"/>
    <s v="60TAP3"/>
    <s v="Talent Acquisition Team Leader ACCS"/>
    <x v="9"/>
    <x v="51"/>
  </r>
  <r>
    <s v="UCQ021026"/>
    <n v="21026"/>
    <s v="Kelly"/>
    <s v="Mcdonald"/>
    <s v="FEMALE"/>
    <s v="PC68"/>
    <s v="60TAA2"/>
    <s v="Talent Acquisition Advisor"/>
    <d v="2022-05-05T00:00:00"/>
    <m/>
    <s v="2/13/2023"/>
    <s v="FULL"/>
    <n v="38"/>
    <n v="1"/>
    <s v="Professionals"/>
    <n v="20269"/>
    <s v="Lauren Morrow"/>
    <s v="60TAP3"/>
    <s v="Talent Acquisition Team Leader ACCS"/>
    <x v="9"/>
    <x v="51"/>
  </r>
  <r>
    <s v="UCQ020170"/>
    <n v="20170"/>
    <s v="Nikita"/>
    <s v="Maingi"/>
    <s v="FEMALE"/>
    <s v="PC68"/>
    <s v="T05TAA"/>
    <s v="Talent Acquisition Advisor"/>
    <d v="2021-07-05T00:00:00"/>
    <m/>
    <d v="2023-09-01T00:00:00"/>
    <s v="PART"/>
    <n v="22"/>
    <n v="0.57894736842105265"/>
    <s v="Professionals"/>
    <n v="20269"/>
    <s v="Lauren Morrow"/>
    <s v="60TAP3"/>
    <s v="Talent Acquisition Team Leader ACCS"/>
    <x v="9"/>
    <x v="51"/>
  </r>
  <r>
    <s v="BLU178824"/>
    <n v="76913"/>
    <s v="Karen"/>
    <s v="Wasserfuhr"/>
    <s v="FEMALE"/>
    <s v="PC68"/>
    <n v="54672"/>
    <s v="Talent Aquisition Advisor"/>
    <d v="2019-07-16T00:00:00"/>
    <m/>
    <d v="2022-08-15T00:00:00"/>
    <s v="FULL"/>
    <n v="38"/>
    <n v="1"/>
    <s v="Professionals"/>
    <n v="20269"/>
    <s v="Lauren Morrow"/>
    <s v="60TAP3"/>
    <s v="Talent Acquisition Team Leader ACCS"/>
    <x v="9"/>
    <x v="51"/>
  </r>
  <r>
    <s v="UCQ020025"/>
    <n v="20025"/>
    <s v="Katherine"/>
    <s v="Coleman"/>
    <s v="FEMALE"/>
    <s v="PC68"/>
    <s v="601TAA"/>
    <s v="Talent Acquisition Advisor"/>
    <d v="2021-04-19T00:00:00"/>
    <m/>
    <s v="6/28/2022"/>
    <s v="FULL"/>
    <n v="38"/>
    <n v="1"/>
    <s v="Professionals"/>
    <n v="21914"/>
    <s v="Emma Ryan "/>
    <s v="60TAP"/>
    <s v="Talent Acquisition Partner"/>
    <x v="9"/>
    <x v="51"/>
  </r>
  <r>
    <s v="UCQ021759"/>
    <n v="21759"/>
    <s v="Mari"/>
    <s v="Spurlock"/>
    <s v="FEMALE"/>
    <s v="PC68"/>
    <s v="608TAA"/>
    <s v="Talent Acquisition Advisor"/>
    <d v="2023-02-20T00:00:00"/>
    <m/>
    <s v="2/20/2023"/>
    <s v="FULL"/>
    <n v="38"/>
    <n v="1"/>
    <s v="Professionals"/>
    <n v="21914"/>
    <s v="Emma Ryan "/>
    <s v="60TAP"/>
    <s v="Talent Acquisition Partner"/>
    <x v="9"/>
    <x v="51"/>
  </r>
  <r>
    <s v="UCQ020525"/>
    <n v="20525"/>
    <s v="Ellie"/>
    <s v="Lian"/>
    <s v="FEMALE"/>
    <s v="PC32"/>
    <s v="606TAP"/>
    <s v="Talent Acquisition Advisor"/>
    <d v="2021-11-15T00:00:00"/>
    <m/>
    <d v="2021-11-15T00:00:00"/>
    <s v="FULL"/>
    <n v="38"/>
    <n v="1"/>
    <s v="Professionals"/>
    <n v="20269"/>
    <s v="Lauren Morrow"/>
    <s v="60TAP3"/>
    <s v="Talent Acquisition Team Leader ACCS"/>
    <x v="9"/>
    <x v="51"/>
  </r>
  <r>
    <s v="UCQ021601"/>
    <n v="21601"/>
    <s v="Douglas"/>
    <s v="West"/>
    <s v="MALE"/>
    <s v="PC68"/>
    <s v="60ATA1"/>
    <s v="Talent Acquisition Advisor"/>
    <d v="2022-12-05T00:00:00"/>
    <d v="2023-12-05T00:00:00"/>
    <d v="2022-05-12T00:00:00"/>
    <s v="FULL"/>
    <n v="38"/>
    <n v="1"/>
    <s v="Professionals"/>
    <n v="20269"/>
    <s v="Lauren Morrow"/>
    <s v="60TAP3"/>
    <s v="Talent Acquisition Team Leader ACCS"/>
    <x v="9"/>
    <x v="51"/>
  </r>
  <r>
    <s v="UCQ021266"/>
    <n v="21266"/>
    <s v="Leila"/>
    <s v="Rodrigues"/>
    <s v="FEMALE"/>
    <s v="PC68"/>
    <s v="60TAA9"/>
    <s v="Talent Acquisition Advisor"/>
    <d v="2022-08-22T00:00:00"/>
    <m/>
    <s v="2/13/2023"/>
    <s v="FULL"/>
    <n v="38"/>
    <n v="1"/>
    <s v="Professionals"/>
    <n v="20269"/>
    <s v="Lauren Morrow"/>
    <s v="60TAP3"/>
    <s v="Talent Acquisition Team Leader ACCS"/>
    <x v="9"/>
    <x v="51"/>
  </r>
  <r>
    <s v="UCQ019385"/>
    <n v="19385"/>
    <s v="Emma"/>
    <s v="Anthony"/>
    <s v="FEMALE"/>
    <s v="PC32"/>
    <s v="60TAP1"/>
    <s v="Talent Acquisition Partner"/>
    <d v="2020-08-03T00:00:00"/>
    <m/>
    <d v="2023-09-01T00:00:00"/>
    <s v="FULL"/>
    <n v="38"/>
    <n v="1"/>
    <s v="Professionals"/>
    <n v="20078"/>
    <s v="Amanda Dyson "/>
    <n v="52092"/>
    <s v="Talent Acquisition Manager"/>
    <x v="9"/>
    <x v="51"/>
  </r>
  <r>
    <s v="UCQ021914"/>
    <n v="21914"/>
    <s v="Emma"/>
    <s v="Ryan"/>
    <s v="FEMALE"/>
    <s v="PC32"/>
    <s v="60TAP"/>
    <s v="Talent Acquisition Partner"/>
    <d v="2023-04-18T00:00:00"/>
    <m/>
    <s v="4/18/2023"/>
    <s v="FULL"/>
    <n v="38"/>
    <n v="1"/>
    <s v="Professionals"/>
    <n v="20078"/>
    <s v="Amanda Dyson "/>
    <s v="60ACM"/>
    <s v="Talent Acquisition Manager"/>
    <x v="9"/>
    <x v="51"/>
  </r>
  <r>
    <s v="UCQ019830"/>
    <n v="19830"/>
    <s v="Rachel"/>
    <s v="Hutchcroft"/>
    <s v="FEMALE"/>
    <s v="PC32"/>
    <s v="60TTAP"/>
    <s v="Talent Acquisition Partner"/>
    <d v="2021-02-22T00:00:00"/>
    <m/>
    <s v="5/22/2023"/>
    <s v="FULL"/>
    <n v="38"/>
    <n v="1"/>
    <s v="Professionals"/>
    <n v="20078"/>
    <s v="Amanda Dyson "/>
    <s v="60ACM"/>
    <s v="Talent Acquisition Manager"/>
    <x v="9"/>
    <x v="51"/>
  </r>
  <r>
    <s v="UCQ020269"/>
    <n v="20269"/>
    <s v="Lauren"/>
    <s v="Morrow"/>
    <s v="FEMALE"/>
    <s v="PC32"/>
    <s v="60TAP3"/>
    <s v="Talent Acquisition Team Leader ACCS"/>
    <d v="2021-08-23T00:00:00"/>
    <m/>
    <s v="2/13/2023"/>
    <s v="FULL"/>
    <n v="38"/>
    <n v="1"/>
    <s v="Professionals"/>
    <n v="20078"/>
    <s v="Amanda Dyson "/>
    <s v="60ACM"/>
    <s v="Talent Acquisition Manager"/>
    <x v="9"/>
    <x v="51"/>
  </r>
  <r>
    <s v="UCQ021537"/>
    <n v="21537"/>
    <s v="Thuy"/>
    <s v="Pham"/>
    <s v="FEMALE"/>
    <s v="PC38"/>
    <s v="60EEA"/>
    <s v="Human Resource Officer"/>
    <d v="2022-11-21T00:00:00"/>
    <m/>
    <d v="2022-11-21T00:00:00"/>
    <s v="FULL"/>
    <n v="38"/>
    <n v="1"/>
    <s v="Professionals"/>
    <n v="18623"/>
    <s v="Bridget Russell "/>
    <s v="60PCA7"/>
    <s v="Manager Employee Experience"/>
    <x v="9"/>
    <x v="52"/>
  </r>
  <r>
    <s v="UCQ020018"/>
    <n v="20018"/>
    <s v="Elena"/>
    <s v="Pletneva"/>
    <s v="FEMALE"/>
    <s v="PC95"/>
    <s v="60VEO"/>
    <s v="Volunteer Experience Officer"/>
    <d v="2021-04-06T00:00:00"/>
    <m/>
    <d v="2023-05-08T00:00:00"/>
    <s v="FULL"/>
    <n v="38"/>
    <n v="1"/>
    <s v="Clerical &amp; Admin"/>
    <n v="17709"/>
    <s v="Diarmuid Cronin "/>
    <s v="60SMWE"/>
    <s v="Volunteer Experience Manager"/>
    <x v="9"/>
    <x v="52"/>
  </r>
  <r>
    <s v="BLU166718"/>
    <n v="69490"/>
    <s v="Sherluck"/>
    <s v="Nugas"/>
    <s v="FEMALE"/>
    <s v="PC95"/>
    <n v="47755"/>
    <s v="Volunteer Experience Officer"/>
    <d v="2017-03-06T00:00:00"/>
    <m/>
    <d v="2017-03-06T00:00:00"/>
    <s v="FULL"/>
    <n v="38"/>
    <n v="1"/>
    <s v="Clerical &amp; Admin"/>
    <n v="17709"/>
    <s v="Diarmuid Cronin "/>
    <s v="60SMWE"/>
    <s v="Volunteer Experience Manager"/>
    <x v="9"/>
    <x v="52"/>
  </r>
  <r>
    <s v="UCQ020226"/>
    <n v="20226"/>
    <s v="Emma"/>
    <s v="Lorimer"/>
    <s v="FEMALE"/>
    <s v="PC38"/>
    <s v="60EEA1"/>
    <s v="Employee Experience Advisor"/>
    <d v="2021-08-09T00:00:00"/>
    <m/>
    <d v="2022-09-19T00:00:00"/>
    <s v="FULL"/>
    <n v="38"/>
    <n v="1"/>
    <s v="Professionals"/>
    <n v="18623"/>
    <s v="Bridget Russell "/>
    <s v="60MEE"/>
    <s v="Manager Employee Experience"/>
    <x v="9"/>
    <x v="52"/>
  </r>
  <r>
    <s v="UCQ020397"/>
    <n v="20397"/>
    <s v="Susannah"/>
    <s v="Plant"/>
    <s v="FEMALE"/>
    <s v="PC38"/>
    <s v="60EEA"/>
    <s v="Employee Experience Advisor"/>
    <d v="2021-09-27T00:00:00"/>
    <m/>
    <d v="2022-11-01T00:00:00"/>
    <s v="PART"/>
    <n v="30"/>
    <n v="0.78947368421052633"/>
    <s v="Professionals"/>
    <n v="18623"/>
    <s v="Bridget Russell "/>
    <s v="60MEE"/>
    <s v="Manager Employee Experience"/>
    <x v="9"/>
    <x v="52"/>
  </r>
  <r>
    <s v="UCQ020140"/>
    <n v="20140"/>
    <s v="Mark"/>
    <s v="Smith"/>
    <s v="MALE"/>
    <s v="PC74"/>
    <s v="601VA"/>
    <s v="Volunteer Advisor"/>
    <d v="2021-06-21T00:00:00"/>
    <m/>
    <d v="2021-06-21T00:00:00"/>
    <s v="FULL"/>
    <n v="38"/>
    <n v="1"/>
    <s v="Clerical &amp; Admin"/>
    <n v="17709"/>
    <s v="Diarmuid Cronin "/>
    <s v="60SMWE"/>
    <s v="Volunteer Experience Manager"/>
    <x v="9"/>
    <x v="52"/>
  </r>
  <r>
    <s v="UCQ019051"/>
    <n v="19051"/>
    <s v="Victoria"/>
    <s v="Bansey"/>
    <s v="FEMALE"/>
    <s v="PC34"/>
    <s v="60BIVE"/>
    <s v="Better Impact Volunteer Experience Lead"/>
    <d v="2019-11-25T00:00:00"/>
    <m/>
    <d v="2023-03-29T00:00:00"/>
    <s v="FULL"/>
    <n v="38"/>
    <n v="1"/>
    <s v="Clerical &amp; Admin"/>
    <n v="17709"/>
    <s v="Diarmuid Cronin "/>
    <s v="60SMWE"/>
    <s v="Volunteer Experience Manager"/>
    <x v="9"/>
    <x v="52"/>
  </r>
  <r>
    <s v="UCQ021517"/>
    <n v="21517"/>
    <s v="Maria"/>
    <s v="Buckland"/>
    <s v="FEMALE"/>
    <s v="PC38"/>
    <s v="60E1EA"/>
    <s v="Employee Experience Advisor"/>
    <d v="2022-12-06T00:00:00"/>
    <d v="2023-06-30T00:00:00"/>
    <d v="2022-12-06T00:00:00"/>
    <s v="PART"/>
    <n v="30"/>
    <n v="0.78947368421052633"/>
    <s v="Professionals"/>
    <n v="18623"/>
    <s v="Bridget Russell "/>
    <s v="60MEE"/>
    <s v="Manager Employee Experience"/>
    <x v="9"/>
    <x v="52"/>
  </r>
  <r>
    <s v="BLU135001"/>
    <n v="41967"/>
    <s v="Bronwyn"/>
    <s v="Muddle"/>
    <s v="FEMALE"/>
    <s v="PC76"/>
    <n v="45868"/>
    <s v="Volunteer Experience Coordinator"/>
    <d v="2008-04-01T00:00:00"/>
    <m/>
    <d v="2022-05-03T00:00:00"/>
    <s v="PART"/>
    <n v="30.4"/>
    <n v="0.79999999999999993"/>
    <s v="Clerical &amp; Admin"/>
    <n v="17709"/>
    <s v="Diarmuid Cronin "/>
    <s v="60SMWE"/>
    <s v="Volunteer Experience Manager"/>
    <x v="9"/>
    <x v="52"/>
  </r>
  <r>
    <s v="UCQ019230"/>
    <n v="19230"/>
    <s v="Shane"/>
    <s v="Harris"/>
    <s v="MALE"/>
    <s v="PC75"/>
    <s v="60VEL1"/>
    <s v="Volunteer Engagement Lead"/>
    <d v="2020-03-16T00:00:00"/>
    <m/>
    <d v="2023-03-27T00:00:00"/>
    <s v="FULL"/>
    <n v="38"/>
    <n v="1"/>
    <s v="Clerical &amp; Admin"/>
    <n v="17709"/>
    <s v="Diarmuid Cronin "/>
    <s v="60SMWE"/>
    <s v="Volunteer Experience Manager"/>
    <x v="9"/>
    <x v="52"/>
  </r>
  <r>
    <s v="UCQ019081"/>
    <n v="19081"/>
    <s v="Corey"/>
    <s v="Schwartz"/>
    <s v="MALE"/>
    <s v="PC39"/>
    <s v="60EES1"/>
    <s v="Employee Experience Specialist"/>
    <d v="2019-12-09T00:00:00"/>
    <m/>
    <d v="2023-05-20T00:00:00"/>
    <s v="FULL"/>
    <n v="38"/>
    <n v="1"/>
    <s v="Professionals"/>
    <n v="18623"/>
    <s v="Bridget Russell "/>
    <s v="60MEE"/>
    <s v="Manager Employee Experience"/>
    <x v="9"/>
    <x v="52"/>
  </r>
  <r>
    <s v="UCC017709"/>
    <n v="17709"/>
    <s v="Diarmuid"/>
    <s v="Cronin"/>
    <s v="MALE"/>
    <s v="PC33"/>
    <s v="P07630"/>
    <s v="Volunteer Experience Manager"/>
    <d v="2018-04-30T00:00:00"/>
    <m/>
    <d v="2022-04-06T00:00:00"/>
    <s v="FULL"/>
    <n v="38"/>
    <n v="1"/>
    <s v="Other Managers"/>
    <n v="19002"/>
    <s v="Ryan Ray "/>
    <s v="60SMWE"/>
    <s v="Senior Manager Workforce Experience"/>
    <x v="9"/>
    <x v="52"/>
  </r>
  <r>
    <s v="UCQ021434"/>
    <n v="21434"/>
    <s v="Belinda"/>
    <s v="Harry"/>
    <s v="FEMALE"/>
    <s v="PC61"/>
    <s v="60RBS"/>
    <s v="Remuneration and Benefits Specialist"/>
    <d v="2022-10-17T00:00:00"/>
    <m/>
    <d v="2022-10-17T00:00:00"/>
    <s v="FULL"/>
    <n v="38"/>
    <n v="1"/>
    <s v="Professionals"/>
    <n v="20674"/>
    <s v="Julia Kroll "/>
    <s v="60R&amp;BM"/>
    <s v="Remuneration and Benefits Manager"/>
    <x v="9"/>
    <x v="52"/>
  </r>
  <r>
    <s v="UCQ018623"/>
    <n v="18623"/>
    <s v="Bridget"/>
    <s v="Russell"/>
    <s v="FEMALE"/>
    <s v="PC08"/>
    <s v="60MEE"/>
    <s v="Manager Employee Experience"/>
    <d v="2019-05-20T00:00:00"/>
    <m/>
    <d v="2023-03-06T00:00:00"/>
    <s v="PART"/>
    <n v="22"/>
    <n v="0.57894736842105265"/>
    <s v="Senior Managers"/>
    <n v="19002"/>
    <s v="Ryan Ray "/>
    <s v="60SMWE"/>
    <s v="Senior Manager Workforce Experience"/>
    <x v="9"/>
    <x v="52"/>
  </r>
  <r>
    <s v="UCQ021244"/>
    <n v="21244"/>
    <s v="Michelle"/>
    <s v="Miller"/>
    <s v="FEMALE"/>
    <s v="PC31"/>
    <s v="60SRB1"/>
    <s v="Senior Remuneration and Benefits Specialist"/>
    <d v="2022-08-08T00:00:00"/>
    <m/>
    <d v="2022-08-08T00:00:00"/>
    <s v="PART"/>
    <n v="15"/>
    <n v="0.39473684210526316"/>
    <s v="Professionals"/>
    <n v="20674"/>
    <s v="Julia Kroll "/>
    <s v="60R&amp;BM"/>
    <s v="Remuneration and Benefits Manager"/>
    <x v="9"/>
    <x v="52"/>
  </r>
  <r>
    <s v="UCQ021220"/>
    <n v="21220"/>
    <s v="Katrina"/>
    <s v="Wright"/>
    <s v="FEMALE"/>
    <s v="PC31"/>
    <s v="60SRBS"/>
    <s v="Senior Remuneration and Benefits Specialist"/>
    <d v="2022-08-22T00:00:00"/>
    <m/>
    <d v="2023-01-14T00:00:00"/>
    <s v="PART"/>
    <n v="26"/>
    <n v="0.68421052631578949"/>
    <s v="Professionals"/>
    <n v="20674"/>
    <s v="Julia Kroll "/>
    <s v="60R&amp;BM"/>
    <s v="Remuneration and Benefits Manager"/>
    <x v="9"/>
    <x v="52"/>
  </r>
  <r>
    <s v="UCQ020674"/>
    <n v="20674"/>
    <s v="Julia"/>
    <s v="Kroll"/>
    <s v="FEMALE"/>
    <s v="PC14"/>
    <s v="60R&amp;BM"/>
    <s v="Remuneration and Benefits Manager"/>
    <d v="2022-02-28T00:00:00"/>
    <m/>
    <d v="2023-01-14T00:00:00"/>
    <s v="FULL"/>
    <n v="38"/>
    <n v="1"/>
    <s v="Senior Managers"/>
    <n v="19002"/>
    <s v="Ryan Ray "/>
    <s v="60SMWE"/>
    <s v="Senior Manager Workforce Experience"/>
    <x v="9"/>
    <x v="52"/>
  </r>
  <r>
    <s v="UCQ019608"/>
    <n v="19608"/>
    <s v="Nadine"/>
    <s v="Bekavak"/>
    <s v="FEMALE"/>
    <s v="2030_11"/>
    <s v="60DECO"/>
    <s v="Data Entry Cleansing Administration Officer"/>
    <d v="2019-02-12T00:00:00"/>
    <d v="2023-12-31T00:00:00"/>
    <d v="2022-12-31T00:00:00"/>
    <s v="PART"/>
    <n v="15"/>
    <n v="0.39473684210526316"/>
    <s v="Clerical &amp; Admin"/>
    <n v="20696"/>
    <s v="Bettina Raiss "/>
    <s v="60SMEC"/>
    <s v="Senior Manager Enterprise Change"/>
    <x v="10"/>
    <x v="53"/>
  </r>
  <r>
    <s v="UCQ018784"/>
    <n v="18784"/>
    <s v="Leah"/>
    <s v="Campbell"/>
    <s v="FEMALE"/>
    <s v="MIS10"/>
    <s v="60EA4"/>
    <s v="Executive Assistant"/>
    <d v="2019-08-05T00:00:00"/>
    <m/>
    <d v="2022-07-01T00:00:00"/>
    <s v="FULL"/>
    <n v="38"/>
    <n v="1"/>
    <s v="Clerical &amp; Admin"/>
    <n v="18716"/>
    <s v="Ivo Musulin"/>
    <s v="60GM20"/>
    <s v="Group General Manager Transformation"/>
    <x v="10"/>
    <x v="53"/>
  </r>
  <r>
    <s v="UCQ020389"/>
    <n v="20389"/>
    <s v="Maddison"/>
    <s v="Lambert"/>
    <s v="FEMALE"/>
    <s v="2030_10"/>
    <s v="60A230"/>
    <s v="2030 Analyst"/>
    <d v="2021-09-20T00:00:00"/>
    <m/>
    <d v="2023-01-03T00:00:00"/>
    <s v="FULL"/>
    <n v="38"/>
    <n v="1"/>
    <s v="Professionals"/>
    <n v="19802"/>
    <s v="Sharon Cooper "/>
    <s v="60FD30"/>
    <s v="2030 Finance Director"/>
    <x v="10"/>
    <x v="53"/>
  </r>
  <r>
    <s v="UCQ019160"/>
    <n v="19160"/>
    <s v="Alexander"/>
    <s v="Campey"/>
    <s v="MALE"/>
    <s v="2030_09"/>
    <s v="60EPA"/>
    <s v="Enterprise Process Analyst"/>
    <d v="2020-01-28T00:00:00"/>
    <m/>
    <d v="2022-09-05T00:00:00"/>
    <s v="FULL"/>
    <n v="38"/>
    <n v="1"/>
    <s v="Professionals"/>
    <n v="20509"/>
    <s v="Mark McCullum "/>
    <s v="60GMT"/>
    <s v="Coach 2030 Program"/>
    <x v="10"/>
    <x v="53"/>
  </r>
  <r>
    <s v="UCQ018990"/>
    <n v="18990"/>
    <s v="Rahni"/>
    <s v="Patterson"/>
    <s v="FEMALE"/>
    <s v="2030_08"/>
    <s v="60RPM"/>
    <s v="2030 Regeneration Program Analyst"/>
    <d v="2019-11-04T00:00:00"/>
    <m/>
    <d v="2022-01-10T00:00:00"/>
    <s v="FULL"/>
    <n v="38"/>
    <n v="1"/>
    <s v="Professionals"/>
    <n v="19799"/>
    <s v="Catherine Devery "/>
    <s v="60GMT"/>
    <s v="General Manager 2030 Transformation"/>
    <x v="10"/>
    <x v="53"/>
  </r>
  <r>
    <s v="UCQ020696"/>
    <n v="20696"/>
    <s v="Bettina"/>
    <s v="Raiss"/>
    <s v="FEMALE"/>
    <s v="2030_07"/>
    <s v="60SMEC"/>
    <s v="Senior Manager Enterprise Change"/>
    <d v="2022-01-31T00:00:00"/>
    <m/>
    <d v="2022-01-31T00:00:00"/>
    <s v="FULL"/>
    <n v="38"/>
    <n v="1"/>
    <s v="Senior Managers"/>
    <n v="19799"/>
    <s v="Catherine Devery "/>
    <s v="60GMT"/>
    <s v="General Manager 2030 Transformation"/>
    <x v="10"/>
    <x v="53"/>
  </r>
  <r>
    <s v="UCQ018777"/>
    <n v="18777"/>
    <s v="Bernice"/>
    <s v="Husband"/>
    <s v="FEMALE"/>
    <s v="2030_03"/>
    <s v="60COA2"/>
    <s v="2030 Coach"/>
    <d v="2010-06-21T00:00:00"/>
    <m/>
    <d v="2023-02-27T00:00:00"/>
    <s v="PART"/>
    <n v="30"/>
    <n v="0.78947368421052633"/>
    <s v="Senior Managers"/>
    <n v="19799"/>
    <s v="Catherine Devery "/>
    <s v="60GMT"/>
    <s v="General Manager 2030 Transformation"/>
    <x v="10"/>
    <x v="53"/>
  </r>
  <r>
    <s v="UCQ018374"/>
    <n v="18374"/>
    <s v="Kieran"/>
    <s v="O'Sullivan"/>
    <s v="MALE"/>
    <s v="2030_03"/>
    <s v="60EPAA"/>
    <s v="2030 Office Program Coach"/>
    <d v="2017-07-18T00:00:00"/>
    <m/>
    <d v="2022-09-05T00:00:00"/>
    <s v="FULL"/>
    <n v="38"/>
    <n v="1"/>
    <s v="Senior Managers"/>
    <n v="19799"/>
    <s v="Catherine Devery "/>
    <s v="60GMT"/>
    <s v="General Manager 2030 Transformation"/>
    <x v="10"/>
    <x v="53"/>
  </r>
  <r>
    <s v="UCQ022094"/>
    <n v="22094"/>
    <s v="Rikki"/>
    <s v="White"/>
    <s v="MALE"/>
    <s v="2030_03"/>
    <s v="60COA4"/>
    <s v="2030 Coach"/>
    <d v="2018-03-26T00:00:00"/>
    <m/>
    <d v="2023-05-23T00:00:00"/>
    <s v="FULL"/>
    <n v="38"/>
    <n v="1"/>
    <s v="Senior Managers"/>
    <n v="19799"/>
    <s v="Catherine Devery "/>
    <s v="60GMT"/>
    <s v="General Manager 2030 Transformation"/>
    <x v="10"/>
    <x v="53"/>
  </r>
  <r>
    <s v="UCQ019802"/>
    <n v="19802"/>
    <s v="Sharon"/>
    <s v="Cooper"/>
    <s v="FEMALE"/>
    <s v="2030_04"/>
    <s v="60FD30"/>
    <s v="2030 Finance Director"/>
    <d v="2021-01-13T00:00:00"/>
    <m/>
    <d v="2022-08-01T00:00:00"/>
    <s v="FULL"/>
    <n v="38"/>
    <n v="1"/>
    <s v="Senior Managers"/>
    <n v="18716"/>
    <s v="Ivo Musulin"/>
    <s v="60GM20"/>
    <s v="Group General Manager Transformation"/>
    <x v="10"/>
    <x v="53"/>
  </r>
  <r>
    <s v="UCQ019593"/>
    <n v="19593"/>
    <s v="Simon"/>
    <s v="Cook"/>
    <s v="MALE"/>
    <s v="2030_03"/>
    <s v="60COA"/>
    <s v="2030 Coach"/>
    <d v="2020-10-16T00:00:00"/>
    <d v="2023-12-31T00:00:00"/>
    <d v="2022-12-31T00:00:00"/>
    <s v="PART"/>
    <n v="22"/>
    <n v="0.57894736842105265"/>
    <s v="Senior Managers"/>
    <n v="19799"/>
    <s v="Catherine Devery "/>
    <s v="60GMT"/>
    <s v="General Manager 2030 Transformation"/>
    <x v="10"/>
    <x v="53"/>
  </r>
  <r>
    <s v="UCQ020509"/>
    <n v="20509"/>
    <s v="Mark"/>
    <s v="Mccullum"/>
    <s v="MALE"/>
    <s v="2030_03"/>
    <s v="60C23P"/>
    <s v="Coach 2030 Program"/>
    <d v="2021-11-11T00:00:00"/>
    <m/>
    <d v="2022-05-02T00:00:00"/>
    <s v="FULL"/>
    <n v="38"/>
    <n v="1"/>
    <s v="Professionals"/>
    <n v="19799"/>
    <s v="Catherine Devery "/>
    <s v="60GMT"/>
    <s v="General Manager 2030 Transformation"/>
    <x v="10"/>
    <x v="53"/>
  </r>
  <r>
    <s v="UCQ019755"/>
    <n v="19755"/>
    <s v="Simon"/>
    <s v="Ellerker"/>
    <s v="MALE"/>
    <s v="2030_03"/>
    <s v="60TFC"/>
    <s v="2030 Transformation Coach"/>
    <d v="2021-01-11T00:00:00"/>
    <m/>
    <d v="2021-01-11T00:00:00"/>
    <s v="FULL"/>
    <n v="38"/>
    <n v="1"/>
    <s v="Senior Managers"/>
    <n v="19799"/>
    <s v="Catherine Devery "/>
    <s v="60GMT"/>
    <s v="General Manager 2030 Transformation"/>
    <x v="10"/>
    <x v="53"/>
  </r>
  <r>
    <s v="UCQ021563"/>
    <n v="21563"/>
    <s v="Vanessa"/>
    <s v="Moodley"/>
    <s v="FEMALE"/>
    <s v="2030_03"/>
    <s v="60COA1"/>
    <s v="2030 Coach"/>
    <d v="2022-11-21T00:00:00"/>
    <m/>
    <d v="2022-11-21T00:00:00"/>
    <s v="FULL"/>
    <n v="38"/>
    <n v="1"/>
    <s v="Senior Managers"/>
    <n v="19799"/>
    <s v="Catherine Devery "/>
    <s v="60GMT"/>
    <s v="General Manager 2030 Transformation"/>
    <x v="10"/>
    <x v="53"/>
  </r>
  <r>
    <s v="UCQ016773"/>
    <n v="16773"/>
    <s v="Richard"/>
    <s v="Watts"/>
    <s v="MALE"/>
    <s v="BF145"/>
    <s v="60FL"/>
    <s v="Finance Lead"/>
    <d v="2017-02-27T00:00:00"/>
    <m/>
    <d v="2019-02-25T00:00:00"/>
    <s v="FULL"/>
    <n v="38"/>
    <n v="1"/>
    <m/>
    <n v="18716"/>
    <s v="Ivo Musulin"/>
    <s v="60GM20"/>
    <s v="Group General Manager Transformation"/>
    <x v="10"/>
    <x v="53"/>
  </r>
  <r>
    <s v="UCQ019799"/>
    <n v="19799"/>
    <s v="Catherine"/>
    <s v="Devery"/>
    <s v="FEMALE"/>
    <s v="2030_02"/>
    <s v="60GMT"/>
    <s v="General Manager 2030 Transformation"/>
    <d v="2021-03-08T00:00:00"/>
    <m/>
    <d v="2021-07-08T00:00:00"/>
    <s v="PART"/>
    <n v="32"/>
    <n v="0.84210526315789469"/>
    <s v="Senior Managers"/>
    <n v="18716"/>
    <s v="Ivo Musulin"/>
    <s v="60GM20"/>
    <s v="Group General Manager Transformation"/>
    <x v="10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AFB3B-DF67-4524-8089-35477942B29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:A75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5">
        <item x="43"/>
        <item x="16"/>
        <item x="37"/>
        <item x="0"/>
        <item x="29"/>
        <item x="38"/>
        <item x="32"/>
        <item x="46"/>
        <item x="23"/>
        <item x="1"/>
        <item x="24"/>
        <item x="2"/>
        <item x="3"/>
        <item x="4"/>
        <item x="5"/>
        <item x="44"/>
        <item x="39"/>
        <item x="17"/>
        <item x="9"/>
        <item x="40"/>
        <item x="6"/>
        <item x="18"/>
        <item x="19"/>
        <item x="20"/>
        <item x="41"/>
        <item x="21"/>
        <item x="25"/>
        <item x="47"/>
        <item x="10"/>
        <item x="11"/>
        <item x="12"/>
        <item x="48"/>
        <item x="22"/>
        <item x="30"/>
        <item x="26"/>
        <item x="27"/>
        <item x="42"/>
        <item x="45"/>
        <item x="49"/>
        <item x="33"/>
        <item x="28"/>
        <item x="13"/>
        <item x="14"/>
        <item x="7"/>
        <item x="15"/>
        <item x="31"/>
        <item x="50"/>
        <item x="8"/>
        <item x="34"/>
        <item x="35"/>
        <item x="51"/>
        <item x="36"/>
        <item x="53"/>
        <item x="52"/>
        <item t="default"/>
      </items>
    </pivotField>
  </pivotFields>
  <rowFields count="2">
    <field x="19"/>
    <field x="20"/>
  </rowFields>
  <rowItems count="73">
    <i>
      <x/>
    </i>
    <i r="1">
      <x v="3"/>
    </i>
    <i r="1">
      <x v="9"/>
    </i>
    <i r="1">
      <x v="11"/>
    </i>
    <i r="1">
      <x v="12"/>
    </i>
    <i r="1">
      <x v="13"/>
    </i>
    <i r="1">
      <x v="14"/>
    </i>
    <i r="1">
      <x v="20"/>
    </i>
    <i r="1">
      <x v="43"/>
    </i>
    <i r="1">
      <x v="47"/>
    </i>
    <i>
      <x v="1"/>
    </i>
    <i r="1">
      <x v="18"/>
    </i>
    <i r="1">
      <x v="28"/>
    </i>
    <i r="1">
      <x v="29"/>
    </i>
    <i r="1">
      <x v="30"/>
    </i>
    <i r="1">
      <x v="41"/>
    </i>
    <i r="1">
      <x v="42"/>
    </i>
    <i r="1">
      <x v="44"/>
    </i>
    <i r="1">
      <x v="47"/>
    </i>
    <i>
      <x v="2"/>
    </i>
    <i r="1">
      <x v="1"/>
    </i>
    <i r="1">
      <x v="17"/>
    </i>
    <i r="1">
      <x v="21"/>
    </i>
    <i r="1">
      <x v="22"/>
    </i>
    <i r="1">
      <x v="23"/>
    </i>
    <i r="1">
      <x v="25"/>
    </i>
    <i r="1">
      <x v="32"/>
    </i>
    <i r="1">
      <x v="47"/>
    </i>
    <i>
      <x v="3"/>
    </i>
    <i r="1">
      <x v="8"/>
    </i>
    <i r="1">
      <x v="10"/>
    </i>
    <i r="1">
      <x v="26"/>
    </i>
    <i r="1">
      <x v="34"/>
    </i>
    <i r="1">
      <x v="35"/>
    </i>
    <i r="1">
      <x v="40"/>
    </i>
    <i r="1">
      <x v="47"/>
    </i>
    <i>
      <x v="4"/>
    </i>
    <i r="1">
      <x v="4"/>
    </i>
    <i r="1">
      <x v="33"/>
    </i>
    <i r="1">
      <x v="45"/>
    </i>
    <i r="1">
      <x v="47"/>
    </i>
    <i>
      <x v="5"/>
    </i>
    <i r="1">
      <x v="6"/>
    </i>
    <i r="1">
      <x v="39"/>
    </i>
    <i r="1">
      <x v="47"/>
    </i>
    <i r="1">
      <x v="48"/>
    </i>
    <i r="1">
      <x v="49"/>
    </i>
    <i r="1">
      <x v="51"/>
    </i>
    <i>
      <x v="6"/>
    </i>
    <i r="1">
      <x v="2"/>
    </i>
    <i r="1">
      <x v="5"/>
    </i>
    <i r="1">
      <x v="16"/>
    </i>
    <i r="1">
      <x v="19"/>
    </i>
    <i r="1">
      <x v="24"/>
    </i>
    <i r="1">
      <x v="47"/>
    </i>
    <i>
      <x v="7"/>
    </i>
    <i r="1">
      <x v="36"/>
    </i>
    <i>
      <x v="8"/>
    </i>
    <i r="1">
      <x/>
    </i>
    <i r="1">
      <x v="15"/>
    </i>
    <i r="1">
      <x v="37"/>
    </i>
    <i>
      <x v="9"/>
    </i>
    <i r="1">
      <x v="7"/>
    </i>
    <i r="1">
      <x v="27"/>
    </i>
    <i r="1">
      <x v="31"/>
    </i>
    <i r="1">
      <x v="38"/>
    </i>
    <i r="1">
      <x v="46"/>
    </i>
    <i r="1">
      <x v="47"/>
    </i>
    <i r="1">
      <x v="50"/>
    </i>
    <i r="1">
      <x v="53"/>
    </i>
    <i>
      <x v="10"/>
    </i>
    <i r="1">
      <x v="52"/>
    </i>
    <i t="grand">
      <x/>
    </i>
  </rowItems>
  <colItems count="1">
    <i/>
  </colItems>
  <formats count="30">
    <format dxfId="29">
      <pivotArea type="all" dataOnly="0" outline="0" fieldPosition="0"/>
    </format>
    <format dxfId="28">
      <pivotArea field="19" type="button" dataOnly="0" labelOnly="1" outline="0" axis="axisRow" fieldPosition="0"/>
    </format>
    <format dxfId="27">
      <pivotArea dataOnly="0" labelOnly="1" fieldPosition="0">
        <references count="1">
          <reference field="19" count="0"/>
        </references>
      </pivotArea>
    </format>
    <format dxfId="26">
      <pivotArea dataOnly="0" labelOnly="1" grandRow="1" outline="0" fieldPosition="0"/>
    </format>
    <format dxfId="25">
      <pivotArea dataOnly="0" labelOnly="1" fieldPosition="0">
        <references count="2">
          <reference field="19" count="1" selected="0">
            <x v="0"/>
          </reference>
          <reference field="20" count="9">
            <x v="3"/>
            <x v="9"/>
            <x v="11"/>
            <x v="12"/>
            <x v="13"/>
            <x v="14"/>
            <x v="20"/>
            <x v="43"/>
            <x v="47"/>
          </reference>
        </references>
      </pivotArea>
    </format>
    <format dxfId="24">
      <pivotArea dataOnly="0" labelOnly="1" fieldPosition="0">
        <references count="2">
          <reference field="19" count="1" selected="0">
            <x v="1"/>
          </reference>
          <reference field="20" count="8">
            <x v="18"/>
            <x v="28"/>
            <x v="29"/>
            <x v="30"/>
            <x v="41"/>
            <x v="42"/>
            <x v="44"/>
            <x v="47"/>
          </reference>
        </references>
      </pivotArea>
    </format>
    <format dxfId="23">
      <pivotArea dataOnly="0" labelOnly="1" fieldPosition="0">
        <references count="2">
          <reference field="19" count="1" selected="0">
            <x v="2"/>
          </reference>
          <reference field="20" count="8">
            <x v="1"/>
            <x v="17"/>
            <x v="21"/>
            <x v="22"/>
            <x v="23"/>
            <x v="25"/>
            <x v="32"/>
            <x v="47"/>
          </reference>
        </references>
      </pivotArea>
    </format>
    <format dxfId="22">
      <pivotArea dataOnly="0" labelOnly="1" fieldPosition="0">
        <references count="2">
          <reference field="19" count="1" selected="0">
            <x v="3"/>
          </reference>
          <reference field="20" count="7">
            <x v="8"/>
            <x v="10"/>
            <x v="26"/>
            <x v="34"/>
            <x v="35"/>
            <x v="40"/>
            <x v="47"/>
          </reference>
        </references>
      </pivotArea>
    </format>
    <format dxfId="21">
      <pivotArea dataOnly="0" labelOnly="1" fieldPosition="0">
        <references count="2">
          <reference field="19" count="1" selected="0">
            <x v="4"/>
          </reference>
          <reference field="20" count="4">
            <x v="4"/>
            <x v="33"/>
            <x v="45"/>
            <x v="47"/>
          </reference>
        </references>
      </pivotArea>
    </format>
    <format dxfId="20">
      <pivotArea dataOnly="0" labelOnly="1" fieldPosition="0">
        <references count="2">
          <reference field="19" count="1" selected="0">
            <x v="5"/>
          </reference>
          <reference field="20" count="6">
            <x v="6"/>
            <x v="39"/>
            <x v="47"/>
            <x v="48"/>
            <x v="49"/>
            <x v="51"/>
          </reference>
        </references>
      </pivotArea>
    </format>
    <format dxfId="19">
      <pivotArea dataOnly="0" labelOnly="1" fieldPosition="0">
        <references count="2">
          <reference field="19" count="1" selected="0">
            <x v="6"/>
          </reference>
          <reference field="20" count="6">
            <x v="2"/>
            <x v="5"/>
            <x v="16"/>
            <x v="19"/>
            <x v="24"/>
            <x v="47"/>
          </reference>
        </references>
      </pivotArea>
    </format>
    <format dxfId="18">
      <pivotArea dataOnly="0" labelOnly="1" fieldPosition="0">
        <references count="2">
          <reference field="19" count="1" selected="0">
            <x v="7"/>
          </reference>
          <reference field="20" count="1">
            <x v="36"/>
          </reference>
        </references>
      </pivotArea>
    </format>
    <format dxfId="17">
      <pivotArea dataOnly="0" labelOnly="1" fieldPosition="0">
        <references count="2">
          <reference field="19" count="1" selected="0">
            <x v="8"/>
          </reference>
          <reference field="20" count="3">
            <x v="0"/>
            <x v="15"/>
            <x v="37"/>
          </reference>
        </references>
      </pivotArea>
    </format>
    <format dxfId="16">
      <pivotArea dataOnly="0" labelOnly="1" fieldPosition="0">
        <references count="2">
          <reference field="19" count="1" selected="0">
            <x v="9"/>
          </reference>
          <reference field="20" count="8">
            <x v="7"/>
            <x v="27"/>
            <x v="31"/>
            <x v="38"/>
            <x v="46"/>
            <x v="47"/>
            <x v="50"/>
            <x v="53"/>
          </reference>
        </references>
      </pivotArea>
    </format>
    <format dxfId="15">
      <pivotArea dataOnly="0" labelOnly="1" fieldPosition="0">
        <references count="2">
          <reference field="19" count="1" selected="0">
            <x v="10"/>
          </reference>
          <reference field="20" count="1">
            <x v="52"/>
          </reference>
        </references>
      </pivotArea>
    </format>
    <format dxfId="14">
      <pivotArea type="all" dataOnly="0" outline="0" fieldPosition="0"/>
    </format>
    <format dxfId="13">
      <pivotArea field="19" type="button" dataOnly="0" labelOnly="1" outline="0" axis="axisRow" fieldPosition="0"/>
    </format>
    <format dxfId="12">
      <pivotArea dataOnly="0" labelOnly="1" fieldPosition="0">
        <references count="1">
          <reference field="19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19" count="1" selected="0">
            <x v="0"/>
          </reference>
          <reference field="20" count="9">
            <x v="3"/>
            <x v="9"/>
            <x v="11"/>
            <x v="12"/>
            <x v="13"/>
            <x v="14"/>
            <x v="20"/>
            <x v="43"/>
            <x v="47"/>
          </reference>
        </references>
      </pivotArea>
    </format>
    <format dxfId="9">
      <pivotArea dataOnly="0" labelOnly="1" fieldPosition="0">
        <references count="2">
          <reference field="19" count="1" selected="0">
            <x v="1"/>
          </reference>
          <reference field="20" count="8">
            <x v="18"/>
            <x v="28"/>
            <x v="29"/>
            <x v="30"/>
            <x v="41"/>
            <x v="42"/>
            <x v="44"/>
            <x v="47"/>
          </reference>
        </references>
      </pivotArea>
    </format>
    <format dxfId="8">
      <pivotArea dataOnly="0" labelOnly="1" fieldPosition="0">
        <references count="2">
          <reference field="19" count="1" selected="0">
            <x v="2"/>
          </reference>
          <reference field="20" count="8">
            <x v="1"/>
            <x v="17"/>
            <x v="21"/>
            <x v="22"/>
            <x v="23"/>
            <x v="25"/>
            <x v="32"/>
            <x v="47"/>
          </reference>
        </references>
      </pivotArea>
    </format>
    <format dxfId="7">
      <pivotArea dataOnly="0" labelOnly="1" fieldPosition="0">
        <references count="2">
          <reference field="19" count="1" selected="0">
            <x v="3"/>
          </reference>
          <reference field="20" count="7">
            <x v="8"/>
            <x v="10"/>
            <x v="26"/>
            <x v="34"/>
            <x v="35"/>
            <x v="40"/>
            <x v="47"/>
          </reference>
        </references>
      </pivotArea>
    </format>
    <format dxfId="6">
      <pivotArea dataOnly="0" labelOnly="1" fieldPosition="0">
        <references count="2">
          <reference field="19" count="1" selected="0">
            <x v="4"/>
          </reference>
          <reference field="20" count="4">
            <x v="4"/>
            <x v="33"/>
            <x v="45"/>
            <x v="47"/>
          </reference>
        </references>
      </pivotArea>
    </format>
    <format dxfId="5">
      <pivotArea dataOnly="0" labelOnly="1" fieldPosition="0">
        <references count="2">
          <reference field="19" count="1" selected="0">
            <x v="5"/>
          </reference>
          <reference field="20" count="6">
            <x v="6"/>
            <x v="39"/>
            <x v="47"/>
            <x v="48"/>
            <x v="49"/>
            <x v="51"/>
          </reference>
        </references>
      </pivotArea>
    </format>
    <format dxfId="4">
      <pivotArea dataOnly="0" labelOnly="1" fieldPosition="0">
        <references count="2">
          <reference field="19" count="1" selected="0">
            <x v="6"/>
          </reference>
          <reference field="20" count="6">
            <x v="2"/>
            <x v="5"/>
            <x v="16"/>
            <x v="19"/>
            <x v="24"/>
            <x v="47"/>
          </reference>
        </references>
      </pivotArea>
    </format>
    <format dxfId="3">
      <pivotArea dataOnly="0" labelOnly="1" fieldPosition="0">
        <references count="2">
          <reference field="19" count="1" selected="0">
            <x v="7"/>
          </reference>
          <reference field="20" count="1">
            <x v="36"/>
          </reference>
        </references>
      </pivotArea>
    </format>
    <format dxfId="2">
      <pivotArea dataOnly="0" labelOnly="1" fieldPosition="0">
        <references count="2">
          <reference field="19" count="1" selected="0">
            <x v="8"/>
          </reference>
          <reference field="20" count="3">
            <x v="0"/>
            <x v="15"/>
            <x v="37"/>
          </reference>
        </references>
      </pivotArea>
    </format>
    <format dxfId="1">
      <pivotArea dataOnly="0" labelOnly="1" fieldPosition="0">
        <references count="2">
          <reference field="19" count="1" selected="0">
            <x v="9"/>
          </reference>
          <reference field="20" count="8">
            <x v="7"/>
            <x v="27"/>
            <x v="31"/>
            <x v="38"/>
            <x v="46"/>
            <x v="47"/>
            <x v="50"/>
            <x v="53"/>
          </reference>
        </references>
      </pivotArea>
    </format>
    <format dxfId="0">
      <pivotArea dataOnly="0" labelOnly="1" fieldPosition="0">
        <references count="2">
          <reference field="19" count="1" selected="0">
            <x v="10"/>
          </reference>
          <reference field="20" count="1">
            <x v="5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jamie.mackay@uccommunity.org.au" TargetMode="External"/><Relationship Id="rId18" Type="http://schemas.openxmlformats.org/officeDocument/2006/relationships/hyperlink" Target="mailto:Joanne.Trentin@uccommunity.org.au" TargetMode="External"/><Relationship Id="rId26" Type="http://schemas.openxmlformats.org/officeDocument/2006/relationships/hyperlink" Target="mailto:luke.lindsay@uccommunity.org.au" TargetMode="External"/><Relationship Id="rId39" Type="http://schemas.openxmlformats.org/officeDocument/2006/relationships/hyperlink" Target="mailto:Susan.Zhang@uccommunity.org.au" TargetMode="External"/><Relationship Id="rId21" Type="http://schemas.openxmlformats.org/officeDocument/2006/relationships/hyperlink" Target="mailto:Joanne.Trentin@uccommunity.org.au" TargetMode="External"/><Relationship Id="rId34" Type="http://schemas.openxmlformats.org/officeDocument/2006/relationships/hyperlink" Target="mailto:vivien.bull@uccommunity.org.au" TargetMode="External"/><Relationship Id="rId7" Type="http://schemas.openxmlformats.org/officeDocument/2006/relationships/hyperlink" Target="mailto:jamie.mackay@uccommunity.org.au" TargetMode="External"/><Relationship Id="rId2" Type="http://schemas.openxmlformats.org/officeDocument/2006/relationships/hyperlink" Target="mailto:jamie.mackay@uccommunity.org.au" TargetMode="External"/><Relationship Id="rId16" Type="http://schemas.openxmlformats.org/officeDocument/2006/relationships/hyperlink" Target="mailto:Joanne.Trentin@uccommunity.org.au" TargetMode="External"/><Relationship Id="rId20" Type="http://schemas.openxmlformats.org/officeDocument/2006/relationships/hyperlink" Target="mailto:Joanne.Trentin@uccommunity.org.au" TargetMode="External"/><Relationship Id="rId29" Type="http://schemas.openxmlformats.org/officeDocument/2006/relationships/hyperlink" Target="mailto:Martin.Woollaston@uccommunity.org.au" TargetMode="External"/><Relationship Id="rId41" Type="http://schemas.openxmlformats.org/officeDocument/2006/relationships/vmlDrawing" Target="../drawings/vmlDrawing2.vml"/><Relationship Id="rId1" Type="http://schemas.openxmlformats.org/officeDocument/2006/relationships/hyperlink" Target="mailto:jamie.mackay@uccommunity.org.au" TargetMode="External"/><Relationship Id="rId6" Type="http://schemas.openxmlformats.org/officeDocument/2006/relationships/hyperlink" Target="mailto:jamie.mackay@uccommunity.org.au" TargetMode="External"/><Relationship Id="rId11" Type="http://schemas.openxmlformats.org/officeDocument/2006/relationships/hyperlink" Target="mailto:jamie.mackay@uccommunity.org.au" TargetMode="External"/><Relationship Id="rId24" Type="http://schemas.openxmlformats.org/officeDocument/2006/relationships/hyperlink" Target="mailto:luke.lindsay@uccommunity.org.au" TargetMode="External"/><Relationship Id="rId32" Type="http://schemas.openxmlformats.org/officeDocument/2006/relationships/hyperlink" Target="mailto:Martin.Woollaston@uccommunity.org.au" TargetMode="External"/><Relationship Id="rId37" Type="http://schemas.openxmlformats.org/officeDocument/2006/relationships/hyperlink" Target="mailto:Susan.Zhang@uccommunity.org.au" TargetMode="External"/><Relationship Id="rId40" Type="http://schemas.openxmlformats.org/officeDocument/2006/relationships/printerSettings" Target="../printerSettings/printerSettings3.bin"/><Relationship Id="rId5" Type="http://schemas.openxmlformats.org/officeDocument/2006/relationships/hyperlink" Target="mailto:jamie.mackay@uccommunity.org.au" TargetMode="External"/><Relationship Id="rId15" Type="http://schemas.openxmlformats.org/officeDocument/2006/relationships/hyperlink" Target="mailto:Joanne.Trentin@uccommunity.org.au" TargetMode="External"/><Relationship Id="rId23" Type="http://schemas.openxmlformats.org/officeDocument/2006/relationships/hyperlink" Target="mailto:luke.lindsay@uccommunity.org.au" TargetMode="External"/><Relationship Id="rId28" Type="http://schemas.openxmlformats.org/officeDocument/2006/relationships/hyperlink" Target="mailto:Martin.Woollaston@uccommunity.org.au" TargetMode="External"/><Relationship Id="rId36" Type="http://schemas.openxmlformats.org/officeDocument/2006/relationships/hyperlink" Target="mailto:Susan.Zhang@uccommunity.org.au" TargetMode="External"/><Relationship Id="rId10" Type="http://schemas.openxmlformats.org/officeDocument/2006/relationships/hyperlink" Target="mailto:jamie.mackay@uccommunity.org.au" TargetMode="External"/><Relationship Id="rId19" Type="http://schemas.openxmlformats.org/officeDocument/2006/relationships/hyperlink" Target="mailto:Joanne.Trentin@uccommunity.org.au" TargetMode="External"/><Relationship Id="rId31" Type="http://schemas.openxmlformats.org/officeDocument/2006/relationships/hyperlink" Target="mailto:Martin.Woollaston@uccommunity.org.au" TargetMode="External"/><Relationship Id="rId4" Type="http://schemas.openxmlformats.org/officeDocument/2006/relationships/hyperlink" Target="mailto:jamie.mackay@uccommunity.org.au" TargetMode="External"/><Relationship Id="rId9" Type="http://schemas.openxmlformats.org/officeDocument/2006/relationships/hyperlink" Target="mailto:jamie.mackay@uccommunity.org.au" TargetMode="External"/><Relationship Id="rId14" Type="http://schemas.openxmlformats.org/officeDocument/2006/relationships/hyperlink" Target="mailto:Joanne.Trentin@uccommunity.org.au" TargetMode="External"/><Relationship Id="rId22" Type="http://schemas.openxmlformats.org/officeDocument/2006/relationships/hyperlink" Target="mailto:Joanne.Trentin@uccommunity.org.au" TargetMode="External"/><Relationship Id="rId27" Type="http://schemas.openxmlformats.org/officeDocument/2006/relationships/hyperlink" Target="mailto:luke.lindsay@uccommunity.org.au" TargetMode="External"/><Relationship Id="rId30" Type="http://schemas.openxmlformats.org/officeDocument/2006/relationships/hyperlink" Target="mailto:Martin.Woollaston@uccommunity.org.au" TargetMode="External"/><Relationship Id="rId35" Type="http://schemas.openxmlformats.org/officeDocument/2006/relationships/hyperlink" Target="mailto:vivien.bull@uccommunity.org.au" TargetMode="External"/><Relationship Id="rId8" Type="http://schemas.openxmlformats.org/officeDocument/2006/relationships/hyperlink" Target="mailto:jamie.mackay@uccommunity.org.au" TargetMode="External"/><Relationship Id="rId3" Type="http://schemas.openxmlformats.org/officeDocument/2006/relationships/hyperlink" Target="mailto:jamie.mackay@uccommunity.org.au" TargetMode="External"/><Relationship Id="rId12" Type="http://schemas.openxmlformats.org/officeDocument/2006/relationships/hyperlink" Target="mailto:jamie.mackay@uccommunity.org.au" TargetMode="External"/><Relationship Id="rId17" Type="http://schemas.openxmlformats.org/officeDocument/2006/relationships/hyperlink" Target="mailto:Joanne.Trentin@uccommunity.org.au" TargetMode="External"/><Relationship Id="rId25" Type="http://schemas.openxmlformats.org/officeDocument/2006/relationships/hyperlink" Target="mailto:luke.lindsay@uccommunity.org.au" TargetMode="External"/><Relationship Id="rId33" Type="http://schemas.openxmlformats.org/officeDocument/2006/relationships/hyperlink" Target="mailto:vivien.bull@uccommunity.org.au" TargetMode="External"/><Relationship Id="rId38" Type="http://schemas.openxmlformats.org/officeDocument/2006/relationships/hyperlink" Target="mailto:Susan.Zhang@uccommunity.org.au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D3BE-962B-4C25-B331-AE59352B2C6C}">
  <sheetPr codeName="Sheet8"/>
  <dimension ref="DT11:DU16"/>
  <sheetViews>
    <sheetView topLeftCell="A4" workbookViewId="0">
      <selection activeCell="U25" sqref="U25"/>
    </sheetView>
  </sheetViews>
  <sheetFormatPr defaultRowHeight="15"/>
  <sheetData>
    <row r="11" spans="124:125" ht="36">
      <c r="DT11" s="3" t="s">
        <v>578</v>
      </c>
      <c r="DU11" s="3" t="s">
        <v>580</v>
      </c>
    </row>
    <row r="12" spans="124:125" ht="60">
      <c r="DT12" s="1" t="s">
        <v>584</v>
      </c>
      <c r="DU12" s="4" t="s">
        <v>585</v>
      </c>
    </row>
    <row r="13" spans="124:125" ht="60">
      <c r="DT13" s="1" t="s">
        <v>586</v>
      </c>
      <c r="DU13" s="4" t="s">
        <v>587</v>
      </c>
    </row>
    <row r="14" spans="124:125" ht="60">
      <c r="DT14" s="1" t="s">
        <v>551</v>
      </c>
      <c r="DU14" s="4" t="s">
        <v>581</v>
      </c>
    </row>
    <row r="15" spans="124:125" ht="60">
      <c r="DT15" s="1" t="s">
        <v>582</v>
      </c>
      <c r="DU15" s="4" t="s">
        <v>583</v>
      </c>
    </row>
    <row r="16" spans="124:125">
      <c r="DT16" s="2"/>
      <c r="DU16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4" name="Button 3">
              <controlPr defaultSize="0" print="0" autoFill="0" autoPict="0" macro="[0]!Button2_Click">
                <anchor moveWithCells="1" sizeWithCells="1">
                  <from>
                    <xdr:col>9</xdr:col>
                    <xdr:colOff>419100</xdr:colOff>
                    <xdr:row>10</xdr:row>
                    <xdr:rowOff>142875</xdr:rowOff>
                  </from>
                  <to>
                    <xdr:col>12</xdr:col>
                    <xdr:colOff>219075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5" name="Button 5">
              <controlPr defaultSize="0" print="0" autoFill="0" autoPict="0" macro="[0]!SendEmail_Click">
                <anchor moveWithCells="1" sizeWithCells="1">
                  <from>
                    <xdr:col>17</xdr:col>
                    <xdr:colOff>28575</xdr:colOff>
                    <xdr:row>10</xdr:row>
                    <xdr:rowOff>76200</xdr:rowOff>
                  </from>
                  <to>
                    <xdr:col>19</xdr:col>
                    <xdr:colOff>180975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6" name="Button 6">
              <controlPr defaultSize="0" print="0" autoFill="0" autoPict="0" macro="[0]!GenerateCampaignFromTemplate">
                <anchor moveWithCells="1" sizeWithCells="1">
                  <from>
                    <xdr:col>9</xdr:col>
                    <xdr:colOff>419100</xdr:colOff>
                    <xdr:row>12</xdr:row>
                    <xdr:rowOff>142875</xdr:rowOff>
                  </from>
                  <to>
                    <xdr:col>12</xdr:col>
                    <xdr:colOff>219075</xdr:colOff>
                    <xdr:row>12</xdr:row>
                    <xdr:rowOff>676275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1D51-2DB2-4C01-8FEE-2C3F3AD3CD70}">
  <sheetPr codeName="Sheet3"/>
  <dimension ref="A1:CE108"/>
  <sheetViews>
    <sheetView zoomScale="65" zoomScaleNormal="65" workbookViewId="0">
      <selection activeCell="H4" sqref="H4"/>
    </sheetView>
  </sheetViews>
  <sheetFormatPr defaultColWidth="9.42578125" defaultRowHeight="15" outlineLevelRow="1" outlineLevelCol="1"/>
  <cols>
    <col min="1" max="1" width="36.85546875" style="388" customWidth="1"/>
    <col min="2" max="2" width="15" style="389" customWidth="1"/>
    <col min="3" max="3" width="14" style="388" customWidth="1"/>
    <col min="4" max="4" width="16.42578125" style="390" customWidth="1"/>
    <col min="5" max="5" width="15.42578125" style="390" customWidth="1"/>
    <col min="6" max="6" width="15.42578125" style="390" hidden="1" customWidth="1" outlineLevel="1"/>
    <col min="7" max="7" width="15.85546875" style="391" customWidth="1" collapsed="1"/>
    <col min="8" max="8" width="15.5703125" style="392" customWidth="1"/>
    <col min="9" max="9" width="17" style="390" customWidth="1"/>
    <col min="10" max="12" width="14" style="392" customWidth="1"/>
    <col min="13" max="13" width="15.5703125" style="392" customWidth="1"/>
    <col min="14" max="14" width="13" style="389" customWidth="1"/>
    <col min="15" max="15" width="14.42578125" style="392" customWidth="1"/>
    <col min="16" max="16" width="15.5703125" style="393" hidden="1" customWidth="1" outlineLevel="1"/>
    <col min="17" max="17" width="14.140625" style="392" hidden="1" customWidth="1" outlineLevel="1"/>
    <col min="18" max="18" width="14.42578125" style="393" hidden="1" customWidth="1" outlineLevel="1"/>
    <col min="19" max="19" width="14.85546875" style="392" hidden="1" customWidth="1" outlineLevel="1"/>
    <col min="20" max="20" width="15.42578125" style="389" customWidth="1" collapsed="1"/>
    <col min="21" max="21" width="14.42578125" style="390" customWidth="1"/>
    <col min="22" max="22" width="12.5703125" style="389" customWidth="1"/>
    <col min="23" max="23" width="14.5703125" style="392" customWidth="1"/>
    <col min="24" max="24" width="16.85546875" style="392" customWidth="1"/>
    <col min="25" max="25" width="16" style="392" customWidth="1"/>
    <col min="26" max="27" width="9.42578125" style="396" customWidth="1"/>
    <col min="28" max="28" width="9.42578125" style="388" customWidth="1"/>
    <col min="29" max="32" width="9.42578125" style="388"/>
    <col min="33" max="16384" width="9.42578125" style="228"/>
  </cols>
  <sheetData>
    <row r="1" spans="1:83" s="221" customFormat="1" ht="23.25">
      <c r="A1" s="368"/>
      <c r="B1" s="369" t="s">
        <v>639</v>
      </c>
      <c r="C1" s="368"/>
      <c r="D1" s="370"/>
      <c r="E1" s="370"/>
      <c r="F1" s="370"/>
      <c r="G1" s="371"/>
      <c r="H1" s="372"/>
      <c r="I1" s="373"/>
      <c r="J1" s="372"/>
      <c r="K1" s="372"/>
      <c r="L1" s="372"/>
      <c r="M1" s="372"/>
      <c r="N1" s="374"/>
      <c r="O1" s="372"/>
      <c r="P1" s="372"/>
      <c r="Q1" s="372"/>
      <c r="R1" s="372"/>
      <c r="S1" s="372"/>
      <c r="T1" s="374"/>
      <c r="U1" s="370"/>
      <c r="V1" s="375"/>
      <c r="W1" s="372"/>
      <c r="X1" s="372"/>
      <c r="Y1" s="372"/>
      <c r="Z1" s="376"/>
      <c r="AA1" s="376"/>
      <c r="AB1" s="375"/>
      <c r="AC1" s="375"/>
      <c r="AD1" s="375"/>
      <c r="AE1" s="375"/>
      <c r="AF1" s="377"/>
      <c r="AG1" s="220"/>
      <c r="AH1" s="222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19"/>
      <c r="AU1" s="219"/>
      <c r="AV1" s="219"/>
      <c r="AW1" s="219"/>
      <c r="AX1" s="219"/>
      <c r="BB1" s="219"/>
      <c r="BC1" s="219"/>
      <c r="BD1" s="220"/>
      <c r="BE1" s="220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  <c r="BZ1" s="220"/>
      <c r="CA1" s="220"/>
      <c r="CB1" s="220"/>
      <c r="CC1" s="220"/>
      <c r="CD1" s="219"/>
      <c r="CE1" s="219"/>
    </row>
    <row r="2" spans="1:83" s="221" customFormat="1" ht="23.25">
      <c r="A2" s="378"/>
      <c r="B2" s="379"/>
      <c r="C2" s="368"/>
      <c r="D2" s="370"/>
      <c r="E2" s="370"/>
      <c r="F2" s="370"/>
      <c r="G2" s="371"/>
      <c r="H2" s="372"/>
      <c r="I2" s="373"/>
      <c r="J2" s="372"/>
      <c r="K2" s="372"/>
      <c r="L2" s="372"/>
      <c r="M2" s="372"/>
      <c r="N2" s="374"/>
      <c r="O2" s="372"/>
      <c r="P2" s="372"/>
      <c r="Q2" s="372"/>
      <c r="R2" s="372"/>
      <c r="S2" s="372"/>
      <c r="T2" s="374"/>
      <c r="U2" s="370"/>
      <c r="V2" s="375"/>
      <c r="W2" s="372"/>
      <c r="X2" s="372"/>
      <c r="Y2" s="372"/>
      <c r="Z2" s="376"/>
      <c r="AA2" s="376"/>
      <c r="AB2" s="375"/>
      <c r="AC2" s="375"/>
      <c r="AD2" s="375"/>
      <c r="AE2" s="375"/>
      <c r="AF2" s="377"/>
      <c r="AG2" s="220"/>
      <c r="AH2" s="222"/>
      <c r="AI2" s="220"/>
      <c r="AJ2" s="220"/>
      <c r="AK2" s="220"/>
      <c r="AL2" s="220"/>
      <c r="AM2" s="220"/>
      <c r="AN2" s="220"/>
      <c r="AO2" s="220"/>
      <c r="AP2" s="220"/>
      <c r="AQ2" s="220"/>
      <c r="AR2" s="220"/>
      <c r="AS2" s="220"/>
      <c r="AT2" s="219"/>
      <c r="AU2" s="219"/>
      <c r="AV2" s="219"/>
      <c r="AW2" s="219"/>
      <c r="AX2" s="219"/>
      <c r="BB2" s="219"/>
      <c r="BC2" s="219"/>
      <c r="BD2" s="220"/>
      <c r="BE2" s="220"/>
      <c r="BF2" s="220"/>
      <c r="BG2" s="220"/>
      <c r="BH2" s="220"/>
      <c r="BI2" s="220"/>
      <c r="BJ2" s="220"/>
      <c r="BK2" s="220"/>
      <c r="BL2" s="220"/>
      <c r="BM2" s="220"/>
      <c r="BN2" s="220"/>
      <c r="BO2" s="220"/>
      <c r="BP2" s="220"/>
      <c r="BQ2" s="220"/>
      <c r="BR2" s="220"/>
      <c r="BS2" s="220"/>
      <c r="BT2" s="220"/>
      <c r="BU2" s="220"/>
      <c r="BV2" s="220"/>
      <c r="BW2" s="220"/>
      <c r="BX2" s="220"/>
      <c r="BY2" s="220"/>
      <c r="BZ2" s="220"/>
      <c r="CA2" s="220"/>
      <c r="CB2" s="220"/>
      <c r="CC2" s="220"/>
      <c r="CD2" s="219"/>
      <c r="CE2" s="219"/>
    </row>
    <row r="3" spans="1:83" s="221" customFormat="1" ht="38.25">
      <c r="A3" s="6"/>
      <c r="B3" s="309" t="s">
        <v>688</v>
      </c>
      <c r="C3" s="309" t="s">
        <v>726</v>
      </c>
      <c r="D3" s="310" t="s">
        <v>706</v>
      </c>
      <c r="E3" s="310" t="s">
        <v>706</v>
      </c>
      <c r="F3" s="372"/>
      <c r="G3" s="372"/>
      <c r="H3" s="372"/>
      <c r="I3" s="372"/>
      <c r="J3" s="374"/>
      <c r="K3" s="372"/>
      <c r="L3" s="374"/>
      <c r="M3" s="370"/>
      <c r="N3" s="375"/>
      <c r="O3" s="372"/>
      <c r="P3" s="372"/>
      <c r="Q3" s="372"/>
      <c r="R3" s="372"/>
      <c r="S3" s="372"/>
      <c r="T3" s="372"/>
      <c r="U3" s="372"/>
      <c r="V3" s="376"/>
      <c r="W3" s="376"/>
      <c r="X3" s="375"/>
      <c r="Y3" s="375"/>
      <c r="Z3" s="375"/>
      <c r="AA3" s="375"/>
      <c r="AB3" s="377"/>
      <c r="AC3" s="375"/>
      <c r="AD3" s="380"/>
      <c r="AE3" s="375"/>
      <c r="AF3" s="375"/>
      <c r="AG3" s="220"/>
      <c r="AH3" s="220"/>
      <c r="AI3" s="220"/>
      <c r="AJ3" s="220"/>
      <c r="AK3" s="220"/>
      <c r="AL3" s="220"/>
      <c r="AM3" s="220"/>
      <c r="AN3" s="220"/>
      <c r="AO3" s="220"/>
      <c r="AP3" s="219"/>
      <c r="AQ3" s="219"/>
      <c r="AR3" s="219"/>
      <c r="AS3" s="219"/>
      <c r="AT3" s="219"/>
      <c r="AX3" s="219"/>
      <c r="AY3" s="219"/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19"/>
      <c r="CA3" s="219"/>
    </row>
    <row r="4" spans="1:83" s="221" customFormat="1" ht="12.75">
      <c r="A4" s="311" t="s">
        <v>674</v>
      </c>
      <c r="B4" s="312">
        <f>$C4/$F$79</f>
        <v>0</v>
      </c>
      <c r="C4" s="313">
        <f>I79</f>
        <v>0</v>
      </c>
      <c r="D4" s="312">
        <f>E4/F79</f>
        <v>0</v>
      </c>
      <c r="E4" s="313">
        <f>Q79</f>
        <v>0</v>
      </c>
      <c r="F4" s="372"/>
      <c r="G4" s="372"/>
      <c r="H4" s="372"/>
      <c r="I4" s="372"/>
      <c r="J4" s="374"/>
      <c r="K4" s="372"/>
      <c r="L4" s="374"/>
      <c r="M4" s="370"/>
      <c r="N4" s="375"/>
      <c r="O4" s="372"/>
      <c r="P4" s="372"/>
      <c r="Q4" s="372"/>
      <c r="R4" s="372"/>
      <c r="S4" s="372"/>
      <c r="T4" s="372"/>
      <c r="U4" s="372"/>
      <c r="V4" s="376"/>
      <c r="W4" s="376"/>
      <c r="X4" s="375"/>
      <c r="Y4" s="375"/>
      <c r="Z4" s="375"/>
      <c r="AA4" s="375"/>
      <c r="AB4" s="377"/>
      <c r="AC4" s="375"/>
      <c r="AD4" s="380"/>
      <c r="AE4" s="375"/>
      <c r="AF4" s="375"/>
      <c r="AG4" s="220"/>
      <c r="AH4" s="220"/>
      <c r="AI4" s="220"/>
      <c r="AJ4" s="220"/>
      <c r="AK4" s="220"/>
      <c r="AL4" s="220"/>
      <c r="AM4" s="220"/>
      <c r="AN4" s="220"/>
      <c r="AO4" s="220"/>
      <c r="AP4" s="219"/>
      <c r="AQ4" s="219"/>
      <c r="AR4" s="219"/>
      <c r="AS4" s="219"/>
      <c r="AT4" s="219"/>
      <c r="AX4" s="219"/>
      <c r="AY4" s="219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20"/>
      <c r="BM4" s="220"/>
      <c r="BN4" s="220"/>
      <c r="BO4" s="220"/>
      <c r="BP4" s="220"/>
      <c r="BQ4" s="220"/>
      <c r="BR4" s="220"/>
      <c r="BS4" s="220"/>
      <c r="BT4" s="220"/>
      <c r="BU4" s="220"/>
      <c r="BV4" s="220"/>
      <c r="BW4" s="220"/>
      <c r="BX4" s="220"/>
      <c r="BY4" s="220"/>
      <c r="BZ4" s="219"/>
      <c r="CA4" s="219"/>
    </row>
    <row r="5" spans="1:83" s="221" customFormat="1" ht="12.75">
      <c r="A5" s="314" t="s">
        <v>673</v>
      </c>
      <c r="B5" s="312">
        <f>$C5/$F$79</f>
        <v>8.5757645501884396E-3</v>
      </c>
      <c r="C5" s="313">
        <f>J79</f>
        <v>59617</v>
      </c>
      <c r="D5" s="312">
        <f>E5/F79</f>
        <v>1.6051526223424151E-2</v>
      </c>
      <c r="E5" s="313">
        <f>S79</f>
        <v>111587</v>
      </c>
      <c r="F5" s="372"/>
      <c r="G5" s="372"/>
      <c r="H5" s="372"/>
      <c r="I5" s="372"/>
      <c r="J5" s="374"/>
      <c r="K5" s="372"/>
      <c r="L5" s="374"/>
      <c r="M5" s="370"/>
      <c r="N5" s="375"/>
      <c r="O5" s="372"/>
      <c r="P5" s="372"/>
      <c r="Q5" s="372"/>
      <c r="R5" s="372"/>
      <c r="S5" s="372"/>
      <c r="T5" s="372"/>
      <c r="U5" s="372"/>
      <c r="V5" s="376"/>
      <c r="W5" s="376"/>
      <c r="X5" s="375"/>
      <c r="Y5" s="375"/>
      <c r="Z5" s="375"/>
      <c r="AA5" s="375"/>
      <c r="AB5" s="377"/>
      <c r="AC5" s="375"/>
      <c r="AD5" s="380"/>
      <c r="AE5" s="375"/>
      <c r="AF5" s="375"/>
      <c r="AG5" s="220"/>
      <c r="AH5" s="220"/>
      <c r="AI5" s="220"/>
      <c r="AJ5" s="220"/>
      <c r="AK5" s="220"/>
      <c r="AL5" s="220"/>
      <c r="AM5" s="220"/>
      <c r="AN5" s="220"/>
      <c r="AO5" s="220"/>
      <c r="AP5" s="219"/>
      <c r="AQ5" s="219"/>
      <c r="AR5" s="219"/>
      <c r="AS5" s="219"/>
      <c r="AT5" s="219"/>
      <c r="AX5" s="219"/>
      <c r="AY5" s="219"/>
      <c r="AZ5" s="220"/>
      <c r="BA5" s="220"/>
      <c r="BB5" s="220"/>
      <c r="BC5" s="220"/>
      <c r="BD5" s="220"/>
      <c r="BE5" s="220"/>
      <c r="BF5" s="220"/>
      <c r="BG5" s="220"/>
      <c r="BH5" s="220"/>
      <c r="BI5" s="220"/>
      <c r="BJ5" s="220"/>
      <c r="BK5" s="220"/>
      <c r="BL5" s="220"/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19"/>
      <c r="CA5" s="219"/>
    </row>
    <row r="6" spans="1:83" s="221" customFormat="1" ht="12.75">
      <c r="A6" s="314" t="s">
        <v>654</v>
      </c>
      <c r="B6" s="312">
        <f>$C6/$F$79</f>
        <v>2.1272332345579563E-2</v>
      </c>
      <c r="C6" s="313">
        <f>K79</f>
        <v>147881</v>
      </c>
      <c r="D6" s="404"/>
      <c r="E6" s="404"/>
      <c r="F6" s="372"/>
      <c r="G6" s="372"/>
      <c r="H6" s="372"/>
      <c r="I6" s="372"/>
      <c r="J6" s="374"/>
      <c r="K6" s="372"/>
      <c r="L6" s="374"/>
      <c r="M6" s="370"/>
      <c r="N6" s="375"/>
      <c r="O6" s="372"/>
      <c r="P6" s="372"/>
      <c r="Q6" s="372"/>
      <c r="R6" s="372"/>
      <c r="S6" s="372"/>
      <c r="T6" s="372"/>
      <c r="U6" s="372"/>
      <c r="V6" s="376"/>
      <c r="W6" s="376"/>
      <c r="X6" s="375"/>
      <c r="Y6" s="375"/>
      <c r="Z6" s="375"/>
      <c r="AA6" s="375"/>
      <c r="AB6" s="377"/>
      <c r="AC6" s="375"/>
      <c r="AD6" s="380"/>
      <c r="AE6" s="375"/>
      <c r="AF6" s="375"/>
      <c r="AG6" s="220"/>
      <c r="AH6" s="220"/>
      <c r="AI6" s="220"/>
      <c r="AJ6" s="220"/>
      <c r="AK6" s="220"/>
      <c r="AL6" s="220"/>
      <c r="AM6" s="220"/>
      <c r="AN6" s="220"/>
      <c r="AO6" s="220"/>
      <c r="AP6" s="219"/>
      <c r="AQ6" s="219"/>
      <c r="AR6" s="219"/>
      <c r="AS6" s="219"/>
      <c r="AT6" s="219"/>
      <c r="AX6" s="219"/>
      <c r="AY6" s="219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19"/>
      <c r="CA6" s="219"/>
    </row>
    <row r="7" spans="1:83" s="221" customFormat="1" ht="12.75">
      <c r="A7" s="314" t="s">
        <v>0</v>
      </c>
      <c r="B7" s="312">
        <f>$C7/$F$79</f>
        <v>2.6532696567795389E-3</v>
      </c>
      <c r="C7" s="313">
        <f>M79</f>
        <v>18445</v>
      </c>
      <c r="D7" s="404"/>
      <c r="E7" s="404"/>
      <c r="F7" s="372"/>
      <c r="G7" s="372"/>
      <c r="H7" s="372"/>
      <c r="I7" s="372"/>
      <c r="J7" s="374"/>
      <c r="K7" s="372" t="s">
        <v>734</v>
      </c>
      <c r="L7" s="374"/>
      <c r="M7" s="370"/>
      <c r="N7" s="375"/>
      <c r="O7" s="372"/>
      <c r="P7" s="372"/>
      <c r="Q7" s="372"/>
      <c r="R7" s="372"/>
      <c r="S7" s="372"/>
      <c r="T7" s="372"/>
      <c r="U7" s="372"/>
      <c r="V7" s="376"/>
      <c r="W7" s="376"/>
      <c r="X7" s="375"/>
      <c r="Y7" s="375"/>
      <c r="Z7" s="375"/>
      <c r="AA7" s="375"/>
      <c r="AB7" s="377"/>
      <c r="AC7" s="375"/>
      <c r="AD7" s="380"/>
      <c r="AE7" s="375"/>
      <c r="AF7" s="375"/>
      <c r="AG7" s="220"/>
      <c r="AH7" s="220"/>
      <c r="AI7" s="220"/>
      <c r="AJ7" s="220"/>
      <c r="AK7" s="220"/>
      <c r="AL7" s="220"/>
      <c r="AM7" s="220"/>
      <c r="AN7" s="220"/>
      <c r="AO7" s="220"/>
      <c r="AP7" s="219"/>
      <c r="AQ7" s="219"/>
      <c r="AR7" s="219"/>
      <c r="AS7" s="219"/>
      <c r="AT7" s="219"/>
      <c r="AX7" s="219"/>
      <c r="AY7" s="219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19"/>
      <c r="CA7" s="219"/>
    </row>
    <row r="8" spans="1:83" s="221" customFormat="1" ht="12.75">
      <c r="A8" s="315" t="s">
        <v>713</v>
      </c>
      <c r="B8" s="312">
        <f>$C8/$F$79</f>
        <v>0</v>
      </c>
      <c r="C8" s="313">
        <f>L79</f>
        <v>0</v>
      </c>
      <c r="D8" s="404"/>
      <c r="E8" s="404"/>
      <c r="F8" s="372"/>
      <c r="G8" s="372"/>
      <c r="H8" s="372"/>
      <c r="I8" s="372"/>
      <c r="J8" s="374"/>
      <c r="K8" s="372"/>
      <c r="L8" s="374"/>
      <c r="M8" s="370"/>
      <c r="N8" s="375"/>
      <c r="O8" s="372"/>
      <c r="P8" s="372"/>
      <c r="Q8" s="372"/>
      <c r="R8" s="372"/>
      <c r="S8" s="372"/>
      <c r="T8" s="372"/>
      <c r="U8" s="372"/>
      <c r="V8" s="376"/>
      <c r="W8" s="376"/>
      <c r="X8" s="375"/>
      <c r="Y8" s="375"/>
      <c r="Z8" s="375"/>
      <c r="AA8" s="375"/>
      <c r="AB8" s="377"/>
      <c r="AC8" s="375"/>
      <c r="AD8" s="380"/>
      <c r="AE8" s="375"/>
      <c r="AF8" s="375"/>
      <c r="AG8" s="220"/>
      <c r="AH8" s="220"/>
      <c r="AI8" s="220"/>
      <c r="AJ8" s="220"/>
      <c r="AK8" s="220"/>
      <c r="AL8" s="220"/>
      <c r="AM8" s="220"/>
      <c r="AN8" s="220"/>
      <c r="AO8" s="220"/>
      <c r="AP8" s="219"/>
      <c r="AQ8" s="219"/>
      <c r="AR8" s="219"/>
      <c r="AS8" s="219"/>
      <c r="AT8" s="219"/>
      <c r="AX8" s="219"/>
      <c r="AY8" s="219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19"/>
      <c r="CA8" s="219"/>
    </row>
    <row r="9" spans="1:83" s="221" customFormat="1" ht="12.75">
      <c r="A9" s="316" t="s">
        <v>657</v>
      </c>
      <c r="B9" s="291">
        <f>SUM(B4:B8)</f>
        <v>3.2501366552547539E-2</v>
      </c>
      <c r="C9" s="292">
        <f>SUM(C4:C8)</f>
        <v>225943</v>
      </c>
      <c r="D9" s="294">
        <f>SUM(D4:D7)</f>
        <v>1.6051526223424151E-2</v>
      </c>
      <c r="E9" s="295">
        <f>SUM(E4:E7)</f>
        <v>111587</v>
      </c>
      <c r="F9" s="372"/>
      <c r="G9" s="372"/>
      <c r="H9" s="372"/>
      <c r="I9" s="372"/>
      <c r="J9" s="374"/>
      <c r="K9" s="372"/>
      <c r="L9" s="374"/>
      <c r="M9" s="370"/>
      <c r="N9" s="375"/>
      <c r="O9" s="372"/>
      <c r="P9" s="372"/>
      <c r="Q9" s="372"/>
      <c r="R9" s="372"/>
      <c r="S9" s="372"/>
      <c r="T9" s="372"/>
      <c r="U9" s="372"/>
      <c r="V9" s="376"/>
      <c r="W9" s="376"/>
      <c r="X9" s="375"/>
      <c r="Y9" s="375"/>
      <c r="Z9" s="375"/>
      <c r="AA9" s="375"/>
      <c r="AB9" s="377"/>
      <c r="AC9" s="375"/>
      <c r="AD9" s="380"/>
      <c r="AE9" s="375"/>
      <c r="AF9" s="375"/>
      <c r="AG9" s="220"/>
      <c r="AH9" s="220"/>
      <c r="AI9" s="220"/>
      <c r="AJ9" s="220"/>
      <c r="AK9" s="220"/>
      <c r="AL9" s="220"/>
      <c r="AM9" s="220"/>
      <c r="AN9" s="220"/>
      <c r="AO9" s="220"/>
      <c r="AP9" s="219"/>
      <c r="AQ9" s="219"/>
      <c r="AR9" s="219"/>
      <c r="AS9" s="219"/>
      <c r="AT9" s="219"/>
      <c r="AX9" s="219"/>
      <c r="AY9" s="219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19"/>
      <c r="CA9" s="219"/>
    </row>
    <row r="10" spans="1:83" s="221" customFormat="1" ht="23.25">
      <c r="A10" s="368"/>
      <c r="B10" s="379"/>
      <c r="C10" s="368"/>
      <c r="D10" s="370"/>
      <c r="E10" s="370"/>
      <c r="F10" s="370"/>
      <c r="G10" s="371"/>
      <c r="H10" s="372"/>
      <c r="I10" s="373"/>
      <c r="J10" s="372"/>
      <c r="K10" s="372"/>
      <c r="L10" s="381"/>
      <c r="M10" s="372"/>
      <c r="N10" s="374"/>
      <c r="O10" s="372"/>
      <c r="P10" s="372"/>
      <c r="Q10" s="372"/>
      <c r="R10" s="372"/>
      <c r="S10" s="372"/>
      <c r="T10" s="374"/>
      <c r="U10" s="370"/>
      <c r="V10" s="375"/>
      <c r="W10" s="372"/>
      <c r="X10" s="372"/>
      <c r="Y10" s="372"/>
      <c r="Z10" s="376"/>
      <c r="AA10" s="376"/>
      <c r="AB10" s="375"/>
      <c r="AC10" s="375"/>
      <c r="AD10" s="375"/>
      <c r="AE10" s="375"/>
      <c r="AF10" s="377"/>
      <c r="AG10" s="220"/>
      <c r="AH10" s="222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19"/>
      <c r="AU10" s="219"/>
      <c r="AV10" s="219"/>
      <c r="AW10" s="219"/>
      <c r="AX10" s="219"/>
      <c r="BB10" s="219"/>
      <c r="BC10" s="219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19"/>
      <c r="CE10" s="219"/>
    </row>
    <row r="11" spans="1:83" s="223" customFormat="1" ht="28.5" customHeight="1">
      <c r="A11" s="318"/>
      <c r="B11" s="317"/>
      <c r="C11" s="318"/>
      <c r="D11" s="319"/>
      <c r="E11" s="319"/>
      <c r="F11" s="320"/>
      <c r="G11" s="408" t="s">
        <v>725</v>
      </c>
      <c r="H11" s="408"/>
      <c r="I11" s="321"/>
      <c r="J11" s="406" t="s">
        <v>730</v>
      </c>
      <c r="K11" s="406"/>
      <c r="L11" s="406"/>
      <c r="M11" s="406"/>
      <c r="N11" s="406"/>
      <c r="O11" s="406"/>
      <c r="P11" s="407" t="s">
        <v>731</v>
      </c>
      <c r="Q11" s="407"/>
      <c r="R11" s="407"/>
      <c r="S11" s="407"/>
      <c r="T11" s="407"/>
      <c r="U11" s="407"/>
      <c r="V11" s="405" t="s">
        <v>668</v>
      </c>
      <c r="W11" s="405"/>
      <c r="X11" s="405"/>
      <c r="Y11" s="405"/>
      <c r="Z11" s="382"/>
      <c r="AA11" s="382"/>
      <c r="AB11" s="383"/>
      <c r="AC11" s="383"/>
      <c r="AD11" s="383"/>
      <c r="AE11" s="383"/>
      <c r="AF11" s="384"/>
      <c r="AG11" s="218"/>
      <c r="AH11" s="224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97"/>
      <c r="AU11" s="297"/>
      <c r="AV11" s="297"/>
      <c r="AW11" s="297"/>
      <c r="AX11" s="297"/>
      <c r="BB11" s="297"/>
      <c r="BC11" s="297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  <c r="BR11" s="218"/>
      <c r="BS11" s="218"/>
      <c r="BT11" s="218"/>
      <c r="BU11" s="218"/>
      <c r="BV11" s="218"/>
      <c r="BW11" s="218"/>
      <c r="BX11" s="218"/>
      <c r="BY11" s="218"/>
      <c r="BZ11" s="218"/>
      <c r="CA11" s="218"/>
      <c r="CB11" s="218"/>
      <c r="CC11" s="218"/>
      <c r="CD11" s="297"/>
      <c r="CE11" s="297"/>
    </row>
    <row r="12" spans="1:83" s="225" customFormat="1" ht="51.6" customHeight="1">
      <c r="A12" s="322" t="s">
        <v>5</v>
      </c>
      <c r="B12" s="113" t="s">
        <v>49</v>
      </c>
      <c r="C12" s="323" t="s">
        <v>52</v>
      </c>
      <c r="D12" s="113" t="s">
        <v>645</v>
      </c>
      <c r="E12" s="11" t="s">
        <v>635</v>
      </c>
      <c r="F12" s="113" t="s">
        <v>735</v>
      </c>
      <c r="G12" s="324" t="s">
        <v>720</v>
      </c>
      <c r="H12" s="324" t="s">
        <v>721</v>
      </c>
      <c r="I12" s="325" t="s">
        <v>702</v>
      </c>
      <c r="J12" s="326" t="s">
        <v>653</v>
      </c>
      <c r="K12" s="326" t="s">
        <v>649</v>
      </c>
      <c r="L12" s="326" t="s">
        <v>709</v>
      </c>
      <c r="M12" s="326" t="s">
        <v>659</v>
      </c>
      <c r="N12" s="327" t="s">
        <v>712</v>
      </c>
      <c r="O12" s="327" t="s">
        <v>714</v>
      </c>
      <c r="P12" s="310" t="s">
        <v>732</v>
      </c>
      <c r="Q12" s="310" t="s">
        <v>733</v>
      </c>
      <c r="R12" s="310" t="s">
        <v>680</v>
      </c>
      <c r="S12" s="310" t="s">
        <v>681</v>
      </c>
      <c r="T12" s="310" t="s">
        <v>728</v>
      </c>
      <c r="U12" s="310" t="s">
        <v>729</v>
      </c>
      <c r="V12" s="324" t="s">
        <v>666</v>
      </c>
      <c r="W12" s="324" t="s">
        <v>667</v>
      </c>
      <c r="X12" s="324" t="s">
        <v>665</v>
      </c>
      <c r="Y12" s="324" t="s">
        <v>636</v>
      </c>
      <c r="Z12" s="385"/>
      <c r="AA12" s="385"/>
      <c r="AB12" s="385"/>
      <c r="AC12" s="385"/>
      <c r="AD12" s="385"/>
      <c r="AE12" s="385"/>
      <c r="AF12" s="385"/>
    </row>
    <row r="13" spans="1:83" s="226" customFormat="1" ht="15.75" hidden="1" outlineLevel="1">
      <c r="A13" s="328" t="s">
        <v>542</v>
      </c>
      <c r="B13" s="329">
        <f>COUNTIFS('Employee Data'!$V:$V,$A:$A)</f>
        <v>0</v>
      </c>
      <c r="C13" s="329">
        <f>COUNTIFS('Employee Data'!$V:$V,$A:$A,'Employee Data'!$BA:$BA,"Yes")</f>
        <v>0</v>
      </c>
      <c r="D13" s="330">
        <f>SUMIFS('Employee Data'!$AP:$AP,'Employee Data'!$V:$V,$A:$A)</f>
        <v>0</v>
      </c>
      <c r="E13" s="330">
        <f>SUMIFS('Employee Data'!$AQ:$AQ,'Employee Data'!$V:$V,$A:$A)</f>
        <v>0</v>
      </c>
      <c r="F13" s="330">
        <f>SUMIFS('Employee Data'!$AR:$AR,'Employee Data'!$V:$V,$A:$A)</f>
        <v>0</v>
      </c>
      <c r="G13" s="331" t="e">
        <f>H13/F13</f>
        <v>#DIV/0!</v>
      </c>
      <c r="H13" s="330">
        <f>SUMIFS('Employee Data'!$CQ:$CQ,'Employee Data'!$V:$V,$A:$A)</f>
        <v>0</v>
      </c>
      <c r="I13" s="330">
        <f>SUMIFS('Employee Data'!$CS:$CS,'Employee Data'!$V:$V,$A:$A)</f>
        <v>0</v>
      </c>
      <c r="J13" s="330">
        <f>SUMIFS('Employee Data'!$CW:$CW,'Employee Data'!$V:$V,$A:$A)</f>
        <v>0</v>
      </c>
      <c r="K13" s="330">
        <f>SUMIFS('Employee Data'!$BF:$BF,'Employee Data'!$V:$V,$A:$A,'Employee Data'!$BA:$BA,"Yes")</f>
        <v>0</v>
      </c>
      <c r="L13" s="330">
        <f>SUMIFS('Employee Data'!$BH:$BH,'Employee Data'!$V:$V,$A:$A)</f>
        <v>0</v>
      </c>
      <c r="M13" s="330">
        <f>SUMIFS('Employee Data'!$BJ:$BJ,'Employee Data'!$V:$V,$A:$A)</f>
        <v>0</v>
      </c>
      <c r="N13" s="332" t="e">
        <f>O13/F13</f>
        <v>#DIV/0!</v>
      </c>
      <c r="O13" s="330">
        <f>SUMIFS('Employee Data'!$DJ:$DJ,'Employee Data'!$V:$V,$A:$A)</f>
        <v>0</v>
      </c>
      <c r="P13" s="333" t="e">
        <f>Q13/F13</f>
        <v>#DIV/0!</v>
      </c>
      <c r="Q13" s="330">
        <f>SUMIFS('Employee Data'!$CU:$CU,'Employee Data'!$V:$V,$A:$A)</f>
        <v>0</v>
      </c>
      <c r="R13" s="333" t="e">
        <f>S13/F13</f>
        <v>#DIV/0!</v>
      </c>
      <c r="S13" s="330">
        <f>SUMIFS('Employee Data'!$CY:$CY,'Employee Data'!$V:$V,$A:$A)</f>
        <v>0</v>
      </c>
      <c r="T13" s="332" t="e">
        <f>U13/F13</f>
        <v>#DIV/0!</v>
      </c>
      <c r="U13" s="330">
        <f>SUMIFS('Employee Data'!$DL:$DL,'Employee Data'!$V:$V,$A:$A)</f>
        <v>0</v>
      </c>
      <c r="V13" s="331" t="e">
        <f>W13/F13</f>
        <v>#DIV/0!</v>
      </c>
      <c r="W13" s="330">
        <f>SUMIFS('Employee Data'!$BN:$BN,'Employee Data'!$V:$V,$A:$A)</f>
        <v>0</v>
      </c>
      <c r="X13" s="330">
        <f>SUMIFS('Employee Data'!$BO:$BO,'Employee Data'!$V:$V,$A:$A)</f>
        <v>0</v>
      </c>
      <c r="Y13" s="330">
        <f>SUMIFS('Employee Data'!$BV:$BV,'Employee Data'!$V:$V,$A:$A)</f>
        <v>0</v>
      </c>
      <c r="Z13" s="386"/>
      <c r="AA13" s="386"/>
      <c r="AB13" s="386"/>
      <c r="AC13" s="386"/>
      <c r="AD13" s="386"/>
      <c r="AE13" s="386"/>
      <c r="AF13" s="386"/>
    </row>
    <row r="14" spans="1:83" s="227" customFormat="1" ht="12.75" hidden="1" outlineLevel="1">
      <c r="A14" s="334" t="s">
        <v>802</v>
      </c>
      <c r="B14" s="335">
        <f>COUNTIFS('Employee Data'!$W:$W,$A:$A)</f>
        <v>0</v>
      </c>
      <c r="C14" s="335">
        <f>COUNTIFS('Employee Data'!$W:$W,$A:$A,'Employee Data'!$BA:$BA,"Yes")</f>
        <v>0</v>
      </c>
      <c r="D14" s="336">
        <f>SUMIFS('Employee Data'!$AP:$AP,'Employee Data'!$W:$W,$A:$A)</f>
        <v>0</v>
      </c>
      <c r="E14" s="336">
        <f>SUMIFS('Employee Data'!$AQ:$AQ,'Employee Data'!$W:$W,$A:$A)</f>
        <v>0</v>
      </c>
      <c r="F14" s="336">
        <f>SUMIFS('Employee Data'!$AR:$AR,'Employee Data'!$W:$W,$A:$A)</f>
        <v>0</v>
      </c>
      <c r="G14" s="337" t="e">
        <f>H14/F14</f>
        <v>#DIV/0!</v>
      </c>
      <c r="H14" s="336">
        <f>SUMIFS('Employee Data'!$CQ:$CQ,'Employee Data'!$W:$W,$A:$A)</f>
        <v>0</v>
      </c>
      <c r="I14" s="336">
        <f>SUMIFS('Employee Data'!$CS:$CS,'Employee Data'!$W:$W,$A:$A)</f>
        <v>0</v>
      </c>
      <c r="J14" s="336">
        <f>SUMIFS('Employee Data'!$CW:$CW,'Employee Data'!$W:$W,$A:$A)</f>
        <v>0</v>
      </c>
      <c r="K14" s="336">
        <f>SUMIFS('Employee Data'!$BF:$BF,'Employee Data'!$W:$W,$A:$A)</f>
        <v>0</v>
      </c>
      <c r="L14" s="336">
        <f>SUMIFS('Employee Data'!$BH:$BH,'Employee Data'!$W:$W,$A:$A)</f>
        <v>0</v>
      </c>
      <c r="M14" s="336">
        <f>SUMIFS('Employee Data'!$BJ:$BJ,'Employee Data'!$W:$W,$A:$A)</f>
        <v>0</v>
      </c>
      <c r="N14" s="338" t="e">
        <f>O14/F14</f>
        <v>#DIV/0!</v>
      </c>
      <c r="O14" s="336">
        <f>SUMIFS('Employee Data'!$DJ:$DJ,'Employee Data'!$W:$W,$A:$A)</f>
        <v>0</v>
      </c>
      <c r="P14" s="339" t="e">
        <f>Q14/F14</f>
        <v>#DIV/0!</v>
      </c>
      <c r="Q14" s="336">
        <f>SUMIFS('Employee Data'!$CU:$CU,'Employee Data'!$W:$W,$A:$A)</f>
        <v>0</v>
      </c>
      <c r="R14" s="339" t="e">
        <f>S14/F14</f>
        <v>#DIV/0!</v>
      </c>
      <c r="S14" s="336">
        <f>SUMIFS('Employee Data'!$CY:$CY,'Employee Data'!$W:$W,$A:$A)</f>
        <v>0</v>
      </c>
      <c r="T14" s="338" t="e">
        <f>U14/F14</f>
        <v>#DIV/0!</v>
      </c>
      <c r="U14" s="336">
        <f>SUMIFS('Employee Data'!$DL:$DL,'Employee Data'!$W:$W,$A:$A)</f>
        <v>0</v>
      </c>
      <c r="V14" s="337" t="e">
        <f>W14/F14</f>
        <v>#DIV/0!</v>
      </c>
      <c r="W14" s="336">
        <f>SUMIFS('Employee Data'!$BN:$BN,'Employee Data'!$W:$W,$A:$A)</f>
        <v>0</v>
      </c>
      <c r="X14" s="336">
        <f>SUMIFS('Employee Data'!$BO:$BO,'Employee Data'!$W:$W,$A:$A)</f>
        <v>0</v>
      </c>
      <c r="Y14" s="336">
        <f>SUMIFS('Employee Data'!$BV:$BV,'Employee Data'!$W:$W,$A:$A)</f>
        <v>0</v>
      </c>
      <c r="Z14" s="387"/>
      <c r="AA14" s="387"/>
      <c r="AB14" s="387"/>
      <c r="AC14" s="387"/>
      <c r="AD14" s="387"/>
      <c r="AE14" s="387"/>
      <c r="AF14" s="387"/>
    </row>
    <row r="15" spans="1:83" s="227" customFormat="1" ht="12.75" hidden="1" outlineLevel="1">
      <c r="A15" s="334" t="s">
        <v>691</v>
      </c>
      <c r="B15" s="335">
        <f>COUNTIFS('Employee Data'!$W:$W,$A:$A)</f>
        <v>0</v>
      </c>
      <c r="C15" s="335">
        <f>COUNTIFS('Employee Data'!$W:$W,$A:$A,'Employee Data'!$BA:$BA,"Yes")</f>
        <v>0</v>
      </c>
      <c r="D15" s="336">
        <f>SUMIFS('Employee Data'!$AP:$AP,'Employee Data'!$W:$W,$A:$A)</f>
        <v>0</v>
      </c>
      <c r="E15" s="336">
        <f>SUMIFS('Employee Data'!$AQ:$AQ,'Employee Data'!$W:$W,$A:$A)</f>
        <v>0</v>
      </c>
      <c r="F15" s="336">
        <f>SUMIFS('Employee Data'!$AR:$AR,'Employee Data'!$W:$W,$A:$A)</f>
        <v>0</v>
      </c>
      <c r="G15" s="337" t="e">
        <f t="shared" ref="G15:G16" si="0">H15/F15</f>
        <v>#DIV/0!</v>
      </c>
      <c r="H15" s="336">
        <f>SUMIFS('Employee Data'!$CQ:$CQ,'Employee Data'!$W:$W,$A:$A)</f>
        <v>0</v>
      </c>
      <c r="I15" s="336">
        <f>SUMIFS('Employee Data'!$CS:$CS,'Employee Data'!$W:$W,$A:$A)</f>
        <v>0</v>
      </c>
      <c r="J15" s="336">
        <f>SUMIFS('Employee Data'!$CW:$CW,'Employee Data'!$W:$W,$A:$A)</f>
        <v>0</v>
      </c>
      <c r="K15" s="336">
        <f>SUMIFS('Employee Data'!$BF:$BF,'Employee Data'!$W:$W,$A:$A)</f>
        <v>0</v>
      </c>
      <c r="L15" s="336">
        <f>SUMIFS('Employee Data'!$BH:$BH,'Employee Data'!$W:$W,$A:$A)</f>
        <v>0</v>
      </c>
      <c r="M15" s="336">
        <f>SUMIFS('Employee Data'!$BJ:$BJ,'Employee Data'!$W:$W,$A:$A)</f>
        <v>0</v>
      </c>
      <c r="N15" s="338" t="e">
        <f t="shared" ref="N15:N20" si="1">O15/F15</f>
        <v>#DIV/0!</v>
      </c>
      <c r="O15" s="336">
        <f>SUMIFS('Employee Data'!$DJ:$DJ,'Employee Data'!$W:$W,$A:$A)</f>
        <v>0</v>
      </c>
      <c r="P15" s="339" t="e">
        <f t="shared" ref="P15:P20" si="2">Q15/F15</f>
        <v>#DIV/0!</v>
      </c>
      <c r="Q15" s="336">
        <f>SUMIFS('Employee Data'!$CU:$CU,'Employee Data'!$W:$W,$A:$A)</f>
        <v>0</v>
      </c>
      <c r="R15" s="339" t="e">
        <f t="shared" ref="R15:R20" si="3">S15/F15</f>
        <v>#DIV/0!</v>
      </c>
      <c r="S15" s="336">
        <f>SUMIFS('Employee Data'!$CY:$CY,'Employee Data'!$W:$W,$A:$A)</f>
        <v>0</v>
      </c>
      <c r="T15" s="338" t="e">
        <f t="shared" ref="T15:T20" si="4">U15/F15</f>
        <v>#DIV/0!</v>
      </c>
      <c r="U15" s="336">
        <f>SUMIFS('Employee Data'!$DL:$DL,'Employee Data'!$W:$W,$A:$A)</f>
        <v>0</v>
      </c>
      <c r="V15" s="337" t="e">
        <f t="shared" ref="V15:V20" si="5">W15/F15</f>
        <v>#DIV/0!</v>
      </c>
      <c r="W15" s="336">
        <f>SUMIFS('Employee Data'!$BN:$BN,'Employee Data'!$W:$W,$A:$A)</f>
        <v>0</v>
      </c>
      <c r="X15" s="336">
        <f>SUMIFS('Employee Data'!$BO:$BO,'Employee Data'!$W:$W,$A:$A)</f>
        <v>0</v>
      </c>
      <c r="Y15" s="336">
        <f>SUMIFS('Employee Data'!$BV:$BV,'Employee Data'!$W:$W,$A:$A)</f>
        <v>0</v>
      </c>
      <c r="Z15" s="387"/>
      <c r="AA15" s="387"/>
      <c r="AB15" s="387"/>
      <c r="AC15" s="387"/>
      <c r="AD15" s="387"/>
      <c r="AE15" s="387"/>
      <c r="AF15" s="387"/>
    </row>
    <row r="16" spans="1:83" s="227" customFormat="1" ht="12.75" hidden="1" outlineLevel="1">
      <c r="A16" s="334" t="s">
        <v>618</v>
      </c>
      <c r="B16" s="335">
        <f>COUNTIFS('Employee Data'!$W:$W,$A:$A)</f>
        <v>0</v>
      </c>
      <c r="C16" s="335">
        <f>COUNTIFS('Employee Data'!$W:$W,$A:$A,'Employee Data'!$BA:$BA,"Yes")</f>
        <v>0</v>
      </c>
      <c r="D16" s="336">
        <f>SUMIFS('Employee Data'!$AP:$AP,'Employee Data'!$W:$W,$A:$A)</f>
        <v>0</v>
      </c>
      <c r="E16" s="336">
        <f>SUMIFS('Employee Data'!$AQ:$AQ,'Employee Data'!$W:$W,$A:$A)</f>
        <v>0</v>
      </c>
      <c r="F16" s="336">
        <f>SUMIFS('Employee Data'!$AR:$AR,'Employee Data'!$W:$W,$A:$A)</f>
        <v>0</v>
      </c>
      <c r="G16" s="337" t="e">
        <f t="shared" si="0"/>
        <v>#DIV/0!</v>
      </c>
      <c r="H16" s="336">
        <f>SUMIFS('Employee Data'!$CQ:$CQ,'Employee Data'!$W:$W,$A:$A)</f>
        <v>0</v>
      </c>
      <c r="I16" s="336">
        <f>SUMIFS('Employee Data'!$CS:$CS,'Employee Data'!$W:$W,$A:$A)</f>
        <v>0</v>
      </c>
      <c r="J16" s="336">
        <f>SUMIFS('Employee Data'!$CW:$CW,'Employee Data'!$W:$W,$A:$A)</f>
        <v>0</v>
      </c>
      <c r="K16" s="336">
        <f>SUMIFS('Employee Data'!$BF:$BF,'Employee Data'!$W:$W,$A:$A)</f>
        <v>0</v>
      </c>
      <c r="L16" s="336">
        <f>SUMIFS('Employee Data'!$BH:$BH,'Employee Data'!$W:$W,$A:$A)</f>
        <v>0</v>
      </c>
      <c r="M16" s="336">
        <f>SUMIFS('Employee Data'!$BJ:$BJ,'Employee Data'!$W:$W,$A:$A)</f>
        <v>0</v>
      </c>
      <c r="N16" s="338" t="e">
        <f t="shared" si="1"/>
        <v>#DIV/0!</v>
      </c>
      <c r="O16" s="336">
        <f>SUMIFS('Employee Data'!$DJ:$DJ,'Employee Data'!$W:$W,$A:$A)</f>
        <v>0</v>
      </c>
      <c r="P16" s="339" t="e">
        <f t="shared" si="2"/>
        <v>#DIV/0!</v>
      </c>
      <c r="Q16" s="336">
        <f>SUMIFS('Employee Data'!$CU:$CU,'Employee Data'!$W:$W,$A:$A)</f>
        <v>0</v>
      </c>
      <c r="R16" s="339" t="e">
        <f t="shared" si="3"/>
        <v>#DIV/0!</v>
      </c>
      <c r="S16" s="336">
        <f>SUMIFS('Employee Data'!$CY:$CY,'Employee Data'!$W:$W,$A:$A)</f>
        <v>0</v>
      </c>
      <c r="T16" s="338" t="e">
        <f t="shared" si="4"/>
        <v>#DIV/0!</v>
      </c>
      <c r="U16" s="336">
        <f>SUMIFS('Employee Data'!$DL:$DL,'Employee Data'!$W:$W,$A:$A)</f>
        <v>0</v>
      </c>
      <c r="V16" s="337" t="e">
        <f t="shared" si="5"/>
        <v>#DIV/0!</v>
      </c>
      <c r="W16" s="336">
        <f>SUMIFS('Employee Data'!$BN:$BN,'Employee Data'!$W:$W,$A:$A)</f>
        <v>0</v>
      </c>
      <c r="X16" s="336">
        <f>SUMIFS('Employee Data'!$BO:$BO,'Employee Data'!$W:$W,$A:$A)</f>
        <v>0</v>
      </c>
      <c r="Y16" s="336">
        <f>SUMIFS('Employee Data'!$BV:$BV,'Employee Data'!$W:$W,$A:$A)</f>
        <v>0</v>
      </c>
      <c r="Z16" s="387"/>
      <c r="AA16" s="387"/>
      <c r="AB16" s="387"/>
      <c r="AC16" s="387"/>
      <c r="AD16" s="387"/>
      <c r="AE16" s="387"/>
      <c r="AF16" s="387"/>
    </row>
    <row r="17" spans="1:32" s="227" customFormat="1" ht="12.75" hidden="1" outlineLevel="1">
      <c r="A17" s="334" t="s">
        <v>560</v>
      </c>
      <c r="B17" s="340">
        <f>COUNTIFS('Employee Data'!$W:$W,$A:$A)</f>
        <v>0</v>
      </c>
      <c r="C17" s="335">
        <f>COUNTIFS('Employee Data'!$W:$W,$A:$A,'Employee Data'!$BA:$BA,"Yes")</f>
        <v>0</v>
      </c>
      <c r="D17" s="336">
        <f>SUMIFS('Employee Data'!$AP:$AP,'Employee Data'!$W:$W,$A:$A)</f>
        <v>0</v>
      </c>
      <c r="E17" s="336">
        <f>SUMIFS('Employee Data'!$AQ:$AQ,'Employee Data'!$W:$W,$A:$A)</f>
        <v>0</v>
      </c>
      <c r="F17" s="336">
        <f>SUMIFS('Employee Data'!$AR:$AR,'Employee Data'!$W:$W,$A:$A)</f>
        <v>0</v>
      </c>
      <c r="G17" s="337" t="e">
        <f t="shared" ref="G17:G20" si="6">H17/F17</f>
        <v>#DIV/0!</v>
      </c>
      <c r="H17" s="336">
        <f>SUMIFS('Employee Data'!$CQ:$CQ,'Employee Data'!$W:$W,$A:$A)</f>
        <v>0</v>
      </c>
      <c r="I17" s="336">
        <f>SUMIFS('Employee Data'!$CS:$CS,'Employee Data'!$W:$W,$A:$A)</f>
        <v>0</v>
      </c>
      <c r="J17" s="336">
        <f>SUMIFS('Employee Data'!$CW:$CW,'Employee Data'!$W:$W,$A:$A)</f>
        <v>0</v>
      </c>
      <c r="K17" s="336">
        <f>SUMIFS('Employee Data'!$BF:$BF,'Employee Data'!$W:$W,$A:$A)</f>
        <v>0</v>
      </c>
      <c r="L17" s="336">
        <f>SUMIFS('Employee Data'!$BH:$BH,'Employee Data'!$W:$W,$A:$A)</f>
        <v>0</v>
      </c>
      <c r="M17" s="336">
        <f>SUMIFS('Employee Data'!$BJ:$BJ,'Employee Data'!$W:$W,$A:$A)</f>
        <v>0</v>
      </c>
      <c r="N17" s="338" t="e">
        <f t="shared" si="1"/>
        <v>#DIV/0!</v>
      </c>
      <c r="O17" s="336">
        <f>SUMIFS('Employee Data'!$DJ:$DJ,'Employee Data'!$W:$W,$A:$A)</f>
        <v>0</v>
      </c>
      <c r="P17" s="339" t="e">
        <f t="shared" si="2"/>
        <v>#DIV/0!</v>
      </c>
      <c r="Q17" s="336">
        <f>SUMIFS('Employee Data'!$CU:$CU,'Employee Data'!$W:$W,$A:$A)</f>
        <v>0</v>
      </c>
      <c r="R17" s="339" t="e">
        <f t="shared" si="3"/>
        <v>#DIV/0!</v>
      </c>
      <c r="S17" s="336">
        <f>SUMIFS('Employee Data'!$CY:$CY,'Employee Data'!$W:$W,$A:$A)</f>
        <v>0</v>
      </c>
      <c r="T17" s="338" t="e">
        <f t="shared" si="4"/>
        <v>#DIV/0!</v>
      </c>
      <c r="U17" s="336">
        <f>SUMIFS('Employee Data'!$DL:$DL,'Employee Data'!$W:$W,$A:$A)</f>
        <v>0</v>
      </c>
      <c r="V17" s="337" t="e">
        <f t="shared" si="5"/>
        <v>#DIV/0!</v>
      </c>
      <c r="W17" s="336">
        <f>SUMIFS('Employee Data'!$BN:$BN,'Employee Data'!$W:$W,$A:$A)</f>
        <v>0</v>
      </c>
      <c r="X17" s="336">
        <f>SUMIFS('Employee Data'!$BO:$BO,'Employee Data'!$W:$W,$A:$A)</f>
        <v>0</v>
      </c>
      <c r="Y17" s="336">
        <f>SUMIFS('Employee Data'!$BV:$BV,'Employee Data'!$W:$W,$A:$A)</f>
        <v>0</v>
      </c>
      <c r="Z17" s="387"/>
      <c r="AA17" s="387"/>
      <c r="AB17" s="387"/>
      <c r="AC17" s="387"/>
      <c r="AD17" s="387"/>
      <c r="AE17" s="387"/>
      <c r="AF17" s="387"/>
    </row>
    <row r="18" spans="1:32" s="227" customFormat="1" ht="12.75" hidden="1" outlineLevel="1">
      <c r="A18" s="334" t="s">
        <v>619</v>
      </c>
      <c r="B18" s="335">
        <f>COUNTIFS('Employee Data'!$W:$W,$A:$A)</f>
        <v>0</v>
      </c>
      <c r="C18" s="335">
        <f>COUNTIFS('Employee Data'!$W:$W,$A:$A,'Employee Data'!$BA:$BA,"Yes")</f>
        <v>0</v>
      </c>
      <c r="D18" s="336">
        <f>SUMIFS('Employee Data'!$AP:$AP,'Employee Data'!$W:$W,$A:$A)</f>
        <v>0</v>
      </c>
      <c r="E18" s="336">
        <f>SUMIFS('Employee Data'!$AQ:$AQ,'Employee Data'!$W:$W,$A:$A)</f>
        <v>0</v>
      </c>
      <c r="F18" s="336">
        <f>SUMIFS('Employee Data'!$AR:$AR,'Employee Data'!$W:$W,$A:$A)</f>
        <v>0</v>
      </c>
      <c r="G18" s="337" t="e">
        <f t="shared" si="6"/>
        <v>#DIV/0!</v>
      </c>
      <c r="H18" s="336">
        <f>SUMIFS('Employee Data'!$CQ:$CQ,'Employee Data'!$W:$W,$A:$A)</f>
        <v>0</v>
      </c>
      <c r="I18" s="336">
        <f>SUMIFS('Employee Data'!$CS:$CS,'Employee Data'!$W:$W,$A:$A)</f>
        <v>0</v>
      </c>
      <c r="J18" s="336">
        <f>SUMIFS('Employee Data'!$CW:$CW,'Employee Data'!$W:$W,$A:$A)</f>
        <v>0</v>
      </c>
      <c r="K18" s="336">
        <f>SUMIFS('Employee Data'!$BF:$BF,'Employee Data'!$W:$W,$A:$A)</f>
        <v>0</v>
      </c>
      <c r="L18" s="336">
        <f>SUMIFS('Employee Data'!$BH:$BH,'Employee Data'!$W:$W,$A:$A)</f>
        <v>0</v>
      </c>
      <c r="M18" s="336">
        <f>SUMIFS('Employee Data'!$BJ:$BJ,'Employee Data'!$W:$W,$A:$A)</f>
        <v>0</v>
      </c>
      <c r="N18" s="338" t="e">
        <f t="shared" si="1"/>
        <v>#DIV/0!</v>
      </c>
      <c r="O18" s="336">
        <f>SUMIFS('Employee Data'!$DJ:$DJ,'Employee Data'!$W:$W,$A:$A)</f>
        <v>0</v>
      </c>
      <c r="P18" s="339" t="e">
        <f t="shared" si="2"/>
        <v>#DIV/0!</v>
      </c>
      <c r="Q18" s="336">
        <f>SUMIFS('Employee Data'!$CU:$CU,'Employee Data'!$W:$W,$A:$A)</f>
        <v>0</v>
      </c>
      <c r="R18" s="339" t="e">
        <f t="shared" si="3"/>
        <v>#DIV/0!</v>
      </c>
      <c r="S18" s="336">
        <f>SUMIFS('Employee Data'!$CY:$CY,'Employee Data'!$W:$W,$A:$A)</f>
        <v>0</v>
      </c>
      <c r="T18" s="338" t="e">
        <f t="shared" si="4"/>
        <v>#DIV/0!</v>
      </c>
      <c r="U18" s="336">
        <f>SUMIFS('Employee Data'!$DL:$DL,'Employee Data'!$W:$W,$A:$A)</f>
        <v>0</v>
      </c>
      <c r="V18" s="337" t="e">
        <f t="shared" si="5"/>
        <v>#DIV/0!</v>
      </c>
      <c r="W18" s="336">
        <f>SUMIFS('Employee Data'!$BN:$BN,'Employee Data'!$W:$W,$A:$A)</f>
        <v>0</v>
      </c>
      <c r="X18" s="336">
        <f>SUMIFS('Employee Data'!$BO:$BO,'Employee Data'!$W:$W,$A:$A)</f>
        <v>0</v>
      </c>
      <c r="Y18" s="336">
        <f>SUMIFS('Employee Data'!$BV:$BV,'Employee Data'!$W:$W,$A:$A)</f>
        <v>0</v>
      </c>
      <c r="Z18" s="387"/>
      <c r="AA18" s="387"/>
      <c r="AB18" s="387"/>
      <c r="AC18" s="387"/>
      <c r="AD18" s="387"/>
      <c r="AE18" s="387"/>
      <c r="AF18" s="387"/>
    </row>
    <row r="19" spans="1:32" s="227" customFormat="1" ht="12.75" hidden="1" outlineLevel="1">
      <c r="A19" s="334" t="s">
        <v>694</v>
      </c>
      <c r="B19" s="335">
        <f>COUNTIFS('Employee Data'!$W:$W,$A:$A)</f>
        <v>0</v>
      </c>
      <c r="C19" s="335">
        <f>COUNTIFS('Employee Data'!$W:$W,$A:$A,'Employee Data'!$BA:$BA,"Yes")</f>
        <v>0</v>
      </c>
      <c r="D19" s="336">
        <f>SUMIFS('Employee Data'!$AP:$AP,'Employee Data'!$W:$W,$A:$A)</f>
        <v>0</v>
      </c>
      <c r="E19" s="336">
        <f>SUMIFS('Employee Data'!$AQ:$AQ,'Employee Data'!$W:$W,$A:$A)</f>
        <v>0</v>
      </c>
      <c r="F19" s="336">
        <f>SUMIFS('Employee Data'!$AR:$AR,'Employee Data'!$W:$W,$A:$A)</f>
        <v>0</v>
      </c>
      <c r="G19" s="337" t="e">
        <f t="shared" si="6"/>
        <v>#DIV/0!</v>
      </c>
      <c r="H19" s="336">
        <f>SUMIFS('Employee Data'!$CQ:$CQ,'Employee Data'!$W:$W,$A:$A)</f>
        <v>0</v>
      </c>
      <c r="I19" s="336">
        <f>SUMIFS('Employee Data'!$CS:$CS,'Employee Data'!$W:$W,$A:$A)</f>
        <v>0</v>
      </c>
      <c r="J19" s="336">
        <f>SUMIFS('Employee Data'!$CW:$CW,'Employee Data'!$W:$W,$A:$A)</f>
        <v>0</v>
      </c>
      <c r="K19" s="336">
        <f>SUMIFS('Employee Data'!$BF:$BF,'Employee Data'!$W:$W,$A:$A)</f>
        <v>0</v>
      </c>
      <c r="L19" s="336">
        <f>SUMIFS('Employee Data'!$BH:$BH,'Employee Data'!$W:$W,$A:$A)</f>
        <v>0</v>
      </c>
      <c r="M19" s="336">
        <f>SUMIFS('Employee Data'!$BJ:$BJ,'Employee Data'!$W:$W,$A:$A)</f>
        <v>0</v>
      </c>
      <c r="N19" s="338" t="e">
        <f t="shared" si="1"/>
        <v>#DIV/0!</v>
      </c>
      <c r="O19" s="336">
        <f>SUMIFS('Employee Data'!$DJ:$DJ,'Employee Data'!$W:$W,$A:$A)</f>
        <v>0</v>
      </c>
      <c r="P19" s="339" t="e">
        <f t="shared" si="2"/>
        <v>#DIV/0!</v>
      </c>
      <c r="Q19" s="336">
        <f>SUMIFS('Employee Data'!$CU:$CU,'Employee Data'!$W:$W,$A:$A)</f>
        <v>0</v>
      </c>
      <c r="R19" s="339" t="e">
        <f t="shared" si="3"/>
        <v>#DIV/0!</v>
      </c>
      <c r="S19" s="336">
        <f>SUMIFS('Employee Data'!$CY:$CY,'Employee Data'!$W:$W,$A:$A)</f>
        <v>0</v>
      </c>
      <c r="T19" s="338" t="e">
        <f t="shared" si="4"/>
        <v>#DIV/0!</v>
      </c>
      <c r="U19" s="336">
        <f>SUMIFS('Employee Data'!$DL:$DL,'Employee Data'!$W:$W,$A:$A)</f>
        <v>0</v>
      </c>
      <c r="V19" s="337" t="e">
        <f t="shared" si="5"/>
        <v>#DIV/0!</v>
      </c>
      <c r="W19" s="336">
        <f>SUMIFS('Employee Data'!$BN:$BN,'Employee Data'!$W:$W,$A:$A)</f>
        <v>0</v>
      </c>
      <c r="X19" s="336">
        <f>SUMIFS('Employee Data'!$BO:$BO,'Employee Data'!$W:$W,$A:$A)</f>
        <v>0</v>
      </c>
      <c r="Y19" s="336">
        <f>SUMIFS('Employee Data'!$BV:$BV,'Employee Data'!$W:$W,$A:$A)</f>
        <v>0</v>
      </c>
      <c r="Z19" s="387"/>
      <c r="AA19" s="387"/>
      <c r="AB19" s="387"/>
      <c r="AC19" s="387"/>
      <c r="AD19" s="387"/>
      <c r="AE19" s="387"/>
      <c r="AF19" s="387"/>
    </row>
    <row r="20" spans="1:32" s="227" customFormat="1" ht="12.75" hidden="1" outlineLevel="1">
      <c r="A20" s="334" t="s">
        <v>557</v>
      </c>
      <c r="B20" s="335">
        <f>COUNTIFS('Employee Data'!$W:$W,$A:$A)</f>
        <v>0</v>
      </c>
      <c r="C20" s="335">
        <f>COUNTIFS('Employee Data'!$W:$W,$A:$A,'Employee Data'!$BA:$BA,"Yes")</f>
        <v>0</v>
      </c>
      <c r="D20" s="336">
        <f>SUMIFS('Employee Data'!$AP:$AP,'Employee Data'!$W:$W,$A:$A)</f>
        <v>0</v>
      </c>
      <c r="E20" s="336">
        <f>SUMIFS('Employee Data'!$AQ:$AQ,'Employee Data'!$W:$W,$A:$A)</f>
        <v>0</v>
      </c>
      <c r="F20" s="336">
        <f>SUMIFS('Employee Data'!$AR:$AR,'Employee Data'!$W:$W,$A:$A)</f>
        <v>0</v>
      </c>
      <c r="G20" s="337" t="e">
        <f t="shared" si="6"/>
        <v>#DIV/0!</v>
      </c>
      <c r="H20" s="336">
        <f>SUMIFS('Employee Data'!$CQ:$CQ,'Employee Data'!$W:$W,$A:$A)</f>
        <v>0</v>
      </c>
      <c r="I20" s="336">
        <f>SUMIFS('Employee Data'!$CS:$CS,'Employee Data'!$W:$W,$A:$A)</f>
        <v>0</v>
      </c>
      <c r="J20" s="336">
        <f>SUMIFS('Employee Data'!$CW:$CW,'Employee Data'!$W:$W,$A:$A)</f>
        <v>0</v>
      </c>
      <c r="K20" s="336">
        <f>SUMIFS('Employee Data'!$BF:$BF,'Employee Data'!$W:$W,$A:$A)</f>
        <v>0</v>
      </c>
      <c r="L20" s="336">
        <f>SUMIFS('Employee Data'!$BH:$BH,'Employee Data'!$W:$W,$A:$A)</f>
        <v>0</v>
      </c>
      <c r="M20" s="336">
        <f>SUMIFS('Employee Data'!$BJ:$BJ,'Employee Data'!$W:$W,$A:$A)</f>
        <v>0</v>
      </c>
      <c r="N20" s="338" t="e">
        <f t="shared" si="1"/>
        <v>#DIV/0!</v>
      </c>
      <c r="O20" s="336">
        <f>SUMIFS('Employee Data'!$DJ:$DJ,'Employee Data'!$W:$W,$A:$A)</f>
        <v>0</v>
      </c>
      <c r="P20" s="339" t="e">
        <f t="shared" si="2"/>
        <v>#DIV/0!</v>
      </c>
      <c r="Q20" s="336">
        <f>SUMIFS('Employee Data'!$CU:$CU,'Employee Data'!$W:$W,$A:$A)</f>
        <v>0</v>
      </c>
      <c r="R20" s="339" t="e">
        <f t="shared" si="3"/>
        <v>#DIV/0!</v>
      </c>
      <c r="S20" s="336">
        <f>SUMIFS('Employee Data'!$CY:$CY,'Employee Data'!$W:$W,$A:$A)</f>
        <v>0</v>
      </c>
      <c r="T20" s="338" t="e">
        <f t="shared" si="4"/>
        <v>#DIV/0!</v>
      </c>
      <c r="U20" s="336">
        <f>SUMIFS('Employee Data'!$DL:$DL,'Employee Data'!$W:$W,$A:$A)</f>
        <v>0</v>
      </c>
      <c r="V20" s="337" t="e">
        <f t="shared" si="5"/>
        <v>#DIV/0!</v>
      </c>
      <c r="W20" s="336">
        <f>SUMIFS('Employee Data'!$BN:$BN,'Employee Data'!$W:$W,$A:$A)</f>
        <v>0</v>
      </c>
      <c r="X20" s="336">
        <f>SUMIFS('Employee Data'!$BO:$BO,'Employee Data'!$W:$W,$A:$A)</f>
        <v>0</v>
      </c>
      <c r="Y20" s="336">
        <f>SUMIFS('Employee Data'!$BV:$BV,'Employee Data'!$W:$W,$A:$A)</f>
        <v>0</v>
      </c>
      <c r="Z20" s="387"/>
      <c r="AA20" s="387"/>
      <c r="AB20" s="387"/>
      <c r="AC20" s="387"/>
      <c r="AD20" s="387"/>
      <c r="AE20" s="387"/>
      <c r="AF20" s="387"/>
    </row>
    <row r="21" spans="1:32" s="226" customFormat="1" ht="15.75" collapsed="1">
      <c r="A21" s="328" t="s">
        <v>543</v>
      </c>
      <c r="B21" s="329">
        <f>COUNTIFS('Employee Data'!$V:$V,$A:$A)</f>
        <v>105</v>
      </c>
      <c r="C21" s="329">
        <f>COUNTIFS('Employee Data'!$V:$V,$A:$A,'Employee Data'!$BA:$BA,"Yes")</f>
        <v>56</v>
      </c>
      <c r="D21" s="330">
        <f>SUMIFS('Employee Data'!$AP:$AP,'Employee Data'!$V:$V,$A:$A)</f>
        <v>11592182</v>
      </c>
      <c r="E21" s="330">
        <f>SUMIFS('Employee Data'!$AQ:$AQ,'Employee Data'!$V:$V,$A:$A)</f>
        <v>11438811</v>
      </c>
      <c r="F21" s="330">
        <f>SUMIFS('Employee Data'!$AR:$AR,'Employee Data'!$V:$V,$A:$A)</f>
        <v>6951800</v>
      </c>
      <c r="G21" s="331">
        <f>H21/F21</f>
        <v>3.2501366552547539E-2</v>
      </c>
      <c r="H21" s="330">
        <f>SUMIFS('Employee Data'!$CQ:$CQ,'Employee Data'!$V:$V,$A:$A)</f>
        <v>225943</v>
      </c>
      <c r="I21" s="330">
        <f>SUMIFS('Employee Data'!$CS:$CS,'Employee Data'!$V:$V,$A:$A)</f>
        <v>0</v>
      </c>
      <c r="J21" s="330">
        <f>SUMIFS('Employee Data'!$CW:$CW,'Employee Data'!$V:$V,$A:$A)</f>
        <v>59617</v>
      </c>
      <c r="K21" s="330">
        <f>SUMIFS('Employee Data'!$BF:$BF,'Employee Data'!$V:$V,$A:$A,'Employee Data'!$BA:$BA,"Yes")</f>
        <v>147881</v>
      </c>
      <c r="L21" s="330">
        <f>SUMIFS('Employee Data'!$BH:$BH,'Employee Data'!$V:$V,$A:$A)</f>
        <v>0</v>
      </c>
      <c r="M21" s="330">
        <f>SUMIFS('Employee Data'!$BJ:$BJ,'Employee Data'!$V:$V,$A:$A)</f>
        <v>18445</v>
      </c>
      <c r="N21" s="332">
        <f>O21/F21</f>
        <v>3.2501366552547539E-2</v>
      </c>
      <c r="O21" s="330">
        <f>SUMIFS('Employee Data'!$DJ:$DJ,'Employee Data'!$V:$V,$A:$A)</f>
        <v>225943</v>
      </c>
      <c r="P21" s="333">
        <f>Q21/F21</f>
        <v>0</v>
      </c>
      <c r="Q21" s="330">
        <f>SUMIFS('Employee Data'!$CU:$CU,'Employee Data'!$V:$V,$A:$A)</f>
        <v>0</v>
      </c>
      <c r="R21" s="333">
        <f>S21/F21</f>
        <v>1.6051526223424151E-2</v>
      </c>
      <c r="S21" s="330">
        <f>SUMIFS('Employee Data'!$CY:$CY,'Employee Data'!$V:$V,$A:$A)</f>
        <v>111587</v>
      </c>
      <c r="T21" s="332">
        <f>U21/F21</f>
        <v>1.6051526223424151E-2</v>
      </c>
      <c r="U21" s="330">
        <f>SUMIFS('Employee Data'!$DL:$DL,'Employee Data'!$V:$V,$A:$A)</f>
        <v>111587</v>
      </c>
      <c r="V21" s="331">
        <f>W21/F21</f>
        <v>4.5899047728645816E-2</v>
      </c>
      <c r="W21" s="330">
        <f>SUMIFS('Employee Data'!$BN:$BN,'Employee Data'!$V:$V,$A:$A)</f>
        <v>319081</v>
      </c>
      <c r="X21" s="330">
        <f>SUMIFS('Employee Data'!$BO:$BO,'Employee Data'!$V:$V,$A:$A)</f>
        <v>11911263</v>
      </c>
      <c r="Y21" s="330">
        <f>SUMIFS('Employee Data'!$BV:$BV,'Employee Data'!$V:$V,$A:$A)</f>
        <v>11754708.915789474</v>
      </c>
      <c r="Z21" s="386"/>
      <c r="AA21" s="386"/>
      <c r="AB21" s="386"/>
      <c r="AC21" s="386"/>
      <c r="AD21" s="386"/>
      <c r="AE21" s="386"/>
      <c r="AF21" s="386"/>
    </row>
    <row r="22" spans="1:32" s="227" customFormat="1" ht="12.75">
      <c r="A22" s="334" t="s">
        <v>920</v>
      </c>
      <c r="B22" s="335">
        <f>COUNTIFS('Employee Data'!$W:$W,$A:$A)</f>
        <v>7</v>
      </c>
      <c r="C22" s="335">
        <f>COUNTIFS('Employee Data'!$W:$W,$A:$A,'Employee Data'!$BA:$BA,"Yes")</f>
        <v>7</v>
      </c>
      <c r="D22" s="336">
        <f>SUMIFS('Employee Data'!$AP:$AP,'Employee Data'!$W:$W,$A:$A)</f>
        <v>1302700</v>
      </c>
      <c r="E22" s="336">
        <f>SUMIFS('Employee Data'!$AQ:$AQ,'Employee Data'!$W:$W,$A:$A)</f>
        <v>1289016</v>
      </c>
      <c r="F22" s="336">
        <f>SUMIFS('Employee Data'!$AR:$AR,'Employee Data'!$W:$W,$A:$A)</f>
        <v>1302700</v>
      </c>
      <c r="G22" s="337">
        <f t="shared" ref="G22:G28" si="7">H22/F22</f>
        <v>3.2501727182006598E-2</v>
      </c>
      <c r="H22" s="336">
        <f>SUMIFS('Employee Data'!$CQ:$CQ,'Employee Data'!$W:$W,$A:$A)</f>
        <v>42340</v>
      </c>
      <c r="I22" s="336">
        <f>SUMIFS('Employee Data'!$CS:$CS,'Employee Data'!$W:$W,$A:$A)</f>
        <v>0</v>
      </c>
      <c r="J22" s="336">
        <f>SUMIFS('Employee Data'!$CW:$CW,'Employee Data'!$W:$W,$A:$A)</f>
        <v>11311</v>
      </c>
      <c r="K22" s="336">
        <f>SUMIFS('Employee Data'!$BF:$BF,'Employee Data'!$W:$W,$A:$A)</f>
        <v>31029</v>
      </c>
      <c r="L22" s="336">
        <f>SUMIFS('Employee Data'!$BH:$BH,'Employee Data'!$W:$W,$A:$A)</f>
        <v>0</v>
      </c>
      <c r="M22" s="336">
        <f>SUMIFS('Employee Data'!$BJ:$BJ,'Employee Data'!$W:$W,$A:$A)</f>
        <v>0</v>
      </c>
      <c r="N22" s="338">
        <f t="shared" ref="N22:N28" si="8">O22/F22</f>
        <v>3.2501727182006598E-2</v>
      </c>
      <c r="O22" s="336">
        <f>SUMIFS('Employee Data'!$DJ:$DJ,'Employee Data'!$W:$W,$A:$A)</f>
        <v>42340</v>
      </c>
      <c r="P22" s="339">
        <f t="shared" ref="P22:P28" si="9">Q22/F22</f>
        <v>0</v>
      </c>
      <c r="Q22" s="336">
        <f>SUMIFS('Employee Data'!$CU:$CU,'Employee Data'!$W:$W,$A:$A)</f>
        <v>0</v>
      </c>
      <c r="R22" s="339">
        <f t="shared" ref="R22:R28" si="10">S22/F22</f>
        <v>2.4403930298610578E-2</v>
      </c>
      <c r="S22" s="336">
        <f>SUMIFS('Employee Data'!$CY:$CY,'Employee Data'!$W:$W,$A:$A)</f>
        <v>31791</v>
      </c>
      <c r="T22" s="338">
        <f t="shared" ref="T22:T28" si="11">U22/F22</f>
        <v>2.4403930298610578E-2</v>
      </c>
      <c r="U22" s="336">
        <f>SUMIFS('Employee Data'!$DL:$DL,'Employee Data'!$W:$W,$A:$A)</f>
        <v>31791</v>
      </c>
      <c r="V22" s="337">
        <f t="shared" ref="V22:V28" si="12">W22/F22</f>
        <v>5.6904122207722424E-2</v>
      </c>
      <c r="W22" s="336">
        <f>SUMIFS('Employee Data'!$BN:$BN,'Employee Data'!$W:$W,$A:$A)</f>
        <v>74129</v>
      </c>
      <c r="X22" s="336">
        <f>SUMIFS('Employee Data'!$BO:$BO,'Employee Data'!$W:$W,$A:$A)</f>
        <v>1376829</v>
      </c>
      <c r="Y22" s="336">
        <f>SUMIFS('Employee Data'!$BV:$BV,'Employee Data'!$W:$W,$A:$A)</f>
        <v>1362700.0526315789</v>
      </c>
      <c r="Z22" s="387"/>
      <c r="AA22" s="387"/>
      <c r="AB22" s="387"/>
      <c r="AC22" s="387"/>
      <c r="AD22" s="387"/>
      <c r="AE22" s="387"/>
      <c r="AF22" s="387"/>
    </row>
    <row r="23" spans="1:32" s="227" customFormat="1" ht="12.75">
      <c r="A23" s="334" t="s">
        <v>626</v>
      </c>
      <c r="B23" s="335">
        <f>COUNTIFS('Employee Data'!$W:$W,$A:$A)</f>
        <v>8</v>
      </c>
      <c r="C23" s="335">
        <f>COUNTIFS('Employee Data'!$W:$W,$A:$A,'Employee Data'!$BA:$BA,"Yes")</f>
        <v>7</v>
      </c>
      <c r="D23" s="336">
        <f>SUMIFS('Employee Data'!$AP:$AP,'Employee Data'!$W:$W,$A:$A)</f>
        <v>959600</v>
      </c>
      <c r="E23" s="336">
        <f>SUMIFS('Employee Data'!$AQ:$AQ,'Employee Data'!$W:$W,$A:$A)</f>
        <v>937960</v>
      </c>
      <c r="F23" s="336">
        <f>SUMIFS('Employee Data'!$AR:$AR,'Employee Data'!$W:$W,$A:$A)</f>
        <v>865400</v>
      </c>
      <c r="G23" s="337">
        <f t="shared" si="7"/>
        <v>3.2501733302519063E-2</v>
      </c>
      <c r="H23" s="336">
        <f>SUMIFS('Employee Data'!$CQ:$CQ,'Employee Data'!$W:$W,$A:$A)</f>
        <v>28127</v>
      </c>
      <c r="I23" s="336">
        <f>SUMIFS('Employee Data'!$CS:$CS,'Employee Data'!$W:$W,$A:$A)</f>
        <v>0</v>
      </c>
      <c r="J23" s="336">
        <f>SUMIFS('Employee Data'!$CW:$CW,'Employee Data'!$W:$W,$A:$A)</f>
        <v>0</v>
      </c>
      <c r="K23" s="336">
        <f>SUMIFS('Employee Data'!$BF:$BF,'Employee Data'!$W:$W,$A:$A)</f>
        <v>18188</v>
      </c>
      <c r="L23" s="336">
        <f>SUMIFS('Employee Data'!$BH:$BH,'Employee Data'!$W:$W,$A:$A)</f>
        <v>0</v>
      </c>
      <c r="M23" s="336">
        <f>SUMIFS('Employee Data'!$BJ:$BJ,'Employee Data'!$W:$W,$A:$A)</f>
        <v>9939</v>
      </c>
      <c r="N23" s="338">
        <f t="shared" si="8"/>
        <v>3.2501733302519063E-2</v>
      </c>
      <c r="O23" s="336">
        <f>SUMIFS('Employee Data'!$DJ:$DJ,'Employee Data'!$W:$W,$A:$A)</f>
        <v>28127</v>
      </c>
      <c r="P23" s="339">
        <f t="shared" si="9"/>
        <v>0</v>
      </c>
      <c r="Q23" s="336">
        <f>SUMIFS('Employee Data'!$CU:$CU,'Employee Data'!$W:$W,$A:$A)</f>
        <v>0</v>
      </c>
      <c r="R23" s="339">
        <f t="shared" si="10"/>
        <v>0</v>
      </c>
      <c r="S23" s="336">
        <f>SUMIFS('Employee Data'!$CY:$CY,'Employee Data'!$W:$W,$A:$A)</f>
        <v>0</v>
      </c>
      <c r="T23" s="338">
        <f t="shared" si="11"/>
        <v>0</v>
      </c>
      <c r="U23" s="336">
        <f>SUMIFS('Employee Data'!$DL:$DL,'Employee Data'!$W:$W,$A:$A)</f>
        <v>0</v>
      </c>
      <c r="V23" s="337">
        <f t="shared" si="12"/>
        <v>2.1016870811185581E-2</v>
      </c>
      <c r="W23" s="336">
        <f>SUMIFS('Employee Data'!$BN:$BN,'Employee Data'!$W:$W,$A:$A)</f>
        <v>18188</v>
      </c>
      <c r="X23" s="336">
        <f>SUMIFS('Employee Data'!$BO:$BO,'Employee Data'!$W:$W,$A:$A)</f>
        <v>977788</v>
      </c>
      <c r="Y23" s="336">
        <f>SUMIFS('Employee Data'!$BV:$BV,'Employee Data'!$W:$W,$A:$A)</f>
        <v>955444.6</v>
      </c>
      <c r="Z23" s="387"/>
      <c r="AA23" s="387"/>
      <c r="AB23" s="387"/>
      <c r="AC23" s="387"/>
      <c r="AD23" s="387"/>
      <c r="AE23" s="387"/>
      <c r="AF23" s="387"/>
    </row>
    <row r="24" spans="1:32" s="227" customFormat="1" ht="12.75">
      <c r="A24" s="334" t="s">
        <v>567</v>
      </c>
      <c r="B24" s="335">
        <f>COUNTIFS('Employee Data'!$W:$W,$A:$A)</f>
        <v>6</v>
      </c>
      <c r="C24" s="335">
        <f>COUNTIFS('Employee Data'!$W:$W,$A:$A,'Employee Data'!$BA:$BA,"Yes")</f>
        <v>6</v>
      </c>
      <c r="D24" s="336">
        <f>SUMIFS('Employee Data'!$AP:$AP,'Employee Data'!$W:$W,$A:$A)</f>
        <v>797000</v>
      </c>
      <c r="E24" s="336">
        <f>SUMIFS('Employee Data'!$AQ:$AQ,'Employee Data'!$W:$W,$A:$A)</f>
        <v>797000</v>
      </c>
      <c r="F24" s="336">
        <f>SUMIFS('Employee Data'!$AR:$AR,'Employee Data'!$W:$W,$A:$A)</f>
        <v>797000</v>
      </c>
      <c r="G24" s="337">
        <f t="shared" si="7"/>
        <v>3.2501882057716439E-2</v>
      </c>
      <c r="H24" s="336">
        <f>SUMIFS('Employee Data'!$CQ:$CQ,'Employee Data'!$W:$W,$A:$A)</f>
        <v>25904</v>
      </c>
      <c r="I24" s="336">
        <f>SUMIFS('Employee Data'!$CS:$CS,'Employee Data'!$W:$W,$A:$A)</f>
        <v>0</v>
      </c>
      <c r="J24" s="336">
        <f>SUMIFS('Employee Data'!$CW:$CW,'Employee Data'!$W:$W,$A:$A)</f>
        <v>7100</v>
      </c>
      <c r="K24" s="336">
        <f>SUMIFS('Employee Data'!$BF:$BF,'Employee Data'!$W:$W,$A:$A)</f>
        <v>18804</v>
      </c>
      <c r="L24" s="336">
        <f>SUMIFS('Employee Data'!$BH:$BH,'Employee Data'!$W:$W,$A:$A)</f>
        <v>0</v>
      </c>
      <c r="M24" s="336">
        <f>SUMIFS('Employee Data'!$BJ:$BJ,'Employee Data'!$W:$W,$A:$A)</f>
        <v>0</v>
      </c>
      <c r="N24" s="338">
        <f t="shared" si="8"/>
        <v>3.2501882057716439E-2</v>
      </c>
      <c r="O24" s="336">
        <f>SUMIFS('Employee Data'!$DJ:$DJ,'Employee Data'!$W:$W,$A:$A)</f>
        <v>25904</v>
      </c>
      <c r="P24" s="339">
        <f t="shared" si="9"/>
        <v>0</v>
      </c>
      <c r="Q24" s="336">
        <f>SUMIFS('Employee Data'!$CU:$CU,'Employee Data'!$W:$W,$A:$A)</f>
        <v>0</v>
      </c>
      <c r="R24" s="339">
        <f t="shared" si="10"/>
        <v>0</v>
      </c>
      <c r="S24" s="336">
        <f>SUMIFS('Employee Data'!$CY:$CY,'Employee Data'!$W:$W,$A:$A)</f>
        <v>0</v>
      </c>
      <c r="T24" s="338">
        <f t="shared" si="11"/>
        <v>0</v>
      </c>
      <c r="U24" s="336">
        <f>SUMIFS('Employee Data'!$DL:$DL,'Employee Data'!$W:$W,$A:$A)</f>
        <v>0</v>
      </c>
      <c r="V24" s="337">
        <f t="shared" si="12"/>
        <v>3.2501882057716439E-2</v>
      </c>
      <c r="W24" s="336">
        <f>SUMIFS('Employee Data'!$BN:$BN,'Employee Data'!$W:$W,$A:$A)</f>
        <v>25904</v>
      </c>
      <c r="X24" s="336">
        <f>SUMIFS('Employee Data'!$BO:$BO,'Employee Data'!$W:$W,$A:$A)</f>
        <v>822904</v>
      </c>
      <c r="Y24" s="336">
        <f>SUMIFS('Employee Data'!$BV:$BV,'Employee Data'!$W:$W,$A:$A)</f>
        <v>822904</v>
      </c>
      <c r="Z24" s="387"/>
      <c r="AA24" s="387"/>
      <c r="AB24" s="387"/>
      <c r="AC24" s="387"/>
      <c r="AD24" s="387"/>
      <c r="AE24" s="387"/>
      <c r="AF24" s="387"/>
    </row>
    <row r="25" spans="1:32" s="227" customFormat="1" ht="12.75">
      <c r="A25" s="334" t="s">
        <v>2</v>
      </c>
      <c r="B25" s="335">
        <f>COUNTIFS('Employee Data'!$W:$W,$A:$A)</f>
        <v>16</v>
      </c>
      <c r="C25" s="335">
        <f>COUNTIFS('Employee Data'!$W:$W,$A:$A,'Employee Data'!$BA:$BA,"Yes")</f>
        <v>3</v>
      </c>
      <c r="D25" s="336">
        <f>SUMIFS('Employee Data'!$AP:$AP,'Employee Data'!$W:$W,$A:$A)</f>
        <v>1726727</v>
      </c>
      <c r="E25" s="336">
        <f>SUMIFS('Employee Data'!$AQ:$AQ,'Employee Data'!$W:$W,$A:$A)</f>
        <v>1726727</v>
      </c>
      <c r="F25" s="336">
        <f>SUMIFS('Employee Data'!$AR:$AR,'Employee Data'!$W:$W,$A:$A)</f>
        <v>372000</v>
      </c>
      <c r="G25" s="337">
        <f t="shared" si="7"/>
        <v>3.2502688172043014E-2</v>
      </c>
      <c r="H25" s="336">
        <f>SUMIFS('Employee Data'!$CQ:$CQ,'Employee Data'!$W:$W,$A:$A)</f>
        <v>12091</v>
      </c>
      <c r="I25" s="336">
        <f>SUMIFS('Employee Data'!$CS:$CS,'Employee Data'!$W:$W,$A:$A)</f>
        <v>0</v>
      </c>
      <c r="J25" s="336">
        <f>SUMIFS('Employee Data'!$CW:$CW,'Employee Data'!$W:$W,$A:$A)</f>
        <v>3972</v>
      </c>
      <c r="K25" s="336">
        <f>SUMIFS('Employee Data'!$BF:$BF,'Employee Data'!$W:$W,$A:$A)</f>
        <v>8119</v>
      </c>
      <c r="L25" s="336">
        <f>SUMIFS('Employee Data'!$BH:$BH,'Employee Data'!$W:$W,$A:$A)</f>
        <v>0</v>
      </c>
      <c r="M25" s="336">
        <f>SUMIFS('Employee Data'!$BJ:$BJ,'Employee Data'!$W:$W,$A:$A)</f>
        <v>0</v>
      </c>
      <c r="N25" s="338">
        <f t="shared" si="8"/>
        <v>3.2502688172043014E-2</v>
      </c>
      <c r="O25" s="336">
        <f>SUMIFS('Employee Data'!$DJ:$DJ,'Employee Data'!$W:$W,$A:$A)</f>
        <v>12091</v>
      </c>
      <c r="P25" s="339">
        <f t="shared" si="9"/>
        <v>0</v>
      </c>
      <c r="Q25" s="336">
        <f>SUMIFS('Employee Data'!$CU:$CU,'Employee Data'!$W:$W,$A:$A)</f>
        <v>0</v>
      </c>
      <c r="R25" s="339">
        <f t="shared" si="10"/>
        <v>1.943279569892473E-2</v>
      </c>
      <c r="S25" s="336">
        <f>SUMIFS('Employee Data'!$CY:$CY,'Employee Data'!$W:$W,$A:$A)</f>
        <v>7229</v>
      </c>
      <c r="T25" s="338">
        <f t="shared" si="11"/>
        <v>1.943279569892473E-2</v>
      </c>
      <c r="U25" s="336">
        <f>SUMIFS('Employee Data'!$DL:$DL,'Employee Data'!$W:$W,$A:$A)</f>
        <v>7229</v>
      </c>
      <c r="V25" s="337">
        <f t="shared" si="12"/>
        <v>5.1932795698924734E-2</v>
      </c>
      <c r="W25" s="336">
        <f>SUMIFS('Employee Data'!$BN:$BN,'Employee Data'!$W:$W,$A:$A)</f>
        <v>19319</v>
      </c>
      <c r="X25" s="336">
        <f>SUMIFS('Employee Data'!$BO:$BO,'Employee Data'!$W:$W,$A:$A)</f>
        <v>1746046</v>
      </c>
      <c r="Y25" s="336">
        <f>SUMIFS('Employee Data'!$BV:$BV,'Employee Data'!$W:$W,$A:$A)</f>
        <v>1746046</v>
      </c>
      <c r="Z25" s="387"/>
      <c r="AA25" s="387"/>
      <c r="AB25" s="387"/>
      <c r="AC25" s="387"/>
      <c r="AD25" s="387"/>
      <c r="AE25" s="387"/>
      <c r="AF25" s="387"/>
    </row>
    <row r="26" spans="1:32" s="227" customFormat="1" ht="12.75">
      <c r="A26" s="334" t="s">
        <v>566</v>
      </c>
      <c r="B26" s="335">
        <f>COUNTIFS('Employee Data'!$W:$W,$A:$A)</f>
        <v>14</v>
      </c>
      <c r="C26" s="335">
        <f>COUNTIFS('Employee Data'!$W:$W,$A:$A,'Employee Data'!$BA:$BA,"Yes")</f>
        <v>9</v>
      </c>
      <c r="D26" s="336">
        <f>SUMIFS('Employee Data'!$AP:$AP,'Employee Data'!$W:$W,$A:$A)</f>
        <v>1659600</v>
      </c>
      <c r="E26" s="336">
        <f>SUMIFS('Employee Data'!$AQ:$AQ,'Employee Data'!$W:$W,$A:$A)</f>
        <v>1597011</v>
      </c>
      <c r="F26" s="336">
        <f>SUMIFS('Employee Data'!$AR:$AR,'Employee Data'!$W:$W,$A:$A)</f>
        <v>1088900</v>
      </c>
      <c r="G26" s="337">
        <f t="shared" si="7"/>
        <v>3.2501607126457895E-2</v>
      </c>
      <c r="H26" s="336">
        <f>SUMIFS('Employee Data'!$CQ:$CQ,'Employee Data'!$W:$W,$A:$A)</f>
        <v>35391</v>
      </c>
      <c r="I26" s="336">
        <f>SUMIFS('Employee Data'!$CS:$CS,'Employee Data'!$W:$W,$A:$A)</f>
        <v>0</v>
      </c>
      <c r="J26" s="336">
        <f>SUMIFS('Employee Data'!$CW:$CW,'Employee Data'!$W:$W,$A:$A)</f>
        <v>2700</v>
      </c>
      <c r="K26" s="336">
        <f>SUMIFS('Employee Data'!$BF:$BF,'Employee Data'!$W:$W,$A:$A)</f>
        <v>32691</v>
      </c>
      <c r="L26" s="336">
        <f>SUMIFS('Employee Data'!$BH:$BH,'Employee Data'!$W:$W,$A:$A)</f>
        <v>0</v>
      </c>
      <c r="M26" s="336">
        <f>SUMIFS('Employee Data'!$BJ:$BJ,'Employee Data'!$W:$W,$A:$A)</f>
        <v>0</v>
      </c>
      <c r="N26" s="338">
        <f t="shared" si="8"/>
        <v>3.2501607126457895E-2</v>
      </c>
      <c r="O26" s="336">
        <f>SUMIFS('Employee Data'!$DJ:$DJ,'Employee Data'!$W:$W,$A:$A)</f>
        <v>35391</v>
      </c>
      <c r="P26" s="339">
        <f t="shared" si="9"/>
        <v>0</v>
      </c>
      <c r="Q26" s="336">
        <f>SUMIFS('Employee Data'!$CU:$CU,'Employee Data'!$W:$W,$A:$A)</f>
        <v>0</v>
      </c>
      <c r="R26" s="339">
        <f t="shared" si="10"/>
        <v>0</v>
      </c>
      <c r="S26" s="336">
        <f>SUMIFS('Employee Data'!$CY:$CY,'Employee Data'!$W:$W,$A:$A)</f>
        <v>0</v>
      </c>
      <c r="T26" s="338">
        <f t="shared" si="11"/>
        <v>0</v>
      </c>
      <c r="U26" s="336">
        <f>SUMIFS('Employee Data'!$DL:$DL,'Employee Data'!$W:$W,$A:$A)</f>
        <v>0</v>
      </c>
      <c r="V26" s="337">
        <f t="shared" si="12"/>
        <v>3.2501607126457895E-2</v>
      </c>
      <c r="W26" s="336">
        <f>SUMIFS('Employee Data'!$BN:$BN,'Employee Data'!$W:$W,$A:$A)</f>
        <v>35391</v>
      </c>
      <c r="X26" s="336">
        <f>SUMIFS('Employee Data'!$BO:$BO,'Employee Data'!$W:$W,$A:$A)</f>
        <v>1694991</v>
      </c>
      <c r="Y26" s="336">
        <f>SUMIFS('Employee Data'!$BV:$BV,'Employee Data'!$W:$W,$A:$A)</f>
        <v>1630367.210526316</v>
      </c>
      <c r="Z26" s="387"/>
      <c r="AA26" s="387"/>
      <c r="AB26" s="387"/>
      <c r="AC26" s="387"/>
      <c r="AD26" s="387"/>
      <c r="AE26" s="387"/>
      <c r="AF26" s="387"/>
    </row>
    <row r="27" spans="1:32" s="227" customFormat="1" ht="12.75">
      <c r="A27" s="334" t="s">
        <v>544</v>
      </c>
      <c r="B27" s="335">
        <f>COUNTIFS('Employee Data'!$W:$W,$A:$A)</f>
        <v>32</v>
      </c>
      <c r="C27" s="335">
        <f>COUNTIFS('Employee Data'!$W:$W,$A:$A,'Employee Data'!$BA:$BA,"Yes")</f>
        <v>15</v>
      </c>
      <c r="D27" s="336">
        <f>SUMIFS('Employee Data'!$AP:$AP,'Employee Data'!$W:$W,$A:$A)</f>
        <v>2639455</v>
      </c>
      <c r="E27" s="336">
        <f>SUMIFS('Employee Data'!$AQ:$AQ,'Employee Data'!$W:$W,$A:$A)</f>
        <v>2628629</v>
      </c>
      <c r="F27" s="336">
        <f>SUMIFS('Employee Data'!$AR:$AR,'Employee Data'!$W:$W,$A:$A)</f>
        <v>1463300</v>
      </c>
      <c r="G27" s="337">
        <f t="shared" si="7"/>
        <v>3.2500512540148976E-2</v>
      </c>
      <c r="H27" s="336">
        <f>SUMIFS('Employee Data'!$CQ:$CQ,'Employee Data'!$W:$W,$A:$A)</f>
        <v>47558</v>
      </c>
      <c r="I27" s="336">
        <f>SUMIFS('Employee Data'!$CS:$CS,'Employee Data'!$W:$W,$A:$A)</f>
        <v>0</v>
      </c>
      <c r="J27" s="336">
        <f>SUMIFS('Employee Data'!$CW:$CW,'Employee Data'!$W:$W,$A:$A)</f>
        <v>30423</v>
      </c>
      <c r="K27" s="336">
        <f>SUMIFS('Employee Data'!$BF:$BF,'Employee Data'!$W:$W,$A:$A)</f>
        <v>17135</v>
      </c>
      <c r="L27" s="336">
        <f>SUMIFS('Employee Data'!$BH:$BH,'Employee Data'!$W:$W,$A:$A)</f>
        <v>0</v>
      </c>
      <c r="M27" s="336">
        <f>SUMIFS('Employee Data'!$BJ:$BJ,'Employee Data'!$W:$W,$A:$A)</f>
        <v>0</v>
      </c>
      <c r="N27" s="338">
        <f t="shared" si="8"/>
        <v>3.2500512540148976E-2</v>
      </c>
      <c r="O27" s="336">
        <f>SUMIFS('Employee Data'!$DJ:$DJ,'Employee Data'!$W:$W,$A:$A)</f>
        <v>47558</v>
      </c>
      <c r="P27" s="339">
        <f t="shared" si="9"/>
        <v>0</v>
      </c>
      <c r="Q27" s="336">
        <f>SUMIFS('Employee Data'!$CU:$CU,'Employee Data'!$W:$W,$A:$A)</f>
        <v>0</v>
      </c>
      <c r="R27" s="339">
        <f t="shared" si="10"/>
        <v>4.7685368687213833E-2</v>
      </c>
      <c r="S27" s="336">
        <f>SUMIFS('Employee Data'!$CY:$CY,'Employee Data'!$W:$W,$A:$A)</f>
        <v>69778</v>
      </c>
      <c r="T27" s="338">
        <f t="shared" si="11"/>
        <v>4.7685368687213833E-2</v>
      </c>
      <c r="U27" s="336">
        <f>SUMIFS('Employee Data'!$DL:$DL,'Employee Data'!$W:$W,$A:$A)</f>
        <v>69778</v>
      </c>
      <c r="V27" s="337">
        <f t="shared" si="12"/>
        <v>8.0185197840497505E-2</v>
      </c>
      <c r="W27" s="336">
        <f>SUMIFS('Employee Data'!$BN:$BN,'Employee Data'!$W:$W,$A:$A)</f>
        <v>117335</v>
      </c>
      <c r="X27" s="336">
        <f>SUMIFS('Employee Data'!$BO:$BO,'Employee Data'!$W:$W,$A:$A)</f>
        <v>2756790</v>
      </c>
      <c r="Y27" s="336">
        <f>SUMIFS('Employee Data'!$BV:$BV,'Employee Data'!$W:$W,$A:$A)</f>
        <v>2745963.6315789474</v>
      </c>
      <c r="Z27" s="387"/>
      <c r="AA27" s="387"/>
      <c r="AB27" s="387"/>
      <c r="AC27" s="387"/>
      <c r="AD27" s="387"/>
      <c r="AE27" s="387"/>
      <c r="AF27" s="387"/>
    </row>
    <row r="28" spans="1:32" s="227" customFormat="1" ht="12.75">
      <c r="A28" s="334" t="s">
        <v>545</v>
      </c>
      <c r="B28" s="335">
        <f>COUNTIFS('Employee Data'!$W:$W,$A:$A)</f>
        <v>22</v>
      </c>
      <c r="C28" s="335">
        <f>COUNTIFS('Employee Data'!$W:$W,$A:$A,'Employee Data'!$BA:$BA,"Yes")</f>
        <v>9</v>
      </c>
      <c r="D28" s="336">
        <f>SUMIFS('Employee Data'!$AP:$AP,'Employee Data'!$W:$W,$A:$A)</f>
        <v>2507100</v>
      </c>
      <c r="E28" s="336">
        <f>SUMIFS('Employee Data'!$AQ:$AQ,'Employee Data'!$W:$W,$A:$A)</f>
        <v>2462468</v>
      </c>
      <c r="F28" s="336">
        <f>SUMIFS('Employee Data'!$AR:$AR,'Employee Data'!$W:$W,$A:$A)</f>
        <v>1062500</v>
      </c>
      <c r="G28" s="337">
        <f t="shared" si="7"/>
        <v>3.2500705882352939E-2</v>
      </c>
      <c r="H28" s="336">
        <f>SUMIFS('Employee Data'!$CQ:$CQ,'Employee Data'!$W:$W,$A:$A)</f>
        <v>34532</v>
      </c>
      <c r="I28" s="336">
        <f>SUMIFS('Employee Data'!$CS:$CS,'Employee Data'!$W:$W,$A:$A)</f>
        <v>0</v>
      </c>
      <c r="J28" s="336">
        <f>SUMIFS('Employee Data'!$CW:$CW,'Employee Data'!$W:$W,$A:$A)</f>
        <v>4111</v>
      </c>
      <c r="K28" s="336">
        <f>SUMIFS('Employee Data'!$BF:$BF,'Employee Data'!$W:$W,$A:$A)</f>
        <v>21915</v>
      </c>
      <c r="L28" s="336">
        <f>SUMIFS('Employee Data'!$BH:$BH,'Employee Data'!$W:$W,$A:$A)</f>
        <v>0</v>
      </c>
      <c r="M28" s="336">
        <f>SUMIFS('Employee Data'!$BJ:$BJ,'Employee Data'!$W:$W,$A:$A)</f>
        <v>8506</v>
      </c>
      <c r="N28" s="338">
        <f t="shared" si="8"/>
        <v>3.2500705882352939E-2</v>
      </c>
      <c r="O28" s="336">
        <f>SUMIFS('Employee Data'!$DJ:$DJ,'Employee Data'!$W:$W,$A:$A)</f>
        <v>34532</v>
      </c>
      <c r="P28" s="339">
        <f t="shared" si="9"/>
        <v>0</v>
      </c>
      <c r="Q28" s="336">
        <f>SUMIFS('Employee Data'!$CU:$CU,'Employee Data'!$W:$W,$A:$A)</f>
        <v>0</v>
      </c>
      <c r="R28" s="339">
        <f t="shared" si="10"/>
        <v>2.6249411764705881E-3</v>
      </c>
      <c r="S28" s="336">
        <f>SUMIFS('Employee Data'!$CY:$CY,'Employee Data'!$W:$W,$A:$A)</f>
        <v>2789</v>
      </c>
      <c r="T28" s="338">
        <f t="shared" si="11"/>
        <v>2.6249411764705881E-3</v>
      </c>
      <c r="U28" s="336">
        <f>SUMIFS('Employee Data'!$DL:$DL,'Employee Data'!$W:$W,$A:$A)</f>
        <v>2789</v>
      </c>
      <c r="V28" s="337">
        <f t="shared" si="12"/>
        <v>2.7119999999999998E-2</v>
      </c>
      <c r="W28" s="336">
        <f>SUMIFS('Employee Data'!$BN:$BN,'Employee Data'!$W:$W,$A:$A)</f>
        <v>28815</v>
      </c>
      <c r="X28" s="336">
        <f>SUMIFS('Employee Data'!$BO:$BO,'Employee Data'!$W:$W,$A:$A)</f>
        <v>2535915</v>
      </c>
      <c r="Y28" s="336">
        <f>SUMIFS('Employee Data'!$BV:$BV,'Employee Data'!$W:$W,$A:$A)</f>
        <v>2491283.4210526319</v>
      </c>
      <c r="Z28" s="387"/>
      <c r="AA28" s="387"/>
      <c r="AB28" s="387"/>
      <c r="AC28" s="387"/>
      <c r="AD28" s="387"/>
      <c r="AE28" s="387"/>
      <c r="AF28" s="387"/>
    </row>
    <row r="29" spans="1:32" s="226" customFormat="1" ht="15.75" hidden="1" outlineLevel="1">
      <c r="A29" s="328" t="s">
        <v>50</v>
      </c>
      <c r="B29" s="329">
        <f>COUNTIFS('Employee Data'!$V:$V,$A:$A)</f>
        <v>0</v>
      </c>
      <c r="C29" s="329">
        <f>COUNTIFS('Employee Data'!$V:$V,$A:$A,'Employee Data'!$BA:$BA,"Yes")</f>
        <v>0</v>
      </c>
      <c r="D29" s="330">
        <f>SUMIFS('Employee Data'!$AP:$AP,'Employee Data'!$V:$V,$A:$A)</f>
        <v>0</v>
      </c>
      <c r="E29" s="330">
        <f>SUMIFS('Employee Data'!$AQ:$AQ,'Employee Data'!$V:$V,$A:$A)</f>
        <v>0</v>
      </c>
      <c r="F29" s="330">
        <f>SUMIFS('Employee Data'!$AR:$AR,'Employee Data'!$V:$V,$A:$A)</f>
        <v>0</v>
      </c>
      <c r="G29" s="331" t="e">
        <f>H29/F29</f>
        <v>#DIV/0!</v>
      </c>
      <c r="H29" s="330">
        <f>SUMIFS('Employee Data'!$CQ:$CQ,'Employee Data'!$V:$V,$A:$A)</f>
        <v>0</v>
      </c>
      <c r="I29" s="330">
        <f>SUMIFS('Employee Data'!$CS:$CS,'Employee Data'!$V:$V,$A:$A)</f>
        <v>0</v>
      </c>
      <c r="J29" s="330">
        <f>SUMIFS('Employee Data'!$CW:$CW,'Employee Data'!$V:$V,$A:$A)</f>
        <v>0</v>
      </c>
      <c r="K29" s="330">
        <f>SUMIFS('Employee Data'!$BF:$BF,'Employee Data'!$V:$V,$A:$A,'Employee Data'!$BA:$BA,"Yes")</f>
        <v>0</v>
      </c>
      <c r="L29" s="330">
        <f>SUMIFS('Employee Data'!$BH:$BH,'Employee Data'!$V:$V,$A:$A)</f>
        <v>0</v>
      </c>
      <c r="M29" s="330">
        <f>SUMIFS('Employee Data'!$BJ:$BJ,'Employee Data'!$V:$V,$A:$A)</f>
        <v>0</v>
      </c>
      <c r="N29" s="332" t="e">
        <f>O29/F29</f>
        <v>#DIV/0!</v>
      </c>
      <c r="O29" s="330">
        <f>SUMIFS('Employee Data'!$DJ:$DJ,'Employee Data'!$V:$V,$A:$A)</f>
        <v>0</v>
      </c>
      <c r="P29" s="333" t="e">
        <f>Q29/F29</f>
        <v>#DIV/0!</v>
      </c>
      <c r="Q29" s="330">
        <f>SUMIFS('Employee Data'!$CU:$CU,'Employee Data'!$V:$V,$A:$A)</f>
        <v>0</v>
      </c>
      <c r="R29" s="333" t="e">
        <f>S29/F29</f>
        <v>#DIV/0!</v>
      </c>
      <c r="S29" s="330">
        <f>SUMIFS('Employee Data'!$CY:$CY,'Employee Data'!$V:$V,$A:$A)</f>
        <v>0</v>
      </c>
      <c r="T29" s="332" t="e">
        <f>U29/F29</f>
        <v>#DIV/0!</v>
      </c>
      <c r="U29" s="330">
        <f>SUMIFS('Employee Data'!$DL:$DL,'Employee Data'!$V:$V,$A:$A)</f>
        <v>0</v>
      </c>
      <c r="V29" s="331" t="e">
        <f>W29/F29</f>
        <v>#DIV/0!</v>
      </c>
      <c r="W29" s="330">
        <f>SUMIFS('Employee Data'!$BN:$BN,'Employee Data'!$V:$V,$A:$A)</f>
        <v>0</v>
      </c>
      <c r="X29" s="330">
        <f>SUMIFS('Employee Data'!$BO:$BO,'Employee Data'!$V:$V,$A:$A)</f>
        <v>0</v>
      </c>
      <c r="Y29" s="330">
        <f>SUMIFS('Employee Data'!$BV:$BV,'Employee Data'!$V:$V,$A:$A)</f>
        <v>0</v>
      </c>
      <c r="Z29" s="386"/>
      <c r="AA29" s="386"/>
      <c r="AB29" s="386"/>
      <c r="AC29" s="386"/>
      <c r="AD29" s="386"/>
      <c r="AE29" s="386"/>
      <c r="AF29" s="386"/>
    </row>
    <row r="30" spans="1:32" s="227" customFormat="1" ht="12.75" hidden="1" outlineLevel="1">
      <c r="A30" s="334" t="s">
        <v>839</v>
      </c>
      <c r="B30" s="335">
        <f>COUNTIFS('Employee Data'!$W:$W,$A:$A)</f>
        <v>0</v>
      </c>
      <c r="C30" s="335">
        <f>COUNTIFS('Employee Data'!$W:$W,$A:$A,'Employee Data'!$BA:$BA,"Yes")</f>
        <v>0</v>
      </c>
      <c r="D30" s="336">
        <f>SUMIFS('Employee Data'!$AP:$AP,'Employee Data'!$W:$W,$A:$A,'Employee Data'!$BA:$BA,"Yes")</f>
        <v>0</v>
      </c>
      <c r="E30" s="336">
        <f>SUMIFS('Employee Data'!$AQ:$AQ,'Employee Data'!$W:$W,$A:$A,'Employee Data'!$BA:$BA,"Yes")</f>
        <v>0</v>
      </c>
      <c r="F30" s="336">
        <f>SUMIFS('Employee Data'!$AR:$AR,'Employee Data'!$W:$W,$A:$A)</f>
        <v>0</v>
      </c>
      <c r="G30" s="337" t="e">
        <f t="shared" ref="G30:G36" si="13">H30/F30</f>
        <v>#DIV/0!</v>
      </c>
      <c r="H30" s="336">
        <f>SUMIFS('Employee Data'!$CQ:$CQ,'Employee Data'!$W:$W,$A:$A)</f>
        <v>0</v>
      </c>
      <c r="I30" s="336">
        <f>SUMIFS('Employee Data'!$CS:$CS,'Employee Data'!$W:$W,$A:$A)</f>
        <v>0</v>
      </c>
      <c r="J30" s="336">
        <f>SUMIFS('Employee Data'!$CW:$CW,'Employee Data'!$W:$W,$A:$A)</f>
        <v>0</v>
      </c>
      <c r="K30" s="336">
        <f>SUMIFS('Employee Data'!$BF:$BF,'Employee Data'!$W:$W,$A:$A,'Employee Data'!$BA:$BA,"Yes")</f>
        <v>0</v>
      </c>
      <c r="L30" s="336">
        <f>SUMIFS('Employee Data'!$BH:$BH,'Employee Data'!$W:$W,$A:$A)</f>
        <v>0</v>
      </c>
      <c r="M30" s="336">
        <f>SUMIFS('Employee Data'!$BI:$BI,'Employee Data'!$W:$W,$A:$A,'Employee Data'!$BA:$BA,"Yes")</f>
        <v>0</v>
      </c>
      <c r="N30" s="338" t="e">
        <f t="shared" ref="N30:N36" si="14">O30/F30</f>
        <v>#DIV/0!</v>
      </c>
      <c r="O30" s="336">
        <f>SUMIFS('Employee Data'!$DJ:$DJ,'Employee Data'!$W:$W,$A:$A,'Employee Data'!$BA:$BA,"Yes")</f>
        <v>0</v>
      </c>
      <c r="P30" s="339" t="e">
        <f t="shared" ref="P30:P36" si="15">Q30/F30</f>
        <v>#DIV/0!</v>
      </c>
      <c r="Q30" s="336">
        <f>SUMIFS('Employee Data'!$CU:$CU,'Employee Data'!$W:$W,$A:$A)</f>
        <v>0</v>
      </c>
      <c r="R30" s="339" t="e">
        <f t="shared" ref="R30:R36" si="16">S30/F30</f>
        <v>#DIV/0!</v>
      </c>
      <c r="S30" s="336">
        <f>SUMIFS('Employee Data'!$CY:$CY,'Employee Data'!$W:$W,$A:$A)</f>
        <v>0</v>
      </c>
      <c r="T30" s="338" t="e">
        <f t="shared" ref="T30:T36" si="17">U30/F30</f>
        <v>#DIV/0!</v>
      </c>
      <c r="U30" s="336">
        <f>SUMIFS('Employee Data'!$DL:$DL,'Employee Data'!$W:$W,$A:$A,'Employee Data'!$BA:$BA,"Yes")</f>
        <v>0</v>
      </c>
      <c r="V30" s="337" t="e">
        <f t="shared" ref="V30:V36" si="18">W30/F30</f>
        <v>#DIV/0!</v>
      </c>
      <c r="W30" s="336">
        <f>SUMIFS('Employee Data'!$BN:$BN,'Employee Data'!$W:$W,$A:$A,'Employee Data'!$BA:$BA,"Yes")</f>
        <v>0</v>
      </c>
      <c r="X30" s="336">
        <f>SUMIFS('Employee Data'!$BO:$BO,'Employee Data'!$W:$W,$A:$A,'Employee Data'!$BA:$BA,"Yes")</f>
        <v>0</v>
      </c>
      <c r="Y30" s="336">
        <f>SUMIFS('Employee Data'!$BV:$BV,'Employee Data'!$W:$W,$A:$A,'Employee Data'!$BA:$BA,"Yes")</f>
        <v>0</v>
      </c>
      <c r="Z30" s="387"/>
      <c r="AA30" s="387"/>
      <c r="AB30" s="387"/>
      <c r="AC30" s="387"/>
      <c r="AD30" s="387"/>
      <c r="AE30" s="387"/>
      <c r="AF30" s="387"/>
    </row>
    <row r="31" spans="1:32" s="227" customFormat="1" ht="12.75" hidden="1" outlineLevel="1">
      <c r="A31" s="334" t="s">
        <v>549</v>
      </c>
      <c r="B31" s="335">
        <f>COUNTIFS('Employee Data'!$W:$W,$A:$A)</f>
        <v>0</v>
      </c>
      <c r="C31" s="335">
        <f>COUNTIFS('Employee Data'!$W:$W,$A:$A,'Employee Data'!$BA:$BA,"Yes")</f>
        <v>0</v>
      </c>
      <c r="D31" s="336">
        <f>SUMIFS('Employee Data'!$AP:$AP,'Employee Data'!$W:$W,$A:$A,'Employee Data'!$BA:$BA,"Yes")</f>
        <v>0</v>
      </c>
      <c r="E31" s="336">
        <f>SUMIFS('Employee Data'!$AQ:$AQ,'Employee Data'!$W:$W,$A:$A,'Employee Data'!$BA:$BA,"Yes")</f>
        <v>0</v>
      </c>
      <c r="F31" s="336">
        <f>SUMIFS('Employee Data'!$AR:$AR,'Employee Data'!$W:$W,$A:$A)</f>
        <v>0</v>
      </c>
      <c r="G31" s="337" t="e">
        <f t="shared" si="13"/>
        <v>#DIV/0!</v>
      </c>
      <c r="H31" s="336">
        <f>SUMIFS('Employee Data'!$CQ:$CQ,'Employee Data'!$W:$W,$A:$A)</f>
        <v>0</v>
      </c>
      <c r="I31" s="336">
        <f>SUMIFS('Employee Data'!$CS:$CS,'Employee Data'!$W:$W,$A:$A)</f>
        <v>0</v>
      </c>
      <c r="J31" s="336">
        <f>SUMIFS('Employee Data'!$CW:$CW,'Employee Data'!$W:$W,$A:$A)</f>
        <v>0</v>
      </c>
      <c r="K31" s="336">
        <f>SUMIFS('Employee Data'!$BF:$BF,'Employee Data'!$W:$W,$A:$A,'Employee Data'!$BA:$BA,"Yes")</f>
        <v>0</v>
      </c>
      <c r="L31" s="336">
        <f>SUMIFS('Employee Data'!$BH:$BH,'Employee Data'!$W:$W,$A:$A)</f>
        <v>0</v>
      </c>
      <c r="M31" s="336">
        <f>SUMIFS('Employee Data'!$BI:$BI,'Employee Data'!$W:$W,$A:$A,'Employee Data'!$BA:$BA,"Yes")</f>
        <v>0</v>
      </c>
      <c r="N31" s="338" t="e">
        <f t="shared" si="14"/>
        <v>#DIV/0!</v>
      </c>
      <c r="O31" s="336">
        <f>SUMIFS('Employee Data'!$DJ:$DJ,'Employee Data'!$W:$W,$A:$A,'Employee Data'!$BA:$BA,"Yes")</f>
        <v>0</v>
      </c>
      <c r="P31" s="339" t="e">
        <f t="shared" si="15"/>
        <v>#DIV/0!</v>
      </c>
      <c r="Q31" s="336">
        <f>SUMIFS('Employee Data'!$CU:$CU,'Employee Data'!$W:$W,$A:$A)</f>
        <v>0</v>
      </c>
      <c r="R31" s="339" t="e">
        <f t="shared" si="16"/>
        <v>#DIV/0!</v>
      </c>
      <c r="S31" s="336">
        <f>SUMIFS('Employee Data'!$CY:$CY,'Employee Data'!$W:$W,$A:$A)</f>
        <v>0</v>
      </c>
      <c r="T31" s="338" t="e">
        <f t="shared" si="17"/>
        <v>#DIV/0!</v>
      </c>
      <c r="U31" s="336">
        <f>SUMIFS('Employee Data'!$DL:$DL,'Employee Data'!$W:$W,$A:$A,'Employee Data'!$BA:$BA,"Yes")</f>
        <v>0</v>
      </c>
      <c r="V31" s="337" t="e">
        <f t="shared" si="18"/>
        <v>#DIV/0!</v>
      </c>
      <c r="W31" s="336">
        <f>SUMIFS('Employee Data'!$BN:$BN,'Employee Data'!$W:$W,$A:$A,'Employee Data'!$BA:$BA,"Yes")</f>
        <v>0</v>
      </c>
      <c r="X31" s="336">
        <f>SUMIFS('Employee Data'!$BO:$BO,'Employee Data'!$W:$W,$A:$A,'Employee Data'!$BA:$BA,"Yes")</f>
        <v>0</v>
      </c>
      <c r="Y31" s="336">
        <f>SUMIFS('Employee Data'!$BV:$BV,'Employee Data'!$W:$W,$A:$A,'Employee Data'!$BA:$BA,"Yes")</f>
        <v>0</v>
      </c>
      <c r="Z31" s="387"/>
      <c r="AA31" s="387"/>
      <c r="AB31" s="387"/>
      <c r="AC31" s="387"/>
      <c r="AD31" s="387"/>
      <c r="AE31" s="387"/>
      <c r="AF31" s="387"/>
    </row>
    <row r="32" spans="1:32" s="227" customFormat="1" ht="12.75" hidden="1" outlineLevel="1">
      <c r="A32" s="334" t="s">
        <v>1361</v>
      </c>
      <c r="B32" s="335">
        <f>COUNTIFS('Employee Data'!$W:$W,$A:$A)</f>
        <v>0</v>
      </c>
      <c r="C32" s="335">
        <f>COUNTIFS('Employee Data'!$W:$W,$A:$A,'Employee Data'!$BA:$BA,"Yes")</f>
        <v>0</v>
      </c>
      <c r="D32" s="336">
        <f>SUMIFS('Employee Data'!$AP:$AP,'Employee Data'!$W:$W,$A:$A,'Employee Data'!$BA:$BA,"Yes")</f>
        <v>0</v>
      </c>
      <c r="E32" s="336">
        <f>SUMIFS('Employee Data'!$AQ:$AQ,'Employee Data'!$W:$W,$A:$A,'Employee Data'!$BA:$BA,"Yes")</f>
        <v>0</v>
      </c>
      <c r="F32" s="336">
        <f>SUMIFS('Employee Data'!$AR:$AR,'Employee Data'!$W:$W,$A:$A)</f>
        <v>0</v>
      </c>
      <c r="G32" s="337" t="e">
        <f t="shared" ref="G32" si="19">H32/F32</f>
        <v>#DIV/0!</v>
      </c>
      <c r="H32" s="336">
        <f>SUMIFS('Employee Data'!$CQ:$CQ,'Employee Data'!$W:$W,$A:$A)</f>
        <v>0</v>
      </c>
      <c r="I32" s="336">
        <f>SUMIFS('Employee Data'!$CS:$CS,'Employee Data'!$W:$W,$A:$A)</f>
        <v>0</v>
      </c>
      <c r="J32" s="336">
        <f>SUMIFS('Employee Data'!$CW:$CW,'Employee Data'!$W:$W,$A:$A)</f>
        <v>0</v>
      </c>
      <c r="K32" s="336">
        <f>SUMIFS('Employee Data'!$BF:$BF,'Employee Data'!$W:$W,$A:$A,'Employee Data'!$BA:$BA,"Yes")</f>
        <v>0</v>
      </c>
      <c r="L32" s="336">
        <f>SUMIFS('Employee Data'!$BH:$BH,'Employee Data'!$W:$W,$A:$A)</f>
        <v>0</v>
      </c>
      <c r="M32" s="336">
        <f>SUMIFS('Employee Data'!$BI:$BI,'Employee Data'!$W:$W,$A:$A,'Employee Data'!$BA:$BA,"Yes")</f>
        <v>0</v>
      </c>
      <c r="N32" s="338" t="e">
        <f t="shared" ref="N32" si="20">O32/F32</f>
        <v>#DIV/0!</v>
      </c>
      <c r="O32" s="336">
        <f>SUMIFS('Employee Data'!$DJ:$DJ,'Employee Data'!$W:$W,$A:$A,'Employee Data'!$BA:$BA,"Yes")</f>
        <v>0</v>
      </c>
      <c r="P32" s="339" t="e">
        <f t="shared" ref="P32" si="21">Q32/F32</f>
        <v>#DIV/0!</v>
      </c>
      <c r="Q32" s="336">
        <f>SUMIFS('Employee Data'!$CU:$CU,'Employee Data'!$W:$W,$A:$A)</f>
        <v>0</v>
      </c>
      <c r="R32" s="339" t="e">
        <f t="shared" ref="R32" si="22">S32/F32</f>
        <v>#DIV/0!</v>
      </c>
      <c r="S32" s="336">
        <f>SUMIFS('Employee Data'!$CY:$CY,'Employee Data'!$W:$W,$A:$A)</f>
        <v>0</v>
      </c>
      <c r="T32" s="338" t="e">
        <f t="shared" ref="T32" si="23">U32/F32</f>
        <v>#DIV/0!</v>
      </c>
      <c r="U32" s="336">
        <f>SUMIFS('Employee Data'!$DL:$DL,'Employee Data'!$W:$W,$A:$A,'Employee Data'!$BA:$BA,"Yes")</f>
        <v>0</v>
      </c>
      <c r="V32" s="337" t="e">
        <f t="shared" ref="V32" si="24">W32/F32</f>
        <v>#DIV/0!</v>
      </c>
      <c r="W32" s="336">
        <f>SUMIFS('Employee Data'!$BN:$BN,'Employee Data'!$W:$W,$A:$A,'Employee Data'!$BA:$BA,"Yes")</f>
        <v>0</v>
      </c>
      <c r="X32" s="336">
        <f>SUMIFS('Employee Data'!$BO:$BO,'Employee Data'!$W:$W,$A:$A,'Employee Data'!$BA:$BA,"Yes")</f>
        <v>0</v>
      </c>
      <c r="Y32" s="336">
        <f>SUMIFS('Employee Data'!$BV:$BV,'Employee Data'!$W:$W,$A:$A,'Employee Data'!$BA:$BA,"Yes")</f>
        <v>0</v>
      </c>
      <c r="Z32" s="387"/>
      <c r="AA32" s="387"/>
      <c r="AB32" s="387"/>
      <c r="AC32" s="387"/>
      <c r="AD32" s="387"/>
      <c r="AE32" s="387"/>
      <c r="AF32" s="387"/>
    </row>
    <row r="33" spans="1:32" s="227" customFormat="1" ht="12.75" hidden="1" outlineLevel="1">
      <c r="A33" s="334" t="s">
        <v>628</v>
      </c>
      <c r="B33" s="335">
        <f>COUNTIFS('Employee Data'!$W:$W,$A:$A)</f>
        <v>0</v>
      </c>
      <c r="C33" s="335">
        <f>COUNTIFS('Employee Data'!$W:$W,$A:$A,'Employee Data'!$BA:$BA,"Yes")</f>
        <v>0</v>
      </c>
      <c r="D33" s="336">
        <f>SUMIFS('Employee Data'!$AP:$AP,'Employee Data'!$W:$W,$A:$A,'Employee Data'!$BA:$BA,"Yes")</f>
        <v>0</v>
      </c>
      <c r="E33" s="336">
        <f>SUMIFS('Employee Data'!$AQ:$AQ,'Employee Data'!$W:$W,$A:$A,'Employee Data'!$BA:$BA,"Yes")</f>
        <v>0</v>
      </c>
      <c r="F33" s="336">
        <f>SUMIFS('Employee Data'!$AR:$AR,'Employee Data'!$W:$W,$A:$A)</f>
        <v>0</v>
      </c>
      <c r="G33" s="337" t="e">
        <f t="shared" si="13"/>
        <v>#DIV/0!</v>
      </c>
      <c r="H33" s="336">
        <f>SUMIFS('Employee Data'!$CQ:$CQ,'Employee Data'!$W:$W,$A:$A)</f>
        <v>0</v>
      </c>
      <c r="I33" s="336">
        <f>SUMIFS('Employee Data'!$CS:$CS,'Employee Data'!$W:$W,$A:$A)</f>
        <v>0</v>
      </c>
      <c r="J33" s="336">
        <f>SUMIFS('Employee Data'!$CW:$CW,'Employee Data'!$W:$W,$A:$A)</f>
        <v>0</v>
      </c>
      <c r="K33" s="336">
        <f>SUMIFS('Employee Data'!$BF:$BF,'Employee Data'!$W:$W,$A:$A,'Employee Data'!$BA:$BA,"Yes")</f>
        <v>0</v>
      </c>
      <c r="L33" s="336">
        <f>SUMIFS('Employee Data'!$BH:$BH,'Employee Data'!$W:$W,$A:$A)</f>
        <v>0</v>
      </c>
      <c r="M33" s="336">
        <f>SUMIFS('Employee Data'!$BI:$BI,'Employee Data'!$W:$W,$A:$A,'Employee Data'!$BA:$BA,"Yes")</f>
        <v>0</v>
      </c>
      <c r="N33" s="338" t="e">
        <f t="shared" si="14"/>
        <v>#DIV/0!</v>
      </c>
      <c r="O33" s="336">
        <f>SUMIFS('Employee Data'!$DJ:$DJ,'Employee Data'!$W:$W,$A:$A,'Employee Data'!$BA:$BA,"Yes")</f>
        <v>0</v>
      </c>
      <c r="P33" s="339" t="e">
        <f t="shared" si="15"/>
        <v>#DIV/0!</v>
      </c>
      <c r="Q33" s="336">
        <f>SUMIFS('Employee Data'!$CU:$CU,'Employee Data'!$W:$W,$A:$A)</f>
        <v>0</v>
      </c>
      <c r="R33" s="339" t="e">
        <f t="shared" si="16"/>
        <v>#DIV/0!</v>
      </c>
      <c r="S33" s="336">
        <f>SUMIFS('Employee Data'!$CY:$CY,'Employee Data'!$W:$W,$A:$A)</f>
        <v>0</v>
      </c>
      <c r="T33" s="338" t="e">
        <f t="shared" si="17"/>
        <v>#DIV/0!</v>
      </c>
      <c r="U33" s="336">
        <f>SUMIFS('Employee Data'!$DL:$DL,'Employee Data'!$W:$W,$A:$A,'Employee Data'!$BA:$BA,"Yes")</f>
        <v>0</v>
      </c>
      <c r="V33" s="337" t="e">
        <f t="shared" si="18"/>
        <v>#DIV/0!</v>
      </c>
      <c r="W33" s="336">
        <f>SUMIFS('Employee Data'!$BN:$BN,'Employee Data'!$W:$W,$A:$A,'Employee Data'!$BA:$BA,"Yes")</f>
        <v>0</v>
      </c>
      <c r="X33" s="336">
        <f>SUMIFS('Employee Data'!$BO:$BO,'Employee Data'!$W:$W,$A:$A,'Employee Data'!$BA:$BA,"Yes")</f>
        <v>0</v>
      </c>
      <c r="Y33" s="336">
        <f>SUMIFS('Employee Data'!$BV:$BV,'Employee Data'!$W:$W,$A:$A,'Employee Data'!$BA:$BA,"Yes")</f>
        <v>0</v>
      </c>
      <c r="Z33" s="387"/>
      <c r="AA33" s="387"/>
      <c r="AB33" s="387"/>
      <c r="AC33" s="387"/>
      <c r="AD33" s="387"/>
      <c r="AE33" s="387"/>
      <c r="AF33" s="387"/>
    </row>
    <row r="34" spans="1:32" s="227" customFormat="1" ht="12.75" hidden="1" outlineLevel="1">
      <c r="A34" s="334" t="s">
        <v>548</v>
      </c>
      <c r="B34" s="335">
        <f>COUNTIFS('Employee Data'!$W:$W,$A:$A)</f>
        <v>0</v>
      </c>
      <c r="C34" s="335">
        <f>COUNTIFS('Employee Data'!$W:$W,$A:$A,'Employee Data'!$BA:$BA,"Yes")</f>
        <v>0</v>
      </c>
      <c r="D34" s="336">
        <f>SUMIFS('Employee Data'!$AP:$AP,'Employee Data'!$W:$W,$A:$A,'Employee Data'!$BA:$BA,"Yes")</f>
        <v>0</v>
      </c>
      <c r="E34" s="336">
        <f>SUMIFS('Employee Data'!$AQ:$AQ,'Employee Data'!$W:$W,$A:$A,'Employee Data'!$BA:$BA,"Yes")</f>
        <v>0</v>
      </c>
      <c r="F34" s="336">
        <f>SUMIFS('Employee Data'!$AR:$AR,'Employee Data'!$W:$W,$A:$A)</f>
        <v>0</v>
      </c>
      <c r="G34" s="337" t="e">
        <f t="shared" si="13"/>
        <v>#DIV/0!</v>
      </c>
      <c r="H34" s="336">
        <f>SUMIFS('Employee Data'!$CQ:$CQ,'Employee Data'!$W:$W,$A:$A)</f>
        <v>0</v>
      </c>
      <c r="I34" s="336">
        <f>SUMIFS('Employee Data'!$CS:$CS,'Employee Data'!$W:$W,$A:$A)</f>
        <v>0</v>
      </c>
      <c r="J34" s="336">
        <f>SUMIFS('Employee Data'!$CW:$CW,'Employee Data'!$W:$W,$A:$A)</f>
        <v>0</v>
      </c>
      <c r="K34" s="336">
        <f>SUMIFS('Employee Data'!$BF:$BF,'Employee Data'!$W:$W,$A:$A,'Employee Data'!$BA:$BA,"Yes")</f>
        <v>0</v>
      </c>
      <c r="L34" s="336">
        <f>SUMIFS('Employee Data'!$BH:$BH,'Employee Data'!$W:$W,$A:$A)</f>
        <v>0</v>
      </c>
      <c r="M34" s="336">
        <f>SUMIFS('Employee Data'!$BI:$BI,'Employee Data'!$W:$W,$A:$A,'Employee Data'!$BA:$BA,"Yes")</f>
        <v>0</v>
      </c>
      <c r="N34" s="338" t="e">
        <f t="shared" si="14"/>
        <v>#DIV/0!</v>
      </c>
      <c r="O34" s="336">
        <f>SUMIFS('Employee Data'!$DJ:$DJ,'Employee Data'!$W:$W,$A:$A,'Employee Data'!$BA:$BA,"Yes")</f>
        <v>0</v>
      </c>
      <c r="P34" s="339" t="e">
        <f t="shared" si="15"/>
        <v>#DIV/0!</v>
      </c>
      <c r="Q34" s="336">
        <f>SUMIFS('Employee Data'!$CU:$CU,'Employee Data'!$W:$W,$A:$A)</f>
        <v>0</v>
      </c>
      <c r="R34" s="339" t="e">
        <f t="shared" si="16"/>
        <v>#DIV/0!</v>
      </c>
      <c r="S34" s="336">
        <f>SUMIFS('Employee Data'!$CY:$CY,'Employee Data'!$W:$W,$A:$A)</f>
        <v>0</v>
      </c>
      <c r="T34" s="338" t="e">
        <f t="shared" si="17"/>
        <v>#DIV/0!</v>
      </c>
      <c r="U34" s="336">
        <f>SUMIFS('Employee Data'!$DL:$DL,'Employee Data'!$W:$W,$A:$A,'Employee Data'!$BA:$BA,"Yes")</f>
        <v>0</v>
      </c>
      <c r="V34" s="337" t="e">
        <f t="shared" si="18"/>
        <v>#DIV/0!</v>
      </c>
      <c r="W34" s="336">
        <f>SUMIFS('Employee Data'!$BN:$BN,'Employee Data'!$W:$W,$A:$A,'Employee Data'!$BA:$BA,"Yes")</f>
        <v>0</v>
      </c>
      <c r="X34" s="336">
        <f>SUMIFS('Employee Data'!$BO:$BO,'Employee Data'!$W:$W,$A:$A,'Employee Data'!$BA:$BA,"Yes")</f>
        <v>0</v>
      </c>
      <c r="Y34" s="336">
        <f>SUMIFS('Employee Data'!$BV:$BV,'Employee Data'!$W:$W,$A:$A,'Employee Data'!$BA:$BA,"Yes")</f>
        <v>0</v>
      </c>
      <c r="Z34" s="387"/>
      <c r="AA34" s="387"/>
      <c r="AB34" s="387"/>
      <c r="AC34" s="387"/>
      <c r="AD34" s="387"/>
      <c r="AE34" s="387"/>
      <c r="AF34" s="387"/>
    </row>
    <row r="35" spans="1:32" s="227" customFormat="1" ht="12.75" hidden="1" outlineLevel="1">
      <c r="A35" s="334" t="s">
        <v>550</v>
      </c>
      <c r="B35" s="335">
        <f>COUNTIFS('Employee Data'!$W:$W,$A:$A)</f>
        <v>0</v>
      </c>
      <c r="C35" s="335">
        <f>COUNTIFS('Employee Data'!$W:$W,$A:$A,'Employee Data'!$BA:$BA,"Yes")</f>
        <v>0</v>
      </c>
      <c r="D35" s="336">
        <f>SUMIFS('Employee Data'!$AP:$AP,'Employee Data'!$W:$W,$A:$A,'Employee Data'!$BA:$BA,"Yes")</f>
        <v>0</v>
      </c>
      <c r="E35" s="336">
        <f>SUMIFS('Employee Data'!$AQ:$AQ,'Employee Data'!$W:$W,$A:$A,'Employee Data'!$BA:$BA,"Yes")</f>
        <v>0</v>
      </c>
      <c r="F35" s="336">
        <f>SUMIFS('Employee Data'!$AR:$AR,'Employee Data'!$W:$W,$A:$A)</f>
        <v>0</v>
      </c>
      <c r="G35" s="337" t="e">
        <f t="shared" si="13"/>
        <v>#DIV/0!</v>
      </c>
      <c r="H35" s="336">
        <f>SUMIFS('Employee Data'!$CQ:$CQ,'Employee Data'!$W:$W,$A:$A)</f>
        <v>0</v>
      </c>
      <c r="I35" s="336">
        <f>SUMIFS('Employee Data'!$CS:$CS,'Employee Data'!$W:$W,$A:$A)</f>
        <v>0</v>
      </c>
      <c r="J35" s="336">
        <f>SUMIFS('Employee Data'!$CW:$CW,'Employee Data'!$W:$W,$A:$A)</f>
        <v>0</v>
      </c>
      <c r="K35" s="336">
        <f>SUMIFS('Employee Data'!$BF:$BF,'Employee Data'!$W:$W,$A:$A,'Employee Data'!$BA:$BA,"Yes")</f>
        <v>0</v>
      </c>
      <c r="L35" s="336">
        <f>SUMIFS('Employee Data'!$BH:$BH,'Employee Data'!$W:$W,$A:$A)</f>
        <v>0</v>
      </c>
      <c r="M35" s="336">
        <f>SUMIFS('Employee Data'!$BI:$BI,'Employee Data'!$W:$W,$A:$A,'Employee Data'!$BA:$BA,"Yes")</f>
        <v>0</v>
      </c>
      <c r="N35" s="338" t="e">
        <f t="shared" si="14"/>
        <v>#DIV/0!</v>
      </c>
      <c r="O35" s="336">
        <f>SUMIFS('Employee Data'!$DJ:$DJ,'Employee Data'!$W:$W,$A:$A,'Employee Data'!$BA:$BA,"Yes")</f>
        <v>0</v>
      </c>
      <c r="P35" s="339" t="e">
        <f t="shared" si="15"/>
        <v>#DIV/0!</v>
      </c>
      <c r="Q35" s="336">
        <f>SUMIFS('Employee Data'!$CU:$CU,'Employee Data'!$W:$W,$A:$A)</f>
        <v>0</v>
      </c>
      <c r="R35" s="339" t="e">
        <f t="shared" si="16"/>
        <v>#DIV/0!</v>
      </c>
      <c r="S35" s="336">
        <f>SUMIFS('Employee Data'!$CY:$CY,'Employee Data'!$W:$W,$A:$A)</f>
        <v>0</v>
      </c>
      <c r="T35" s="338" t="e">
        <f t="shared" si="17"/>
        <v>#DIV/0!</v>
      </c>
      <c r="U35" s="336">
        <f>SUMIFS('Employee Data'!$DL:$DL,'Employee Data'!$W:$W,$A:$A,'Employee Data'!$BA:$BA,"Yes")</f>
        <v>0</v>
      </c>
      <c r="V35" s="337" t="e">
        <f t="shared" si="18"/>
        <v>#DIV/0!</v>
      </c>
      <c r="W35" s="336">
        <f>SUMIFS('Employee Data'!$BN:$BN,'Employee Data'!$W:$W,$A:$A,'Employee Data'!$BA:$BA,"Yes")</f>
        <v>0</v>
      </c>
      <c r="X35" s="336">
        <f>SUMIFS('Employee Data'!$BO:$BO,'Employee Data'!$W:$W,$A:$A,'Employee Data'!$BA:$BA,"Yes")</f>
        <v>0</v>
      </c>
      <c r="Y35" s="336">
        <f>SUMIFS('Employee Data'!$BV:$BV,'Employee Data'!$W:$W,$A:$A,'Employee Data'!$BA:$BA,"Yes")</f>
        <v>0</v>
      </c>
      <c r="Z35" s="387"/>
      <c r="AA35" s="387"/>
      <c r="AB35" s="387"/>
      <c r="AC35" s="387"/>
      <c r="AD35" s="387"/>
      <c r="AE35" s="387"/>
      <c r="AF35" s="387"/>
    </row>
    <row r="36" spans="1:32" s="227" customFormat="1" ht="12.75" hidden="1" outlineLevel="1">
      <c r="A36" s="334" t="s">
        <v>51</v>
      </c>
      <c r="B36" s="335">
        <f>COUNTIFS('Employee Data'!$W:$W,$A:$A)</f>
        <v>0</v>
      </c>
      <c r="C36" s="335">
        <f>COUNTIFS('Employee Data'!$W:$W,$A:$A,'Employee Data'!$BA:$BA,"Yes")</f>
        <v>0</v>
      </c>
      <c r="D36" s="336">
        <f>SUMIFS('Employee Data'!$AP:$AP,'Employee Data'!$W:$W,$A:$A,'Employee Data'!$BA:$BA,"Yes")</f>
        <v>0</v>
      </c>
      <c r="E36" s="336">
        <f>SUMIFS('Employee Data'!$AQ:$AQ,'Employee Data'!$W:$W,$A:$A,'Employee Data'!$BA:$BA,"Yes")</f>
        <v>0</v>
      </c>
      <c r="F36" s="336">
        <f>SUMIFS('Employee Data'!$AR:$AR,'Employee Data'!$W:$W,$A:$A)</f>
        <v>0</v>
      </c>
      <c r="G36" s="337" t="e">
        <f t="shared" si="13"/>
        <v>#DIV/0!</v>
      </c>
      <c r="H36" s="336">
        <f>SUMIFS('Employee Data'!$CQ:$CQ,'Employee Data'!$W:$W,$A:$A)</f>
        <v>0</v>
      </c>
      <c r="I36" s="336">
        <f>SUMIFS('Employee Data'!$CS:$CS,'Employee Data'!$W:$W,$A:$A)</f>
        <v>0</v>
      </c>
      <c r="J36" s="336">
        <f>SUMIFS('Employee Data'!$CW:$CW,'Employee Data'!$W:$W,$A:$A)</f>
        <v>0</v>
      </c>
      <c r="K36" s="336">
        <f>SUMIFS('Employee Data'!$BF:$BF,'Employee Data'!$W:$W,$A:$A,'Employee Data'!$BA:$BA,"Yes")</f>
        <v>0</v>
      </c>
      <c r="L36" s="336">
        <f>SUMIFS('Employee Data'!$BH:$BH,'Employee Data'!$W:$W,$A:$A)</f>
        <v>0</v>
      </c>
      <c r="M36" s="336">
        <f>SUMIFS('Employee Data'!$BI:$BI,'Employee Data'!$W:$W,$A:$A,'Employee Data'!$BA:$BA,"Yes")</f>
        <v>0</v>
      </c>
      <c r="N36" s="338" t="e">
        <f t="shared" si="14"/>
        <v>#DIV/0!</v>
      </c>
      <c r="O36" s="336">
        <f>SUMIFS('Employee Data'!$DJ:$DJ,'Employee Data'!$W:$W,$A:$A,'Employee Data'!$BA:$BA,"Yes")</f>
        <v>0</v>
      </c>
      <c r="P36" s="339" t="e">
        <f t="shared" si="15"/>
        <v>#DIV/0!</v>
      </c>
      <c r="Q36" s="336">
        <f>SUMIFS('Employee Data'!$CU:$CU,'Employee Data'!$W:$W,$A:$A)</f>
        <v>0</v>
      </c>
      <c r="R36" s="339" t="e">
        <f t="shared" si="16"/>
        <v>#DIV/0!</v>
      </c>
      <c r="S36" s="336">
        <f>SUMIFS('Employee Data'!$CY:$CY,'Employee Data'!$W:$W,$A:$A)</f>
        <v>0</v>
      </c>
      <c r="T36" s="338" t="e">
        <f t="shared" si="17"/>
        <v>#DIV/0!</v>
      </c>
      <c r="U36" s="336">
        <f>SUMIFS('Employee Data'!$DL:$DL,'Employee Data'!$W:$W,$A:$A,'Employee Data'!$BA:$BA,"Yes")</f>
        <v>0</v>
      </c>
      <c r="V36" s="337" t="e">
        <f t="shared" si="18"/>
        <v>#DIV/0!</v>
      </c>
      <c r="W36" s="336">
        <f>SUMIFS('Employee Data'!$BN:$BN,'Employee Data'!$W:$W,$A:$A,'Employee Data'!$BA:$BA,"Yes")</f>
        <v>0</v>
      </c>
      <c r="X36" s="336">
        <f>SUMIFS('Employee Data'!$BO:$BO,'Employee Data'!$W:$W,$A:$A,'Employee Data'!$BA:$BA,"Yes")</f>
        <v>0</v>
      </c>
      <c r="Y36" s="336">
        <f>SUMIFS('Employee Data'!$BV:$BV,'Employee Data'!$W:$W,$A:$A,'Employee Data'!$BA:$BA,"Yes")</f>
        <v>0</v>
      </c>
      <c r="Z36" s="387"/>
      <c r="AA36" s="387"/>
      <c r="AB36" s="387"/>
      <c r="AC36" s="387"/>
      <c r="AD36" s="387"/>
      <c r="AE36" s="387"/>
      <c r="AF36" s="387"/>
    </row>
    <row r="37" spans="1:32" s="226" customFormat="1" ht="15.75" hidden="1" outlineLevel="1">
      <c r="A37" s="328" t="s">
        <v>690</v>
      </c>
      <c r="B37" s="329">
        <f>COUNTIFS('Employee Data'!$V:$V,$A:$A)</f>
        <v>0</v>
      </c>
      <c r="C37" s="329">
        <f>COUNTIFS('Employee Data'!$V:$V,$A:$A,'Employee Data'!$BA:$BA,"Yes")</f>
        <v>0</v>
      </c>
      <c r="D37" s="330">
        <f>SUMIFS('Employee Data'!$AP:$AP,'Employee Data'!$V:$V,$A:$A)</f>
        <v>0</v>
      </c>
      <c r="E37" s="330">
        <f>SUMIFS('Employee Data'!$AQ:$AQ,'Employee Data'!$V:$V,$A:$A)</f>
        <v>0</v>
      </c>
      <c r="F37" s="330">
        <f>SUMIFS('Employee Data'!$AR:$AR,'Employee Data'!$V:$V,$A:$A)</f>
        <v>0</v>
      </c>
      <c r="G37" s="331" t="e">
        <f>H37/F37</f>
        <v>#DIV/0!</v>
      </c>
      <c r="H37" s="330">
        <f>SUMIFS('Employee Data'!$CQ:$CQ,'Employee Data'!$V:$V,$A:$A)</f>
        <v>0</v>
      </c>
      <c r="I37" s="330">
        <f>SUMIFS('Employee Data'!$CS:$CS,'Employee Data'!$V:$V,$A:$A)</f>
        <v>0</v>
      </c>
      <c r="J37" s="330">
        <f>SUMIFS('Employee Data'!$CW:$CW,'Employee Data'!$V:$V,$A:$A)</f>
        <v>0</v>
      </c>
      <c r="K37" s="330">
        <f>SUMIFS('Employee Data'!$BF:$BF,'Employee Data'!$V:$V,$A:$A,'Employee Data'!$BA:$BA,"Yes")</f>
        <v>0</v>
      </c>
      <c r="L37" s="330">
        <f>SUMIFS('Employee Data'!$BH:$BH,'Employee Data'!$V:$V,$A:$A)</f>
        <v>0</v>
      </c>
      <c r="M37" s="330">
        <f>SUMIFS('Employee Data'!$BJ:$BJ,'Employee Data'!$V:$V,$A:$A)</f>
        <v>0</v>
      </c>
      <c r="N37" s="332" t="e">
        <f>O37/F37</f>
        <v>#DIV/0!</v>
      </c>
      <c r="O37" s="330">
        <f>SUMIFS('Employee Data'!$DJ:$DJ,'Employee Data'!$V:$V,$A:$A)</f>
        <v>0</v>
      </c>
      <c r="P37" s="333" t="e">
        <f>Q37/F37</f>
        <v>#DIV/0!</v>
      </c>
      <c r="Q37" s="330">
        <f>SUMIFS('Employee Data'!$CU:$CU,'Employee Data'!$V:$V,$A:$A)</f>
        <v>0</v>
      </c>
      <c r="R37" s="333" t="e">
        <f>S37/F37</f>
        <v>#DIV/0!</v>
      </c>
      <c r="S37" s="330">
        <f>SUMIFS('Employee Data'!$CY:$CY,'Employee Data'!$V:$V,$A:$A)</f>
        <v>0</v>
      </c>
      <c r="T37" s="332" t="e">
        <f>U37/F37</f>
        <v>#DIV/0!</v>
      </c>
      <c r="U37" s="330">
        <f>SUMIFS('Employee Data'!$DL:$DL,'Employee Data'!$V:$V,$A:$A)</f>
        <v>0</v>
      </c>
      <c r="V37" s="331" t="e">
        <f>W37/F37</f>
        <v>#DIV/0!</v>
      </c>
      <c r="W37" s="330">
        <f>SUMIFS('Employee Data'!$BN:$BN,'Employee Data'!$V:$V,$A:$A)</f>
        <v>0</v>
      </c>
      <c r="X37" s="330">
        <f>SUMIFS('Employee Data'!$BO:$BO,'Employee Data'!$V:$V,$A:$A)</f>
        <v>0</v>
      </c>
      <c r="Y37" s="330">
        <f>SUMIFS('Employee Data'!$BV:$BV,'Employee Data'!$V:$V,$A:$A)</f>
        <v>0</v>
      </c>
      <c r="Z37" s="386"/>
      <c r="AA37" s="386"/>
      <c r="AB37" s="386"/>
      <c r="AC37" s="386"/>
      <c r="AD37" s="386"/>
      <c r="AE37" s="386"/>
      <c r="AF37" s="386"/>
    </row>
    <row r="38" spans="1:32" s="227" customFormat="1" ht="12.75" hidden="1" outlineLevel="1">
      <c r="A38" s="334" t="s">
        <v>937</v>
      </c>
      <c r="B38" s="335">
        <f>COUNTIFS('Employee Data'!$W:$W,$A:$A)</f>
        <v>0</v>
      </c>
      <c r="C38" s="335">
        <f>COUNTIFS('Employee Data'!$W:$W,$A:$A,'Employee Data'!$BA:$BA,"Yes")</f>
        <v>0</v>
      </c>
      <c r="D38" s="336">
        <f>SUMIFS('Employee Data'!$AP:$AP,'Employee Data'!$W:$W,$A:$A)</f>
        <v>0</v>
      </c>
      <c r="E38" s="336">
        <f>SUMIFS('Employee Data'!$AQ:$AQ,'Employee Data'!$W:$W,$A:$A)</f>
        <v>0</v>
      </c>
      <c r="F38" s="336">
        <f>SUMIFS('Employee Data'!$AR:$AR,'Employee Data'!$W:$W,$A:$A)</f>
        <v>0</v>
      </c>
      <c r="G38" s="337" t="e">
        <f t="shared" ref="G38:G45" si="25">H38/F38</f>
        <v>#DIV/0!</v>
      </c>
      <c r="H38" s="336">
        <f>SUMIFS('Employee Data'!$CQ:$CQ,'Employee Data'!$W:$W,$A:$A)</f>
        <v>0</v>
      </c>
      <c r="I38" s="336">
        <f>SUMIFS('Employee Data'!$CS:$CS,'Employee Data'!$W:$W,$A:$A)</f>
        <v>0</v>
      </c>
      <c r="J38" s="336">
        <f>SUMIFS('Employee Data'!$CW:$CW,'Employee Data'!$W:$W,$A:$A)</f>
        <v>0</v>
      </c>
      <c r="K38" s="336">
        <f>SUMIFS('Employee Data'!$BF:$BF,'Employee Data'!$W:$W,$A:$A)</f>
        <v>0</v>
      </c>
      <c r="L38" s="336">
        <f>SUMIFS('Employee Data'!$BH:$BH,'Employee Data'!$W:$W,$A:$A)</f>
        <v>0</v>
      </c>
      <c r="M38" s="336">
        <f>SUMIFS('Employee Data'!$BJ:$BJ,'Employee Data'!$W:$W,$A:$A)</f>
        <v>0</v>
      </c>
      <c r="N38" s="338" t="e">
        <f t="shared" ref="N38:N45" si="26">O38/F38</f>
        <v>#DIV/0!</v>
      </c>
      <c r="O38" s="336">
        <f>SUMIFS('Employee Data'!$DJ:$DJ,'Employee Data'!$W:$W,$A:$A)</f>
        <v>0</v>
      </c>
      <c r="P38" s="339" t="e">
        <f t="shared" ref="P38:P45" si="27">Q38/F38</f>
        <v>#DIV/0!</v>
      </c>
      <c r="Q38" s="336">
        <f>SUMIFS('Employee Data'!$CU:$CU,'Employee Data'!$W:$W,$A:$A)</f>
        <v>0</v>
      </c>
      <c r="R38" s="339" t="e">
        <f t="shared" ref="R38:R45" si="28">S38/F38</f>
        <v>#DIV/0!</v>
      </c>
      <c r="S38" s="336">
        <f>SUMIFS('Employee Data'!$CY:$CY,'Employee Data'!$W:$W,$A:$A)</f>
        <v>0</v>
      </c>
      <c r="T38" s="338" t="e">
        <f t="shared" ref="T38:T45" si="29">U38/F38</f>
        <v>#DIV/0!</v>
      </c>
      <c r="U38" s="336">
        <f>SUMIFS('Employee Data'!$DL:$DL,'Employee Data'!$W:$W,$A:$A)</f>
        <v>0</v>
      </c>
      <c r="V38" s="337" t="e">
        <f t="shared" ref="V38:V45" si="30">W38/F38</f>
        <v>#DIV/0!</v>
      </c>
      <c r="W38" s="336">
        <f>SUMIFS('Employee Data'!$BN:$BN,'Employee Data'!$W:$W,$A:$A)</f>
        <v>0</v>
      </c>
      <c r="X38" s="336">
        <f>SUMIFS('Employee Data'!$BO:$BO,'Employee Data'!$W:$W,$A:$A)</f>
        <v>0</v>
      </c>
      <c r="Y38" s="336">
        <f>SUMIFS('Employee Data'!$BV:$BV,'Employee Data'!$W:$W,$A:$A)</f>
        <v>0</v>
      </c>
      <c r="Z38" s="387"/>
      <c r="AA38" s="387"/>
      <c r="AB38" s="387"/>
      <c r="AC38" s="387"/>
      <c r="AD38" s="387"/>
      <c r="AE38" s="387"/>
      <c r="AF38" s="387"/>
    </row>
    <row r="39" spans="1:32" s="227" customFormat="1" ht="12.75" hidden="1" outlineLevel="1">
      <c r="A39" s="334" t="s">
        <v>571</v>
      </c>
      <c r="B39" s="335">
        <f>COUNTIFS('Employee Data'!$W:$W,$A:$A)</f>
        <v>0</v>
      </c>
      <c r="C39" s="335">
        <f>COUNTIFS('Employee Data'!$W:$W,$A:$A,'Employee Data'!$BA:$BA,"Yes")</f>
        <v>0</v>
      </c>
      <c r="D39" s="336">
        <f>SUMIFS('Employee Data'!$AP:$AP,'Employee Data'!$W:$W,$A:$A)</f>
        <v>0</v>
      </c>
      <c r="E39" s="336">
        <f>SUMIFS('Employee Data'!$AQ:$AQ,'Employee Data'!$W:$W,$A:$A)</f>
        <v>0</v>
      </c>
      <c r="F39" s="336">
        <f>SUMIFS('Employee Data'!$AR:$AR,'Employee Data'!$W:$W,$A:$A)</f>
        <v>0</v>
      </c>
      <c r="G39" s="337" t="e">
        <f t="shared" si="25"/>
        <v>#DIV/0!</v>
      </c>
      <c r="H39" s="336">
        <f>SUMIFS('Employee Data'!$CQ:$CQ,'Employee Data'!$W:$W,$A:$A)</f>
        <v>0</v>
      </c>
      <c r="I39" s="336">
        <f>SUMIFS('Employee Data'!$CS:$CS,'Employee Data'!$W:$W,$A:$A)</f>
        <v>0</v>
      </c>
      <c r="J39" s="336">
        <f>SUMIFS('Employee Data'!$CW:$CW,'Employee Data'!$W:$W,$A:$A)</f>
        <v>0</v>
      </c>
      <c r="K39" s="336">
        <f>SUMIFS('Employee Data'!$BF:$BF,'Employee Data'!$W:$W,$A:$A)</f>
        <v>0</v>
      </c>
      <c r="L39" s="336">
        <f>SUMIFS('Employee Data'!$BH:$BH,'Employee Data'!$W:$W,$A:$A)</f>
        <v>0</v>
      </c>
      <c r="M39" s="336">
        <f>SUMIFS('Employee Data'!$BJ:$BJ,'Employee Data'!$W:$W,$A:$A)</f>
        <v>0</v>
      </c>
      <c r="N39" s="338" t="e">
        <f t="shared" si="26"/>
        <v>#DIV/0!</v>
      </c>
      <c r="O39" s="336">
        <f>SUMIFS('Employee Data'!$DJ:$DJ,'Employee Data'!$W:$W,$A:$A)</f>
        <v>0</v>
      </c>
      <c r="P39" s="339" t="e">
        <f t="shared" si="27"/>
        <v>#DIV/0!</v>
      </c>
      <c r="Q39" s="336">
        <f>SUMIFS('Employee Data'!$CU:$CU,'Employee Data'!$W:$W,$A:$A)</f>
        <v>0</v>
      </c>
      <c r="R39" s="339" t="e">
        <f t="shared" si="28"/>
        <v>#DIV/0!</v>
      </c>
      <c r="S39" s="336">
        <f>SUMIFS('Employee Data'!$CY:$CY,'Employee Data'!$W:$W,$A:$A)</f>
        <v>0</v>
      </c>
      <c r="T39" s="338" t="e">
        <f t="shared" si="29"/>
        <v>#DIV/0!</v>
      </c>
      <c r="U39" s="336">
        <f>SUMIFS('Employee Data'!$DL:$DL,'Employee Data'!$W:$W,$A:$A)</f>
        <v>0</v>
      </c>
      <c r="V39" s="337" t="e">
        <f t="shared" si="30"/>
        <v>#DIV/0!</v>
      </c>
      <c r="W39" s="336">
        <f>SUMIFS('Employee Data'!$BN:$BN,'Employee Data'!$W:$W,$A:$A)</f>
        <v>0</v>
      </c>
      <c r="X39" s="336">
        <f>SUMIFS('Employee Data'!$BO:$BO,'Employee Data'!$W:$W,$A:$A)</f>
        <v>0</v>
      </c>
      <c r="Y39" s="336">
        <f>SUMIFS('Employee Data'!$BV:$BV,'Employee Data'!$W:$W,$A:$A)</f>
        <v>0</v>
      </c>
      <c r="Z39" s="387"/>
      <c r="AA39" s="387"/>
      <c r="AB39" s="387"/>
      <c r="AC39" s="387"/>
      <c r="AD39" s="387"/>
      <c r="AE39" s="387"/>
      <c r="AF39" s="387"/>
    </row>
    <row r="40" spans="1:32" s="227" customFormat="1" ht="12.75" hidden="1" outlineLevel="1">
      <c r="A40" s="334" t="s">
        <v>621</v>
      </c>
      <c r="B40" s="335">
        <f>COUNTIFS('Employee Data'!$W:$W,$A:$A)</f>
        <v>0</v>
      </c>
      <c r="C40" s="335">
        <f>COUNTIFS('Employee Data'!$W:$W,$A:$A,'Employee Data'!$BA:$BA,"Yes")</f>
        <v>0</v>
      </c>
      <c r="D40" s="336">
        <f>SUMIFS('Employee Data'!$AP:$AP,'Employee Data'!$W:$W,$A:$A)</f>
        <v>0</v>
      </c>
      <c r="E40" s="336">
        <f>SUMIFS('Employee Data'!$AQ:$AQ,'Employee Data'!$W:$W,$A:$A)</f>
        <v>0</v>
      </c>
      <c r="F40" s="336">
        <f>SUMIFS('Employee Data'!$AR:$AR,'Employee Data'!$W:$W,$A:$A)</f>
        <v>0</v>
      </c>
      <c r="G40" s="337" t="e">
        <f t="shared" si="25"/>
        <v>#DIV/0!</v>
      </c>
      <c r="H40" s="336">
        <f>SUMIFS('Employee Data'!$CQ:$CQ,'Employee Data'!$W:$W,$A:$A)</f>
        <v>0</v>
      </c>
      <c r="I40" s="336">
        <f>SUMIFS('Employee Data'!$CS:$CS,'Employee Data'!$W:$W,$A:$A)</f>
        <v>0</v>
      </c>
      <c r="J40" s="336">
        <f>SUMIFS('Employee Data'!$CW:$CW,'Employee Data'!$W:$W,$A:$A)</f>
        <v>0</v>
      </c>
      <c r="K40" s="336">
        <f>SUMIFS('Employee Data'!$BF:$BF,'Employee Data'!$W:$W,$A:$A)</f>
        <v>0</v>
      </c>
      <c r="L40" s="336">
        <f>SUMIFS('Employee Data'!$BH:$BH,'Employee Data'!$W:$W,$A:$A)</f>
        <v>0</v>
      </c>
      <c r="M40" s="336">
        <f>SUMIFS('Employee Data'!$BJ:$BJ,'Employee Data'!$W:$W,$A:$A)</f>
        <v>0</v>
      </c>
      <c r="N40" s="338" t="e">
        <f t="shared" si="26"/>
        <v>#DIV/0!</v>
      </c>
      <c r="O40" s="336">
        <f>SUMIFS('Employee Data'!$DJ:$DJ,'Employee Data'!$W:$W,$A:$A)</f>
        <v>0</v>
      </c>
      <c r="P40" s="339" t="e">
        <f t="shared" si="27"/>
        <v>#DIV/0!</v>
      </c>
      <c r="Q40" s="336">
        <f>SUMIFS('Employee Data'!$CU:$CU,'Employee Data'!$W:$W,$A:$A)</f>
        <v>0</v>
      </c>
      <c r="R40" s="339" t="e">
        <f t="shared" si="28"/>
        <v>#DIV/0!</v>
      </c>
      <c r="S40" s="336">
        <f>SUMIFS('Employee Data'!$CY:$CY,'Employee Data'!$W:$W,$A:$A)</f>
        <v>0</v>
      </c>
      <c r="T40" s="338" t="e">
        <f t="shared" si="29"/>
        <v>#DIV/0!</v>
      </c>
      <c r="U40" s="336">
        <f>SUMIFS('Employee Data'!$DL:$DL,'Employee Data'!$W:$W,$A:$A)</f>
        <v>0</v>
      </c>
      <c r="V40" s="337" t="e">
        <f t="shared" si="30"/>
        <v>#DIV/0!</v>
      </c>
      <c r="W40" s="336">
        <f>SUMIFS('Employee Data'!$BN:$BN,'Employee Data'!$W:$W,$A:$A)</f>
        <v>0</v>
      </c>
      <c r="X40" s="336">
        <f>SUMIFS('Employee Data'!$BO:$BO,'Employee Data'!$W:$W,$A:$A)</f>
        <v>0</v>
      </c>
      <c r="Y40" s="336">
        <f>SUMIFS('Employee Data'!$BV:$BV,'Employee Data'!$W:$W,$A:$A)</f>
        <v>0</v>
      </c>
      <c r="Z40" s="387"/>
      <c r="AA40" s="387"/>
      <c r="AB40" s="387"/>
      <c r="AC40" s="387"/>
      <c r="AD40" s="387"/>
      <c r="AE40" s="387"/>
      <c r="AF40" s="387"/>
    </row>
    <row r="41" spans="1:32" s="227" customFormat="1" ht="12.75" hidden="1" outlineLevel="1">
      <c r="A41" s="334" t="s">
        <v>554</v>
      </c>
      <c r="B41" s="335">
        <f>COUNTIFS('Employee Data'!$W:$W,$A:$A)</f>
        <v>0</v>
      </c>
      <c r="C41" s="335">
        <f>COUNTIFS('Employee Data'!$W:$W,$A:$A,'Employee Data'!$BA:$BA,"Yes")</f>
        <v>0</v>
      </c>
      <c r="D41" s="336">
        <f>SUMIFS('Employee Data'!$AP:$AP,'Employee Data'!$W:$W,$A:$A)</f>
        <v>0</v>
      </c>
      <c r="E41" s="336">
        <f>SUMIFS('Employee Data'!$AQ:$AQ,'Employee Data'!$W:$W,$A:$A)</f>
        <v>0</v>
      </c>
      <c r="F41" s="336">
        <f>SUMIFS('Employee Data'!$AR:$AR,'Employee Data'!$W:$W,$A:$A)</f>
        <v>0</v>
      </c>
      <c r="G41" s="337" t="e">
        <f t="shared" si="25"/>
        <v>#DIV/0!</v>
      </c>
      <c r="H41" s="336">
        <f>SUMIFS('Employee Data'!$CQ:$CQ,'Employee Data'!$W:$W,$A:$A)</f>
        <v>0</v>
      </c>
      <c r="I41" s="336">
        <f>SUMIFS('Employee Data'!$CS:$CS,'Employee Data'!$W:$W,$A:$A)</f>
        <v>0</v>
      </c>
      <c r="J41" s="336">
        <f>SUMIFS('Employee Data'!$CW:$CW,'Employee Data'!$W:$W,$A:$A)</f>
        <v>0</v>
      </c>
      <c r="K41" s="336">
        <f>SUMIFS('Employee Data'!$BF:$BF,'Employee Data'!$W:$W,$A:$A)</f>
        <v>0</v>
      </c>
      <c r="L41" s="336">
        <f>SUMIFS('Employee Data'!$BH:$BH,'Employee Data'!$W:$W,$A:$A)</f>
        <v>0</v>
      </c>
      <c r="M41" s="336">
        <f>SUMIFS('Employee Data'!$BJ:$BJ,'Employee Data'!$W:$W,$A:$A)</f>
        <v>0</v>
      </c>
      <c r="N41" s="338" t="e">
        <f t="shared" si="26"/>
        <v>#DIV/0!</v>
      </c>
      <c r="O41" s="336">
        <f>SUMIFS('Employee Data'!$DJ:$DJ,'Employee Data'!$W:$W,$A:$A)</f>
        <v>0</v>
      </c>
      <c r="P41" s="339" t="e">
        <f t="shared" si="27"/>
        <v>#DIV/0!</v>
      </c>
      <c r="Q41" s="336">
        <f>SUMIFS('Employee Data'!$CU:$CU,'Employee Data'!$W:$W,$A:$A)</f>
        <v>0</v>
      </c>
      <c r="R41" s="339" t="e">
        <f t="shared" si="28"/>
        <v>#DIV/0!</v>
      </c>
      <c r="S41" s="336">
        <f>SUMIFS('Employee Data'!$CY:$CY,'Employee Data'!$W:$W,$A:$A)</f>
        <v>0</v>
      </c>
      <c r="T41" s="338" t="e">
        <f t="shared" si="29"/>
        <v>#DIV/0!</v>
      </c>
      <c r="U41" s="336">
        <f>SUMIFS('Employee Data'!$DL:$DL,'Employee Data'!$W:$W,$A:$A)</f>
        <v>0</v>
      </c>
      <c r="V41" s="337" t="e">
        <f t="shared" si="30"/>
        <v>#DIV/0!</v>
      </c>
      <c r="W41" s="336">
        <f>SUMIFS('Employee Data'!$BN:$BN,'Employee Data'!$W:$W,$A:$A)</f>
        <v>0</v>
      </c>
      <c r="X41" s="336">
        <f>SUMIFS('Employee Data'!$BO:$BO,'Employee Data'!$W:$W,$A:$A)</f>
        <v>0</v>
      </c>
      <c r="Y41" s="336">
        <f>SUMIFS('Employee Data'!$BV:$BV,'Employee Data'!$W:$W,$A:$A)</f>
        <v>0</v>
      </c>
      <c r="Z41" s="387"/>
      <c r="AA41" s="387"/>
      <c r="AB41" s="387"/>
      <c r="AC41" s="387"/>
      <c r="AD41" s="387"/>
      <c r="AE41" s="387"/>
      <c r="AF41" s="387"/>
    </row>
    <row r="42" spans="1:32" s="227" customFormat="1" ht="12.75" hidden="1" outlineLevel="1">
      <c r="A42" s="334" t="s">
        <v>564</v>
      </c>
      <c r="B42" s="335">
        <f>COUNTIFS('Employee Data'!$W:$W,$A:$A)</f>
        <v>0</v>
      </c>
      <c r="C42" s="335">
        <f>COUNTIFS('Employee Data'!$W:$W,$A:$A,'Employee Data'!$BA:$BA,"Yes")</f>
        <v>0</v>
      </c>
      <c r="D42" s="336">
        <f>SUMIFS('Employee Data'!$AP:$AP,'Employee Data'!$W:$W,$A:$A)</f>
        <v>0</v>
      </c>
      <c r="E42" s="336">
        <f>SUMIFS('Employee Data'!$AQ:$AQ,'Employee Data'!$W:$W,$A:$A)</f>
        <v>0</v>
      </c>
      <c r="F42" s="336">
        <f>SUMIFS('Employee Data'!$AR:$AR,'Employee Data'!$W:$W,$A:$A)</f>
        <v>0</v>
      </c>
      <c r="G42" s="337" t="e">
        <f t="shared" si="25"/>
        <v>#DIV/0!</v>
      </c>
      <c r="H42" s="336">
        <f>SUMIFS('Employee Data'!$CQ:$CQ,'Employee Data'!$W:$W,$A:$A)</f>
        <v>0</v>
      </c>
      <c r="I42" s="336">
        <f>SUMIFS('Employee Data'!$CS:$CS,'Employee Data'!$W:$W,$A:$A)</f>
        <v>0</v>
      </c>
      <c r="J42" s="336">
        <f>SUMIFS('Employee Data'!$CW:$CW,'Employee Data'!$W:$W,$A:$A)</f>
        <v>0</v>
      </c>
      <c r="K42" s="336">
        <f>SUMIFS('Employee Data'!$BF:$BF,'Employee Data'!$W:$W,$A:$A)</f>
        <v>0</v>
      </c>
      <c r="L42" s="336">
        <f>SUMIFS('Employee Data'!$BH:$BH,'Employee Data'!$W:$W,$A:$A)</f>
        <v>0</v>
      </c>
      <c r="M42" s="336">
        <f>SUMIFS('Employee Data'!$BJ:$BJ,'Employee Data'!$W:$W,$A:$A)</f>
        <v>0</v>
      </c>
      <c r="N42" s="338" t="e">
        <f t="shared" si="26"/>
        <v>#DIV/0!</v>
      </c>
      <c r="O42" s="336">
        <f>SUMIFS('Employee Data'!$DJ:$DJ,'Employee Data'!$W:$W,$A:$A)</f>
        <v>0</v>
      </c>
      <c r="P42" s="339" t="e">
        <f t="shared" si="27"/>
        <v>#DIV/0!</v>
      </c>
      <c r="Q42" s="336">
        <f>SUMIFS('Employee Data'!$CU:$CU,'Employee Data'!$W:$W,$A:$A)</f>
        <v>0</v>
      </c>
      <c r="R42" s="339" t="e">
        <f t="shared" si="28"/>
        <v>#DIV/0!</v>
      </c>
      <c r="S42" s="336">
        <f>SUMIFS('Employee Data'!$CY:$CY,'Employee Data'!$W:$W,$A:$A)</f>
        <v>0</v>
      </c>
      <c r="T42" s="338" t="e">
        <f t="shared" si="29"/>
        <v>#DIV/0!</v>
      </c>
      <c r="U42" s="336">
        <f>SUMIFS('Employee Data'!$DL:$DL,'Employee Data'!$W:$W,$A:$A)</f>
        <v>0</v>
      </c>
      <c r="V42" s="337" t="e">
        <f t="shared" si="30"/>
        <v>#DIV/0!</v>
      </c>
      <c r="W42" s="336">
        <f>SUMIFS('Employee Data'!$BN:$BN,'Employee Data'!$W:$W,$A:$A)</f>
        <v>0</v>
      </c>
      <c r="X42" s="336">
        <f>SUMIFS('Employee Data'!$BO:$BO,'Employee Data'!$W:$W,$A:$A)</f>
        <v>0</v>
      </c>
      <c r="Y42" s="336">
        <f>SUMIFS('Employee Data'!$BV:$BV,'Employee Data'!$W:$W,$A:$A)</f>
        <v>0</v>
      </c>
      <c r="Z42" s="387"/>
      <c r="AA42" s="387"/>
      <c r="AB42" s="387"/>
      <c r="AC42" s="387"/>
      <c r="AD42" s="387"/>
      <c r="AE42" s="387"/>
      <c r="AF42" s="387"/>
    </row>
    <row r="43" spans="1:32" s="227" customFormat="1" ht="12.75" hidden="1" outlineLevel="1">
      <c r="A43" s="334" t="s">
        <v>568</v>
      </c>
      <c r="B43" s="335">
        <f>COUNTIFS('Employee Data'!$W:$W,$A:$A)</f>
        <v>0</v>
      </c>
      <c r="C43" s="335">
        <f>COUNTIFS('Employee Data'!$W:$W,$A:$A,'Employee Data'!$BA:$BA,"Yes")</f>
        <v>0</v>
      </c>
      <c r="D43" s="336">
        <f>SUMIFS('Employee Data'!$AP:$AP,'Employee Data'!$W:$W,$A:$A)</f>
        <v>0</v>
      </c>
      <c r="E43" s="336">
        <f>SUMIFS('Employee Data'!$AQ:$AQ,'Employee Data'!$W:$W,$A:$A)</f>
        <v>0</v>
      </c>
      <c r="F43" s="336">
        <f>SUMIFS('Employee Data'!$AR:$AR,'Employee Data'!$W:$W,$A:$A)</f>
        <v>0</v>
      </c>
      <c r="G43" s="337" t="e">
        <f t="shared" si="25"/>
        <v>#DIV/0!</v>
      </c>
      <c r="H43" s="336">
        <f>SUMIFS('Employee Data'!$CQ:$CQ,'Employee Data'!$W:$W,$A:$A)</f>
        <v>0</v>
      </c>
      <c r="I43" s="336">
        <f>SUMIFS('Employee Data'!$CS:$CS,'Employee Data'!$W:$W,$A:$A)</f>
        <v>0</v>
      </c>
      <c r="J43" s="336">
        <f>SUMIFS('Employee Data'!$CW:$CW,'Employee Data'!$W:$W,$A:$A)</f>
        <v>0</v>
      </c>
      <c r="K43" s="336">
        <f>SUMIFS('Employee Data'!$BF:$BF,'Employee Data'!$W:$W,$A:$A)</f>
        <v>0</v>
      </c>
      <c r="L43" s="336">
        <f>SUMIFS('Employee Data'!$BH:$BH,'Employee Data'!$W:$W,$A:$A)</f>
        <v>0</v>
      </c>
      <c r="M43" s="336">
        <f>SUMIFS('Employee Data'!$BJ:$BJ,'Employee Data'!$W:$W,$A:$A)</f>
        <v>0</v>
      </c>
      <c r="N43" s="338" t="e">
        <f t="shared" si="26"/>
        <v>#DIV/0!</v>
      </c>
      <c r="O43" s="336">
        <f>SUMIFS('Employee Data'!$DJ:$DJ,'Employee Data'!$W:$W,$A:$A)</f>
        <v>0</v>
      </c>
      <c r="P43" s="339" t="e">
        <f t="shared" si="27"/>
        <v>#DIV/0!</v>
      </c>
      <c r="Q43" s="336">
        <f>SUMIFS('Employee Data'!$CU:$CU,'Employee Data'!$W:$W,$A:$A)</f>
        <v>0</v>
      </c>
      <c r="R43" s="339" t="e">
        <f t="shared" si="28"/>
        <v>#DIV/0!</v>
      </c>
      <c r="S43" s="336">
        <f>SUMIFS('Employee Data'!$CY:$CY,'Employee Data'!$W:$W,$A:$A)</f>
        <v>0</v>
      </c>
      <c r="T43" s="338" t="e">
        <f t="shared" si="29"/>
        <v>#DIV/0!</v>
      </c>
      <c r="U43" s="336">
        <f>SUMIFS('Employee Data'!$DL:$DL,'Employee Data'!$W:$W,$A:$A)</f>
        <v>0</v>
      </c>
      <c r="V43" s="337" t="e">
        <f t="shared" si="30"/>
        <v>#DIV/0!</v>
      </c>
      <c r="W43" s="336">
        <f>SUMIFS('Employee Data'!$BN:$BN,'Employee Data'!$W:$W,$A:$A)</f>
        <v>0</v>
      </c>
      <c r="X43" s="336">
        <f>SUMIFS('Employee Data'!$BO:$BO,'Employee Data'!$W:$W,$A:$A)</f>
        <v>0</v>
      </c>
      <c r="Y43" s="336">
        <f>SUMIFS('Employee Data'!$BV:$BV,'Employee Data'!$W:$W,$A:$A)</f>
        <v>0</v>
      </c>
      <c r="Z43" s="387"/>
      <c r="AA43" s="387"/>
      <c r="AB43" s="387"/>
      <c r="AC43" s="387"/>
      <c r="AD43" s="387"/>
      <c r="AE43" s="387"/>
      <c r="AF43" s="387"/>
    </row>
    <row r="44" spans="1:32" s="227" customFormat="1" ht="12.75" hidden="1" outlineLevel="1">
      <c r="A44" s="334" t="s">
        <v>8</v>
      </c>
      <c r="B44" s="335">
        <f>COUNTIFS('Employee Data'!$W:$W,$A:$A)</f>
        <v>0</v>
      </c>
      <c r="C44" s="335">
        <f>COUNTIFS('Employee Data'!$W:$W,$A:$A,'Employee Data'!$BA:$BA,"Yes")</f>
        <v>0</v>
      </c>
      <c r="D44" s="336">
        <f>SUMIFS('Employee Data'!$AP:$AP,'Employee Data'!$W:$W,$A:$A)</f>
        <v>0</v>
      </c>
      <c r="E44" s="336">
        <f>SUMIFS('Employee Data'!$AQ:$AQ,'Employee Data'!$W:$W,$A:$A)</f>
        <v>0</v>
      </c>
      <c r="F44" s="336">
        <f>SUMIFS('Employee Data'!$AR:$AR,'Employee Data'!$W:$W,$A:$A)</f>
        <v>0</v>
      </c>
      <c r="G44" s="337" t="e">
        <f t="shared" si="25"/>
        <v>#DIV/0!</v>
      </c>
      <c r="H44" s="336">
        <f>SUMIFS('Employee Data'!$CQ:$CQ,'Employee Data'!$W:$W,$A:$A)</f>
        <v>0</v>
      </c>
      <c r="I44" s="336">
        <f>SUMIFS('Employee Data'!$CS:$CS,'Employee Data'!$W:$W,$A:$A)</f>
        <v>0</v>
      </c>
      <c r="J44" s="336">
        <f>SUMIFS('Employee Data'!$CW:$CW,'Employee Data'!$W:$W,$A:$A)</f>
        <v>0</v>
      </c>
      <c r="K44" s="336">
        <f>SUMIFS('Employee Data'!$BF:$BF,'Employee Data'!$W:$W,$A:$A)</f>
        <v>0</v>
      </c>
      <c r="L44" s="336">
        <f>SUMIFS('Employee Data'!$BH:$BH,'Employee Data'!$W:$W,$A:$A)</f>
        <v>0</v>
      </c>
      <c r="M44" s="336">
        <f>SUMIFS('Employee Data'!$BJ:$BJ,'Employee Data'!$W:$W,$A:$A)</f>
        <v>0</v>
      </c>
      <c r="N44" s="338" t="e">
        <f t="shared" si="26"/>
        <v>#DIV/0!</v>
      </c>
      <c r="O44" s="336">
        <f>SUMIFS('Employee Data'!$DJ:$DJ,'Employee Data'!$W:$W,$A:$A)</f>
        <v>0</v>
      </c>
      <c r="P44" s="339" t="e">
        <f t="shared" si="27"/>
        <v>#DIV/0!</v>
      </c>
      <c r="Q44" s="336">
        <f>SUMIFS('Employee Data'!$CU:$CU,'Employee Data'!$W:$W,$A:$A)</f>
        <v>0</v>
      </c>
      <c r="R44" s="339" t="e">
        <f t="shared" si="28"/>
        <v>#DIV/0!</v>
      </c>
      <c r="S44" s="336">
        <f>SUMIFS('Employee Data'!$CY:$CY,'Employee Data'!$W:$W,$A:$A)</f>
        <v>0</v>
      </c>
      <c r="T44" s="338" t="e">
        <f t="shared" si="29"/>
        <v>#DIV/0!</v>
      </c>
      <c r="U44" s="336">
        <f>SUMIFS('Employee Data'!$DL:$DL,'Employee Data'!$W:$W,$A:$A)</f>
        <v>0</v>
      </c>
      <c r="V44" s="337" t="e">
        <f t="shared" si="30"/>
        <v>#DIV/0!</v>
      </c>
      <c r="W44" s="336">
        <f>SUMIFS('Employee Data'!$BN:$BN,'Employee Data'!$W:$W,$A:$A)</f>
        <v>0</v>
      </c>
      <c r="X44" s="336">
        <f>SUMIFS('Employee Data'!$BO:$BO,'Employee Data'!$W:$W,$A:$A)</f>
        <v>0</v>
      </c>
      <c r="Y44" s="336">
        <f>SUMIFS('Employee Data'!$BV:$BV,'Employee Data'!$W:$W,$A:$A)</f>
        <v>0</v>
      </c>
      <c r="Z44" s="387"/>
      <c r="AA44" s="387"/>
      <c r="AB44" s="387"/>
      <c r="AC44" s="387"/>
      <c r="AD44" s="387"/>
      <c r="AE44" s="387"/>
      <c r="AF44" s="387"/>
    </row>
    <row r="45" spans="1:32" s="227" customFormat="1" ht="12.75" hidden="1" outlineLevel="1">
      <c r="A45" s="334" t="s">
        <v>7</v>
      </c>
      <c r="B45" s="335">
        <f>COUNTIFS('Employee Data'!$W:$W,$A:$A)</f>
        <v>0</v>
      </c>
      <c r="C45" s="335">
        <f>COUNTIFS('Employee Data'!$W:$W,$A:$A,'Employee Data'!$BA:$BA,"Yes")</f>
        <v>0</v>
      </c>
      <c r="D45" s="336">
        <f>SUMIFS('Employee Data'!$AP:$AP,'Employee Data'!$W:$W,$A:$A)</f>
        <v>0</v>
      </c>
      <c r="E45" s="336">
        <f>SUMIFS('Employee Data'!$AQ:$AQ,'Employee Data'!$W:$W,$A:$A)</f>
        <v>0</v>
      </c>
      <c r="F45" s="336">
        <f>SUMIFS('Employee Data'!$AR:$AR,'Employee Data'!$W:$W,$A:$A)</f>
        <v>0</v>
      </c>
      <c r="G45" s="337" t="e">
        <f t="shared" si="25"/>
        <v>#DIV/0!</v>
      </c>
      <c r="H45" s="336">
        <f>SUMIFS('Employee Data'!$CQ:$CQ,'Employee Data'!$W:$W,$A:$A)</f>
        <v>0</v>
      </c>
      <c r="I45" s="336">
        <f>SUMIFS('Employee Data'!$CS:$CS,'Employee Data'!$W:$W,$A:$A)</f>
        <v>0</v>
      </c>
      <c r="J45" s="336">
        <f>SUMIFS('Employee Data'!$CW:$CW,'Employee Data'!$W:$W,$A:$A)</f>
        <v>0</v>
      </c>
      <c r="K45" s="336">
        <f>SUMIFS('Employee Data'!$BF:$BF,'Employee Data'!$W:$W,$A:$A)</f>
        <v>0</v>
      </c>
      <c r="L45" s="336">
        <f>SUMIFS('Employee Data'!$BH:$BH,'Employee Data'!$W:$W,$A:$A)</f>
        <v>0</v>
      </c>
      <c r="M45" s="336">
        <f>SUMIFS('Employee Data'!$BJ:$BJ,'Employee Data'!$W:$W,$A:$A)</f>
        <v>0</v>
      </c>
      <c r="N45" s="338" t="e">
        <f t="shared" si="26"/>
        <v>#DIV/0!</v>
      </c>
      <c r="O45" s="336">
        <f>SUMIFS('Employee Data'!$DJ:$DJ,'Employee Data'!$W:$W,$A:$A)</f>
        <v>0</v>
      </c>
      <c r="P45" s="339" t="e">
        <f t="shared" si="27"/>
        <v>#DIV/0!</v>
      </c>
      <c r="Q45" s="336">
        <f>SUMIFS('Employee Data'!$CU:$CU,'Employee Data'!$W:$W,$A:$A)</f>
        <v>0</v>
      </c>
      <c r="R45" s="339" t="e">
        <f t="shared" si="28"/>
        <v>#DIV/0!</v>
      </c>
      <c r="S45" s="336">
        <f>SUMIFS('Employee Data'!$CY:$CY,'Employee Data'!$W:$W,$A:$A)</f>
        <v>0</v>
      </c>
      <c r="T45" s="338" t="e">
        <f t="shared" si="29"/>
        <v>#DIV/0!</v>
      </c>
      <c r="U45" s="336">
        <f>SUMIFS('Employee Data'!$DL:$DL,'Employee Data'!$W:$W,$A:$A)</f>
        <v>0</v>
      </c>
      <c r="V45" s="337" t="e">
        <f t="shared" si="30"/>
        <v>#DIV/0!</v>
      </c>
      <c r="W45" s="336">
        <f>SUMIFS('Employee Data'!$BN:$BN,'Employee Data'!$W:$W,$A:$A)</f>
        <v>0</v>
      </c>
      <c r="X45" s="336">
        <f>SUMIFS('Employee Data'!$BO:$BO,'Employee Data'!$W:$W,$A:$A)</f>
        <v>0</v>
      </c>
      <c r="Y45" s="336">
        <f>SUMIFS('Employee Data'!$BV:$BV,'Employee Data'!$W:$W,$A:$A)</f>
        <v>0</v>
      </c>
      <c r="Z45" s="387"/>
      <c r="AA45" s="387"/>
      <c r="AB45" s="387"/>
      <c r="AC45" s="387"/>
      <c r="AD45" s="387"/>
      <c r="AE45" s="387"/>
      <c r="AF45" s="387"/>
    </row>
    <row r="46" spans="1:32" s="226" customFormat="1" ht="15.75" hidden="1" outlineLevel="1">
      <c r="A46" s="328" t="s">
        <v>9</v>
      </c>
      <c r="B46" s="329">
        <f>COUNTIFS('Employee Data'!$V:$V,$A:$A)</f>
        <v>0</v>
      </c>
      <c r="C46" s="329">
        <f>COUNTIFS('Employee Data'!$V:$V,$A:$A,'Employee Data'!$BA:$BA,"Yes")</f>
        <v>0</v>
      </c>
      <c r="D46" s="330">
        <f>SUMIFS('Employee Data'!$AP:$AP,'Employee Data'!$V:$V,$A:$A)</f>
        <v>0</v>
      </c>
      <c r="E46" s="330">
        <f>SUMIFS('Employee Data'!$AQ:$AQ,'Employee Data'!$V:$V,$A:$A)</f>
        <v>0</v>
      </c>
      <c r="F46" s="330">
        <f>SUMIFS('Employee Data'!$AR:$AR,'Employee Data'!$V:$V,$A:$A)</f>
        <v>0</v>
      </c>
      <c r="G46" s="331" t="e">
        <f>H46/F46</f>
        <v>#DIV/0!</v>
      </c>
      <c r="H46" s="330">
        <f>SUMIFS('Employee Data'!$CQ:$CQ,'Employee Data'!$V:$V,$A:$A)</f>
        <v>0</v>
      </c>
      <c r="I46" s="330">
        <f>SUMIFS('Employee Data'!$CS:$CS,'Employee Data'!$V:$V,$A:$A)</f>
        <v>0</v>
      </c>
      <c r="J46" s="330">
        <f>SUMIFS('Employee Data'!$CW:$CW,'Employee Data'!$V:$V,$A:$A)</f>
        <v>0</v>
      </c>
      <c r="K46" s="330">
        <f>SUMIFS('Employee Data'!$BF:$BF,'Employee Data'!$V:$V,$A:$A,'Employee Data'!$BA:$BA,"Yes")</f>
        <v>0</v>
      </c>
      <c r="L46" s="330">
        <f>SUMIFS('Employee Data'!$BH:$BH,'Employee Data'!$V:$V,$A:$A)</f>
        <v>0</v>
      </c>
      <c r="M46" s="330">
        <f>SUMIFS('Employee Data'!$BJ:$BJ,'Employee Data'!$V:$V,$A:$A)</f>
        <v>0</v>
      </c>
      <c r="N46" s="332" t="e">
        <f>O46/F46</f>
        <v>#DIV/0!</v>
      </c>
      <c r="O46" s="330">
        <f>SUMIFS('Employee Data'!$DJ:$DJ,'Employee Data'!$V:$V,$A:$A)</f>
        <v>0</v>
      </c>
      <c r="P46" s="333" t="e">
        <f>Q46/F46</f>
        <v>#DIV/0!</v>
      </c>
      <c r="Q46" s="330">
        <f>SUMIFS('Employee Data'!$CU:$CU,'Employee Data'!$V:$V,$A:$A)</f>
        <v>0</v>
      </c>
      <c r="R46" s="333" t="e">
        <f>S46/F46</f>
        <v>#DIV/0!</v>
      </c>
      <c r="S46" s="330">
        <f>SUMIFS('Employee Data'!$CY:$CY,'Employee Data'!$V:$V,$A:$A)</f>
        <v>0</v>
      </c>
      <c r="T46" s="332" t="e">
        <f>U46/F46</f>
        <v>#DIV/0!</v>
      </c>
      <c r="U46" s="330">
        <f>SUMIFS('Employee Data'!$DL:$DL,'Employee Data'!$V:$V,$A:$A)</f>
        <v>0</v>
      </c>
      <c r="V46" s="331" t="e">
        <f>W46/F46</f>
        <v>#DIV/0!</v>
      </c>
      <c r="W46" s="330">
        <f>SUMIFS('Employee Data'!$BN:$BN,'Employee Data'!$V:$V,$A:$A)</f>
        <v>0</v>
      </c>
      <c r="X46" s="330">
        <f>SUMIFS('Employee Data'!$BO:$BO,'Employee Data'!$V:$V,$A:$A)</f>
        <v>0</v>
      </c>
      <c r="Y46" s="330">
        <f>SUMIFS('Employee Data'!$BV:$BV,'Employee Data'!$V:$V,$A:$A)</f>
        <v>0</v>
      </c>
      <c r="Z46" s="386"/>
      <c r="AA46" s="386"/>
      <c r="AB46" s="386"/>
      <c r="AC46" s="386"/>
      <c r="AD46" s="386"/>
      <c r="AE46" s="386"/>
      <c r="AF46" s="386"/>
    </row>
    <row r="47" spans="1:32" s="227" customFormat="1" ht="12.75" hidden="1" outlineLevel="1">
      <c r="A47" s="334" t="s">
        <v>989</v>
      </c>
      <c r="B47" s="335">
        <f>COUNTIFS('Employee Data'!$W:$W,$A:$A)</f>
        <v>0</v>
      </c>
      <c r="C47" s="335">
        <f>COUNTIFS('Employee Data'!$W:$W,$A:$A,'Employee Data'!$BA:$BA,"Yes")</f>
        <v>0</v>
      </c>
      <c r="D47" s="336">
        <f>SUMIFS('Employee Data'!$AP:$AP,'Employee Data'!$W:$W,$A:$A)</f>
        <v>0</v>
      </c>
      <c r="E47" s="336">
        <f>SUMIFS('Employee Data'!$AQ:$AQ,'Employee Data'!$W:$W,$A:$A)</f>
        <v>0</v>
      </c>
      <c r="F47" s="336">
        <f>SUMIFS('Employee Data'!$AR:$AR,'Employee Data'!$W:$W,$A:$A)</f>
        <v>0</v>
      </c>
      <c r="G47" s="337" t="e">
        <f t="shared" ref="G47:G54" si="31">H47/F47</f>
        <v>#DIV/0!</v>
      </c>
      <c r="H47" s="336">
        <f>SUMIFS('Employee Data'!$CQ:$CQ,'Employee Data'!$W:$W,$A:$A)</f>
        <v>0</v>
      </c>
      <c r="I47" s="336">
        <f>SUMIFS('Employee Data'!$CS:$CS,'Employee Data'!$W:$W,$A:$A)</f>
        <v>0</v>
      </c>
      <c r="J47" s="336">
        <f>SUMIFS('Employee Data'!$CW:$CW,'Employee Data'!$W:$W,$A:$A)</f>
        <v>0</v>
      </c>
      <c r="K47" s="336">
        <f>SUMIFS('Employee Data'!$BF:$BF,'Employee Data'!$W:$W,$A:$A)</f>
        <v>0</v>
      </c>
      <c r="L47" s="336">
        <f>SUMIFS('Employee Data'!$BH:$BH,'Employee Data'!$W:$W,$A:$A)</f>
        <v>0</v>
      </c>
      <c r="M47" s="336">
        <f>SUMIFS('Employee Data'!$BJ:$BJ,'Employee Data'!$W:$W,$A:$A)</f>
        <v>0</v>
      </c>
      <c r="N47" s="338" t="e">
        <f t="shared" ref="N47:N54" si="32">O47/F47</f>
        <v>#DIV/0!</v>
      </c>
      <c r="O47" s="336">
        <f>SUMIFS('Employee Data'!$DJ:$DJ,'Employee Data'!$W:$W,$A:$A)</f>
        <v>0</v>
      </c>
      <c r="P47" s="339" t="e">
        <f t="shared" ref="P47:P54" si="33">Q47/F47</f>
        <v>#DIV/0!</v>
      </c>
      <c r="Q47" s="336">
        <f>SUMIFS('Employee Data'!$CU:$CU,'Employee Data'!$W:$W,$A:$A)</f>
        <v>0</v>
      </c>
      <c r="R47" s="339" t="e">
        <f t="shared" ref="R47:R54" si="34">S47/F47</f>
        <v>#DIV/0!</v>
      </c>
      <c r="S47" s="336">
        <f>SUMIFS('Employee Data'!$CY:$CY,'Employee Data'!$W:$W,$A:$A)</f>
        <v>0</v>
      </c>
      <c r="T47" s="338" t="e">
        <f t="shared" ref="T47:T54" si="35">U47/F47</f>
        <v>#DIV/0!</v>
      </c>
      <c r="U47" s="336">
        <f>SUMIFS('Employee Data'!$DL:$DL,'Employee Data'!$W:$W,$A:$A)</f>
        <v>0</v>
      </c>
      <c r="V47" s="337" t="e">
        <f t="shared" ref="V47:V54" si="36">W47/F47</f>
        <v>#DIV/0!</v>
      </c>
      <c r="W47" s="336">
        <f>SUMIFS('Employee Data'!$BN:$BN,'Employee Data'!$W:$W,$A:$A)</f>
        <v>0</v>
      </c>
      <c r="X47" s="336">
        <f>SUMIFS('Employee Data'!$BO:$BO,'Employee Data'!$W:$W,$A:$A)</f>
        <v>0</v>
      </c>
      <c r="Y47" s="336">
        <f>SUMIFS('Employee Data'!$BV:$BV,'Employee Data'!$W:$W,$A:$A)</f>
        <v>0</v>
      </c>
      <c r="Z47" s="387"/>
      <c r="AA47" s="387"/>
      <c r="AB47" s="387"/>
      <c r="AC47" s="387"/>
      <c r="AD47" s="387"/>
      <c r="AE47" s="387"/>
      <c r="AF47" s="387"/>
    </row>
    <row r="48" spans="1:32" s="227" customFormat="1" ht="12.75" hidden="1" outlineLevel="1">
      <c r="A48" s="334" t="s">
        <v>696</v>
      </c>
      <c r="B48" s="335">
        <f>COUNTIFS('Employee Data'!$W:$W,$A:$A)</f>
        <v>0</v>
      </c>
      <c r="C48" s="335">
        <f>COUNTIFS('Employee Data'!$W:$W,$A:$A,'Employee Data'!$BA:$BA,"Yes")</f>
        <v>0</v>
      </c>
      <c r="D48" s="336">
        <f>SUMIFS('Employee Data'!$AP:$AP,'Employee Data'!$W:$W,$A:$A)</f>
        <v>0</v>
      </c>
      <c r="E48" s="336">
        <f>SUMIFS('Employee Data'!$AQ:$AQ,'Employee Data'!$W:$W,$A:$A)</f>
        <v>0</v>
      </c>
      <c r="F48" s="336">
        <f>SUMIFS('Employee Data'!$AR:$AR,'Employee Data'!$W:$W,$A:$A)</f>
        <v>0</v>
      </c>
      <c r="G48" s="337" t="e">
        <f t="shared" si="31"/>
        <v>#DIV/0!</v>
      </c>
      <c r="H48" s="336">
        <f>SUMIFS('Employee Data'!$CQ:$CQ,'Employee Data'!$W:$W,$A:$A)</f>
        <v>0</v>
      </c>
      <c r="I48" s="336">
        <f>SUMIFS('Employee Data'!$CS:$CS,'Employee Data'!$W:$W,$A:$A)</f>
        <v>0</v>
      </c>
      <c r="J48" s="336">
        <f>SUMIFS('Employee Data'!$CW:$CW,'Employee Data'!$W:$W,$A:$A)</f>
        <v>0</v>
      </c>
      <c r="K48" s="336">
        <f>SUMIFS('Employee Data'!$BF:$BF,'Employee Data'!$W:$W,$A:$A)</f>
        <v>0</v>
      </c>
      <c r="L48" s="336">
        <f>SUMIFS('Employee Data'!$BH:$BH,'Employee Data'!$W:$W,$A:$A)</f>
        <v>0</v>
      </c>
      <c r="M48" s="336">
        <f>SUMIFS('Employee Data'!$BJ:$BJ,'Employee Data'!$W:$W,$A:$A)</f>
        <v>0</v>
      </c>
      <c r="N48" s="338" t="e">
        <f t="shared" si="32"/>
        <v>#DIV/0!</v>
      </c>
      <c r="O48" s="336">
        <f>SUMIFS('Employee Data'!$DJ:$DJ,'Employee Data'!$W:$W,$A:$A)</f>
        <v>0</v>
      </c>
      <c r="P48" s="339" t="e">
        <f t="shared" si="33"/>
        <v>#DIV/0!</v>
      </c>
      <c r="Q48" s="336">
        <f>SUMIFS('Employee Data'!$CU:$CU,'Employee Data'!$W:$W,$A:$A)</f>
        <v>0</v>
      </c>
      <c r="R48" s="339" t="e">
        <f t="shared" si="34"/>
        <v>#DIV/0!</v>
      </c>
      <c r="S48" s="336">
        <f>SUMIFS('Employee Data'!$CY:$CY,'Employee Data'!$W:$W,$A:$A)</f>
        <v>0</v>
      </c>
      <c r="T48" s="338" t="e">
        <f t="shared" si="35"/>
        <v>#DIV/0!</v>
      </c>
      <c r="U48" s="336">
        <f>SUMIFS('Employee Data'!$DL:$DL,'Employee Data'!$W:$W,$A:$A)</f>
        <v>0</v>
      </c>
      <c r="V48" s="337" t="e">
        <f t="shared" si="36"/>
        <v>#DIV/0!</v>
      </c>
      <c r="W48" s="336">
        <f>SUMIFS('Employee Data'!$BN:$BN,'Employee Data'!$W:$W,$A:$A)</f>
        <v>0</v>
      </c>
      <c r="X48" s="336">
        <f>SUMIFS('Employee Data'!$BO:$BO,'Employee Data'!$W:$W,$A:$A)</f>
        <v>0</v>
      </c>
      <c r="Y48" s="336">
        <f>SUMIFS('Employee Data'!$BV:$BV,'Employee Data'!$W:$W,$A:$A)</f>
        <v>0</v>
      </c>
      <c r="Z48" s="387"/>
      <c r="AA48" s="387"/>
      <c r="AB48" s="387"/>
      <c r="AC48" s="387"/>
      <c r="AD48" s="387"/>
      <c r="AE48" s="387"/>
      <c r="AF48" s="387"/>
    </row>
    <row r="49" spans="1:32" s="227" customFormat="1" ht="12.75" hidden="1" outlineLevel="1">
      <c r="A49" s="334" t="s">
        <v>623</v>
      </c>
      <c r="B49" s="335">
        <f>COUNTIFS('Employee Data'!$W:$W,$A:$A)</f>
        <v>0</v>
      </c>
      <c r="C49" s="335">
        <f>COUNTIFS('Employee Data'!$W:$W,$A:$A,'Employee Data'!$BA:$BA,"Yes")</f>
        <v>0</v>
      </c>
      <c r="D49" s="336">
        <f>SUMIFS('Employee Data'!$AP:$AP,'Employee Data'!$W:$W,$A:$A)</f>
        <v>0</v>
      </c>
      <c r="E49" s="336">
        <f>SUMIFS('Employee Data'!$AQ:$AQ,'Employee Data'!$W:$W,$A:$A)</f>
        <v>0</v>
      </c>
      <c r="F49" s="336">
        <f>SUMIFS('Employee Data'!$AR:$AR,'Employee Data'!$W:$W,$A:$A)</f>
        <v>0</v>
      </c>
      <c r="G49" s="337" t="e">
        <f t="shared" si="31"/>
        <v>#DIV/0!</v>
      </c>
      <c r="H49" s="336">
        <f>SUMIFS('Employee Data'!$CQ:$CQ,'Employee Data'!$W:$W,$A:$A)</f>
        <v>0</v>
      </c>
      <c r="I49" s="336">
        <f>SUMIFS('Employee Data'!$CS:$CS,'Employee Data'!$W:$W,$A:$A)</f>
        <v>0</v>
      </c>
      <c r="J49" s="336">
        <f>SUMIFS('Employee Data'!$CW:$CW,'Employee Data'!$W:$W,$A:$A)</f>
        <v>0</v>
      </c>
      <c r="K49" s="336">
        <f>SUMIFS('Employee Data'!$BF:$BF,'Employee Data'!$W:$W,$A:$A)</f>
        <v>0</v>
      </c>
      <c r="L49" s="336">
        <f>SUMIFS('Employee Data'!$BH:$BH,'Employee Data'!$W:$W,$A:$A)</f>
        <v>0</v>
      </c>
      <c r="M49" s="336">
        <f>SUMIFS('Employee Data'!$BJ:$BJ,'Employee Data'!$W:$W,$A:$A)</f>
        <v>0</v>
      </c>
      <c r="N49" s="338" t="e">
        <f t="shared" si="32"/>
        <v>#DIV/0!</v>
      </c>
      <c r="O49" s="336">
        <f>SUMIFS('Employee Data'!$DJ:$DJ,'Employee Data'!$W:$W,$A:$A)</f>
        <v>0</v>
      </c>
      <c r="P49" s="339" t="e">
        <f t="shared" si="33"/>
        <v>#DIV/0!</v>
      </c>
      <c r="Q49" s="336">
        <f>SUMIFS('Employee Data'!$CU:$CU,'Employee Data'!$W:$W,$A:$A)</f>
        <v>0</v>
      </c>
      <c r="R49" s="339" t="e">
        <f t="shared" si="34"/>
        <v>#DIV/0!</v>
      </c>
      <c r="S49" s="336">
        <f>SUMIFS('Employee Data'!$CY:$CY,'Employee Data'!$W:$W,$A:$A)</f>
        <v>0</v>
      </c>
      <c r="T49" s="338" t="e">
        <f t="shared" si="35"/>
        <v>#DIV/0!</v>
      </c>
      <c r="U49" s="336">
        <f>SUMIFS('Employee Data'!$DL:$DL,'Employee Data'!$W:$W,$A:$A)</f>
        <v>0</v>
      </c>
      <c r="V49" s="337" t="e">
        <f t="shared" si="36"/>
        <v>#DIV/0!</v>
      </c>
      <c r="W49" s="336">
        <f>SUMIFS('Employee Data'!$BN:$BN,'Employee Data'!$W:$W,$A:$A)</f>
        <v>0</v>
      </c>
      <c r="X49" s="336">
        <f>SUMIFS('Employee Data'!$BO:$BO,'Employee Data'!$W:$W,$A:$A)</f>
        <v>0</v>
      </c>
      <c r="Y49" s="336">
        <f>SUMIFS('Employee Data'!$BV:$BV,'Employee Data'!$W:$W,$A:$A)</f>
        <v>0</v>
      </c>
      <c r="Z49" s="387"/>
      <c r="AA49" s="387"/>
      <c r="AB49" s="387"/>
      <c r="AC49" s="387"/>
      <c r="AD49" s="387"/>
      <c r="AE49" s="387"/>
      <c r="AF49" s="387"/>
    </row>
    <row r="50" spans="1:32" s="227" customFormat="1" ht="12.75" hidden="1" outlineLevel="1">
      <c r="A50" s="334" t="s">
        <v>573</v>
      </c>
      <c r="B50" s="335">
        <f>COUNTIFS('Employee Data'!$W:$W,$A:$A)</f>
        <v>0</v>
      </c>
      <c r="C50" s="335">
        <f>COUNTIFS('Employee Data'!$W:$W,$A:$A,'Employee Data'!$BA:$BA,"Yes")</f>
        <v>0</v>
      </c>
      <c r="D50" s="336">
        <f>SUMIFS('Employee Data'!$AP:$AP,'Employee Data'!$W:$W,$A:$A)</f>
        <v>0</v>
      </c>
      <c r="E50" s="336">
        <f>SUMIFS('Employee Data'!$AQ:$AQ,'Employee Data'!$W:$W,$A:$A)</f>
        <v>0</v>
      </c>
      <c r="F50" s="336">
        <f>SUMIFS('Employee Data'!$AR:$AR,'Employee Data'!$W:$W,$A:$A)</f>
        <v>0</v>
      </c>
      <c r="G50" s="337" t="e">
        <f t="shared" si="31"/>
        <v>#DIV/0!</v>
      </c>
      <c r="H50" s="336">
        <f>SUMIFS('Employee Data'!$CQ:$CQ,'Employee Data'!$W:$W,$A:$A)</f>
        <v>0</v>
      </c>
      <c r="I50" s="336">
        <f>SUMIFS('Employee Data'!$CS:$CS,'Employee Data'!$W:$W,$A:$A)</f>
        <v>0</v>
      </c>
      <c r="J50" s="336">
        <f>SUMIFS('Employee Data'!$CW:$CW,'Employee Data'!$W:$W,$A:$A)</f>
        <v>0</v>
      </c>
      <c r="K50" s="336">
        <f>SUMIFS('Employee Data'!$BF:$BF,'Employee Data'!$W:$W,$A:$A)</f>
        <v>0</v>
      </c>
      <c r="L50" s="336">
        <f>SUMIFS('Employee Data'!$BH:$BH,'Employee Data'!$W:$W,$A:$A)</f>
        <v>0</v>
      </c>
      <c r="M50" s="336">
        <f>SUMIFS('Employee Data'!$BJ:$BJ,'Employee Data'!$W:$W,$A:$A)</f>
        <v>0</v>
      </c>
      <c r="N50" s="338" t="e">
        <f t="shared" si="32"/>
        <v>#DIV/0!</v>
      </c>
      <c r="O50" s="336">
        <f>SUMIFS('Employee Data'!$DJ:$DJ,'Employee Data'!$W:$W,$A:$A)</f>
        <v>0</v>
      </c>
      <c r="P50" s="339" t="e">
        <f t="shared" si="33"/>
        <v>#DIV/0!</v>
      </c>
      <c r="Q50" s="336">
        <f>SUMIFS('Employee Data'!$CU:$CU,'Employee Data'!$W:$W,$A:$A)</f>
        <v>0</v>
      </c>
      <c r="R50" s="339" t="e">
        <f t="shared" si="34"/>
        <v>#DIV/0!</v>
      </c>
      <c r="S50" s="336">
        <f>SUMIFS('Employee Data'!$CY:$CY,'Employee Data'!$W:$W,$A:$A)</f>
        <v>0</v>
      </c>
      <c r="T50" s="338" t="e">
        <f t="shared" si="35"/>
        <v>#DIV/0!</v>
      </c>
      <c r="U50" s="336">
        <f>SUMIFS('Employee Data'!$DL:$DL,'Employee Data'!$W:$W,$A:$A)</f>
        <v>0</v>
      </c>
      <c r="V50" s="337" t="e">
        <f t="shared" si="36"/>
        <v>#DIV/0!</v>
      </c>
      <c r="W50" s="336">
        <f>SUMIFS('Employee Data'!$BN:$BN,'Employee Data'!$W:$W,$A:$A)</f>
        <v>0</v>
      </c>
      <c r="X50" s="336">
        <f>SUMIFS('Employee Data'!$BO:$BO,'Employee Data'!$W:$W,$A:$A)</f>
        <v>0</v>
      </c>
      <c r="Y50" s="336">
        <f>SUMIFS('Employee Data'!$BV:$BV,'Employee Data'!$W:$W,$A:$A)</f>
        <v>0</v>
      </c>
      <c r="Z50" s="387"/>
      <c r="AA50" s="387"/>
      <c r="AB50" s="387"/>
      <c r="AC50" s="387"/>
      <c r="AD50" s="387"/>
      <c r="AE50" s="387"/>
      <c r="AF50" s="387"/>
    </row>
    <row r="51" spans="1:32" s="227" customFormat="1" ht="12.75" hidden="1" outlineLevel="1">
      <c r="A51" s="334" t="s">
        <v>575</v>
      </c>
      <c r="B51" s="335">
        <f>COUNTIFS('Employee Data'!$W:$W,$A:$A)</f>
        <v>0</v>
      </c>
      <c r="C51" s="335">
        <f>COUNTIFS('Employee Data'!$W:$W,$A:$A,'Employee Data'!$BA:$BA,"Yes")</f>
        <v>0</v>
      </c>
      <c r="D51" s="336">
        <f>SUMIFS('Employee Data'!$AP:$AP,'Employee Data'!$W:$W,$A:$A)</f>
        <v>0</v>
      </c>
      <c r="E51" s="336">
        <f>SUMIFS('Employee Data'!$AQ:$AQ,'Employee Data'!$W:$W,$A:$A)</f>
        <v>0</v>
      </c>
      <c r="F51" s="336">
        <f>SUMIFS('Employee Data'!$AR:$AR,'Employee Data'!$W:$W,$A:$A)</f>
        <v>0</v>
      </c>
      <c r="G51" s="337" t="e">
        <f t="shared" si="31"/>
        <v>#DIV/0!</v>
      </c>
      <c r="H51" s="336">
        <f>SUMIFS('Employee Data'!$CQ:$CQ,'Employee Data'!$W:$W,$A:$A)</f>
        <v>0</v>
      </c>
      <c r="I51" s="336">
        <f>SUMIFS('Employee Data'!$CS:$CS,'Employee Data'!$W:$W,$A:$A)</f>
        <v>0</v>
      </c>
      <c r="J51" s="336">
        <f>SUMIFS('Employee Data'!$CW:$CW,'Employee Data'!$W:$W,$A:$A)</f>
        <v>0</v>
      </c>
      <c r="K51" s="336">
        <f>SUMIFS('Employee Data'!$BF:$BF,'Employee Data'!$W:$W,$A:$A)</f>
        <v>0</v>
      </c>
      <c r="L51" s="336">
        <f>SUMIFS('Employee Data'!$BH:$BH,'Employee Data'!$W:$W,$A:$A)</f>
        <v>0</v>
      </c>
      <c r="M51" s="336">
        <f>SUMIFS('Employee Data'!$BJ:$BJ,'Employee Data'!$W:$W,$A:$A)</f>
        <v>0</v>
      </c>
      <c r="N51" s="338" t="e">
        <f t="shared" si="32"/>
        <v>#DIV/0!</v>
      </c>
      <c r="O51" s="336">
        <f>SUMIFS('Employee Data'!$DJ:$DJ,'Employee Data'!$W:$W,$A:$A)</f>
        <v>0</v>
      </c>
      <c r="P51" s="339" t="e">
        <f t="shared" si="33"/>
        <v>#DIV/0!</v>
      </c>
      <c r="Q51" s="336">
        <f>SUMIFS('Employee Data'!$CU:$CU,'Employee Data'!$W:$W,$A:$A)</f>
        <v>0</v>
      </c>
      <c r="R51" s="339" t="e">
        <f t="shared" si="34"/>
        <v>#DIV/0!</v>
      </c>
      <c r="S51" s="336">
        <f>SUMIFS('Employee Data'!$CY:$CY,'Employee Data'!$W:$W,$A:$A)</f>
        <v>0</v>
      </c>
      <c r="T51" s="338" t="e">
        <f t="shared" si="35"/>
        <v>#DIV/0!</v>
      </c>
      <c r="U51" s="336">
        <f>SUMIFS('Employee Data'!$DL:$DL,'Employee Data'!$W:$W,$A:$A)</f>
        <v>0</v>
      </c>
      <c r="V51" s="337" t="e">
        <f t="shared" si="36"/>
        <v>#DIV/0!</v>
      </c>
      <c r="W51" s="336">
        <f>SUMIFS('Employee Data'!$BN:$BN,'Employee Data'!$W:$W,$A:$A)</f>
        <v>0</v>
      </c>
      <c r="X51" s="336">
        <f>SUMIFS('Employee Data'!$BO:$BO,'Employee Data'!$W:$W,$A:$A)</f>
        <v>0</v>
      </c>
      <c r="Y51" s="336">
        <f>SUMIFS('Employee Data'!$BV:$BV,'Employee Data'!$W:$W,$A:$A)</f>
        <v>0</v>
      </c>
      <c r="Z51" s="387"/>
      <c r="AA51" s="387"/>
      <c r="AB51" s="387"/>
      <c r="AC51" s="387"/>
      <c r="AD51" s="387"/>
      <c r="AE51" s="387"/>
      <c r="AF51" s="387"/>
    </row>
    <row r="52" spans="1:32" s="227" customFormat="1" ht="12.75" hidden="1" outlineLevel="1">
      <c r="A52" s="334" t="s">
        <v>624</v>
      </c>
      <c r="B52" s="335">
        <f>COUNTIFS('Employee Data'!$W:$W,$A:$A)</f>
        <v>0</v>
      </c>
      <c r="C52" s="335">
        <f>COUNTIFS('Employee Data'!$W:$W,$A:$A,'Employee Data'!$BA:$BA,"Yes")</f>
        <v>0</v>
      </c>
      <c r="D52" s="336">
        <f>SUMIFS('Employee Data'!$AP:$AP,'Employee Data'!$W:$W,$A:$A)</f>
        <v>0</v>
      </c>
      <c r="E52" s="336">
        <f>SUMIFS('Employee Data'!$AQ:$AQ,'Employee Data'!$W:$W,$A:$A)</f>
        <v>0</v>
      </c>
      <c r="F52" s="336">
        <f>SUMIFS('Employee Data'!$AR:$AR,'Employee Data'!$W:$W,$A:$A)</f>
        <v>0</v>
      </c>
      <c r="G52" s="337" t="e">
        <f t="shared" si="31"/>
        <v>#DIV/0!</v>
      </c>
      <c r="H52" s="336">
        <f>SUMIFS('Employee Data'!$CQ:$CQ,'Employee Data'!$W:$W,$A:$A)</f>
        <v>0</v>
      </c>
      <c r="I52" s="336">
        <f>SUMIFS('Employee Data'!$CS:$CS,'Employee Data'!$W:$W,$A:$A)</f>
        <v>0</v>
      </c>
      <c r="J52" s="336">
        <f>SUMIFS('Employee Data'!$CW:$CW,'Employee Data'!$W:$W,$A:$A)</f>
        <v>0</v>
      </c>
      <c r="K52" s="336">
        <f>SUMIFS('Employee Data'!$BF:$BF,'Employee Data'!$W:$W,$A:$A)</f>
        <v>0</v>
      </c>
      <c r="L52" s="336">
        <f>SUMIFS('Employee Data'!$BH:$BH,'Employee Data'!$W:$W,$A:$A)</f>
        <v>0</v>
      </c>
      <c r="M52" s="336">
        <f>SUMIFS('Employee Data'!$BJ:$BJ,'Employee Data'!$W:$W,$A:$A)</f>
        <v>0</v>
      </c>
      <c r="N52" s="338" t="e">
        <f t="shared" si="32"/>
        <v>#DIV/0!</v>
      </c>
      <c r="O52" s="336">
        <f>SUMIFS('Employee Data'!$DJ:$DJ,'Employee Data'!$W:$W,$A:$A)</f>
        <v>0</v>
      </c>
      <c r="P52" s="339" t="e">
        <f t="shared" si="33"/>
        <v>#DIV/0!</v>
      </c>
      <c r="Q52" s="336">
        <f>SUMIFS('Employee Data'!$CU:$CU,'Employee Data'!$W:$W,$A:$A)</f>
        <v>0</v>
      </c>
      <c r="R52" s="339" t="e">
        <f t="shared" si="34"/>
        <v>#DIV/0!</v>
      </c>
      <c r="S52" s="336">
        <f>SUMIFS('Employee Data'!$CY:$CY,'Employee Data'!$W:$W,$A:$A)</f>
        <v>0</v>
      </c>
      <c r="T52" s="338" t="e">
        <f t="shared" si="35"/>
        <v>#DIV/0!</v>
      </c>
      <c r="U52" s="336">
        <f>SUMIFS('Employee Data'!$DL:$DL,'Employee Data'!$W:$W,$A:$A)</f>
        <v>0</v>
      </c>
      <c r="V52" s="337" t="e">
        <f t="shared" si="36"/>
        <v>#DIV/0!</v>
      </c>
      <c r="W52" s="336">
        <f>SUMIFS('Employee Data'!$BN:$BN,'Employee Data'!$W:$W,$A:$A)</f>
        <v>0</v>
      </c>
      <c r="X52" s="336">
        <f>SUMIFS('Employee Data'!$BO:$BO,'Employee Data'!$W:$W,$A:$A)</f>
        <v>0</v>
      </c>
      <c r="Y52" s="336">
        <f>SUMIFS('Employee Data'!$BV:$BV,'Employee Data'!$W:$W,$A:$A)</f>
        <v>0</v>
      </c>
      <c r="Z52" s="387"/>
      <c r="AA52" s="387"/>
      <c r="AB52" s="387"/>
      <c r="AC52" s="387"/>
      <c r="AD52" s="387"/>
      <c r="AE52" s="387"/>
      <c r="AF52" s="387"/>
    </row>
    <row r="53" spans="1:32" s="227" customFormat="1" ht="12.75" hidden="1" outlineLevel="1">
      <c r="A53" s="334" t="s">
        <v>569</v>
      </c>
      <c r="B53" s="335">
        <f>COUNTIFS('Employee Data'!$W:$W,$A:$A)</f>
        <v>0</v>
      </c>
      <c r="C53" s="335">
        <f>COUNTIFS('Employee Data'!$W:$W,$A:$A,'Employee Data'!$BA:$BA,"Yes")</f>
        <v>0</v>
      </c>
      <c r="D53" s="336">
        <f>SUMIFS('Employee Data'!$AP:$AP,'Employee Data'!$W:$W,$A:$A)</f>
        <v>0</v>
      </c>
      <c r="E53" s="336">
        <f>SUMIFS('Employee Data'!$AQ:$AQ,'Employee Data'!$W:$W,$A:$A)</f>
        <v>0</v>
      </c>
      <c r="F53" s="336">
        <f>SUMIFS('Employee Data'!$AR:$AR,'Employee Data'!$W:$W,$A:$A)</f>
        <v>0</v>
      </c>
      <c r="G53" s="337" t="e">
        <f t="shared" si="31"/>
        <v>#DIV/0!</v>
      </c>
      <c r="H53" s="336">
        <f>SUMIFS('Employee Data'!$CQ:$CQ,'Employee Data'!$W:$W,$A:$A)</f>
        <v>0</v>
      </c>
      <c r="I53" s="336">
        <f>SUMIFS('Employee Data'!$CS:$CS,'Employee Data'!$W:$W,$A:$A)</f>
        <v>0</v>
      </c>
      <c r="J53" s="336">
        <f>SUMIFS('Employee Data'!$CW:$CW,'Employee Data'!$W:$W,$A:$A)</f>
        <v>0</v>
      </c>
      <c r="K53" s="336">
        <f>SUMIFS('Employee Data'!$BF:$BF,'Employee Data'!$W:$W,$A:$A)</f>
        <v>0</v>
      </c>
      <c r="L53" s="336">
        <f>SUMIFS('Employee Data'!$BH:$BH,'Employee Data'!$W:$W,$A:$A)</f>
        <v>0</v>
      </c>
      <c r="M53" s="336">
        <f>SUMIFS('Employee Data'!$BJ:$BJ,'Employee Data'!$W:$W,$A:$A)</f>
        <v>0</v>
      </c>
      <c r="N53" s="338" t="e">
        <f t="shared" si="32"/>
        <v>#DIV/0!</v>
      </c>
      <c r="O53" s="336">
        <f>SUMIFS('Employee Data'!$DJ:$DJ,'Employee Data'!$W:$W,$A:$A)</f>
        <v>0</v>
      </c>
      <c r="P53" s="339" t="e">
        <f t="shared" si="33"/>
        <v>#DIV/0!</v>
      </c>
      <c r="Q53" s="336">
        <f>SUMIFS('Employee Data'!$CU:$CU,'Employee Data'!$W:$W,$A:$A)</f>
        <v>0</v>
      </c>
      <c r="R53" s="339" t="e">
        <f t="shared" si="34"/>
        <v>#DIV/0!</v>
      </c>
      <c r="S53" s="336">
        <f>SUMIFS('Employee Data'!$CY:$CY,'Employee Data'!$W:$W,$A:$A)</f>
        <v>0</v>
      </c>
      <c r="T53" s="338" t="e">
        <f t="shared" si="35"/>
        <v>#DIV/0!</v>
      </c>
      <c r="U53" s="336">
        <f>SUMIFS('Employee Data'!$DL:$DL,'Employee Data'!$W:$W,$A:$A)</f>
        <v>0</v>
      </c>
      <c r="V53" s="337" t="e">
        <f t="shared" si="36"/>
        <v>#DIV/0!</v>
      </c>
      <c r="W53" s="336">
        <f>SUMIFS('Employee Data'!$BN:$BN,'Employee Data'!$W:$W,$A:$A)</f>
        <v>0</v>
      </c>
      <c r="X53" s="336">
        <f>SUMIFS('Employee Data'!$BO:$BO,'Employee Data'!$W:$W,$A:$A)</f>
        <v>0</v>
      </c>
      <c r="Y53" s="336">
        <f>SUMIFS('Employee Data'!$BV:$BV,'Employee Data'!$W:$W,$A:$A)</f>
        <v>0</v>
      </c>
      <c r="Z53" s="387"/>
      <c r="AA53" s="387"/>
      <c r="AB53" s="387"/>
      <c r="AC53" s="387"/>
      <c r="AD53" s="387"/>
      <c r="AE53" s="387"/>
      <c r="AF53" s="387"/>
    </row>
    <row r="54" spans="1:32" s="227" customFormat="1" ht="12.75" hidden="1" outlineLevel="1">
      <c r="A54" s="334" t="s">
        <v>625</v>
      </c>
      <c r="B54" s="335">
        <f>COUNTIFS('Employee Data'!$W:$W,$A:$A)</f>
        <v>0</v>
      </c>
      <c r="C54" s="335">
        <f>COUNTIFS('Employee Data'!$W:$W,$A:$A,'Employee Data'!$BA:$BA,"Yes")</f>
        <v>0</v>
      </c>
      <c r="D54" s="336">
        <f>SUMIFS('Employee Data'!$AP:$AP,'Employee Data'!$W:$W,$A:$A)</f>
        <v>0</v>
      </c>
      <c r="E54" s="336">
        <f>SUMIFS('Employee Data'!$AQ:$AQ,'Employee Data'!$W:$W,$A:$A)</f>
        <v>0</v>
      </c>
      <c r="F54" s="336">
        <f>SUMIFS('Employee Data'!$AR:$AR,'Employee Data'!$W:$W,$A:$A)</f>
        <v>0</v>
      </c>
      <c r="G54" s="337" t="e">
        <f t="shared" si="31"/>
        <v>#DIV/0!</v>
      </c>
      <c r="H54" s="336">
        <f>SUMIFS('Employee Data'!$CQ:$CQ,'Employee Data'!$W:$W,$A:$A)</f>
        <v>0</v>
      </c>
      <c r="I54" s="336">
        <f>SUMIFS('Employee Data'!$CS:$CS,'Employee Data'!$W:$W,$A:$A)</f>
        <v>0</v>
      </c>
      <c r="J54" s="336">
        <f>SUMIFS('Employee Data'!$CW:$CW,'Employee Data'!$W:$W,$A:$A)</f>
        <v>0</v>
      </c>
      <c r="K54" s="336">
        <f>SUMIFS('Employee Data'!$BF:$BF,'Employee Data'!$W:$W,$A:$A)</f>
        <v>0</v>
      </c>
      <c r="L54" s="336">
        <f>SUMIFS('Employee Data'!$BH:$BH,'Employee Data'!$W:$W,$A:$A)</f>
        <v>0</v>
      </c>
      <c r="M54" s="336">
        <f>SUMIFS('Employee Data'!$BJ:$BJ,'Employee Data'!$W:$W,$A:$A)</f>
        <v>0</v>
      </c>
      <c r="N54" s="338" t="e">
        <f t="shared" si="32"/>
        <v>#DIV/0!</v>
      </c>
      <c r="O54" s="336">
        <f>SUMIFS('Employee Data'!$DJ:$DJ,'Employee Data'!$W:$W,$A:$A)</f>
        <v>0</v>
      </c>
      <c r="P54" s="339" t="e">
        <f t="shared" si="33"/>
        <v>#DIV/0!</v>
      </c>
      <c r="Q54" s="336">
        <f>SUMIFS('Employee Data'!$CU:$CU,'Employee Data'!$W:$W,$A:$A)</f>
        <v>0</v>
      </c>
      <c r="R54" s="339" t="e">
        <f t="shared" si="34"/>
        <v>#DIV/0!</v>
      </c>
      <c r="S54" s="336">
        <f>SUMIFS('Employee Data'!$CY:$CY,'Employee Data'!$W:$W,$A:$A)</f>
        <v>0</v>
      </c>
      <c r="T54" s="338" t="e">
        <f t="shared" si="35"/>
        <v>#DIV/0!</v>
      </c>
      <c r="U54" s="336">
        <f>SUMIFS('Employee Data'!$DL:$DL,'Employee Data'!$W:$W,$A:$A)</f>
        <v>0</v>
      </c>
      <c r="V54" s="337" t="e">
        <f t="shared" si="36"/>
        <v>#DIV/0!</v>
      </c>
      <c r="W54" s="336">
        <f>SUMIFS('Employee Data'!$BN:$BN,'Employee Data'!$W:$W,$A:$A)</f>
        <v>0</v>
      </c>
      <c r="X54" s="336">
        <f>SUMIFS('Employee Data'!$BO:$BO,'Employee Data'!$W:$W,$A:$A)</f>
        <v>0</v>
      </c>
      <c r="Y54" s="336">
        <f>SUMIFS('Employee Data'!$BV:$BV,'Employee Data'!$W:$W,$A:$A)</f>
        <v>0</v>
      </c>
      <c r="Z54" s="387"/>
      <c r="AA54" s="387"/>
      <c r="AB54" s="387"/>
      <c r="AC54" s="387"/>
      <c r="AD54" s="387"/>
      <c r="AE54" s="387"/>
      <c r="AF54" s="387"/>
    </row>
    <row r="55" spans="1:32" s="226" customFormat="1" ht="15.75" hidden="1" outlineLevel="1">
      <c r="A55" s="341" t="s">
        <v>4</v>
      </c>
      <c r="B55" s="342">
        <f>COUNTIFS('Employee Data'!$V:$V,$A:$A)</f>
        <v>0</v>
      </c>
      <c r="C55" s="342">
        <f>COUNTIFS('Employee Data'!$V:$V,$A:$A,'Employee Data'!$BA:$BA,"Yes")</f>
        <v>0</v>
      </c>
      <c r="D55" s="343">
        <f>SUMIFS('Employee Data'!$AP:$AP,'Employee Data'!$V:$V,$A:$A)</f>
        <v>0</v>
      </c>
      <c r="E55" s="343">
        <f>SUMIFS('Employee Data'!$AQ:$AQ,'Employee Data'!$V:$V,$A:$A)</f>
        <v>0</v>
      </c>
      <c r="F55" s="343">
        <f>SUMIFS('Employee Data'!$AR:$AR,'Employee Data'!$V:$V,$A:$A)</f>
        <v>0</v>
      </c>
      <c r="G55" s="344" t="e">
        <f>H55/F55</f>
        <v>#DIV/0!</v>
      </c>
      <c r="H55" s="343">
        <f>SUMIFS('Employee Data'!$CQ:$CQ,'Employee Data'!$V:$V,$A:$A)</f>
        <v>0</v>
      </c>
      <c r="I55" s="343">
        <f>SUMIFS('Employee Data'!$CS:$CS,'Employee Data'!$V:$V,$A:$A)</f>
        <v>0</v>
      </c>
      <c r="J55" s="343">
        <f>SUMIFS('Employee Data'!$CW:$CW,'Employee Data'!$V:$V,$A:$A)</f>
        <v>0</v>
      </c>
      <c r="K55" s="343">
        <f>SUMIFS('Employee Data'!$BF:$BF,'Employee Data'!$V:$V,$A:$A,'Employee Data'!$BA:$BA,"Yes")</f>
        <v>0</v>
      </c>
      <c r="L55" s="343">
        <f>SUMIFS('Employee Data'!$BH:$BH,'Employee Data'!$V:$V,$A:$A)</f>
        <v>0</v>
      </c>
      <c r="M55" s="343">
        <f>SUMIFS('Employee Data'!$BJ:$BJ,'Employee Data'!$V:$V,$A:$A)</f>
        <v>0</v>
      </c>
      <c r="N55" s="345" t="e">
        <f>O55/F55</f>
        <v>#DIV/0!</v>
      </c>
      <c r="O55" s="343">
        <f>SUMIFS('Employee Data'!$DJ:$DJ,'Employee Data'!$V:$V,$A:$A)</f>
        <v>0</v>
      </c>
      <c r="P55" s="346" t="e">
        <f>Q55/F55</f>
        <v>#DIV/0!</v>
      </c>
      <c r="Q55" s="343">
        <f>SUMIFS('Employee Data'!$CU:$CU,'Employee Data'!$V:$V,$A:$A)</f>
        <v>0</v>
      </c>
      <c r="R55" s="346" t="e">
        <f>S55/F55</f>
        <v>#DIV/0!</v>
      </c>
      <c r="S55" s="343">
        <f>SUMIFS('Employee Data'!$CY:$CY,'Employee Data'!$V:$V,$A:$A)</f>
        <v>0</v>
      </c>
      <c r="T55" s="345" t="e">
        <f>U55/F55</f>
        <v>#DIV/0!</v>
      </c>
      <c r="U55" s="343">
        <f>SUMIFS('Employee Data'!$DL:$DL,'Employee Data'!$V:$V,$A:$A)</f>
        <v>0</v>
      </c>
      <c r="V55" s="344" t="e">
        <f>W55/F55</f>
        <v>#DIV/0!</v>
      </c>
      <c r="W55" s="343">
        <f>SUMIFS('Employee Data'!$BN:$BN,'Employee Data'!$V:$V,$A:$A)</f>
        <v>0</v>
      </c>
      <c r="X55" s="343">
        <f>SUMIFS('Employee Data'!$BO:$BO,'Employee Data'!$V:$V,$A:$A)</f>
        <v>0</v>
      </c>
      <c r="Y55" s="343">
        <f>SUMIFS('Employee Data'!$BV:$BV,'Employee Data'!$V:$V,$A:$A)</f>
        <v>0</v>
      </c>
      <c r="Z55" s="386"/>
      <c r="AA55" s="386"/>
      <c r="AB55" s="386"/>
      <c r="AC55" s="386"/>
      <c r="AD55" s="386"/>
      <c r="AE55" s="386"/>
      <c r="AF55" s="386"/>
    </row>
    <row r="56" spans="1:32" s="227" customFormat="1" ht="12.75" hidden="1" outlineLevel="1">
      <c r="A56" s="334" t="s">
        <v>990</v>
      </c>
      <c r="B56" s="335">
        <f>COUNTIFS('Employee Data'!$W:$W,$A:$A)</f>
        <v>0</v>
      </c>
      <c r="C56" s="335">
        <f>COUNTIFS('Employee Data'!$W:$W,$A:$A,'Employee Data'!$BA:$BA,"Yes")</f>
        <v>0</v>
      </c>
      <c r="D56" s="336">
        <f>SUMIFS('Employee Data'!$AP:$AP,'Employee Data'!$W:$W,$A:$A,'Employee Data'!$BA:$BA,"Yes")</f>
        <v>0</v>
      </c>
      <c r="E56" s="336">
        <f>SUMIFS('Employee Data'!$AQ:$AQ,'Employee Data'!$W:$W,$A:$A,'Employee Data'!$BA:$BA,"Yes")</f>
        <v>0</v>
      </c>
      <c r="F56" s="336">
        <f>SUMIFS('Employee Data'!$AR:$AR,'Employee Data'!$W:$W,$A:$A)</f>
        <v>0</v>
      </c>
      <c r="G56" s="337" t="e">
        <f t="shared" ref="G56:G59" si="37">H56/F56</f>
        <v>#DIV/0!</v>
      </c>
      <c r="H56" s="336">
        <f>SUMIFS('Employee Data'!$CQ:$CQ,'Employee Data'!$W:$W,$A:$A)</f>
        <v>0</v>
      </c>
      <c r="I56" s="336">
        <f>SUMIFS('Employee Data'!$CS:$CS,'Employee Data'!$W:$W,$A:$A)</f>
        <v>0</v>
      </c>
      <c r="J56" s="336">
        <f>SUMIFS('Employee Data'!$CW:$CW,'Employee Data'!$W:$W,$A:$A)</f>
        <v>0</v>
      </c>
      <c r="K56" s="336">
        <f>SUMIFS('Employee Data'!$BF:$BF,'Employee Data'!$W:$W,$A:$A,'Employee Data'!$BA:$BA,"Yes")</f>
        <v>0</v>
      </c>
      <c r="L56" s="336">
        <f>SUMIFS('Employee Data'!$BH:$BH,'Employee Data'!$W:$W,$A:$A)</f>
        <v>0</v>
      </c>
      <c r="M56" s="336">
        <f>SUMIFS('Employee Data'!$BI:$BI,'Employee Data'!$W:$W,$A:$A,'Employee Data'!$BA:$BA,"Yes")</f>
        <v>0</v>
      </c>
      <c r="N56" s="338" t="e">
        <f t="shared" ref="N56:N59" si="38">O56/F56</f>
        <v>#DIV/0!</v>
      </c>
      <c r="O56" s="336">
        <f>SUMIFS('Employee Data'!$DJ:$DJ,'Employee Data'!$W:$W,$A:$A,'Employee Data'!$BA:$BA,"Yes")</f>
        <v>0</v>
      </c>
      <c r="P56" s="339" t="e">
        <f t="shared" ref="P56:P59" si="39">Q56/F56</f>
        <v>#DIV/0!</v>
      </c>
      <c r="Q56" s="336">
        <f>SUMIFS('Employee Data'!$CU:$CU,'Employee Data'!$W:$W,$A:$A)</f>
        <v>0</v>
      </c>
      <c r="R56" s="339" t="e">
        <f t="shared" ref="R56:R59" si="40">S56/F56</f>
        <v>#DIV/0!</v>
      </c>
      <c r="S56" s="336">
        <f>SUMIFS('Employee Data'!$CY:$CY,'Employee Data'!$W:$W,$A:$A)</f>
        <v>0</v>
      </c>
      <c r="T56" s="338" t="e">
        <f t="shared" ref="T56:T59" si="41">U56/F56</f>
        <v>#DIV/0!</v>
      </c>
      <c r="U56" s="336">
        <f>SUMIFS('Employee Data'!$DL:$DL,'Employee Data'!$W:$W,$A:$A,'Employee Data'!$BA:$BA,"Yes")</f>
        <v>0</v>
      </c>
      <c r="V56" s="337" t="e">
        <f t="shared" ref="V56:V59" si="42">W56/F56</f>
        <v>#DIV/0!</v>
      </c>
      <c r="W56" s="336">
        <f>SUMIFS('Employee Data'!$BN:$BN,'Employee Data'!$W:$W,$A:$A,'Employee Data'!$BA:$BA,"Yes")</f>
        <v>0</v>
      </c>
      <c r="X56" s="336">
        <f>SUMIFS('Employee Data'!$BO:$BO,'Employee Data'!$W:$W,$A:$A,'Employee Data'!$BA:$BA,"Yes")</f>
        <v>0</v>
      </c>
      <c r="Y56" s="336">
        <f>SUMIFS('Employee Data'!$BV:$BV,'Employee Data'!$W:$W,$A:$A,'Employee Data'!$BA:$BA,"Yes")</f>
        <v>0</v>
      </c>
      <c r="Z56" s="387"/>
      <c r="AA56" s="387"/>
      <c r="AB56" s="387"/>
      <c r="AC56" s="387"/>
      <c r="AD56" s="387"/>
      <c r="AE56" s="387"/>
      <c r="AF56" s="387"/>
    </row>
    <row r="57" spans="1:32" s="227" customFormat="1" ht="12.75" hidden="1" outlineLevel="1">
      <c r="A57" s="334" t="s">
        <v>576</v>
      </c>
      <c r="B57" s="335">
        <f>COUNTIFS('Employee Data'!$W:$W,$A:$A)</f>
        <v>0</v>
      </c>
      <c r="C57" s="335">
        <f>COUNTIFS('Employee Data'!$W:$W,$A:$A,'Employee Data'!$BA:$BA,"Yes")</f>
        <v>0</v>
      </c>
      <c r="D57" s="336">
        <f>SUMIFS('Employee Data'!$AP:$AP,'Employee Data'!$W:$W,$A:$A)</f>
        <v>0</v>
      </c>
      <c r="E57" s="336">
        <f>SUMIFS('Employee Data'!$AQ:$AQ,'Employee Data'!$W:$W,$A:$A)</f>
        <v>0</v>
      </c>
      <c r="F57" s="336">
        <f>SUMIFS('Employee Data'!$AR:$AR,'Employee Data'!$W:$W,$A:$A)</f>
        <v>0</v>
      </c>
      <c r="G57" s="337" t="e">
        <f t="shared" si="37"/>
        <v>#DIV/0!</v>
      </c>
      <c r="H57" s="336">
        <f>SUMIFS('Employee Data'!$CQ:$CQ,'Employee Data'!$W:$W,$A:$A)</f>
        <v>0</v>
      </c>
      <c r="I57" s="336">
        <f>SUMIFS('Employee Data'!$CS:$CS,'Employee Data'!$W:$W,$A:$A)</f>
        <v>0</v>
      </c>
      <c r="J57" s="336">
        <f>SUMIFS('Employee Data'!$CW:$CW,'Employee Data'!$W:$W,$A:$A)</f>
        <v>0</v>
      </c>
      <c r="K57" s="336">
        <f>SUMIFS('Employee Data'!$BF:$BF,'Employee Data'!$W:$W,$A:$A)</f>
        <v>0</v>
      </c>
      <c r="L57" s="336">
        <f>SUMIFS('Employee Data'!$BH:$BH,'Employee Data'!$W:$W,$A:$A)</f>
        <v>0</v>
      </c>
      <c r="M57" s="336">
        <f>SUMIFS('Employee Data'!$BJ:$BJ,'Employee Data'!$W:$W,$A:$A)</f>
        <v>0</v>
      </c>
      <c r="N57" s="338" t="e">
        <f t="shared" si="38"/>
        <v>#DIV/0!</v>
      </c>
      <c r="O57" s="336">
        <f>SUMIFS('Employee Data'!$DJ:$DJ,'Employee Data'!$W:$W,$A:$A)</f>
        <v>0</v>
      </c>
      <c r="P57" s="339" t="e">
        <f t="shared" si="39"/>
        <v>#DIV/0!</v>
      </c>
      <c r="Q57" s="336">
        <f>SUMIFS('Employee Data'!$CU:$CU,'Employee Data'!$W:$W,$A:$A)</f>
        <v>0</v>
      </c>
      <c r="R57" s="339" t="e">
        <f t="shared" si="40"/>
        <v>#DIV/0!</v>
      </c>
      <c r="S57" s="336">
        <f>SUMIFS('Employee Data'!$CY:$CY,'Employee Data'!$W:$W,$A:$A)</f>
        <v>0</v>
      </c>
      <c r="T57" s="338" t="e">
        <f t="shared" si="41"/>
        <v>#DIV/0!</v>
      </c>
      <c r="U57" s="336">
        <f>SUMIFS('Employee Data'!$DL:$DL,'Employee Data'!$W:$W,$A:$A)</f>
        <v>0</v>
      </c>
      <c r="V57" s="337" t="e">
        <f t="shared" si="42"/>
        <v>#DIV/0!</v>
      </c>
      <c r="W57" s="336">
        <f>SUMIFS('Employee Data'!$BN:$BN,'Employee Data'!$W:$W,$A:$A)</f>
        <v>0</v>
      </c>
      <c r="X57" s="336">
        <f>SUMIFS('Employee Data'!$BO:$BO,'Employee Data'!$W:$W,$A:$A)</f>
        <v>0</v>
      </c>
      <c r="Y57" s="336">
        <f>SUMIFS('Employee Data'!$BV:$BV,'Employee Data'!$W:$W,$A:$A)</f>
        <v>0</v>
      </c>
      <c r="Z57" s="387"/>
      <c r="AA57" s="387"/>
      <c r="AB57" s="387"/>
      <c r="AC57" s="387"/>
      <c r="AD57" s="387"/>
      <c r="AE57" s="387"/>
      <c r="AF57" s="387"/>
    </row>
    <row r="58" spans="1:32" s="227" customFormat="1" ht="12.75" hidden="1" outlineLevel="1">
      <c r="A58" s="334" t="s">
        <v>698</v>
      </c>
      <c r="B58" s="335">
        <f>COUNTIFS('Employee Data'!$W:$W,$A:$A)</f>
        <v>0</v>
      </c>
      <c r="C58" s="335">
        <f>COUNTIFS('Employee Data'!$W:$W,$A:$A,'Employee Data'!$BA:$BA,"Yes")</f>
        <v>0</v>
      </c>
      <c r="D58" s="336">
        <f>SUMIFS('Employee Data'!$AP:$AP,'Employee Data'!$W:$W,$A:$A,'Employee Data'!$BA:$BA,"Yes")</f>
        <v>0</v>
      </c>
      <c r="E58" s="336">
        <f>SUMIFS('Employee Data'!$AQ:$AQ,'Employee Data'!$W:$W,$A:$A,'Employee Data'!$BA:$BA,"Yes")</f>
        <v>0</v>
      </c>
      <c r="F58" s="336">
        <f>SUMIFS('Employee Data'!$AR:$AR,'Employee Data'!$W:$W,$A:$A)</f>
        <v>0</v>
      </c>
      <c r="G58" s="337" t="e">
        <f t="shared" si="37"/>
        <v>#DIV/0!</v>
      </c>
      <c r="H58" s="336">
        <f>SUMIFS('Employee Data'!$CQ:$CQ,'Employee Data'!$W:$W,$A:$A)</f>
        <v>0</v>
      </c>
      <c r="I58" s="336">
        <f>SUMIFS('Employee Data'!$CS:$CS,'Employee Data'!$W:$W,$A:$A)</f>
        <v>0</v>
      </c>
      <c r="J58" s="336">
        <f>SUMIFS('Employee Data'!$CW:$CW,'Employee Data'!$W:$W,$A:$A)</f>
        <v>0</v>
      </c>
      <c r="K58" s="336">
        <f>SUMIFS('Employee Data'!$BF:$BF,'Employee Data'!$W:$W,$A:$A,'Employee Data'!$BA:$BA,"Yes")</f>
        <v>0</v>
      </c>
      <c r="L58" s="336">
        <f>SUMIFS('Employee Data'!$BH:$BH,'Employee Data'!$W:$W,$A:$A)</f>
        <v>0</v>
      </c>
      <c r="M58" s="336">
        <f>SUMIFS('Employee Data'!$BI:$BI,'Employee Data'!$W:$W,$A:$A,'Employee Data'!$BA:$BA,"Yes")</f>
        <v>0</v>
      </c>
      <c r="N58" s="338" t="e">
        <f t="shared" si="38"/>
        <v>#DIV/0!</v>
      </c>
      <c r="O58" s="336">
        <f>SUMIFS('Employee Data'!$DJ:$DJ,'Employee Data'!$W:$W,$A:$A,'Employee Data'!$BA:$BA,"Yes")</f>
        <v>0</v>
      </c>
      <c r="P58" s="339" t="e">
        <f t="shared" si="39"/>
        <v>#DIV/0!</v>
      </c>
      <c r="Q58" s="336">
        <f>SUMIFS('Employee Data'!$CU:$CU,'Employee Data'!$W:$W,$A:$A)</f>
        <v>0</v>
      </c>
      <c r="R58" s="339" t="e">
        <f t="shared" si="40"/>
        <v>#DIV/0!</v>
      </c>
      <c r="S58" s="336">
        <f>SUMIFS('Employee Data'!$CY:$CY,'Employee Data'!$W:$W,$A:$A)</f>
        <v>0</v>
      </c>
      <c r="T58" s="338" t="e">
        <f t="shared" si="41"/>
        <v>#DIV/0!</v>
      </c>
      <c r="U58" s="336">
        <f>SUMIFS('Employee Data'!$DL:$DL,'Employee Data'!$W:$W,$A:$A,'Employee Data'!$BA:$BA,"Yes")</f>
        <v>0</v>
      </c>
      <c r="V58" s="337" t="e">
        <f t="shared" si="42"/>
        <v>#DIV/0!</v>
      </c>
      <c r="W58" s="336">
        <f>SUMIFS('Employee Data'!$BN:$BN,'Employee Data'!$W:$W,$A:$A,'Employee Data'!$BA:$BA,"Yes")</f>
        <v>0</v>
      </c>
      <c r="X58" s="336">
        <f>SUMIFS('Employee Data'!$BO:$BO,'Employee Data'!$W:$W,$A:$A,'Employee Data'!$BA:$BA,"Yes")</f>
        <v>0</v>
      </c>
      <c r="Y58" s="336">
        <f>SUMIFS('Employee Data'!$BV:$BV,'Employee Data'!$W:$W,$A:$A,'Employee Data'!$BA:$BA,"Yes")</f>
        <v>0</v>
      </c>
      <c r="Z58" s="387"/>
      <c r="AA58" s="387"/>
      <c r="AB58" s="387"/>
      <c r="AC58" s="387"/>
      <c r="AD58" s="387"/>
      <c r="AE58" s="387"/>
      <c r="AF58" s="387"/>
    </row>
    <row r="59" spans="1:32" s="227" customFormat="1" ht="12.75" hidden="1" outlineLevel="1">
      <c r="A59" s="334" t="s">
        <v>572</v>
      </c>
      <c r="B59" s="335">
        <f>COUNTIFS('Employee Data'!$W:$W,$A:$A)</f>
        <v>0</v>
      </c>
      <c r="C59" s="335">
        <f>COUNTIFS('Employee Data'!$W:$W,$A:$A,'Employee Data'!$BA:$BA,"Yes")</f>
        <v>0</v>
      </c>
      <c r="D59" s="336">
        <f>SUMIFS('Employee Data'!$AP:$AP,'Employee Data'!$W:$W,$A:$A,'Employee Data'!$BA:$BA,"Yes")</f>
        <v>0</v>
      </c>
      <c r="E59" s="336">
        <f>SUMIFS('Employee Data'!$AQ:$AQ,'Employee Data'!$W:$W,$A:$A,'Employee Data'!$BA:$BA,"Yes")</f>
        <v>0</v>
      </c>
      <c r="F59" s="336">
        <f>SUMIFS('Employee Data'!$AR:$AR,'Employee Data'!$W:$W,$A:$A)</f>
        <v>0</v>
      </c>
      <c r="G59" s="337" t="e">
        <f t="shared" si="37"/>
        <v>#DIV/0!</v>
      </c>
      <c r="H59" s="336">
        <f>SUMIFS('Employee Data'!$CQ:$CQ,'Employee Data'!$W:$W,$A:$A)</f>
        <v>0</v>
      </c>
      <c r="I59" s="336">
        <f>SUMIFS('Employee Data'!$CS:$CS,'Employee Data'!$W:$W,$A:$A)</f>
        <v>0</v>
      </c>
      <c r="J59" s="336">
        <f>SUMIFS('Employee Data'!$CW:$CW,'Employee Data'!$W:$W,$A:$A)</f>
        <v>0</v>
      </c>
      <c r="K59" s="336">
        <f>SUMIFS('Employee Data'!$BF:$BF,'Employee Data'!$W:$W,$A:$A,'Employee Data'!$BA:$BA,"Yes")</f>
        <v>0</v>
      </c>
      <c r="L59" s="336">
        <f>SUMIFS('Employee Data'!$BH:$BH,'Employee Data'!$W:$W,$A:$A)</f>
        <v>0</v>
      </c>
      <c r="M59" s="336">
        <f>SUMIFS('Employee Data'!$BI:$BI,'Employee Data'!$W:$W,$A:$A,'Employee Data'!$BA:$BA,"Yes")</f>
        <v>0</v>
      </c>
      <c r="N59" s="338" t="e">
        <f t="shared" si="38"/>
        <v>#DIV/0!</v>
      </c>
      <c r="O59" s="336">
        <f>SUMIFS('Employee Data'!$DJ:$DJ,'Employee Data'!$W:$W,$A:$A,'Employee Data'!$BA:$BA,"Yes")</f>
        <v>0</v>
      </c>
      <c r="P59" s="339" t="e">
        <f t="shared" si="39"/>
        <v>#DIV/0!</v>
      </c>
      <c r="Q59" s="336">
        <f>SUMIFS('Employee Data'!$CU:$CU,'Employee Data'!$W:$W,$A:$A)</f>
        <v>0</v>
      </c>
      <c r="R59" s="339" t="e">
        <f t="shared" si="40"/>
        <v>#DIV/0!</v>
      </c>
      <c r="S59" s="336">
        <f>SUMIFS('Employee Data'!$CY:$CY,'Employee Data'!$W:$W,$A:$A)</f>
        <v>0</v>
      </c>
      <c r="T59" s="338" t="e">
        <f t="shared" si="41"/>
        <v>#DIV/0!</v>
      </c>
      <c r="U59" s="336">
        <f>SUMIFS('Employee Data'!$DL:$DL,'Employee Data'!$W:$W,$A:$A,'Employee Data'!$BA:$BA,"Yes")</f>
        <v>0</v>
      </c>
      <c r="V59" s="337" t="e">
        <f t="shared" si="42"/>
        <v>#DIV/0!</v>
      </c>
      <c r="W59" s="336">
        <f>SUMIFS('Employee Data'!$BN:$BN,'Employee Data'!$W:$W,$A:$A,'Employee Data'!$BA:$BA,"Yes")</f>
        <v>0</v>
      </c>
      <c r="X59" s="336">
        <f>SUMIFS('Employee Data'!$BO:$BO,'Employee Data'!$W:$W,$A:$A,'Employee Data'!$BA:$BA,"Yes")</f>
        <v>0</v>
      </c>
      <c r="Y59" s="336">
        <f>SUMIFS('Employee Data'!$BV:$BV,'Employee Data'!$W:$W,$A:$A,'Employee Data'!$BA:$BA,"Yes")</f>
        <v>0</v>
      </c>
      <c r="Z59" s="387"/>
      <c r="AA59" s="387"/>
      <c r="AB59" s="387"/>
      <c r="AC59" s="387"/>
      <c r="AD59" s="387"/>
      <c r="AE59" s="387"/>
      <c r="AF59" s="387"/>
    </row>
    <row r="60" spans="1:32" s="226" customFormat="1" ht="15.75" hidden="1" outlineLevel="1">
      <c r="A60" s="328" t="s">
        <v>562</v>
      </c>
      <c r="B60" s="329">
        <f>COUNTIFS('Employee Data'!$V:$V,$A:$A)</f>
        <v>0</v>
      </c>
      <c r="C60" s="329">
        <f>COUNTIFS('Employee Data'!$V:$V,$A:$A,'Employee Data'!$BA:$BA,"Yes")</f>
        <v>0</v>
      </c>
      <c r="D60" s="330">
        <f>SUMIFS('Employee Data'!$AP:$AP,'Employee Data'!$V:$V,$A:$A)</f>
        <v>0</v>
      </c>
      <c r="E60" s="330">
        <f>SUMIFS('Employee Data'!$AQ:$AQ,'Employee Data'!$V:$V,$A:$A)</f>
        <v>0</v>
      </c>
      <c r="F60" s="330">
        <f>SUMIFS('Employee Data'!$AR:$AR,'Employee Data'!$V:$V,$A:$A)</f>
        <v>0</v>
      </c>
      <c r="G60" s="331" t="e">
        <f>H60/F60</f>
        <v>#DIV/0!</v>
      </c>
      <c r="H60" s="330">
        <f>SUMIFS('Employee Data'!$CQ:$CQ,'Employee Data'!$V:$V,$A:$A)</f>
        <v>0</v>
      </c>
      <c r="I60" s="330">
        <f>SUMIFS('Employee Data'!$CS:$CS,'Employee Data'!$V:$V,$A:$A)</f>
        <v>0</v>
      </c>
      <c r="J60" s="330">
        <f>SUMIFS('Employee Data'!$CW:$CW,'Employee Data'!$V:$V,$A:$A)</f>
        <v>0</v>
      </c>
      <c r="K60" s="330">
        <f>SUMIFS('Employee Data'!$BF:$BF,'Employee Data'!$V:$V,$A:$A,'Employee Data'!$BA:$BA,"Yes")</f>
        <v>0</v>
      </c>
      <c r="L60" s="330">
        <f>SUMIFS('Employee Data'!$BH:$BH,'Employee Data'!$V:$V,$A:$A)</f>
        <v>0</v>
      </c>
      <c r="M60" s="330">
        <f>SUMIFS('Employee Data'!$BJ:$BJ,'Employee Data'!$V:$V,$A:$A)</f>
        <v>0</v>
      </c>
      <c r="N60" s="332" t="e">
        <f>O60/F60</f>
        <v>#DIV/0!</v>
      </c>
      <c r="O60" s="330">
        <f>SUMIFS('Employee Data'!$DJ:$DJ,'Employee Data'!$V:$V,$A:$A)</f>
        <v>0</v>
      </c>
      <c r="P60" s="333" t="e">
        <f>Q60/F60</f>
        <v>#DIV/0!</v>
      </c>
      <c r="Q60" s="330">
        <f>SUMIFS('Employee Data'!$CU:$CU,'Employee Data'!$V:$V,$A:$A)</f>
        <v>0</v>
      </c>
      <c r="R60" s="333" t="e">
        <f>S60/F60</f>
        <v>#DIV/0!</v>
      </c>
      <c r="S60" s="330">
        <f>SUMIFS('Employee Data'!$CY:$CY,'Employee Data'!$V:$V,$A:$A)</f>
        <v>0</v>
      </c>
      <c r="T60" s="332" t="e">
        <f>U60/F60</f>
        <v>#DIV/0!</v>
      </c>
      <c r="U60" s="330">
        <f>SUMIFS('Employee Data'!$DL:$DL,'Employee Data'!$V:$V,$A:$A)</f>
        <v>0</v>
      </c>
      <c r="V60" s="331" t="e">
        <f>W60/F60</f>
        <v>#DIV/0!</v>
      </c>
      <c r="W60" s="330">
        <f>SUMIFS('Employee Data'!$BN:$BN,'Employee Data'!$V:$V,$A:$A)</f>
        <v>0</v>
      </c>
      <c r="X60" s="330">
        <f>SUMIFS('Employee Data'!$BO:$BO,'Employee Data'!$V:$V,$A:$A)</f>
        <v>0</v>
      </c>
      <c r="Y60" s="330">
        <f>SUMIFS('Employee Data'!$BV:$BV,'Employee Data'!$V:$V,$A:$A)</f>
        <v>0</v>
      </c>
      <c r="Z60" s="386"/>
      <c r="AA60" s="386"/>
      <c r="AB60" s="386"/>
      <c r="AC60" s="386"/>
      <c r="AD60" s="386"/>
      <c r="AE60" s="386"/>
      <c r="AF60" s="386"/>
    </row>
    <row r="61" spans="1:32" s="227" customFormat="1" ht="12.75" hidden="1" outlineLevel="1">
      <c r="A61" s="334" t="s">
        <v>796</v>
      </c>
      <c r="B61" s="335">
        <f>COUNTIFS('Employee Data'!$W:$W,$A:$A)</f>
        <v>0</v>
      </c>
      <c r="C61" s="335">
        <f>COUNTIFS('Employee Data'!$W:$W,$A:$A,'Employee Data'!$BA:$BA,"Yes")</f>
        <v>0</v>
      </c>
      <c r="D61" s="336">
        <f>SUMIFS('Employee Data'!$AP:$AP,'Employee Data'!$W:$W,$A:$A,'Employee Data'!$BA:$BA,"Yes")</f>
        <v>0</v>
      </c>
      <c r="E61" s="336">
        <f>SUMIFS('Employee Data'!$AQ:$AQ,'Employee Data'!$W:$W,$A:$A,'Employee Data'!$BA:$BA,"Yes")</f>
        <v>0</v>
      </c>
      <c r="F61" s="336">
        <f>SUMIFS('Employee Data'!$AR:$AR,'Employee Data'!$W:$W,$A:$A)</f>
        <v>0</v>
      </c>
      <c r="G61" s="337" t="e">
        <f t="shared" ref="G61:G66" si="43">H61/F61</f>
        <v>#DIV/0!</v>
      </c>
      <c r="H61" s="336">
        <f>SUMIFS('Employee Data'!$CQ:$CQ,'Employee Data'!$W:$W,$A:$A)</f>
        <v>0</v>
      </c>
      <c r="I61" s="336">
        <f>SUMIFS('Employee Data'!$CS:$CS,'Employee Data'!$W:$W,$A:$A)</f>
        <v>0</v>
      </c>
      <c r="J61" s="336">
        <f>SUMIFS('Employee Data'!$CW:$CW,'Employee Data'!$W:$W,$A:$A)</f>
        <v>0</v>
      </c>
      <c r="K61" s="336">
        <f>SUMIFS('Employee Data'!$BF:$BF,'Employee Data'!$W:$W,$A:$A,'Employee Data'!$BA:$BA,"Yes")</f>
        <v>0</v>
      </c>
      <c r="L61" s="336">
        <f>SUMIFS('Employee Data'!$BH:$BH,'Employee Data'!$W:$W,$A:$A)</f>
        <v>0</v>
      </c>
      <c r="M61" s="336">
        <f>SUMIFS('Employee Data'!$BI:$BI,'Employee Data'!$W:$W,$A:$A,'Employee Data'!$BA:$BA,"Yes")</f>
        <v>0</v>
      </c>
      <c r="N61" s="338" t="e">
        <f t="shared" ref="N61:N66" si="44">O61/F61</f>
        <v>#DIV/0!</v>
      </c>
      <c r="O61" s="336">
        <f>SUMIFS('Employee Data'!$DJ:$DJ,'Employee Data'!$W:$W,$A:$A,'Employee Data'!$BA:$BA,"Yes")</f>
        <v>0</v>
      </c>
      <c r="P61" s="339" t="e">
        <f t="shared" ref="P61:P69" si="45">Q61/F61</f>
        <v>#DIV/0!</v>
      </c>
      <c r="Q61" s="336">
        <f>SUMIFS('Employee Data'!$CU:$CU,'Employee Data'!$W:$W,$A:$A)</f>
        <v>0</v>
      </c>
      <c r="R61" s="339" t="e">
        <f t="shared" ref="R61:R69" si="46">S61/F61</f>
        <v>#DIV/0!</v>
      </c>
      <c r="S61" s="336">
        <f>SUMIFS('Employee Data'!$CY:$CY,'Employee Data'!$W:$W,$A:$A)</f>
        <v>0</v>
      </c>
      <c r="T61" s="338" t="e">
        <f t="shared" ref="T61:T69" si="47">U61/F61</f>
        <v>#DIV/0!</v>
      </c>
      <c r="U61" s="336">
        <f>SUMIFS('Employee Data'!$DL:$DL,'Employee Data'!$W:$W,$A:$A,'Employee Data'!$BA:$BA,"Yes")</f>
        <v>0</v>
      </c>
      <c r="V61" s="337" t="e">
        <f t="shared" ref="V61:V69" si="48">W61/F61</f>
        <v>#DIV/0!</v>
      </c>
      <c r="W61" s="336">
        <f>SUMIFS('Employee Data'!$BN:$BN,'Employee Data'!$W:$W,$A:$A,'Employee Data'!$BA:$BA,"Yes")</f>
        <v>0</v>
      </c>
      <c r="X61" s="336">
        <f>SUMIFS('Employee Data'!$BO:$BO,'Employee Data'!$W:$W,$A:$A,'Employee Data'!$BA:$BA,"Yes")</f>
        <v>0</v>
      </c>
      <c r="Y61" s="336">
        <f>SUMIFS('Employee Data'!$BV:$BV,'Employee Data'!$W:$W,$A:$A,'Employee Data'!$BA:$BA,"Yes")</f>
        <v>0</v>
      </c>
      <c r="Z61" s="387"/>
      <c r="AA61" s="387"/>
      <c r="AB61" s="387"/>
      <c r="AC61" s="387"/>
      <c r="AD61" s="387"/>
      <c r="AE61" s="387"/>
      <c r="AF61" s="387"/>
    </row>
    <row r="62" spans="1:32" s="227" customFormat="1" ht="12.75" hidden="1" outlineLevel="1">
      <c r="A62" s="334" t="s">
        <v>629</v>
      </c>
      <c r="B62" s="335">
        <f>COUNTIFS('Employee Data'!$W:$W,$A:$A)</f>
        <v>0</v>
      </c>
      <c r="C62" s="335">
        <f>COUNTIFS('Employee Data'!$W:$W,$A:$A,'Employee Data'!$BA:$BA,"Yes")</f>
        <v>0</v>
      </c>
      <c r="D62" s="336">
        <f>SUMIFS('Employee Data'!$AP:$AP,'Employee Data'!$W:$W,$A:$A,'Employee Data'!$BA:$BA,"Yes")</f>
        <v>0</v>
      </c>
      <c r="E62" s="336">
        <f>SUMIFS('Employee Data'!$AQ:$AQ,'Employee Data'!$W:$W,$A:$A,'Employee Data'!$BA:$BA,"Yes")</f>
        <v>0</v>
      </c>
      <c r="F62" s="336">
        <f>SUMIFS('Employee Data'!$AR:$AR,'Employee Data'!$W:$W,$A:$A)</f>
        <v>0</v>
      </c>
      <c r="G62" s="337" t="e">
        <f t="shared" si="43"/>
        <v>#DIV/0!</v>
      </c>
      <c r="H62" s="336">
        <f>SUMIFS('Employee Data'!$CQ:$CQ,'Employee Data'!$W:$W,$A:$A)</f>
        <v>0</v>
      </c>
      <c r="I62" s="336">
        <f>SUMIFS('Employee Data'!$CS:$CS,'Employee Data'!$W:$W,$A:$A)</f>
        <v>0</v>
      </c>
      <c r="J62" s="336">
        <f>SUMIFS('Employee Data'!$CW:$CW,'Employee Data'!$W:$W,$A:$A)</f>
        <v>0</v>
      </c>
      <c r="K62" s="336">
        <f>SUMIFS('Employee Data'!$BF:$BF,'Employee Data'!$W:$W,$A:$A,'Employee Data'!$BA:$BA,"Yes")</f>
        <v>0</v>
      </c>
      <c r="L62" s="336">
        <f>SUMIFS('Employee Data'!$BH:$BH,'Employee Data'!$W:$W,$A:$A)</f>
        <v>0</v>
      </c>
      <c r="M62" s="336">
        <f>SUMIFS('Employee Data'!$BI:$BI,'Employee Data'!$W:$W,$A:$A,'Employee Data'!$BA:$BA,"Yes")</f>
        <v>0</v>
      </c>
      <c r="N62" s="338" t="e">
        <f t="shared" si="44"/>
        <v>#DIV/0!</v>
      </c>
      <c r="O62" s="336">
        <f>SUMIFS('Employee Data'!$DJ:$DJ,'Employee Data'!$W:$W,$A:$A,'Employee Data'!$BA:$BA,"Yes")</f>
        <v>0</v>
      </c>
      <c r="P62" s="339" t="e">
        <f t="shared" si="45"/>
        <v>#DIV/0!</v>
      </c>
      <c r="Q62" s="336">
        <f>SUMIFS('Employee Data'!$CU:$CU,'Employee Data'!$W:$W,$A:$A)</f>
        <v>0</v>
      </c>
      <c r="R62" s="339" t="e">
        <f t="shared" si="46"/>
        <v>#DIV/0!</v>
      </c>
      <c r="S62" s="336">
        <f>SUMIFS('Employee Data'!$CY:$CY,'Employee Data'!$W:$W,$A:$A)</f>
        <v>0</v>
      </c>
      <c r="T62" s="338" t="e">
        <f t="shared" si="47"/>
        <v>#DIV/0!</v>
      </c>
      <c r="U62" s="336">
        <f>SUMIFS('Employee Data'!$DL:$DL,'Employee Data'!$W:$W,$A:$A,'Employee Data'!$BA:$BA,"Yes")</f>
        <v>0</v>
      </c>
      <c r="V62" s="337" t="e">
        <f t="shared" si="48"/>
        <v>#DIV/0!</v>
      </c>
      <c r="W62" s="336">
        <f>SUMIFS('Employee Data'!$BN:$BN,'Employee Data'!$W:$W,$A:$A,'Employee Data'!$BA:$BA,"Yes")</f>
        <v>0</v>
      </c>
      <c r="X62" s="336">
        <f>SUMIFS('Employee Data'!$BO:$BO,'Employee Data'!$W:$W,$A:$A,'Employee Data'!$BA:$BA,"Yes")</f>
        <v>0</v>
      </c>
      <c r="Y62" s="336">
        <f>SUMIFS('Employee Data'!$BV:$BV,'Employee Data'!$W:$W,$A:$A,'Employee Data'!$BA:$BA,"Yes")</f>
        <v>0</v>
      </c>
      <c r="Z62" s="387"/>
      <c r="AA62" s="387"/>
      <c r="AB62" s="387"/>
      <c r="AC62" s="387"/>
      <c r="AD62" s="387"/>
      <c r="AE62" s="387"/>
      <c r="AF62" s="387"/>
    </row>
    <row r="63" spans="1:32" s="227" customFormat="1" ht="12.75" hidden="1" outlineLevel="1">
      <c r="A63" s="334" t="s">
        <v>558</v>
      </c>
      <c r="B63" s="335">
        <f>COUNTIFS('Employee Data'!$W:$W,$A:$A)</f>
        <v>0</v>
      </c>
      <c r="C63" s="335">
        <f>COUNTIFS('Employee Data'!$W:$W,$A:$A,'Employee Data'!$BA:$BA,"Yes")</f>
        <v>0</v>
      </c>
      <c r="D63" s="336">
        <f>SUMIFS('Employee Data'!$AP:$AP,'Employee Data'!$W:$W,$A:$A,'Employee Data'!$BA:$BA,"Yes")</f>
        <v>0</v>
      </c>
      <c r="E63" s="336">
        <f>SUMIFS('Employee Data'!$AQ:$AQ,'Employee Data'!$W:$W,$A:$A,'Employee Data'!$BA:$BA,"Yes")</f>
        <v>0</v>
      </c>
      <c r="F63" s="336">
        <f>SUMIFS('Employee Data'!$AR:$AR,'Employee Data'!$W:$W,$A:$A)</f>
        <v>0</v>
      </c>
      <c r="G63" s="337" t="e">
        <f t="shared" si="43"/>
        <v>#DIV/0!</v>
      </c>
      <c r="H63" s="336">
        <f>SUMIFS('Employee Data'!$CQ:$CQ,'Employee Data'!$W:$W,$A:$A)</f>
        <v>0</v>
      </c>
      <c r="I63" s="336">
        <f>SUMIFS('Employee Data'!$CS:$CS,'Employee Data'!$W:$W,$A:$A)</f>
        <v>0</v>
      </c>
      <c r="J63" s="336">
        <f>SUMIFS('Employee Data'!$CW:$CW,'Employee Data'!$W:$W,$A:$A)</f>
        <v>0</v>
      </c>
      <c r="K63" s="336">
        <f>SUMIFS('Employee Data'!$BF:$BF,'Employee Data'!$W:$W,$A:$A,'Employee Data'!$BA:$BA,"Yes")</f>
        <v>0</v>
      </c>
      <c r="L63" s="336">
        <f>SUMIFS('Employee Data'!$BH:$BH,'Employee Data'!$W:$W,$A:$A)</f>
        <v>0</v>
      </c>
      <c r="M63" s="336">
        <f>SUMIFS('Employee Data'!$BI:$BI,'Employee Data'!$W:$W,$A:$A,'Employee Data'!$BA:$BA,"Yes")</f>
        <v>0</v>
      </c>
      <c r="N63" s="338" t="e">
        <f t="shared" si="44"/>
        <v>#DIV/0!</v>
      </c>
      <c r="O63" s="336">
        <f>SUMIFS('Employee Data'!$DJ:$DJ,'Employee Data'!$W:$W,$A:$A,'Employee Data'!$BA:$BA,"Yes")</f>
        <v>0</v>
      </c>
      <c r="P63" s="339" t="e">
        <f t="shared" si="45"/>
        <v>#DIV/0!</v>
      </c>
      <c r="Q63" s="336">
        <f>SUMIFS('Employee Data'!$CU:$CU,'Employee Data'!$W:$W,$A:$A)</f>
        <v>0</v>
      </c>
      <c r="R63" s="339" t="e">
        <f t="shared" si="46"/>
        <v>#DIV/0!</v>
      </c>
      <c r="S63" s="336">
        <f>SUMIFS('Employee Data'!$CY:$CY,'Employee Data'!$W:$W,$A:$A)</f>
        <v>0</v>
      </c>
      <c r="T63" s="338" t="e">
        <f t="shared" si="47"/>
        <v>#DIV/0!</v>
      </c>
      <c r="U63" s="336">
        <f>SUMIFS('Employee Data'!$DL:$DL,'Employee Data'!$W:$W,$A:$A,'Employee Data'!$BA:$BA,"Yes")</f>
        <v>0</v>
      </c>
      <c r="V63" s="337" t="e">
        <f t="shared" si="48"/>
        <v>#DIV/0!</v>
      </c>
      <c r="W63" s="336">
        <f>SUMIFS('Employee Data'!$BN:$BN,'Employee Data'!$W:$W,$A:$A,'Employee Data'!$BA:$BA,"Yes")</f>
        <v>0</v>
      </c>
      <c r="X63" s="336">
        <f>SUMIFS('Employee Data'!$BO:$BO,'Employee Data'!$W:$W,$A:$A,'Employee Data'!$BA:$BA,"Yes")</f>
        <v>0</v>
      </c>
      <c r="Y63" s="336">
        <f>SUMIFS('Employee Data'!$BV:$BV,'Employee Data'!$W:$W,$A:$A,'Employee Data'!$BA:$BA,"Yes")</f>
        <v>0</v>
      </c>
      <c r="Z63" s="387"/>
      <c r="AA63" s="387"/>
      <c r="AB63" s="387"/>
      <c r="AC63" s="387"/>
      <c r="AD63" s="387"/>
      <c r="AE63" s="387"/>
      <c r="AF63" s="387"/>
    </row>
    <row r="64" spans="1:32" s="227" customFormat="1" ht="12.75" hidden="1" outlineLevel="1">
      <c r="A64" s="334" t="s">
        <v>559</v>
      </c>
      <c r="B64" s="335">
        <f>COUNTIFS('Employee Data'!$W:$W,$A:$A)</f>
        <v>0</v>
      </c>
      <c r="C64" s="335">
        <f>COUNTIFS('Employee Data'!$W:$W,$A:$A,'Employee Data'!$BA:$BA,"Yes")</f>
        <v>0</v>
      </c>
      <c r="D64" s="336">
        <f>SUMIFS('Employee Data'!$AP:$AP,'Employee Data'!$W:$W,$A:$A,'Employee Data'!$BA:$BA,"Yes")</f>
        <v>0</v>
      </c>
      <c r="E64" s="336">
        <f>SUMIFS('Employee Data'!$AQ:$AQ,'Employee Data'!$W:$W,$A:$A,'Employee Data'!$BA:$BA,"Yes")</f>
        <v>0</v>
      </c>
      <c r="F64" s="336">
        <f>SUMIFS('Employee Data'!$AR:$AR,'Employee Data'!$W:$W,$A:$A)</f>
        <v>0</v>
      </c>
      <c r="G64" s="337" t="e">
        <f t="shared" si="43"/>
        <v>#DIV/0!</v>
      </c>
      <c r="H64" s="336">
        <f>SUMIFS('Employee Data'!$CQ:$CQ,'Employee Data'!$W:$W,$A:$A)</f>
        <v>0</v>
      </c>
      <c r="I64" s="336">
        <f>SUMIFS('Employee Data'!$CS:$CS,'Employee Data'!$W:$W,$A:$A)</f>
        <v>0</v>
      </c>
      <c r="J64" s="336">
        <f>SUMIFS('Employee Data'!$CW:$CW,'Employee Data'!$W:$W,$A:$A)</f>
        <v>0</v>
      </c>
      <c r="K64" s="336">
        <f>SUMIFS('Employee Data'!$BF:$BF,'Employee Data'!$W:$W,$A:$A,'Employee Data'!$BA:$BA,"Yes")</f>
        <v>0</v>
      </c>
      <c r="L64" s="336">
        <f>SUMIFS('Employee Data'!$BH:$BH,'Employee Data'!$W:$W,$A:$A)</f>
        <v>0</v>
      </c>
      <c r="M64" s="336">
        <f>SUMIFS('Employee Data'!$BI:$BI,'Employee Data'!$W:$W,$A:$A,'Employee Data'!$BA:$BA,"Yes")</f>
        <v>0</v>
      </c>
      <c r="N64" s="338" t="e">
        <f t="shared" si="44"/>
        <v>#DIV/0!</v>
      </c>
      <c r="O64" s="336">
        <f>SUMIFS('Employee Data'!$DJ:$DJ,'Employee Data'!$W:$W,$A:$A,'Employee Data'!$BA:$BA,"Yes")</f>
        <v>0</v>
      </c>
      <c r="P64" s="339" t="e">
        <f t="shared" si="45"/>
        <v>#DIV/0!</v>
      </c>
      <c r="Q64" s="336">
        <f>SUMIFS('Employee Data'!$CU:$CU,'Employee Data'!$W:$W,$A:$A)</f>
        <v>0</v>
      </c>
      <c r="R64" s="339" t="e">
        <f t="shared" si="46"/>
        <v>#DIV/0!</v>
      </c>
      <c r="S64" s="336">
        <f>SUMIFS('Employee Data'!$CY:$CY,'Employee Data'!$W:$W,$A:$A)</f>
        <v>0</v>
      </c>
      <c r="T64" s="338" t="e">
        <f t="shared" si="47"/>
        <v>#DIV/0!</v>
      </c>
      <c r="U64" s="336">
        <f>SUMIFS('Employee Data'!$DL:$DL,'Employee Data'!$W:$W,$A:$A,'Employee Data'!$BA:$BA,"Yes")</f>
        <v>0</v>
      </c>
      <c r="V64" s="337" t="e">
        <f t="shared" si="48"/>
        <v>#DIV/0!</v>
      </c>
      <c r="W64" s="336">
        <f>SUMIFS('Employee Data'!$BN:$BN,'Employee Data'!$W:$W,$A:$A,'Employee Data'!$BA:$BA,"Yes")</f>
        <v>0</v>
      </c>
      <c r="X64" s="336">
        <f>SUMIFS('Employee Data'!$BO:$BO,'Employee Data'!$W:$W,$A:$A,'Employee Data'!$BA:$BA,"Yes")</f>
        <v>0</v>
      </c>
      <c r="Y64" s="336">
        <f>SUMIFS('Employee Data'!$BV:$BV,'Employee Data'!$W:$W,$A:$A,'Employee Data'!$BA:$BA,"Yes")</f>
        <v>0</v>
      </c>
      <c r="Z64" s="387"/>
      <c r="AA64" s="387"/>
      <c r="AB64" s="387"/>
      <c r="AC64" s="387"/>
      <c r="AD64" s="387"/>
      <c r="AE64" s="387"/>
      <c r="AF64" s="387"/>
    </row>
    <row r="65" spans="1:32" s="227" customFormat="1" ht="12.75" hidden="1" outlineLevel="1">
      <c r="A65" s="334" t="s">
        <v>574</v>
      </c>
      <c r="B65" s="335">
        <f>COUNTIFS('Employee Data'!$W:$W,$A:$A)</f>
        <v>0</v>
      </c>
      <c r="C65" s="335">
        <f>COUNTIFS('Employee Data'!$W:$W,$A:$A,'Employee Data'!$BA:$BA,"Yes")</f>
        <v>0</v>
      </c>
      <c r="D65" s="336">
        <f>SUMIFS('Employee Data'!$AP:$AP,'Employee Data'!$W:$W,$A:$A,'Employee Data'!$BA:$BA,"Yes")</f>
        <v>0</v>
      </c>
      <c r="E65" s="336">
        <f>SUMIFS('Employee Data'!$AQ:$AQ,'Employee Data'!$W:$W,$A:$A,'Employee Data'!$BA:$BA,"Yes")</f>
        <v>0</v>
      </c>
      <c r="F65" s="336">
        <f>SUMIFS('Employee Data'!$AR:$AR,'Employee Data'!$W:$W,$A:$A)</f>
        <v>0</v>
      </c>
      <c r="G65" s="337" t="e">
        <f t="shared" si="43"/>
        <v>#DIV/0!</v>
      </c>
      <c r="H65" s="336">
        <f>SUMIFS('Employee Data'!$CQ:$CQ,'Employee Data'!$W:$W,$A:$A)</f>
        <v>0</v>
      </c>
      <c r="I65" s="336">
        <f>SUMIFS('Employee Data'!$CS:$CS,'Employee Data'!$W:$W,$A:$A)</f>
        <v>0</v>
      </c>
      <c r="J65" s="336">
        <f>SUMIFS('Employee Data'!$CW:$CW,'Employee Data'!$W:$W,$A:$A)</f>
        <v>0</v>
      </c>
      <c r="K65" s="336">
        <f>SUMIFS('Employee Data'!$BF:$BF,'Employee Data'!$W:$W,$A:$A,'Employee Data'!$BA:$BA,"Yes")</f>
        <v>0</v>
      </c>
      <c r="L65" s="336">
        <f>SUMIFS('Employee Data'!$BH:$BH,'Employee Data'!$W:$W,$A:$A)</f>
        <v>0</v>
      </c>
      <c r="M65" s="336">
        <f>SUMIFS('Employee Data'!$BI:$BI,'Employee Data'!$W:$W,$A:$A,'Employee Data'!$BA:$BA,"Yes")</f>
        <v>0</v>
      </c>
      <c r="N65" s="338" t="e">
        <f t="shared" si="44"/>
        <v>#DIV/0!</v>
      </c>
      <c r="O65" s="336">
        <f>SUMIFS('Employee Data'!$DJ:$DJ,'Employee Data'!$W:$W,$A:$A,'Employee Data'!$BA:$BA,"Yes")</f>
        <v>0</v>
      </c>
      <c r="P65" s="339" t="e">
        <f t="shared" si="45"/>
        <v>#DIV/0!</v>
      </c>
      <c r="Q65" s="336">
        <f>SUMIFS('Employee Data'!$CU:$CU,'Employee Data'!$W:$W,$A:$A)</f>
        <v>0</v>
      </c>
      <c r="R65" s="339" t="e">
        <f t="shared" si="46"/>
        <v>#DIV/0!</v>
      </c>
      <c r="S65" s="336">
        <f>SUMIFS('Employee Data'!$CY:$CY,'Employee Data'!$W:$W,$A:$A)</f>
        <v>0</v>
      </c>
      <c r="T65" s="338" t="e">
        <f t="shared" si="47"/>
        <v>#DIV/0!</v>
      </c>
      <c r="U65" s="336">
        <f>SUMIFS('Employee Data'!$DL:$DL,'Employee Data'!$W:$W,$A:$A,'Employee Data'!$BA:$BA,"Yes")</f>
        <v>0</v>
      </c>
      <c r="V65" s="337" t="e">
        <f t="shared" si="48"/>
        <v>#DIV/0!</v>
      </c>
      <c r="W65" s="336">
        <f>SUMIFS('Employee Data'!$BN:$BN,'Employee Data'!$W:$W,$A:$A,'Employee Data'!$BA:$BA,"Yes")</f>
        <v>0</v>
      </c>
      <c r="X65" s="336">
        <f>SUMIFS('Employee Data'!$BO:$BO,'Employee Data'!$W:$W,$A:$A,'Employee Data'!$BA:$BA,"Yes")</f>
        <v>0</v>
      </c>
      <c r="Y65" s="336">
        <f>SUMIFS('Employee Data'!$BV:$BV,'Employee Data'!$W:$W,$A:$A,'Employee Data'!$BA:$BA,"Yes")</f>
        <v>0</v>
      </c>
      <c r="Z65" s="387"/>
      <c r="AA65" s="387"/>
      <c r="AB65" s="387"/>
      <c r="AC65" s="387"/>
      <c r="AD65" s="387"/>
      <c r="AE65" s="387"/>
      <c r="AF65" s="387"/>
    </row>
    <row r="66" spans="1:32" s="227" customFormat="1" ht="12.75" hidden="1" outlineLevel="1">
      <c r="A66" s="334" t="s">
        <v>563</v>
      </c>
      <c r="B66" s="335">
        <f>COUNTIFS('Employee Data'!$W:$W,$A:$A)</f>
        <v>0</v>
      </c>
      <c r="C66" s="335">
        <f>COUNTIFS('Employee Data'!$W:$W,$A:$A,'Employee Data'!$BA:$BA,"Yes")</f>
        <v>0</v>
      </c>
      <c r="D66" s="336">
        <f>SUMIFS('Employee Data'!$AP:$AP,'Employee Data'!$W:$W,$A:$A,'Employee Data'!$BA:$BA,"Yes")</f>
        <v>0</v>
      </c>
      <c r="E66" s="336">
        <f>SUMIFS('Employee Data'!$AQ:$AQ,'Employee Data'!$W:$W,$A:$A,'Employee Data'!$BA:$BA,"Yes")</f>
        <v>0</v>
      </c>
      <c r="F66" s="336">
        <f>SUMIFS('Employee Data'!$AR:$AR,'Employee Data'!$W:$W,$A:$A)</f>
        <v>0</v>
      </c>
      <c r="G66" s="337" t="e">
        <f t="shared" si="43"/>
        <v>#DIV/0!</v>
      </c>
      <c r="H66" s="336">
        <f>SUMIFS('Employee Data'!$CQ:$CQ,'Employee Data'!$W:$W,$A:$A)</f>
        <v>0</v>
      </c>
      <c r="I66" s="336">
        <f>SUMIFS('Employee Data'!$CS:$CS,'Employee Data'!$W:$W,$A:$A)</f>
        <v>0</v>
      </c>
      <c r="J66" s="336">
        <f>SUMIFS('Employee Data'!$CW:$CW,'Employee Data'!$W:$W,$A:$A)</f>
        <v>0</v>
      </c>
      <c r="K66" s="336">
        <f>SUMIFS('Employee Data'!$BF:$BF,'Employee Data'!$W:$W,$A:$A,'Employee Data'!$BA:$BA,"Yes")</f>
        <v>0</v>
      </c>
      <c r="L66" s="336">
        <f>SUMIFS('Employee Data'!$BH:$BH,'Employee Data'!$W:$W,$A:$A)</f>
        <v>0</v>
      </c>
      <c r="M66" s="336">
        <f>SUMIFS('Employee Data'!$BI:$BI,'Employee Data'!$W:$W,$A:$A,'Employee Data'!$BA:$BA,"Yes")</f>
        <v>0</v>
      </c>
      <c r="N66" s="338" t="e">
        <f t="shared" si="44"/>
        <v>#DIV/0!</v>
      </c>
      <c r="O66" s="336">
        <f>SUMIFS('Employee Data'!$DJ:$DJ,'Employee Data'!$W:$W,$A:$A,'Employee Data'!$BA:$BA,"Yes")</f>
        <v>0</v>
      </c>
      <c r="P66" s="339" t="e">
        <f t="shared" si="45"/>
        <v>#DIV/0!</v>
      </c>
      <c r="Q66" s="336">
        <f>SUMIFS('Employee Data'!$CU:$CU,'Employee Data'!$W:$W,$A:$A)</f>
        <v>0</v>
      </c>
      <c r="R66" s="339" t="e">
        <f t="shared" si="46"/>
        <v>#DIV/0!</v>
      </c>
      <c r="S66" s="336">
        <f>SUMIFS('Employee Data'!$CY:$CY,'Employee Data'!$W:$W,$A:$A)</f>
        <v>0</v>
      </c>
      <c r="T66" s="338" t="e">
        <f t="shared" si="47"/>
        <v>#DIV/0!</v>
      </c>
      <c r="U66" s="336">
        <f>SUMIFS('Employee Data'!$DL:$DL,'Employee Data'!$W:$W,$A:$A,'Employee Data'!$BA:$BA,"Yes")</f>
        <v>0</v>
      </c>
      <c r="V66" s="337" t="e">
        <f t="shared" si="48"/>
        <v>#DIV/0!</v>
      </c>
      <c r="W66" s="336">
        <f>SUMIFS('Employee Data'!$BN:$BN,'Employee Data'!$W:$W,$A:$A,'Employee Data'!$BA:$BA,"Yes")</f>
        <v>0</v>
      </c>
      <c r="X66" s="336">
        <f>SUMIFS('Employee Data'!$BO:$BO,'Employee Data'!$W:$W,$A:$A,'Employee Data'!$BA:$BA,"Yes")</f>
        <v>0</v>
      </c>
      <c r="Y66" s="336">
        <f>SUMIFS('Employee Data'!$BV:$BV,'Employee Data'!$W:$W,$A:$A,'Employee Data'!$BA:$BA,"Yes")</f>
        <v>0</v>
      </c>
      <c r="Z66" s="387"/>
      <c r="AA66" s="387"/>
      <c r="AB66" s="387"/>
      <c r="AC66" s="387"/>
      <c r="AD66" s="387"/>
      <c r="AE66" s="387"/>
      <c r="AF66" s="387"/>
    </row>
    <row r="67" spans="1:32" s="226" customFormat="1" ht="15.75" hidden="1" outlineLevel="1">
      <c r="A67" s="328" t="s">
        <v>1</v>
      </c>
      <c r="B67" s="329">
        <f>COUNTIFS('Employee Data'!$V:$V,$A:$A)</f>
        <v>0</v>
      </c>
      <c r="C67" s="329">
        <f>COUNTIFS('Employee Data'!$V:$V,$A:$A,'Employee Data'!$BA:$BA,"Yes")</f>
        <v>0</v>
      </c>
      <c r="D67" s="330">
        <f>SUMIFS('Employee Data'!$AP:$AP,'Employee Data'!$V:$V,$A:$A)</f>
        <v>0</v>
      </c>
      <c r="E67" s="330">
        <f>SUMIFS('Employee Data'!$AQ:$AQ,'Employee Data'!$V:$V,$A:$A)</f>
        <v>0</v>
      </c>
      <c r="F67" s="330">
        <f>SUMIFS('Employee Data'!$AR:$AR,'Employee Data'!$V:$V,$A:$A)</f>
        <v>0</v>
      </c>
      <c r="G67" s="331" t="e">
        <f t="shared" ref="G67:G77" si="49">H67/F67</f>
        <v>#DIV/0!</v>
      </c>
      <c r="H67" s="330">
        <f>SUMIFS('Employee Data'!$CQ:$CQ,'Employee Data'!$V:$V,$A:$A)</f>
        <v>0</v>
      </c>
      <c r="I67" s="330">
        <f>SUMIFS('Employee Data'!$CS:$CS,'Employee Data'!$V:$V,$A:$A)</f>
        <v>0</v>
      </c>
      <c r="J67" s="330">
        <f>SUMIFS('Employee Data'!$CW:$CW,'Employee Data'!$V:$V,$A:$A)</f>
        <v>0</v>
      </c>
      <c r="K67" s="330">
        <f>SUMIFS('Employee Data'!$BF:$BF,'Employee Data'!$V:$V,$A:$A,'Employee Data'!$BA:$BA,"Yes")</f>
        <v>0</v>
      </c>
      <c r="L67" s="330">
        <f>SUMIFS('Employee Data'!$BH:$BH,'Employee Data'!$V:$V,$A:$A)</f>
        <v>0</v>
      </c>
      <c r="M67" s="330">
        <f>SUMIFS('Employee Data'!$BJ:$BJ,'Employee Data'!$V:$V,$A:$A)</f>
        <v>0</v>
      </c>
      <c r="N67" s="332" t="e">
        <f t="shared" ref="N67:N77" si="50">O67/F67</f>
        <v>#DIV/0!</v>
      </c>
      <c r="O67" s="330">
        <f>SUMIFS('Employee Data'!$DJ:$DJ,'Employee Data'!$V:$V,$A:$A)</f>
        <v>0</v>
      </c>
      <c r="P67" s="333" t="e">
        <f t="shared" si="45"/>
        <v>#DIV/0!</v>
      </c>
      <c r="Q67" s="330">
        <f>SUMIFS('Employee Data'!$CU:$CU,'Employee Data'!$V:$V,$A:$A)</f>
        <v>0</v>
      </c>
      <c r="R67" s="333" t="e">
        <f t="shared" si="46"/>
        <v>#DIV/0!</v>
      </c>
      <c r="S67" s="330">
        <f>SUMIFS('Employee Data'!$CY:$CY,'Employee Data'!$V:$V,$A:$A)</f>
        <v>0</v>
      </c>
      <c r="T67" s="332" t="e">
        <f t="shared" si="47"/>
        <v>#DIV/0!</v>
      </c>
      <c r="U67" s="330">
        <f>SUMIFS('Employee Data'!$DL:$DL,'Employee Data'!$V:$V,$A:$A)</f>
        <v>0</v>
      </c>
      <c r="V67" s="331" t="e">
        <f t="shared" si="48"/>
        <v>#DIV/0!</v>
      </c>
      <c r="W67" s="330">
        <f>SUMIFS('Employee Data'!$BN:$BN,'Employee Data'!$V:$V,$A:$A)</f>
        <v>0</v>
      </c>
      <c r="X67" s="330">
        <f>SUMIFS('Employee Data'!$BO:$BO,'Employee Data'!$V:$V,$A:$A)</f>
        <v>0</v>
      </c>
      <c r="Y67" s="330">
        <f>SUMIFS('Employee Data'!$BV:$BV,'Employee Data'!$V:$V,$A:$A)</f>
        <v>0</v>
      </c>
      <c r="Z67" s="386"/>
      <c r="AA67" s="386"/>
      <c r="AB67" s="386"/>
      <c r="AC67" s="386"/>
      <c r="AD67" s="386"/>
      <c r="AE67" s="386"/>
      <c r="AF67" s="386"/>
    </row>
    <row r="68" spans="1:32" s="226" customFormat="1" ht="15.75" hidden="1" outlineLevel="1">
      <c r="A68" s="328" t="s">
        <v>547</v>
      </c>
      <c r="B68" s="329">
        <f>COUNTIFS('Employee Data'!$V:$V,$A:$A)</f>
        <v>0</v>
      </c>
      <c r="C68" s="329">
        <f>COUNTIFS('Employee Data'!$V:$V,$A:$A,'Employee Data'!$BA:$BA,"Yes")</f>
        <v>0</v>
      </c>
      <c r="D68" s="330">
        <f>SUMIFS('Employee Data'!$AP:$AP,'Employee Data'!$V:$V,$A:$A)</f>
        <v>0</v>
      </c>
      <c r="E68" s="330">
        <f>SUMIFS('Employee Data'!$AQ:$AQ,'Employee Data'!$V:$V,$A:$A)</f>
        <v>0</v>
      </c>
      <c r="F68" s="330">
        <f>SUMIFS('Employee Data'!$AR:$AR,'Employee Data'!$V:$V,$A:$A)</f>
        <v>0</v>
      </c>
      <c r="G68" s="331" t="e">
        <f t="shared" si="49"/>
        <v>#DIV/0!</v>
      </c>
      <c r="H68" s="330">
        <f>SUMIFS('Employee Data'!$CQ:$CQ,'Employee Data'!$V:$V,$A:$A)</f>
        <v>0</v>
      </c>
      <c r="I68" s="330">
        <f>SUMIFS('Employee Data'!$CS:$CS,'Employee Data'!$V:$V,$A:$A)</f>
        <v>0</v>
      </c>
      <c r="J68" s="330">
        <f>SUMIFS('Employee Data'!$CW:$CW,'Employee Data'!$V:$V,$A:$A)</f>
        <v>0</v>
      </c>
      <c r="K68" s="330">
        <f>SUMIFS('Employee Data'!$BF:$BF,'Employee Data'!$V:$V,$A:$A,'Employee Data'!$BA:$BA,"Yes")</f>
        <v>0</v>
      </c>
      <c r="L68" s="330">
        <f>SUMIFS('Employee Data'!$BH:$BH,'Employee Data'!$V:$V,$A:$A)</f>
        <v>0</v>
      </c>
      <c r="M68" s="330">
        <f>SUMIFS('Employee Data'!$BJ:$BJ,'Employee Data'!$V:$V,$A:$A)</f>
        <v>0</v>
      </c>
      <c r="N68" s="332" t="e">
        <f t="shared" si="50"/>
        <v>#DIV/0!</v>
      </c>
      <c r="O68" s="330">
        <f>SUMIFS('Employee Data'!$DJ:$DJ,'Employee Data'!$V:$V,$A:$A)</f>
        <v>0</v>
      </c>
      <c r="P68" s="333" t="e">
        <f t="shared" si="45"/>
        <v>#DIV/0!</v>
      </c>
      <c r="Q68" s="330">
        <f>SUMIFS('Employee Data'!$CU:$CU,'Employee Data'!$V:$V,$A:$A)</f>
        <v>0</v>
      </c>
      <c r="R68" s="333" t="e">
        <f t="shared" si="46"/>
        <v>#DIV/0!</v>
      </c>
      <c r="S68" s="330">
        <f>SUMIFS('Employee Data'!$CY:$CY,'Employee Data'!$V:$V,$A:$A)</f>
        <v>0</v>
      </c>
      <c r="T68" s="332" t="e">
        <f t="shared" si="47"/>
        <v>#DIV/0!</v>
      </c>
      <c r="U68" s="330">
        <f>SUMIFS('Employee Data'!$DL:$DL,'Employee Data'!$V:$V,$A:$A)</f>
        <v>0</v>
      </c>
      <c r="V68" s="331" t="e">
        <f t="shared" si="48"/>
        <v>#DIV/0!</v>
      </c>
      <c r="W68" s="330">
        <f>SUMIFS('Employee Data'!$BN:$BN,'Employee Data'!$V:$V,$A:$A)</f>
        <v>0</v>
      </c>
      <c r="X68" s="330">
        <f>SUMIFS('Employee Data'!$BO:$BO,'Employee Data'!$V:$V,$A:$A)</f>
        <v>0</v>
      </c>
      <c r="Y68" s="330">
        <f>SUMIFS('Employee Data'!$BV:$BV,'Employee Data'!$V:$V,$A:$A)</f>
        <v>0</v>
      </c>
      <c r="Z68" s="386"/>
      <c r="AA68" s="386"/>
      <c r="AB68" s="386"/>
      <c r="AC68" s="386"/>
      <c r="AD68" s="386"/>
      <c r="AE68" s="386"/>
      <c r="AF68" s="386"/>
    </row>
    <row r="69" spans="1:32" s="226" customFormat="1" ht="15.75" hidden="1" outlineLevel="1">
      <c r="A69" s="328" t="s">
        <v>546</v>
      </c>
      <c r="B69" s="329">
        <f>COUNTIFS('Employee Data'!$V:$V,$A:$A)</f>
        <v>0</v>
      </c>
      <c r="C69" s="329">
        <f>COUNTIFS('Employee Data'!$V:$V,$A:$A,'Employee Data'!$BA:$BA,"Yes")</f>
        <v>0</v>
      </c>
      <c r="D69" s="330">
        <f>SUMIFS('Employee Data'!$AP:$AP,'Employee Data'!$V:$V,$A:$A)</f>
        <v>0</v>
      </c>
      <c r="E69" s="330">
        <f>SUMIFS('Employee Data'!$AQ:$AQ,'Employee Data'!$V:$V,$A:$A)</f>
        <v>0</v>
      </c>
      <c r="F69" s="330">
        <f>SUMIFS('Employee Data'!$AR:$AR,'Employee Data'!$V:$V,$A:$A)</f>
        <v>0</v>
      </c>
      <c r="G69" s="331" t="e">
        <f t="shared" si="49"/>
        <v>#DIV/0!</v>
      </c>
      <c r="H69" s="330">
        <f>SUMIFS('Employee Data'!$CQ:$CQ,'Employee Data'!$V:$V,$A:$A)</f>
        <v>0</v>
      </c>
      <c r="I69" s="330">
        <f>SUMIFS('Employee Data'!$CS:$CS,'Employee Data'!$V:$V,$A:$A)</f>
        <v>0</v>
      </c>
      <c r="J69" s="330">
        <f>SUMIFS('Employee Data'!$CW:$CW,'Employee Data'!$V:$V,$A:$A)</f>
        <v>0</v>
      </c>
      <c r="K69" s="330">
        <f>SUMIFS('Employee Data'!$BF:$BF,'Employee Data'!$V:$V,$A:$A,'Employee Data'!$BA:$BA,"Yes")</f>
        <v>0</v>
      </c>
      <c r="L69" s="330">
        <f>SUMIFS('Employee Data'!$BH:$BH,'Employee Data'!$V:$V,$A:$A)</f>
        <v>0</v>
      </c>
      <c r="M69" s="330">
        <f>SUMIFS('Employee Data'!$BJ:$BJ,'Employee Data'!$V:$V,$A:$A)</f>
        <v>0</v>
      </c>
      <c r="N69" s="332" t="e">
        <f t="shared" si="50"/>
        <v>#DIV/0!</v>
      </c>
      <c r="O69" s="330">
        <f>SUMIFS('Employee Data'!$DJ:$DJ,'Employee Data'!$V:$V,$A:$A)</f>
        <v>0</v>
      </c>
      <c r="P69" s="333" t="e">
        <f t="shared" si="45"/>
        <v>#DIV/0!</v>
      </c>
      <c r="Q69" s="330">
        <f>SUMIFS('Employee Data'!$CU:$CU,'Employee Data'!$V:$V,$A:$A)</f>
        <v>0</v>
      </c>
      <c r="R69" s="333" t="e">
        <f t="shared" si="46"/>
        <v>#DIV/0!</v>
      </c>
      <c r="S69" s="330">
        <f>SUMIFS('Employee Data'!$CY:$CY,'Employee Data'!$V:$V,$A:$A)</f>
        <v>0</v>
      </c>
      <c r="T69" s="332" t="e">
        <f t="shared" si="47"/>
        <v>#DIV/0!</v>
      </c>
      <c r="U69" s="330">
        <f>SUMIFS('Employee Data'!$DL:$DL,'Employee Data'!$V:$V,$A:$A)</f>
        <v>0</v>
      </c>
      <c r="V69" s="331" t="e">
        <f t="shared" si="48"/>
        <v>#DIV/0!</v>
      </c>
      <c r="W69" s="330">
        <f>SUMIFS('Employee Data'!$BN:$BN,'Employee Data'!$V:$V,$A:$A)</f>
        <v>0</v>
      </c>
      <c r="X69" s="330">
        <f>SUMIFS('Employee Data'!$BO:$BO,'Employee Data'!$V:$V,$A:$A)</f>
        <v>0</v>
      </c>
      <c r="Y69" s="330">
        <f>SUMIFS('Employee Data'!$BV:$BV,'Employee Data'!$V:$V,$A:$A)</f>
        <v>0</v>
      </c>
      <c r="Z69" s="386"/>
      <c r="AA69" s="386"/>
      <c r="AB69" s="386"/>
      <c r="AC69" s="386"/>
      <c r="AD69" s="386"/>
      <c r="AE69" s="386"/>
      <c r="AF69" s="386"/>
    </row>
    <row r="70" spans="1:32" hidden="1" outlineLevel="1">
      <c r="A70" s="334" t="s">
        <v>927</v>
      </c>
      <c r="B70" s="335">
        <f>COUNTIFS('Employee Data'!$W:$W,$A:$A)</f>
        <v>0</v>
      </c>
      <c r="C70" s="335">
        <f>COUNTIFS('Employee Data'!$W:$W,$A:$A,'Employee Data'!$BA:$BA,"Yes")</f>
        <v>0</v>
      </c>
      <c r="D70" s="336">
        <f>SUMIFS('Employee Data'!$AP:$AP,'Employee Data'!$W:$W,$A:$A,'Employee Data'!$BA:$BA,"Yes")</f>
        <v>0</v>
      </c>
      <c r="E70" s="336">
        <f>SUMIFS('Employee Data'!$AQ:$AQ,'Employee Data'!$W:$W,$A:$A,'Employee Data'!$BA:$BA,"Yes")</f>
        <v>0</v>
      </c>
      <c r="F70" s="336">
        <f>SUMIFS('Employee Data'!$AR:$AR,'Employee Data'!$W:$W,$A:$A)</f>
        <v>0</v>
      </c>
      <c r="G70" s="337" t="e">
        <f t="shared" si="49"/>
        <v>#DIV/0!</v>
      </c>
      <c r="H70" s="336">
        <f>SUMIFS('Employee Data'!$CQ:$CQ,'Employee Data'!$W:$W,$A:$A)</f>
        <v>0</v>
      </c>
      <c r="I70" s="336">
        <f>SUMIFS('Employee Data'!$CS:$CS,'Employee Data'!$W:$W,$A:$A)</f>
        <v>0</v>
      </c>
      <c r="J70" s="336">
        <f>SUMIFS('Employee Data'!$CW:$CW,'Employee Data'!$W:$W,$A:$A)</f>
        <v>0</v>
      </c>
      <c r="K70" s="336">
        <f>SUMIFS('Employee Data'!$BF:$BF,'Employee Data'!$W:$W,$A:$A,'Employee Data'!$BA:$BA,"Yes")</f>
        <v>0</v>
      </c>
      <c r="L70" s="336">
        <f>SUMIFS('Employee Data'!$BH:$BH,'Employee Data'!$W:$W,$A:$A)</f>
        <v>0</v>
      </c>
      <c r="M70" s="336">
        <f>SUMIFS('Employee Data'!$BI:$BI,'Employee Data'!$W:$W,$A:$A,'Employee Data'!$BA:$BA,"Yes")</f>
        <v>0</v>
      </c>
      <c r="N70" s="338" t="e">
        <f t="shared" si="50"/>
        <v>#DIV/0!</v>
      </c>
      <c r="O70" s="336">
        <f>SUMIFS('Employee Data'!$DJ:$DJ,'Employee Data'!$W:$W,$A:$A,'Employee Data'!$BA:$BA,"Yes")</f>
        <v>0</v>
      </c>
      <c r="P70" s="339" t="e">
        <f t="shared" ref="P70:P77" si="51">Q70/F70</f>
        <v>#DIV/0!</v>
      </c>
      <c r="Q70" s="336">
        <f>SUMIFS('Employee Data'!$CU:$CU,'Employee Data'!$W:$W,$A:$A)</f>
        <v>0</v>
      </c>
      <c r="R70" s="339" t="e">
        <f t="shared" ref="R70:R77" si="52">S70/F70</f>
        <v>#DIV/0!</v>
      </c>
      <c r="S70" s="336">
        <f>SUMIFS('Employee Data'!$CY:$CY,'Employee Data'!$W:$W,$A:$A)</f>
        <v>0</v>
      </c>
      <c r="T70" s="338" t="e">
        <f t="shared" ref="T70:T77" si="53">U70/F70</f>
        <v>#DIV/0!</v>
      </c>
      <c r="U70" s="336">
        <f>SUMIFS('Employee Data'!$DL:$DL,'Employee Data'!$W:$W,$A:$A,'Employee Data'!$BA:$BA,"Yes")</f>
        <v>0</v>
      </c>
      <c r="V70" s="337" t="e">
        <f t="shared" ref="V70:V77" si="54">W70/F70</f>
        <v>#DIV/0!</v>
      </c>
      <c r="W70" s="336">
        <f>SUMIFS('Employee Data'!$BN:$BN,'Employee Data'!$W:$W,$A:$A,'Employee Data'!$BA:$BA,"Yes")</f>
        <v>0</v>
      </c>
      <c r="X70" s="336">
        <f>SUMIFS('Employee Data'!$BO:$BO,'Employee Data'!$W:$W,$A:$A,'Employee Data'!$BA:$BA,"Yes")</f>
        <v>0</v>
      </c>
      <c r="Y70" s="336">
        <f>SUMIFS('Employee Data'!$BV:$BV,'Employee Data'!$W:$W,$A:$A,'Employee Data'!$BA:$BA,"Yes")</f>
        <v>0</v>
      </c>
      <c r="Z70" s="388"/>
      <c r="AA70" s="388"/>
    </row>
    <row r="71" spans="1:32" hidden="1" outlineLevel="1">
      <c r="A71" s="334" t="s">
        <v>6</v>
      </c>
      <c r="B71" s="335">
        <f>COUNTIFS('Employee Data'!$W:$W,$A:$A)</f>
        <v>0</v>
      </c>
      <c r="C71" s="335">
        <f>COUNTIFS('Employee Data'!$W:$W,$A:$A,'Employee Data'!$BA:$BA,"Yes")</f>
        <v>0</v>
      </c>
      <c r="D71" s="336">
        <f>SUMIFS('Employee Data'!$AP:$AP,'Employee Data'!$W:$W,$A:$A,'Employee Data'!$BA:$BA,"Yes")</f>
        <v>0</v>
      </c>
      <c r="E71" s="336">
        <f>SUMIFS('Employee Data'!$AQ:$AQ,'Employee Data'!$W:$W,$A:$A,'Employee Data'!$BA:$BA,"Yes")</f>
        <v>0</v>
      </c>
      <c r="F71" s="336">
        <f>SUMIFS('Employee Data'!$AR:$AR,'Employee Data'!$W:$W,$A:$A)</f>
        <v>0</v>
      </c>
      <c r="G71" s="337" t="e">
        <f t="shared" si="49"/>
        <v>#DIV/0!</v>
      </c>
      <c r="H71" s="336">
        <f>SUMIFS('Employee Data'!$CQ:$CQ,'Employee Data'!$W:$W,$A:$A)</f>
        <v>0</v>
      </c>
      <c r="I71" s="336">
        <f>SUMIFS('Employee Data'!$CS:$CS,'Employee Data'!$W:$W,$A:$A)</f>
        <v>0</v>
      </c>
      <c r="J71" s="336">
        <f>SUMIFS('Employee Data'!$CW:$CW,'Employee Data'!$W:$W,$A:$A)</f>
        <v>0</v>
      </c>
      <c r="K71" s="336">
        <f>SUMIFS('Employee Data'!$BF:$BF,'Employee Data'!$W:$W,$A:$A,'Employee Data'!$BA:$BA,"Yes")</f>
        <v>0</v>
      </c>
      <c r="L71" s="336">
        <f>SUMIFS('Employee Data'!$BH:$BH,'Employee Data'!$W:$W,$A:$A)</f>
        <v>0</v>
      </c>
      <c r="M71" s="336">
        <f>SUMIFS('Employee Data'!$BI:$BI,'Employee Data'!$W:$W,$A:$A,'Employee Data'!$BA:$BA,"Yes")</f>
        <v>0</v>
      </c>
      <c r="N71" s="338" t="e">
        <f t="shared" si="50"/>
        <v>#DIV/0!</v>
      </c>
      <c r="O71" s="336">
        <f>SUMIFS('Employee Data'!$DJ:$DJ,'Employee Data'!$W:$W,$A:$A,'Employee Data'!$BA:$BA,"Yes")</f>
        <v>0</v>
      </c>
      <c r="P71" s="339" t="e">
        <f t="shared" si="51"/>
        <v>#DIV/0!</v>
      </c>
      <c r="Q71" s="336">
        <f>SUMIFS('Employee Data'!$CU:$CU,'Employee Data'!$W:$W,$A:$A)</f>
        <v>0</v>
      </c>
      <c r="R71" s="339" t="e">
        <f t="shared" si="52"/>
        <v>#DIV/0!</v>
      </c>
      <c r="S71" s="336">
        <f>SUMIFS('Employee Data'!$CY:$CY,'Employee Data'!$W:$W,$A:$A)</f>
        <v>0</v>
      </c>
      <c r="T71" s="338" t="e">
        <f t="shared" si="53"/>
        <v>#DIV/0!</v>
      </c>
      <c r="U71" s="336">
        <f>SUMIFS('Employee Data'!$DL:$DL,'Employee Data'!$W:$W,$A:$A,'Employee Data'!$BA:$BA,"Yes")</f>
        <v>0</v>
      </c>
      <c r="V71" s="337" t="e">
        <f t="shared" si="54"/>
        <v>#DIV/0!</v>
      </c>
      <c r="W71" s="336">
        <f>SUMIFS('Employee Data'!$BN:$BN,'Employee Data'!$W:$W,$A:$A,'Employee Data'!$BA:$BA,"Yes")</f>
        <v>0</v>
      </c>
      <c r="X71" s="336">
        <f>SUMIFS('Employee Data'!$BO:$BO,'Employee Data'!$W:$W,$A:$A,'Employee Data'!$BA:$BA,"Yes")</f>
        <v>0</v>
      </c>
      <c r="Y71" s="336">
        <f>SUMIFS('Employee Data'!$BV:$BV,'Employee Data'!$W:$W,$A:$A,'Employee Data'!$BA:$BA,"Yes")</f>
        <v>0</v>
      </c>
      <c r="Z71" s="388"/>
      <c r="AA71" s="388"/>
    </row>
    <row r="72" spans="1:32" hidden="1" outlineLevel="1">
      <c r="A72" s="334" t="s">
        <v>556</v>
      </c>
      <c r="B72" s="335">
        <f>COUNTIFS('Employee Data'!$W:$W,$A:$A)</f>
        <v>0</v>
      </c>
      <c r="C72" s="335">
        <f>COUNTIFS('Employee Data'!$W:$W,$A:$A,'Employee Data'!$BA:$BA,"Yes")</f>
        <v>0</v>
      </c>
      <c r="D72" s="336">
        <f>SUMIFS('Employee Data'!$AP:$AP,'Employee Data'!$W:$W,$A:$A,'Employee Data'!$BA:$BA,"Yes")</f>
        <v>0</v>
      </c>
      <c r="E72" s="336">
        <f>SUMIFS('Employee Data'!$AQ:$AQ,'Employee Data'!$W:$W,$A:$A,'Employee Data'!$BA:$BA,"Yes")</f>
        <v>0</v>
      </c>
      <c r="F72" s="336">
        <f>SUMIFS('Employee Data'!$AR:$AR,'Employee Data'!$W:$W,$A:$A)</f>
        <v>0</v>
      </c>
      <c r="G72" s="337" t="e">
        <f t="shared" si="49"/>
        <v>#DIV/0!</v>
      </c>
      <c r="H72" s="336">
        <f>SUMIFS('Employee Data'!$CQ:$CQ,'Employee Data'!$W:$W,$A:$A)</f>
        <v>0</v>
      </c>
      <c r="I72" s="336">
        <f>SUMIFS('Employee Data'!$CS:$CS,'Employee Data'!$W:$W,$A:$A)</f>
        <v>0</v>
      </c>
      <c r="J72" s="336">
        <f>SUMIFS('Employee Data'!$CW:$CW,'Employee Data'!$W:$W,$A:$A)</f>
        <v>0</v>
      </c>
      <c r="K72" s="336">
        <f>SUMIFS('Employee Data'!$BF:$BF,'Employee Data'!$W:$W,$A:$A,'Employee Data'!$BA:$BA,"Yes")</f>
        <v>0</v>
      </c>
      <c r="L72" s="336">
        <f>SUMIFS('Employee Data'!$BH:$BH,'Employee Data'!$W:$W,$A:$A)</f>
        <v>0</v>
      </c>
      <c r="M72" s="336">
        <f>SUMIFS('Employee Data'!$BI:$BI,'Employee Data'!$W:$W,$A:$A,'Employee Data'!$BA:$BA,"Yes")</f>
        <v>0</v>
      </c>
      <c r="N72" s="338" t="e">
        <f t="shared" si="50"/>
        <v>#DIV/0!</v>
      </c>
      <c r="O72" s="336">
        <f>SUMIFS('Employee Data'!$DJ:$DJ,'Employee Data'!$W:$W,$A:$A,'Employee Data'!$BA:$BA,"Yes")</f>
        <v>0</v>
      </c>
      <c r="P72" s="339" t="e">
        <f t="shared" si="51"/>
        <v>#DIV/0!</v>
      </c>
      <c r="Q72" s="336">
        <f>SUMIFS('Employee Data'!$CU:$CU,'Employee Data'!$W:$W,$A:$A)</f>
        <v>0</v>
      </c>
      <c r="R72" s="339" t="e">
        <f t="shared" si="52"/>
        <v>#DIV/0!</v>
      </c>
      <c r="S72" s="336">
        <f>SUMIFS('Employee Data'!$CY:$CY,'Employee Data'!$W:$W,$A:$A)</f>
        <v>0</v>
      </c>
      <c r="T72" s="338" t="e">
        <f t="shared" si="53"/>
        <v>#DIV/0!</v>
      </c>
      <c r="U72" s="336">
        <f>SUMIFS('Employee Data'!$DL:$DL,'Employee Data'!$W:$W,$A:$A,'Employee Data'!$BA:$BA,"Yes")</f>
        <v>0</v>
      </c>
      <c r="V72" s="337" t="e">
        <f t="shared" si="54"/>
        <v>#DIV/0!</v>
      </c>
      <c r="W72" s="336">
        <f>SUMIFS('Employee Data'!$BN:$BN,'Employee Data'!$W:$W,$A:$A,'Employee Data'!$BA:$BA,"Yes")</f>
        <v>0</v>
      </c>
      <c r="X72" s="336">
        <f>SUMIFS('Employee Data'!$BO:$BO,'Employee Data'!$W:$W,$A:$A,'Employee Data'!$BA:$BA,"Yes")</f>
        <v>0</v>
      </c>
      <c r="Y72" s="336">
        <f>SUMIFS('Employee Data'!$BV:$BV,'Employee Data'!$W:$W,$A:$A,'Employee Data'!$BA:$BA,"Yes")</f>
        <v>0</v>
      </c>
      <c r="Z72" s="388"/>
      <c r="AA72" s="388"/>
    </row>
    <row r="73" spans="1:32" hidden="1" outlineLevel="1">
      <c r="A73" s="334" t="s">
        <v>555</v>
      </c>
      <c r="B73" s="335">
        <f>COUNTIFS('Employee Data'!$W:$W,$A:$A)</f>
        <v>0</v>
      </c>
      <c r="C73" s="335">
        <f>COUNTIFS('Employee Data'!$W:$W,$A:$A,'Employee Data'!$BA:$BA,"Yes")</f>
        <v>0</v>
      </c>
      <c r="D73" s="336">
        <f>SUMIFS('Employee Data'!$AP:$AP,'Employee Data'!$W:$W,$A:$A,'Employee Data'!$BA:$BA,"Yes")</f>
        <v>0</v>
      </c>
      <c r="E73" s="336">
        <f>SUMIFS('Employee Data'!$AQ:$AQ,'Employee Data'!$W:$W,$A:$A,'Employee Data'!$BA:$BA,"Yes")</f>
        <v>0</v>
      </c>
      <c r="F73" s="336">
        <f>SUMIFS('Employee Data'!$AR:$AR,'Employee Data'!$W:$W,$A:$A)</f>
        <v>0</v>
      </c>
      <c r="G73" s="337" t="e">
        <f t="shared" si="49"/>
        <v>#DIV/0!</v>
      </c>
      <c r="H73" s="336">
        <f>SUMIFS('Employee Data'!$CQ:$CQ,'Employee Data'!$W:$W,$A:$A)</f>
        <v>0</v>
      </c>
      <c r="I73" s="336">
        <f>SUMIFS('Employee Data'!$CS:$CS,'Employee Data'!$W:$W,$A:$A)</f>
        <v>0</v>
      </c>
      <c r="J73" s="336">
        <f>SUMIFS('Employee Data'!$CW:$CW,'Employee Data'!$W:$W,$A:$A)</f>
        <v>0</v>
      </c>
      <c r="K73" s="336">
        <f>SUMIFS('Employee Data'!$BF:$BF,'Employee Data'!$W:$W,$A:$A,'Employee Data'!$BA:$BA,"Yes")</f>
        <v>0</v>
      </c>
      <c r="L73" s="336">
        <f>SUMIFS('Employee Data'!$BH:$BH,'Employee Data'!$W:$W,$A:$A)</f>
        <v>0</v>
      </c>
      <c r="M73" s="336">
        <f>SUMIFS('Employee Data'!$BI:$BI,'Employee Data'!$W:$W,$A:$A,'Employee Data'!$BA:$BA,"Yes")</f>
        <v>0</v>
      </c>
      <c r="N73" s="338" t="e">
        <f t="shared" si="50"/>
        <v>#DIV/0!</v>
      </c>
      <c r="O73" s="336">
        <f>SUMIFS('Employee Data'!$DJ:$DJ,'Employee Data'!$W:$W,$A:$A,'Employee Data'!$BA:$BA,"Yes")</f>
        <v>0</v>
      </c>
      <c r="P73" s="339" t="e">
        <f t="shared" si="51"/>
        <v>#DIV/0!</v>
      </c>
      <c r="Q73" s="336">
        <f>SUMIFS('Employee Data'!$CU:$CU,'Employee Data'!$W:$W,$A:$A)</f>
        <v>0</v>
      </c>
      <c r="R73" s="339" t="e">
        <f t="shared" si="52"/>
        <v>#DIV/0!</v>
      </c>
      <c r="S73" s="336">
        <f>SUMIFS('Employee Data'!$CY:$CY,'Employee Data'!$W:$W,$A:$A)</f>
        <v>0</v>
      </c>
      <c r="T73" s="338" t="e">
        <f t="shared" si="53"/>
        <v>#DIV/0!</v>
      </c>
      <c r="U73" s="336">
        <f>SUMIFS('Employee Data'!$DL:$DL,'Employee Data'!$W:$W,$A:$A,'Employee Data'!$BA:$BA,"Yes")</f>
        <v>0</v>
      </c>
      <c r="V73" s="337" t="e">
        <f t="shared" si="54"/>
        <v>#DIV/0!</v>
      </c>
      <c r="W73" s="336">
        <f>SUMIFS('Employee Data'!$BN:$BN,'Employee Data'!$W:$W,$A:$A,'Employee Data'!$BA:$BA,"Yes")</f>
        <v>0</v>
      </c>
      <c r="X73" s="336">
        <f>SUMIFS('Employee Data'!$BO:$BO,'Employee Data'!$W:$W,$A:$A,'Employee Data'!$BA:$BA,"Yes")</f>
        <v>0</v>
      </c>
      <c r="Y73" s="336">
        <f>SUMIFS('Employee Data'!$BV:$BV,'Employee Data'!$W:$W,$A:$A,'Employee Data'!$BA:$BA,"Yes")</f>
        <v>0</v>
      </c>
      <c r="Z73" s="388"/>
      <c r="AA73" s="388"/>
    </row>
    <row r="74" spans="1:32" hidden="1" outlineLevel="1">
      <c r="A74" s="334" t="s">
        <v>561</v>
      </c>
      <c r="B74" s="335">
        <f>COUNTIFS('Employee Data'!$W:$W,$A:$A)</f>
        <v>0</v>
      </c>
      <c r="C74" s="335">
        <f>COUNTIFS('Employee Data'!$W:$W,$A:$A,'Employee Data'!$BA:$BA,"Yes")</f>
        <v>0</v>
      </c>
      <c r="D74" s="336">
        <f>SUMIFS('Employee Data'!$AP:$AP,'Employee Data'!$W:$W,$A:$A,'Employee Data'!$BA:$BA,"Yes")</f>
        <v>0</v>
      </c>
      <c r="E74" s="336">
        <f>SUMIFS('Employee Data'!$AQ:$AQ,'Employee Data'!$W:$W,$A:$A,'Employee Data'!$BA:$BA,"Yes")</f>
        <v>0</v>
      </c>
      <c r="F74" s="336">
        <f>SUMIFS('Employee Data'!$AR:$AR,'Employee Data'!$W:$W,$A:$A)</f>
        <v>0</v>
      </c>
      <c r="G74" s="337" t="e">
        <f t="shared" si="49"/>
        <v>#DIV/0!</v>
      </c>
      <c r="H74" s="336">
        <f>SUMIFS('Employee Data'!$CQ:$CQ,'Employee Data'!$W:$W,$A:$A)</f>
        <v>0</v>
      </c>
      <c r="I74" s="336">
        <f>SUMIFS('Employee Data'!$CS:$CS,'Employee Data'!$W:$W,$A:$A)</f>
        <v>0</v>
      </c>
      <c r="J74" s="336">
        <f>SUMIFS('Employee Data'!$CW:$CW,'Employee Data'!$W:$W,$A:$A)</f>
        <v>0</v>
      </c>
      <c r="K74" s="336">
        <f>SUMIFS('Employee Data'!$BF:$BF,'Employee Data'!$W:$W,$A:$A,'Employee Data'!$BA:$BA,"Yes")</f>
        <v>0</v>
      </c>
      <c r="L74" s="336">
        <f>SUMIFS('Employee Data'!$BH:$BH,'Employee Data'!$W:$W,$A:$A)</f>
        <v>0</v>
      </c>
      <c r="M74" s="336">
        <f>SUMIFS('Employee Data'!$BI:$BI,'Employee Data'!$W:$W,$A:$A,'Employee Data'!$BA:$BA,"Yes")</f>
        <v>0</v>
      </c>
      <c r="N74" s="338" t="e">
        <f t="shared" si="50"/>
        <v>#DIV/0!</v>
      </c>
      <c r="O74" s="336">
        <f>SUMIFS('Employee Data'!$DJ:$DJ,'Employee Data'!$W:$W,$A:$A,'Employee Data'!$BA:$BA,"Yes")</f>
        <v>0</v>
      </c>
      <c r="P74" s="339" t="e">
        <f t="shared" si="51"/>
        <v>#DIV/0!</v>
      </c>
      <c r="Q74" s="336">
        <f>SUMIFS('Employee Data'!$CU:$CU,'Employee Data'!$W:$W,$A:$A)</f>
        <v>0</v>
      </c>
      <c r="R74" s="339" t="e">
        <f t="shared" si="52"/>
        <v>#DIV/0!</v>
      </c>
      <c r="S74" s="336">
        <f>SUMIFS('Employee Data'!$CY:$CY,'Employee Data'!$W:$W,$A:$A)</f>
        <v>0</v>
      </c>
      <c r="T74" s="338" t="e">
        <f t="shared" si="53"/>
        <v>#DIV/0!</v>
      </c>
      <c r="U74" s="336">
        <f>SUMIFS('Employee Data'!$DL:$DL,'Employee Data'!$W:$W,$A:$A,'Employee Data'!$BA:$BA,"Yes")</f>
        <v>0</v>
      </c>
      <c r="V74" s="337" t="e">
        <f t="shared" si="54"/>
        <v>#DIV/0!</v>
      </c>
      <c r="W74" s="336">
        <f>SUMIFS('Employee Data'!$BN:$BN,'Employee Data'!$W:$W,$A:$A,'Employee Data'!$BA:$BA,"Yes")</f>
        <v>0</v>
      </c>
      <c r="X74" s="336">
        <f>SUMIFS('Employee Data'!$BO:$BO,'Employee Data'!$W:$W,$A:$A,'Employee Data'!$BA:$BA,"Yes")</f>
        <v>0</v>
      </c>
      <c r="Y74" s="336">
        <f>SUMIFS('Employee Data'!$BV:$BV,'Employee Data'!$W:$W,$A:$A,'Employee Data'!$BA:$BA,"Yes")</f>
        <v>0</v>
      </c>
      <c r="Z74" s="388"/>
      <c r="AA74" s="388"/>
    </row>
    <row r="75" spans="1:32" hidden="1" outlineLevel="1">
      <c r="A75" s="334" t="s">
        <v>552</v>
      </c>
      <c r="B75" s="335">
        <f>COUNTIFS('Employee Data'!$W:$W,$A:$A)</f>
        <v>0</v>
      </c>
      <c r="C75" s="335">
        <f>COUNTIFS('Employee Data'!$W:$W,$A:$A,'Employee Data'!$BA:$BA,"Yes")</f>
        <v>0</v>
      </c>
      <c r="D75" s="336">
        <f>SUMIFS('Employee Data'!$AP:$AP,'Employee Data'!$W:$W,$A:$A,'Employee Data'!$BA:$BA,"Yes")</f>
        <v>0</v>
      </c>
      <c r="E75" s="336">
        <f>SUMIFS('Employee Data'!$AQ:$AQ,'Employee Data'!$W:$W,$A:$A,'Employee Data'!$BA:$BA,"Yes")</f>
        <v>0</v>
      </c>
      <c r="F75" s="336">
        <f>SUMIFS('Employee Data'!$AR:$AR,'Employee Data'!$W:$W,$A:$A)</f>
        <v>0</v>
      </c>
      <c r="G75" s="337" t="e">
        <f t="shared" si="49"/>
        <v>#DIV/0!</v>
      </c>
      <c r="H75" s="336">
        <f>SUMIFS('Employee Data'!$CQ:$CQ,'Employee Data'!$W:$W,$A:$A)</f>
        <v>0</v>
      </c>
      <c r="I75" s="336">
        <f>SUMIFS('Employee Data'!$CS:$CS,'Employee Data'!$W:$W,$A:$A)</f>
        <v>0</v>
      </c>
      <c r="J75" s="336">
        <f>SUMIFS('Employee Data'!$CW:$CW,'Employee Data'!$W:$W,$A:$A)</f>
        <v>0</v>
      </c>
      <c r="K75" s="336">
        <f>SUMIFS('Employee Data'!$BF:$BF,'Employee Data'!$W:$W,$A:$A,'Employee Data'!$BA:$BA,"Yes")</f>
        <v>0</v>
      </c>
      <c r="L75" s="336">
        <f>SUMIFS('Employee Data'!$BH:$BH,'Employee Data'!$W:$W,$A:$A)</f>
        <v>0</v>
      </c>
      <c r="M75" s="336">
        <f>SUMIFS('Employee Data'!$BI:$BI,'Employee Data'!$W:$W,$A:$A,'Employee Data'!$BA:$BA,"Yes")</f>
        <v>0</v>
      </c>
      <c r="N75" s="338" t="e">
        <f t="shared" si="50"/>
        <v>#DIV/0!</v>
      </c>
      <c r="O75" s="336">
        <f>SUMIFS('Employee Data'!$DJ:$DJ,'Employee Data'!$W:$W,$A:$A,'Employee Data'!$BA:$BA,"Yes")</f>
        <v>0</v>
      </c>
      <c r="P75" s="339" t="e">
        <f t="shared" si="51"/>
        <v>#DIV/0!</v>
      </c>
      <c r="Q75" s="336">
        <f>SUMIFS('Employee Data'!$CU:$CU,'Employee Data'!$W:$W,$A:$A)</f>
        <v>0</v>
      </c>
      <c r="R75" s="339" t="e">
        <f t="shared" si="52"/>
        <v>#DIV/0!</v>
      </c>
      <c r="S75" s="336">
        <f>SUMIFS('Employee Data'!$CY:$CY,'Employee Data'!$W:$W,$A:$A)</f>
        <v>0</v>
      </c>
      <c r="T75" s="338" t="e">
        <f t="shared" si="53"/>
        <v>#DIV/0!</v>
      </c>
      <c r="U75" s="336">
        <f>SUMIFS('Employee Data'!$DL:$DL,'Employee Data'!$W:$W,$A:$A,'Employee Data'!$BA:$BA,"Yes")</f>
        <v>0</v>
      </c>
      <c r="V75" s="337" t="e">
        <f t="shared" si="54"/>
        <v>#DIV/0!</v>
      </c>
      <c r="W75" s="336">
        <f>SUMIFS('Employee Data'!$BN:$BN,'Employee Data'!$W:$W,$A:$A,'Employee Data'!$BA:$BA,"Yes")</f>
        <v>0</v>
      </c>
      <c r="X75" s="336">
        <f>SUMIFS('Employee Data'!$BO:$BO,'Employee Data'!$W:$W,$A:$A,'Employee Data'!$BA:$BA,"Yes")</f>
        <v>0</v>
      </c>
      <c r="Y75" s="336">
        <f>SUMIFS('Employee Data'!$BV:$BV,'Employee Data'!$W:$W,$A:$A,'Employee Data'!$BA:$BA,"Yes")</f>
        <v>0</v>
      </c>
      <c r="Z75" s="388"/>
      <c r="AA75" s="388"/>
    </row>
    <row r="76" spans="1:32" hidden="1" outlineLevel="1">
      <c r="A76" s="334" t="s">
        <v>565</v>
      </c>
      <c r="B76" s="335">
        <f>COUNTIFS('Employee Data'!$W:$W,$A:$A)</f>
        <v>0</v>
      </c>
      <c r="C76" s="335">
        <f>COUNTIFS('Employee Data'!$W:$W,$A:$A,'Employee Data'!$BA:$BA,"Yes")</f>
        <v>0</v>
      </c>
      <c r="D76" s="336">
        <f>SUMIFS('Employee Data'!$AP:$AP,'Employee Data'!$W:$W,$A:$A,'Employee Data'!$BA:$BA,"Yes")</f>
        <v>0</v>
      </c>
      <c r="E76" s="336">
        <f>SUMIFS('Employee Data'!$AQ:$AQ,'Employee Data'!$W:$W,$A:$A,'Employee Data'!$BA:$BA,"Yes")</f>
        <v>0</v>
      </c>
      <c r="F76" s="336">
        <f>SUMIFS('Employee Data'!$AR:$AR,'Employee Data'!$W:$W,$A:$A)</f>
        <v>0</v>
      </c>
      <c r="G76" s="337" t="e">
        <f t="shared" si="49"/>
        <v>#DIV/0!</v>
      </c>
      <c r="H76" s="336">
        <f>SUMIFS('Employee Data'!$CQ:$CQ,'Employee Data'!$W:$W,$A:$A)</f>
        <v>0</v>
      </c>
      <c r="I76" s="336">
        <f>SUMIFS('Employee Data'!$CS:$CS,'Employee Data'!$W:$W,$A:$A)</f>
        <v>0</v>
      </c>
      <c r="J76" s="336">
        <f>SUMIFS('Employee Data'!$CW:$CW,'Employee Data'!$W:$W,$A:$A)</f>
        <v>0</v>
      </c>
      <c r="K76" s="336">
        <f>SUMIFS('Employee Data'!$BF:$BF,'Employee Data'!$W:$W,$A:$A,'Employee Data'!$BA:$BA,"Yes")</f>
        <v>0</v>
      </c>
      <c r="L76" s="336">
        <f>SUMIFS('Employee Data'!$BH:$BH,'Employee Data'!$W:$W,$A:$A)</f>
        <v>0</v>
      </c>
      <c r="M76" s="336">
        <f>SUMIFS('Employee Data'!$BI:$BI,'Employee Data'!$W:$W,$A:$A,'Employee Data'!$BA:$BA,"Yes")</f>
        <v>0</v>
      </c>
      <c r="N76" s="338" t="e">
        <f t="shared" si="50"/>
        <v>#DIV/0!</v>
      </c>
      <c r="O76" s="336">
        <f>SUMIFS('Employee Data'!$DJ:$DJ,'Employee Data'!$W:$W,$A:$A,'Employee Data'!$BA:$BA,"Yes")</f>
        <v>0</v>
      </c>
      <c r="P76" s="339" t="e">
        <f t="shared" si="51"/>
        <v>#DIV/0!</v>
      </c>
      <c r="Q76" s="336">
        <f>SUMIFS('Employee Data'!$CU:$CU,'Employee Data'!$W:$W,$A:$A)</f>
        <v>0</v>
      </c>
      <c r="R76" s="339" t="e">
        <f t="shared" si="52"/>
        <v>#DIV/0!</v>
      </c>
      <c r="S76" s="336">
        <f>SUMIFS('Employee Data'!$CY:$CY,'Employee Data'!$W:$W,$A:$A)</f>
        <v>0</v>
      </c>
      <c r="T76" s="338" t="e">
        <f t="shared" si="53"/>
        <v>#DIV/0!</v>
      </c>
      <c r="U76" s="336">
        <f>SUMIFS('Employee Data'!$DL:$DL,'Employee Data'!$W:$W,$A:$A,'Employee Data'!$BA:$BA,"Yes")</f>
        <v>0</v>
      </c>
      <c r="V76" s="337" t="e">
        <f t="shared" si="54"/>
        <v>#DIV/0!</v>
      </c>
      <c r="W76" s="336">
        <f>SUMIFS('Employee Data'!$BN:$BN,'Employee Data'!$W:$W,$A:$A,'Employee Data'!$BA:$BA,"Yes")</f>
        <v>0</v>
      </c>
      <c r="X76" s="336">
        <f>SUMIFS('Employee Data'!$BO:$BO,'Employee Data'!$W:$W,$A:$A,'Employee Data'!$BA:$BA,"Yes")</f>
        <v>0</v>
      </c>
      <c r="Y76" s="336">
        <f>SUMIFS('Employee Data'!$BV:$BV,'Employee Data'!$W:$W,$A:$A,'Employee Data'!$BA:$BA,"Yes")</f>
        <v>0</v>
      </c>
      <c r="Z76" s="388"/>
      <c r="AA76" s="388"/>
    </row>
    <row r="77" spans="1:32" hidden="1" outlineLevel="1">
      <c r="A77" s="334" t="s">
        <v>30</v>
      </c>
      <c r="B77" s="335">
        <f>COUNTIFS('Employee Data'!$W:$W,$A:$A)</f>
        <v>0</v>
      </c>
      <c r="C77" s="335">
        <f>COUNTIFS('Employee Data'!$W:$W,$A:$A,'Employee Data'!$BA:$BA,"Yes")</f>
        <v>0</v>
      </c>
      <c r="D77" s="336">
        <f>SUMIFS('Employee Data'!$AP:$AP,'Employee Data'!$W:$W,$A:$A,'Employee Data'!$BA:$BA,"Yes")</f>
        <v>0</v>
      </c>
      <c r="E77" s="336">
        <f>SUMIFS('Employee Data'!$AQ:$AQ,'Employee Data'!$W:$W,$A:$A,'Employee Data'!$BA:$BA,"Yes")</f>
        <v>0</v>
      </c>
      <c r="F77" s="336">
        <f>SUMIFS('Employee Data'!$AR:$AR,'Employee Data'!$W:$W,$A:$A)</f>
        <v>0</v>
      </c>
      <c r="G77" s="337" t="e">
        <f t="shared" si="49"/>
        <v>#DIV/0!</v>
      </c>
      <c r="H77" s="336">
        <f>SUMIFS('Employee Data'!$CQ:$CQ,'Employee Data'!$W:$W,$A:$A)</f>
        <v>0</v>
      </c>
      <c r="I77" s="336">
        <f>SUMIFS('Employee Data'!$CS:$CS,'Employee Data'!$W:$W,$A:$A)</f>
        <v>0</v>
      </c>
      <c r="J77" s="336">
        <f>SUMIFS('Employee Data'!$CW:$CW,'Employee Data'!$W:$W,$A:$A)</f>
        <v>0</v>
      </c>
      <c r="K77" s="336">
        <f>SUMIFS('Employee Data'!$BF:$BF,'Employee Data'!$W:$W,$A:$A,'Employee Data'!$BA:$BA,"Yes")</f>
        <v>0</v>
      </c>
      <c r="L77" s="336">
        <f>SUMIFS('Employee Data'!$BH:$BH,'Employee Data'!$W:$W,$A:$A)</f>
        <v>0</v>
      </c>
      <c r="M77" s="336">
        <f>SUMIFS('Employee Data'!$BI:$BI,'Employee Data'!$W:$W,$A:$A,'Employee Data'!$BA:$BA,"Yes")</f>
        <v>0</v>
      </c>
      <c r="N77" s="338" t="e">
        <f t="shared" si="50"/>
        <v>#DIV/0!</v>
      </c>
      <c r="O77" s="336">
        <f>SUMIFS('Employee Data'!$DJ:$DJ,'Employee Data'!$W:$W,$A:$A,'Employee Data'!$BA:$BA,"Yes")</f>
        <v>0</v>
      </c>
      <c r="P77" s="339" t="e">
        <f t="shared" si="51"/>
        <v>#DIV/0!</v>
      </c>
      <c r="Q77" s="336">
        <f>SUMIFS('Employee Data'!$CU:$CU,'Employee Data'!$W:$W,$A:$A)</f>
        <v>0</v>
      </c>
      <c r="R77" s="339" t="e">
        <f t="shared" si="52"/>
        <v>#DIV/0!</v>
      </c>
      <c r="S77" s="336">
        <f>SUMIFS('Employee Data'!$CY:$CY,'Employee Data'!$W:$W,$A:$A)</f>
        <v>0</v>
      </c>
      <c r="T77" s="338" t="e">
        <f t="shared" si="53"/>
        <v>#DIV/0!</v>
      </c>
      <c r="U77" s="336">
        <f>SUMIFS('Employee Data'!$DL:$DL,'Employee Data'!$W:$W,$A:$A,'Employee Data'!$BA:$BA,"Yes")</f>
        <v>0</v>
      </c>
      <c r="V77" s="337" t="e">
        <f t="shared" si="54"/>
        <v>#DIV/0!</v>
      </c>
      <c r="W77" s="336">
        <f>SUMIFS('Employee Data'!$BN:$BN,'Employee Data'!$W:$W,$A:$A,'Employee Data'!$BA:$BA,"Yes")</f>
        <v>0</v>
      </c>
      <c r="X77" s="336">
        <f>SUMIFS('Employee Data'!$BO:$BO,'Employee Data'!$W:$W,$A:$A,'Employee Data'!$BA:$BA,"Yes")</f>
        <v>0</v>
      </c>
      <c r="Y77" s="336">
        <f>SUMIFS('Employee Data'!$BV:$BV,'Employee Data'!$W:$W,$A:$A,'Employee Data'!$BA:$BA,"Yes")</f>
        <v>0</v>
      </c>
      <c r="Z77" s="388"/>
      <c r="AA77" s="388"/>
    </row>
    <row r="78" spans="1:32" s="226" customFormat="1" ht="15.75" hidden="1" outlineLevel="1">
      <c r="A78" s="328" t="s">
        <v>689</v>
      </c>
      <c r="B78" s="348">
        <f>COUNTIFS('Employee Data'!$V:$V,$A:$A)</f>
        <v>0</v>
      </c>
      <c r="C78" s="348">
        <f>COUNTIFS('Employee Data'!$V:$V,$A:$A,'Employee Data'!$BA:$BA,"Yes")</f>
        <v>0</v>
      </c>
      <c r="D78" s="349">
        <f>SUMIFS('Employee Data'!$AP:$AP,'Employee Data'!$V:$V,$A:$A)</f>
        <v>0</v>
      </c>
      <c r="E78" s="349">
        <f>SUMIFS('Employee Data'!$AQ:$AQ,'Employee Data'!$V:$V,$A:$A)</f>
        <v>0</v>
      </c>
      <c r="F78" s="349">
        <f>SUMIFS('Employee Data'!$AR:$AR,'Employee Data'!$V:$V,$A:$A)</f>
        <v>0</v>
      </c>
      <c r="G78" s="350" t="e">
        <f>H78/F78</f>
        <v>#DIV/0!</v>
      </c>
      <c r="H78" s="349">
        <f>SUMIFS('Employee Data'!$CQ:$CQ,'Employee Data'!$V:$V,$A:$A)</f>
        <v>0</v>
      </c>
      <c r="I78" s="349">
        <f>SUMIFS('Employee Data'!$CS:$CS,'Employee Data'!$V:$V,$A:$A)</f>
        <v>0</v>
      </c>
      <c r="J78" s="349">
        <f>SUMIFS('Employee Data'!$CW:$CW,'Employee Data'!$V:$V,$A:$A)</f>
        <v>0</v>
      </c>
      <c r="K78" s="349">
        <f>SUMIFS('Employee Data'!$BF:$BF,'Employee Data'!$V:$V,$A:$A,'Employee Data'!$BA:$BA,"Yes")</f>
        <v>0</v>
      </c>
      <c r="L78" s="349">
        <f>SUMIFS('Employee Data'!$BH:$BH,'Employee Data'!$V:$V,$A:$A)</f>
        <v>0</v>
      </c>
      <c r="M78" s="349">
        <f>SUMIFS('Employee Data'!$BJ:$BJ,'Employee Data'!$V:$V,$A:$A)</f>
        <v>0</v>
      </c>
      <c r="N78" s="351" t="e">
        <f>O78/F78</f>
        <v>#DIV/0!</v>
      </c>
      <c r="O78" s="349">
        <f>SUMIFS('Employee Data'!$DJ:$DJ,'Employee Data'!$V:$V,$A:$A)</f>
        <v>0</v>
      </c>
      <c r="P78" s="352" t="e">
        <f>Q78/F78</f>
        <v>#DIV/0!</v>
      </c>
      <c r="Q78" s="349">
        <f>SUMIFS('Employee Data'!$CU:$CU,'Employee Data'!$V:$V,$A:$A)</f>
        <v>0</v>
      </c>
      <c r="R78" s="352" t="e">
        <f>S78/F78</f>
        <v>#DIV/0!</v>
      </c>
      <c r="S78" s="349">
        <f>SUMIFS('Employee Data'!$CY:$CY,'Employee Data'!$V:$V,$A:$A)</f>
        <v>0</v>
      </c>
      <c r="T78" s="351" t="e">
        <f>U78/F78</f>
        <v>#DIV/0!</v>
      </c>
      <c r="U78" s="349">
        <f>SUMIFS('Employee Data'!$DL:$DL,'Employee Data'!$V:$V,$A:$A)</f>
        <v>0</v>
      </c>
      <c r="V78" s="350" t="e">
        <f>W78/F78</f>
        <v>#DIV/0!</v>
      </c>
      <c r="W78" s="349">
        <f>SUMIFS('Employee Data'!$BN:$BN,'Employee Data'!$V:$V,$A:$A)</f>
        <v>0</v>
      </c>
      <c r="X78" s="349">
        <f>SUMIFS('Employee Data'!$BO:$BO,'Employee Data'!$V:$V,$A:$A)</f>
        <v>0</v>
      </c>
      <c r="Y78" s="349">
        <f>SUMIFS('Employee Data'!$BV:$BV,'Employee Data'!$V:$V,$A:$A)</f>
        <v>0</v>
      </c>
      <c r="Z78" s="386"/>
      <c r="AA78" s="386"/>
      <c r="AB78" s="386"/>
      <c r="AC78" s="386"/>
      <c r="AD78" s="386"/>
      <c r="AE78" s="386"/>
      <c r="AF78" s="386"/>
    </row>
    <row r="79" spans="1:32" ht="15.75" hidden="1" outlineLevel="1">
      <c r="A79" s="353" t="s">
        <v>634</v>
      </c>
      <c r="B79" s="354">
        <f>B13+B21+B29+B37+B46+B55+B60+B67+B68+B69+B78</f>
        <v>105</v>
      </c>
      <c r="C79" s="354">
        <f>C13+C21+C29+C37+C46+C55+C60+C67+C68+C69+C78</f>
        <v>56</v>
      </c>
      <c r="D79" s="355">
        <f>D13+D21+D29+D37+D46+D55+D60+D67+D68+D69+D78</f>
        <v>11592182</v>
      </c>
      <c r="E79" s="355">
        <f>E13+E21+E29+E37+E46+E55+E60+E67+E68+E69+E78</f>
        <v>11438811</v>
      </c>
      <c r="F79" s="355">
        <f>F13+F21+F29+F37+F46+F55+F60+F67+F68+F69+F78</f>
        <v>6951800</v>
      </c>
      <c r="G79" s="356">
        <f>H79/F79</f>
        <v>3.2501366552547539E-2</v>
      </c>
      <c r="H79" s="355">
        <f t="shared" ref="H79:M79" si="55">H13+H21+H29+H37+H46+H55+H60+H67+H68+H69+H78</f>
        <v>225943</v>
      </c>
      <c r="I79" s="355">
        <f t="shared" si="55"/>
        <v>0</v>
      </c>
      <c r="J79" s="355">
        <f t="shared" si="55"/>
        <v>59617</v>
      </c>
      <c r="K79" s="355">
        <f t="shared" si="55"/>
        <v>147881</v>
      </c>
      <c r="L79" s="357">
        <f t="shared" si="55"/>
        <v>0</v>
      </c>
      <c r="M79" s="355">
        <f t="shared" si="55"/>
        <v>18445</v>
      </c>
      <c r="N79" s="356">
        <f>O79/F79</f>
        <v>3.2501366552547539E-2</v>
      </c>
      <c r="O79" s="355">
        <f>O13+O21+O29+O37+O46+O55+O60+O67+O68+O69+O78</f>
        <v>225943</v>
      </c>
      <c r="P79" s="358">
        <f>Q79/F79</f>
        <v>0</v>
      </c>
      <c r="Q79" s="355">
        <f>Q13+Q21+Q29+Q37+Q46+Q55+Q60+Q67+Q68+Q69+Q78</f>
        <v>0</v>
      </c>
      <c r="R79" s="358">
        <f>S79/F79</f>
        <v>1.6051526223424151E-2</v>
      </c>
      <c r="S79" s="355">
        <f>S13+S21+S29+S37+S46+S55+S60+S67+S68+S69+S78</f>
        <v>111587</v>
      </c>
      <c r="T79" s="358">
        <f>U79/F79</f>
        <v>1.6051526223424151E-2</v>
      </c>
      <c r="U79" s="357">
        <f>U13+U21+U29+U37+U46+U55+U60+U67+U68+U69+U78</f>
        <v>111587</v>
      </c>
      <c r="V79" s="358">
        <f>W79/F79</f>
        <v>4.5899047728645816E-2</v>
      </c>
      <c r="W79" s="355">
        <f>W13+W21+W29+W37+W46+W55+W60+W67+W68+W69+W78</f>
        <v>319081</v>
      </c>
      <c r="X79" s="355">
        <f>X13+X21+X29+X37+X46+X55+X60+X67+X68+X69+X78</f>
        <v>11911263</v>
      </c>
      <c r="Y79" s="355">
        <f>Y13+Y21+Y29+Y37+Y46+Y55+Y60+Y67+Y68+Y69+Y78</f>
        <v>11754708.915789474</v>
      </c>
      <c r="Z79" s="388"/>
      <c r="AA79" s="388"/>
    </row>
    <row r="80" spans="1:32" collapsed="1">
      <c r="Z80" s="388"/>
      <c r="AA80" s="388"/>
    </row>
    <row r="81" spans="1:34">
      <c r="G81" s="394"/>
      <c r="Z81" s="388"/>
      <c r="AA81" s="388"/>
    </row>
    <row r="82" spans="1:34">
      <c r="Z82" s="388"/>
      <c r="AA82" s="388"/>
    </row>
    <row r="83" spans="1:34">
      <c r="Z83" s="388"/>
      <c r="AA83" s="388"/>
    </row>
    <row r="84" spans="1:34">
      <c r="Z84" s="388"/>
      <c r="AA84" s="388"/>
    </row>
    <row r="85" spans="1:34">
      <c r="Z85" s="388"/>
      <c r="AA85" s="388"/>
    </row>
    <row r="86" spans="1:34" ht="18.75">
      <c r="A86" s="395"/>
      <c r="B86" s="396"/>
      <c r="C86" s="396"/>
      <c r="D86" s="396"/>
      <c r="E86" s="396"/>
      <c r="F86" s="396"/>
      <c r="G86" s="397"/>
      <c r="H86" s="396"/>
      <c r="I86" s="396"/>
      <c r="J86" s="398"/>
      <c r="K86" s="396"/>
      <c r="L86" s="399"/>
      <c r="M86" s="397"/>
      <c r="N86" s="400"/>
      <c r="O86" s="388"/>
      <c r="P86" s="389"/>
      <c r="Q86" s="388"/>
      <c r="R86" s="389"/>
      <c r="S86" s="388"/>
      <c r="T86" s="388"/>
      <c r="U86" s="388"/>
      <c r="W86" s="388"/>
      <c r="X86" s="388"/>
      <c r="Y86" s="388"/>
      <c r="Z86" s="388"/>
      <c r="AA86" s="388"/>
    </row>
    <row r="87" spans="1:34">
      <c r="A87" s="396"/>
      <c r="B87" s="396"/>
      <c r="C87" s="396"/>
      <c r="D87" s="396"/>
      <c r="E87" s="396"/>
      <c r="F87" s="396"/>
      <c r="G87" s="397"/>
      <c r="H87" s="396"/>
      <c r="I87" s="396"/>
      <c r="J87" s="396"/>
      <c r="K87" s="396"/>
      <c r="L87" s="396"/>
      <c r="M87" s="397"/>
      <c r="N87" s="400"/>
      <c r="O87" s="388"/>
      <c r="P87" s="389"/>
      <c r="Q87" s="388"/>
      <c r="R87" s="389"/>
      <c r="S87" s="388"/>
      <c r="T87" s="388"/>
      <c r="U87" s="388"/>
      <c r="W87" s="388"/>
      <c r="X87" s="388"/>
      <c r="Y87" s="388"/>
      <c r="Z87" s="388"/>
      <c r="AA87" s="388"/>
    </row>
    <row r="88" spans="1:34">
      <c r="A88" s="396"/>
      <c r="B88" s="396"/>
      <c r="C88" s="396"/>
      <c r="D88" s="396"/>
      <c r="E88" s="396"/>
      <c r="F88" s="396"/>
      <c r="G88" s="397"/>
      <c r="H88" s="396"/>
      <c r="I88" s="396"/>
      <c r="J88" s="396"/>
      <c r="K88" s="396"/>
      <c r="L88" s="396"/>
      <c r="M88" s="397"/>
      <c r="N88" s="400"/>
      <c r="O88" s="388"/>
      <c r="P88" s="389"/>
      <c r="Q88" s="388"/>
      <c r="R88" s="389"/>
      <c r="S88" s="388"/>
      <c r="T88" s="388"/>
      <c r="U88" s="388"/>
      <c r="W88" s="388"/>
      <c r="X88" s="388"/>
      <c r="Y88" s="388"/>
      <c r="Z88" s="388"/>
      <c r="AA88" s="388"/>
    </row>
    <row r="89" spans="1:34" s="347" customFormat="1" ht="18.75">
      <c r="A89" s="361" t="s">
        <v>1362</v>
      </c>
      <c r="B89" s="362"/>
      <c r="C89" s="362"/>
      <c r="D89" s="362"/>
      <c r="E89" s="362"/>
      <c r="F89" s="362"/>
      <c r="G89" s="363"/>
      <c r="H89" s="362"/>
      <c r="I89" s="361" t="s">
        <v>724</v>
      </c>
      <c r="J89" s="364"/>
      <c r="K89" s="365"/>
      <c r="L89" s="360"/>
      <c r="M89" s="366"/>
      <c r="N89" s="367"/>
      <c r="P89" s="359"/>
      <c r="Q89" s="360"/>
      <c r="R89" s="359"/>
      <c r="S89" s="360"/>
      <c r="U89" s="360"/>
      <c r="V89" s="359"/>
    </row>
    <row r="90" spans="1:34">
      <c r="A90" s="396"/>
      <c r="B90" s="396"/>
      <c r="C90" s="396"/>
      <c r="D90" s="396"/>
      <c r="E90" s="396"/>
      <c r="F90" s="396"/>
      <c r="G90" s="397"/>
      <c r="H90" s="396"/>
      <c r="I90" s="396"/>
      <c r="J90" s="396"/>
      <c r="K90" s="396"/>
      <c r="L90" s="396"/>
      <c r="M90" s="397"/>
      <c r="N90" s="400"/>
      <c r="O90" s="388"/>
      <c r="P90" s="389"/>
      <c r="Q90" s="388"/>
      <c r="R90" s="389"/>
      <c r="S90" s="388"/>
      <c r="T90" s="388"/>
      <c r="U90" s="388"/>
      <c r="W90" s="388"/>
      <c r="X90" s="388"/>
      <c r="Y90" s="388"/>
      <c r="Z90" s="388"/>
      <c r="AA90" s="388"/>
    </row>
    <row r="91" spans="1:34" ht="18.75">
      <c r="A91" s="395"/>
      <c r="B91" s="396"/>
      <c r="C91" s="396"/>
      <c r="D91" s="396"/>
      <c r="E91" s="396"/>
      <c r="F91" s="396"/>
      <c r="G91" s="397"/>
      <c r="H91" s="396"/>
      <c r="I91" s="396"/>
      <c r="J91" s="396"/>
      <c r="K91" s="396"/>
      <c r="L91" s="399"/>
      <c r="M91" s="401"/>
      <c r="N91" s="400"/>
      <c r="O91" s="388"/>
      <c r="P91" s="389"/>
      <c r="Q91" s="388"/>
      <c r="R91" s="389"/>
      <c r="S91" s="388"/>
      <c r="T91" s="388"/>
      <c r="U91" s="388"/>
      <c r="W91" s="388"/>
      <c r="X91" s="388"/>
      <c r="Y91" s="388"/>
      <c r="Z91" s="388"/>
      <c r="AA91" s="388"/>
    </row>
    <row r="92" spans="1:34">
      <c r="A92" s="396"/>
      <c r="B92" s="396"/>
      <c r="C92" s="396"/>
      <c r="D92" s="396"/>
      <c r="E92" s="396"/>
      <c r="F92" s="396"/>
      <c r="G92" s="396"/>
      <c r="H92" s="396"/>
      <c r="I92" s="396"/>
      <c r="J92" s="396"/>
      <c r="K92" s="396"/>
      <c r="L92" s="397"/>
      <c r="M92" s="400"/>
      <c r="N92" s="396"/>
      <c r="O92" s="396"/>
      <c r="P92" s="397"/>
      <c r="Q92" s="396"/>
      <c r="R92" s="397"/>
      <c r="S92" s="396"/>
      <c r="T92" s="396"/>
      <c r="U92" s="396"/>
      <c r="V92" s="397"/>
      <c r="W92" s="396"/>
      <c r="X92" s="397"/>
      <c r="Y92" s="396"/>
      <c r="Z92" s="388"/>
      <c r="AA92" s="388"/>
      <c r="AB92" s="400"/>
      <c r="AC92" s="396"/>
      <c r="AD92" s="396"/>
      <c r="AE92" s="397"/>
      <c r="AF92" s="396"/>
      <c r="AG92" s="230"/>
      <c r="AH92" s="229"/>
    </row>
    <row r="93" spans="1:34">
      <c r="Z93" s="388"/>
      <c r="AA93" s="388"/>
    </row>
    <row r="94" spans="1:34">
      <c r="Z94" s="388"/>
      <c r="AA94" s="388"/>
    </row>
    <row r="95" spans="1:34">
      <c r="Z95" s="388"/>
      <c r="AA95" s="388"/>
    </row>
    <row r="96" spans="1:34">
      <c r="Z96" s="388"/>
      <c r="AA96" s="388"/>
    </row>
    <row r="97" spans="26:27">
      <c r="Z97" s="388"/>
      <c r="AA97" s="388"/>
    </row>
    <row r="98" spans="26:27">
      <c r="Z98" s="388"/>
      <c r="AA98" s="388"/>
    </row>
    <row r="99" spans="26:27">
      <c r="Z99" s="388"/>
      <c r="AA99" s="388"/>
    </row>
    <row r="100" spans="26:27">
      <c r="Z100" s="388"/>
      <c r="AA100" s="388"/>
    </row>
    <row r="101" spans="26:27">
      <c r="Z101" s="388"/>
      <c r="AA101" s="388"/>
    </row>
    <row r="102" spans="26:27">
      <c r="Z102" s="388"/>
      <c r="AA102" s="388"/>
    </row>
    <row r="103" spans="26:27">
      <c r="Z103" s="388"/>
      <c r="AA103" s="388"/>
    </row>
    <row r="104" spans="26:27">
      <c r="Z104" s="388"/>
      <c r="AA104" s="388"/>
    </row>
    <row r="105" spans="26:27">
      <c r="Z105" s="388"/>
      <c r="AA105" s="388"/>
    </row>
    <row r="106" spans="26:27">
      <c r="Z106" s="388"/>
      <c r="AA106" s="388"/>
    </row>
    <row r="107" spans="26:27">
      <c r="Z107" s="388"/>
      <c r="AA107" s="388"/>
    </row>
    <row r="108" spans="26:27">
      <c r="Z108" s="388"/>
      <c r="AA108" s="388"/>
    </row>
  </sheetData>
  <mergeCells count="5">
    <mergeCell ref="D6:E8"/>
    <mergeCell ref="V11:Y11"/>
    <mergeCell ref="J11:O11"/>
    <mergeCell ref="P11:U11"/>
    <mergeCell ref="G11:H11"/>
  </mergeCells>
  <conditionalFormatting sqref="X92:Y92 G86:H88 G90:H91">
    <cfRule type="cellIs" dxfId="39" priority="7" operator="greaterThan">
      <formula>0.02</formula>
    </cfRule>
  </conditionalFormatting>
  <conditionalFormatting sqref="AH92">
    <cfRule type="cellIs" dxfId="38" priority="8" operator="between">
      <formula>0.1</formula>
      <formula>1</formula>
    </cfRule>
  </conditionalFormatting>
  <conditionalFormatting sqref="D9">
    <cfRule type="cellIs" dxfId="37" priority="2" operator="greaterThan">
      <formula>0.03255</formula>
    </cfRule>
  </conditionalFormatting>
  <conditionalFormatting sqref="B4:B8">
    <cfRule type="cellIs" dxfId="36" priority="4" operator="greaterThan">
      <formula>0.0355</formula>
    </cfRule>
  </conditionalFormatting>
  <conditionalFormatting sqref="B9">
    <cfRule type="cellIs" dxfId="35" priority="3" operator="greaterThan">
      <formula>0.03252</formula>
    </cfRule>
  </conditionalFormatting>
  <conditionalFormatting sqref="G89:H89">
    <cfRule type="cellIs" dxfId="34" priority="1" operator="greaterThan">
      <formula>0.02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5BAA6-548A-416F-8DB0-B07796704E69}">
  <sheetPr codeName="Sheet2">
    <tabColor rgb="FF00B050"/>
    <pageSetUpPr fitToPage="1"/>
  </sheetPr>
  <dimension ref="A1:JC121"/>
  <sheetViews>
    <sheetView showGridLines="0" tabSelected="1" topLeftCell="A6" zoomScale="80" zoomScaleNormal="80" workbookViewId="0">
      <pane xSplit="13" ySplit="11" topLeftCell="T60" activePane="bottomRight" state="frozen"/>
      <selection activeCell="E7" sqref="E7"/>
      <selection pane="topRight" activeCell="N7" sqref="N7"/>
      <selection pane="bottomLeft" activeCell="E17" sqref="E17"/>
      <selection pane="bottomRight" activeCell="W6" sqref="W1:W1048576"/>
    </sheetView>
  </sheetViews>
  <sheetFormatPr defaultColWidth="9.42578125" defaultRowHeight="12" outlineLevelRow="1" outlineLevelCol="2"/>
  <cols>
    <col min="1" max="1" width="9.42578125" style="135" customWidth="1" outlineLevel="1"/>
    <col min="2" max="4" width="11.5703125" style="39" customWidth="1" outlineLevel="1"/>
    <col min="5" max="5" width="14" style="39" bestFit="1" customWidth="1"/>
    <col min="6" max="6" width="13" style="2" bestFit="1" customWidth="1"/>
    <col min="7" max="9" width="11.5703125" style="2" customWidth="1" outlineLevel="1"/>
    <col min="10" max="10" width="32.42578125" style="2" customWidth="1"/>
    <col min="11" max="11" width="11.5703125" style="2" customWidth="1" outlineLevel="1" collapsed="1"/>
    <col min="12" max="13" width="11.5703125" style="2" customWidth="1" outlineLevel="1"/>
    <col min="14" max="14" width="11" style="2" customWidth="1"/>
    <col min="15" max="15" width="11.5703125" style="2" customWidth="1" outlineLevel="1"/>
    <col min="16" max="16" width="11.5703125" style="166" customWidth="1" outlineLevel="1"/>
    <col min="17" max="17" width="27.140625" style="2" customWidth="1" outlineLevel="1"/>
    <col min="18" max="18" width="11.5703125" style="2" customWidth="1" outlineLevel="1"/>
    <col min="19" max="19" width="16" style="2" bestFit="1" customWidth="1"/>
    <col min="20" max="20" width="11.5703125" style="2" customWidth="1" outlineLevel="1"/>
    <col min="21" max="21" width="39.42578125" style="2" customWidth="1" outlineLevel="1" collapsed="1"/>
    <col min="22" max="22" width="28.42578125" style="2" customWidth="1" outlineLevel="1" collapsed="1"/>
    <col min="23" max="23" width="31.140625" style="2" customWidth="1" outlineLevel="1"/>
    <col min="24" max="24" width="20" style="2" customWidth="1" outlineLevel="1"/>
    <col min="25" max="25" width="34.5703125" style="2" customWidth="1" outlineLevel="1"/>
    <col min="26" max="26" width="20" style="2" customWidth="1" outlineLevel="1"/>
    <col min="27" max="28" width="39.42578125" style="2" customWidth="1" outlineLevel="1"/>
    <col min="29" max="29" width="42.85546875" style="167" customWidth="1" outlineLevel="1"/>
    <col min="30" max="30" width="45.140625" style="167" customWidth="1" outlineLevel="1"/>
    <col min="31" max="33" width="11.5703125" style="168" customWidth="1" outlineLevel="1"/>
    <col min="34" max="34" width="37" style="2" customWidth="1" outlineLevel="1"/>
    <col min="35" max="35" width="11.5703125" style="2" customWidth="1" outlineLevel="1"/>
    <col min="36" max="36" width="11.5703125" style="168" customWidth="1" outlineLevel="1"/>
    <col min="37" max="38" width="11.5703125" style="2" customWidth="1" outlineLevel="1"/>
    <col min="39" max="39" width="10.5703125" style="2" customWidth="1"/>
    <col min="40" max="40" width="8.5703125" style="2" customWidth="1"/>
    <col min="41" max="41" width="35.5703125" style="2" customWidth="1"/>
    <col min="42" max="42" width="17.5703125" style="169" customWidth="1" outlineLevel="1"/>
    <col min="43" max="44" width="13.140625" style="169" customWidth="1" outlineLevel="1"/>
    <col min="45" max="45" width="9.85546875" style="2" customWidth="1"/>
    <col min="46" max="46" width="11.5703125" style="2" customWidth="1"/>
    <col min="47" max="47" width="24.140625" style="2" customWidth="1" outlineLevel="1"/>
    <col min="48" max="48" width="11.5703125" style="58" customWidth="1" outlineLevel="1"/>
    <col min="49" max="49" width="11.5703125" style="59" customWidth="1"/>
    <col min="50" max="50" width="11.5703125" style="60" customWidth="1"/>
    <col min="51" max="51" width="13.140625" style="61" customWidth="1"/>
    <col min="52" max="52" width="11.5703125" style="62" customWidth="1"/>
    <col min="53" max="53" width="10.42578125" style="39" customWidth="1"/>
    <col min="54" max="54" width="10.42578125" style="40" customWidth="1"/>
    <col min="55" max="55" width="11.140625" style="59" customWidth="1"/>
    <col min="56" max="56" width="11.140625" style="176" customWidth="1"/>
    <col min="57" max="57" width="10.42578125" style="40" customWidth="1"/>
    <col min="58" max="58" width="13.85546875" style="39" customWidth="1"/>
    <col min="59" max="60" width="10.42578125" style="39" customWidth="1"/>
    <col min="61" max="61" width="10.42578125" style="40" customWidth="1"/>
    <col min="62" max="62" width="14.5703125" style="39" customWidth="1"/>
    <col min="63" max="63" width="10.85546875" style="2" customWidth="1"/>
    <col min="64" max="64" width="30.5703125" style="39" customWidth="1"/>
    <col min="65" max="65" width="10.85546875" style="166" customWidth="1"/>
    <col min="66" max="66" width="10.85546875" style="188" customWidth="1"/>
    <col min="67" max="67" width="10.85546875" style="189" customWidth="1"/>
    <col min="68" max="69" width="10.85546875" style="2" customWidth="1" outlineLevel="1"/>
    <col min="70" max="70" width="10.42578125" style="166" customWidth="1"/>
    <col min="71" max="71" width="10.85546875" style="2" customWidth="1" outlineLevel="1"/>
    <col min="72" max="72" width="15.5703125" style="166" customWidth="1" outlineLevel="1" collapsed="1"/>
    <col min="73" max="73" width="11.5703125" style="2" customWidth="1" outlineLevel="1"/>
    <col min="74" max="74" width="12.85546875" style="2" customWidth="1" outlineLevel="1"/>
    <col min="75" max="75" width="11.5703125" style="2" customWidth="1" outlineLevel="1"/>
    <col min="76" max="76" width="11.5703125" style="2" customWidth="1" outlineLevel="1" collapsed="1"/>
    <col min="77" max="78" width="11.5703125" style="2" customWidth="1" outlineLevel="1"/>
    <col min="79" max="79" width="11.5703125" style="190" customWidth="1" outlineLevel="1"/>
    <col min="80" max="80" width="33.85546875" style="190" customWidth="1"/>
    <col min="81" max="81" width="12.5703125" style="190" customWidth="1" outlineLevel="1"/>
    <col min="82" max="83" width="11.85546875" style="166" customWidth="1"/>
    <col min="84" max="84" width="11.85546875" style="166" customWidth="1" outlineLevel="1"/>
    <col min="85" max="86" width="11.85546875" style="308" customWidth="1"/>
    <col min="87" max="87" width="11.85546875" style="191" customWidth="1"/>
    <col min="88" max="88" width="11.42578125" style="136" customWidth="1"/>
    <col min="89" max="89" width="11" style="135" customWidth="1"/>
    <col min="90" max="90" width="12.42578125" style="135" customWidth="1"/>
    <col min="91" max="91" width="24.140625" style="137" customWidth="1"/>
    <col min="92" max="92" width="11.5703125" style="137" customWidth="1" outlineLevel="2"/>
    <col min="93" max="93" width="18.5703125" style="137" customWidth="1" outlineLevel="2"/>
    <col min="94" max="94" width="14.85546875" style="137" customWidth="1" outlineLevel="2"/>
    <col min="95" max="95" width="13.42578125" style="137" customWidth="1" outlineLevel="2"/>
    <col min="96" max="106" width="11.5703125" style="138" customWidth="1" outlineLevel="2"/>
    <col min="107" max="110" width="11.5703125" style="139" customWidth="1" outlineLevel="2"/>
    <col min="111" max="111" width="14.5703125" style="138" customWidth="1" outlineLevel="2"/>
    <col min="112" max="112" width="15.140625" style="138" customWidth="1" outlineLevel="2"/>
    <col min="113" max="113" width="12.5703125" style="139" customWidth="1" outlineLevel="2"/>
    <col min="114" max="116" width="11.5703125" style="139" customWidth="1" outlineLevel="2"/>
    <col min="117" max="117" width="32.5703125" style="137" customWidth="1" outlineLevel="2"/>
    <col min="118" max="118" width="34.42578125" style="137" customWidth="1" outlineLevel="2"/>
    <col min="119" max="119" width="44.85546875" style="137" customWidth="1" outlineLevel="2"/>
    <col min="120" max="127" width="9.42578125" style="137" customWidth="1" outlineLevel="2"/>
    <col min="128" max="134" width="9.42578125" style="74" customWidth="1"/>
    <col min="135" max="175" width="9.42578125" style="74"/>
    <col min="176" max="176" width="9.42578125" style="140"/>
    <col min="177" max="16384" width="9.42578125" style="135"/>
  </cols>
  <sheetData>
    <row r="1" spans="1:263" s="71" customFormat="1" ht="48" hidden="1" outlineLevel="1">
      <c r="A1" s="66" t="s">
        <v>739</v>
      </c>
      <c r="B1" s="30" t="s">
        <v>740</v>
      </c>
      <c r="C1" s="30" t="s">
        <v>740</v>
      </c>
      <c r="D1" s="30" t="s">
        <v>740</v>
      </c>
      <c r="E1" s="30" t="s">
        <v>740</v>
      </c>
      <c r="F1" s="141" t="s">
        <v>740</v>
      </c>
      <c r="G1" s="141" t="s">
        <v>740</v>
      </c>
      <c r="H1" s="141" t="s">
        <v>740</v>
      </c>
      <c r="I1" s="141" t="s">
        <v>740</v>
      </c>
      <c r="J1" s="141" t="s">
        <v>740</v>
      </c>
      <c r="K1" s="141" t="s">
        <v>740</v>
      </c>
      <c r="L1" s="141" t="s">
        <v>740</v>
      </c>
      <c r="M1" s="141" t="s">
        <v>740</v>
      </c>
      <c r="N1" s="141" t="s">
        <v>740</v>
      </c>
      <c r="O1" s="141" t="s">
        <v>740</v>
      </c>
      <c r="P1" s="142" t="s">
        <v>741</v>
      </c>
      <c r="Q1" s="141" t="s">
        <v>740</v>
      </c>
      <c r="R1" s="141" t="s">
        <v>740</v>
      </c>
      <c r="S1" s="141" t="s">
        <v>740</v>
      </c>
      <c r="T1" s="141" t="s">
        <v>740</v>
      </c>
      <c r="U1" s="141" t="s">
        <v>740</v>
      </c>
      <c r="V1" s="141" t="s">
        <v>740</v>
      </c>
      <c r="W1" s="141" t="s">
        <v>740</v>
      </c>
      <c r="X1" s="141" t="s">
        <v>740</v>
      </c>
      <c r="Y1" s="141" t="s">
        <v>740</v>
      </c>
      <c r="Z1" s="141" t="s">
        <v>740</v>
      </c>
      <c r="AA1" s="141" t="s">
        <v>740</v>
      </c>
      <c r="AB1" s="141" t="s">
        <v>740</v>
      </c>
      <c r="AC1" s="143" t="s">
        <v>740</v>
      </c>
      <c r="AD1" s="143" t="s">
        <v>740</v>
      </c>
      <c r="AE1" s="144" t="s">
        <v>742</v>
      </c>
      <c r="AF1" s="144" t="s">
        <v>742</v>
      </c>
      <c r="AG1" s="144" t="s">
        <v>742</v>
      </c>
      <c r="AH1" s="141" t="s">
        <v>740</v>
      </c>
      <c r="AI1" s="141" t="s">
        <v>740</v>
      </c>
      <c r="AJ1" s="141" t="s">
        <v>740</v>
      </c>
      <c r="AK1" s="141" t="s">
        <v>740</v>
      </c>
      <c r="AL1" s="144" t="s">
        <v>743</v>
      </c>
      <c r="AM1" s="141" t="s">
        <v>740</v>
      </c>
      <c r="AN1" s="141" t="s">
        <v>740</v>
      </c>
      <c r="AO1" s="141" t="s">
        <v>740</v>
      </c>
      <c r="AP1" s="141" t="s">
        <v>740</v>
      </c>
      <c r="AQ1" s="144" t="s">
        <v>743</v>
      </c>
      <c r="AR1" s="144" t="s">
        <v>743</v>
      </c>
      <c r="AS1" s="141" t="s">
        <v>740</v>
      </c>
      <c r="AT1" s="141" t="s">
        <v>740</v>
      </c>
      <c r="AU1" s="141" t="s">
        <v>740</v>
      </c>
      <c r="AV1" s="141" t="s">
        <v>740</v>
      </c>
      <c r="AW1" s="141" t="s">
        <v>740</v>
      </c>
      <c r="AX1" s="141" t="s">
        <v>740</v>
      </c>
      <c r="AY1" s="141" t="s">
        <v>740</v>
      </c>
      <c r="AZ1" s="142" t="s">
        <v>743</v>
      </c>
      <c r="BA1" s="29" t="s">
        <v>743</v>
      </c>
      <c r="BB1" s="30" t="s">
        <v>740</v>
      </c>
      <c r="BC1" s="142" t="s">
        <v>743</v>
      </c>
      <c r="BD1" s="170" t="s">
        <v>743</v>
      </c>
      <c r="BE1" s="25" t="s">
        <v>743</v>
      </c>
      <c r="BF1" s="25" t="s">
        <v>743</v>
      </c>
      <c r="BG1" s="30" t="s">
        <v>744</v>
      </c>
      <c r="BH1" s="25" t="s">
        <v>743</v>
      </c>
      <c r="BI1" s="45" t="s">
        <v>743</v>
      </c>
      <c r="BJ1" s="25" t="s">
        <v>743</v>
      </c>
      <c r="BK1" s="177" t="s">
        <v>743</v>
      </c>
      <c r="BL1" s="46" t="s">
        <v>745</v>
      </c>
      <c r="BM1" s="177" t="s">
        <v>743</v>
      </c>
      <c r="BN1" s="177" t="s">
        <v>743</v>
      </c>
      <c r="BO1" s="177" t="s">
        <v>743</v>
      </c>
      <c r="BP1" s="177" t="s">
        <v>743</v>
      </c>
      <c r="BQ1" s="177" t="s">
        <v>743</v>
      </c>
      <c r="BR1" s="177" t="s">
        <v>743</v>
      </c>
      <c r="BS1" s="177" t="s">
        <v>743</v>
      </c>
      <c r="BT1" s="177" t="s">
        <v>743</v>
      </c>
      <c r="BU1" s="177" t="s">
        <v>743</v>
      </c>
      <c r="BV1" s="177" t="s">
        <v>743</v>
      </c>
      <c r="BW1" s="177" t="s">
        <v>743</v>
      </c>
      <c r="BX1" s="143" t="s">
        <v>740</v>
      </c>
      <c r="BY1" s="177" t="s">
        <v>743</v>
      </c>
      <c r="BZ1" s="141" t="s">
        <v>740</v>
      </c>
      <c r="CA1" s="141" t="s">
        <v>740</v>
      </c>
      <c r="CB1" s="141" t="s">
        <v>740</v>
      </c>
      <c r="CC1" s="177" t="s">
        <v>743</v>
      </c>
      <c r="CD1" s="141" t="s">
        <v>740</v>
      </c>
      <c r="CE1" s="141" t="s">
        <v>740</v>
      </c>
      <c r="CF1" s="144" t="s">
        <v>742</v>
      </c>
      <c r="CG1" s="298" t="s">
        <v>740</v>
      </c>
      <c r="CH1" s="298" t="s">
        <v>740</v>
      </c>
      <c r="CI1" s="141" t="s">
        <v>740</v>
      </c>
      <c r="CJ1" s="25" t="s">
        <v>743</v>
      </c>
      <c r="CK1" s="25" t="s">
        <v>743</v>
      </c>
      <c r="CL1" s="25" t="s">
        <v>743</v>
      </c>
      <c r="CM1" s="67" t="s">
        <v>745</v>
      </c>
      <c r="CN1" s="67" t="s">
        <v>745</v>
      </c>
      <c r="CO1" s="68" t="s">
        <v>740</v>
      </c>
      <c r="CP1" s="69" t="s">
        <v>743</v>
      </c>
      <c r="CQ1" s="69" t="s">
        <v>743</v>
      </c>
      <c r="CR1" s="69" t="s">
        <v>743</v>
      </c>
      <c r="CS1" s="69" t="s">
        <v>743</v>
      </c>
      <c r="CT1" s="69" t="s">
        <v>743</v>
      </c>
      <c r="CU1" s="69" t="s">
        <v>743</v>
      </c>
      <c r="CV1" s="69" t="s">
        <v>743</v>
      </c>
      <c r="CW1" s="69" t="s">
        <v>743</v>
      </c>
      <c r="CX1" s="69" t="s">
        <v>743</v>
      </c>
      <c r="CY1" s="69" t="s">
        <v>743</v>
      </c>
      <c r="CZ1" s="69" t="s">
        <v>743</v>
      </c>
      <c r="DA1" s="69" t="s">
        <v>743</v>
      </c>
      <c r="DB1" s="69" t="s">
        <v>743</v>
      </c>
      <c r="DC1" s="69" t="s">
        <v>743</v>
      </c>
      <c r="DD1" s="69" t="s">
        <v>743</v>
      </c>
      <c r="DE1" s="69" t="s">
        <v>743</v>
      </c>
      <c r="DF1" s="69" t="s">
        <v>743</v>
      </c>
      <c r="DG1" s="69" t="s">
        <v>743</v>
      </c>
      <c r="DH1" s="69" t="s">
        <v>743</v>
      </c>
      <c r="DI1" s="69" t="s">
        <v>743</v>
      </c>
      <c r="DJ1" s="69" t="s">
        <v>743</v>
      </c>
      <c r="DK1" s="69" t="s">
        <v>743</v>
      </c>
      <c r="DL1" s="69" t="s">
        <v>743</v>
      </c>
      <c r="DM1" s="68" t="s">
        <v>740</v>
      </c>
      <c r="DN1" s="68" t="s">
        <v>740</v>
      </c>
      <c r="DO1" s="68" t="s">
        <v>740</v>
      </c>
      <c r="DP1" s="68" t="s">
        <v>740</v>
      </c>
      <c r="DQ1" s="68" t="s">
        <v>740</v>
      </c>
      <c r="DR1" s="68" t="s">
        <v>740</v>
      </c>
      <c r="DS1" s="68" t="s">
        <v>740</v>
      </c>
      <c r="DT1" s="70"/>
      <c r="DU1" s="70"/>
      <c r="DV1" s="70"/>
      <c r="DW1" s="70"/>
    </row>
    <row r="2" spans="1:263" s="71" customFormat="1" ht="48" hidden="1" outlineLevel="1">
      <c r="A2" s="66" t="s">
        <v>746</v>
      </c>
      <c r="B2" s="30" t="s">
        <v>747</v>
      </c>
      <c r="C2" s="30" t="s">
        <v>747</v>
      </c>
      <c r="D2" s="30" t="s">
        <v>747</v>
      </c>
      <c r="E2" s="30" t="s">
        <v>747</v>
      </c>
      <c r="F2" s="141" t="s">
        <v>747</v>
      </c>
      <c r="G2" s="141" t="s">
        <v>747</v>
      </c>
      <c r="H2" s="141" t="s">
        <v>748</v>
      </c>
      <c r="I2" s="141" t="s">
        <v>747</v>
      </c>
      <c r="J2" s="141" t="s">
        <v>747</v>
      </c>
      <c r="K2" s="141" t="s">
        <v>747</v>
      </c>
      <c r="L2" s="141" t="s">
        <v>747</v>
      </c>
      <c r="M2" s="141" t="s">
        <v>747</v>
      </c>
      <c r="N2" s="141" t="s">
        <v>747</v>
      </c>
      <c r="O2" s="141" t="s">
        <v>747</v>
      </c>
      <c r="P2" s="142"/>
      <c r="Q2" s="141" t="s">
        <v>747</v>
      </c>
      <c r="R2" s="141" t="s">
        <v>747</v>
      </c>
      <c r="S2" s="141" t="s">
        <v>747</v>
      </c>
      <c r="T2" s="141" t="s">
        <v>747</v>
      </c>
      <c r="U2" s="141" t="s">
        <v>747</v>
      </c>
      <c r="V2" s="141" t="s">
        <v>749</v>
      </c>
      <c r="W2" s="141" t="s">
        <v>749</v>
      </c>
      <c r="X2" s="141" t="s">
        <v>750</v>
      </c>
      <c r="Y2" s="141" t="s">
        <v>750</v>
      </c>
      <c r="Z2" s="141" t="s">
        <v>750</v>
      </c>
      <c r="AA2" s="141" t="s">
        <v>750</v>
      </c>
      <c r="AB2" s="141" t="s">
        <v>750</v>
      </c>
      <c r="AC2" s="143" t="s">
        <v>750</v>
      </c>
      <c r="AD2" s="143" t="s">
        <v>750</v>
      </c>
      <c r="AE2" s="144"/>
      <c r="AF2" s="144"/>
      <c r="AG2" s="144"/>
      <c r="AH2" s="141" t="s">
        <v>751</v>
      </c>
      <c r="AI2" s="141" t="s">
        <v>751</v>
      </c>
      <c r="AJ2" s="141" t="s">
        <v>751</v>
      </c>
      <c r="AK2" s="141" t="s">
        <v>751</v>
      </c>
      <c r="AL2" s="144"/>
      <c r="AM2" s="141" t="s">
        <v>748</v>
      </c>
      <c r="AN2" s="141" t="s">
        <v>748</v>
      </c>
      <c r="AO2" s="141" t="s">
        <v>752</v>
      </c>
      <c r="AP2" s="141" t="s">
        <v>747</v>
      </c>
      <c r="AQ2" s="144"/>
      <c r="AR2" s="144"/>
      <c r="AS2" s="141" t="s">
        <v>753</v>
      </c>
      <c r="AT2" s="141" t="s">
        <v>754</v>
      </c>
      <c r="AU2" s="141" t="s">
        <v>754</v>
      </c>
      <c r="AV2" s="141" t="s">
        <v>754</v>
      </c>
      <c r="AW2" s="141" t="s">
        <v>754</v>
      </c>
      <c r="AX2" s="141" t="s">
        <v>754</v>
      </c>
      <c r="AY2" s="141" t="s">
        <v>754</v>
      </c>
      <c r="AZ2" s="142"/>
      <c r="BA2" s="29" t="s">
        <v>755</v>
      </c>
      <c r="BB2" s="30" t="s">
        <v>754</v>
      </c>
      <c r="BC2" s="142"/>
      <c r="BD2" s="170"/>
      <c r="BE2" s="25"/>
      <c r="BF2" s="25"/>
      <c r="BG2" s="30" t="s">
        <v>756</v>
      </c>
      <c r="BH2" s="25"/>
      <c r="BI2" s="25"/>
      <c r="BJ2" s="25"/>
      <c r="BK2" s="177"/>
      <c r="BL2" s="46" t="s">
        <v>757</v>
      </c>
      <c r="BM2" s="177"/>
      <c r="BN2" s="177"/>
      <c r="BO2" s="177"/>
      <c r="BP2" s="177"/>
      <c r="BQ2" s="177"/>
      <c r="BR2" s="177"/>
      <c r="BS2" s="177"/>
      <c r="BT2" s="177"/>
      <c r="BU2" s="177"/>
      <c r="BV2" s="177"/>
      <c r="BW2" s="177"/>
      <c r="BX2" s="143" t="s">
        <v>758</v>
      </c>
      <c r="BY2" s="177"/>
      <c r="BZ2" s="141" t="s">
        <v>754</v>
      </c>
      <c r="CA2" s="141" t="s">
        <v>754</v>
      </c>
      <c r="CB2" s="141" t="s">
        <v>754</v>
      </c>
      <c r="CC2" s="177"/>
      <c r="CD2" s="141" t="s">
        <v>748</v>
      </c>
      <c r="CE2" s="141" t="s">
        <v>748</v>
      </c>
      <c r="CF2" s="144"/>
      <c r="CG2" s="298" t="s">
        <v>759</v>
      </c>
      <c r="CH2" s="298" t="s">
        <v>759</v>
      </c>
      <c r="CI2" s="141" t="s">
        <v>759</v>
      </c>
      <c r="CJ2" s="25"/>
      <c r="CK2" s="25"/>
      <c r="CL2" s="25"/>
      <c r="CM2" s="67" t="s">
        <v>757</v>
      </c>
      <c r="CN2" s="67" t="s">
        <v>757</v>
      </c>
      <c r="CO2" s="68" t="s">
        <v>754</v>
      </c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  <c r="DK2" s="69"/>
      <c r="DL2" s="69"/>
      <c r="DM2" s="68"/>
      <c r="DN2" s="68"/>
      <c r="DO2" s="68"/>
      <c r="DP2" s="68"/>
      <c r="DQ2" s="68"/>
      <c r="DR2" s="68"/>
      <c r="DS2" s="68"/>
      <c r="DT2" s="70"/>
      <c r="DU2" s="70"/>
      <c r="DV2" s="70"/>
      <c r="DW2" s="70"/>
    </row>
    <row r="3" spans="1:263" s="71" customFormat="1" ht="24" hidden="1" outlineLevel="1">
      <c r="A3" s="71" t="s">
        <v>760</v>
      </c>
      <c r="B3" s="26" t="s">
        <v>761</v>
      </c>
      <c r="C3" s="26" t="s">
        <v>762</v>
      </c>
      <c r="D3" s="26" t="s">
        <v>761</v>
      </c>
      <c r="E3" s="26" t="s">
        <v>762</v>
      </c>
      <c r="F3" s="145" t="s">
        <v>762</v>
      </c>
      <c r="G3" s="145" t="s">
        <v>761</v>
      </c>
      <c r="H3" s="145" t="s">
        <v>761</v>
      </c>
      <c r="I3" s="145" t="s">
        <v>761</v>
      </c>
      <c r="J3" s="145" t="s">
        <v>762</v>
      </c>
      <c r="K3" s="145" t="s">
        <v>761</v>
      </c>
      <c r="L3" s="145" t="s">
        <v>761</v>
      </c>
      <c r="M3" s="145" t="s">
        <v>761</v>
      </c>
      <c r="N3" s="145" t="s">
        <v>762</v>
      </c>
      <c r="O3" s="145" t="s">
        <v>761</v>
      </c>
      <c r="P3" s="145" t="s">
        <v>761</v>
      </c>
      <c r="Q3" s="145" t="s">
        <v>761</v>
      </c>
      <c r="R3" s="145" t="s">
        <v>761</v>
      </c>
      <c r="S3" s="145" t="s">
        <v>762</v>
      </c>
      <c r="T3" s="145" t="s">
        <v>761</v>
      </c>
      <c r="U3" s="145" t="s">
        <v>761</v>
      </c>
      <c r="V3" s="145" t="s">
        <v>761</v>
      </c>
      <c r="W3" s="145" t="s">
        <v>761</v>
      </c>
      <c r="X3" s="145" t="s">
        <v>761</v>
      </c>
      <c r="Y3" s="145" t="s">
        <v>761</v>
      </c>
      <c r="Z3" s="145" t="s">
        <v>761</v>
      </c>
      <c r="AA3" s="145" t="s">
        <v>761</v>
      </c>
      <c r="AB3" s="145" t="s">
        <v>761</v>
      </c>
      <c r="AC3" s="145" t="s">
        <v>761</v>
      </c>
      <c r="AD3" s="145" t="s">
        <v>761</v>
      </c>
      <c r="AE3" s="145" t="s">
        <v>761</v>
      </c>
      <c r="AF3" s="145" t="s">
        <v>761</v>
      </c>
      <c r="AG3" s="145" t="s">
        <v>761</v>
      </c>
      <c r="AH3" s="145" t="s">
        <v>761</v>
      </c>
      <c r="AI3" s="145" t="s">
        <v>761</v>
      </c>
      <c r="AJ3" s="145" t="s">
        <v>761</v>
      </c>
      <c r="AK3" s="145" t="s">
        <v>761</v>
      </c>
      <c r="AL3" s="145" t="s">
        <v>761</v>
      </c>
      <c r="AM3" s="145" t="s">
        <v>762</v>
      </c>
      <c r="AN3" s="145" t="s">
        <v>762</v>
      </c>
      <c r="AO3" s="145" t="s">
        <v>762</v>
      </c>
      <c r="AP3" s="145" t="s">
        <v>761</v>
      </c>
      <c r="AQ3" s="145" t="s">
        <v>761</v>
      </c>
      <c r="AR3" s="145" t="s">
        <v>761</v>
      </c>
      <c r="AS3" s="145" t="s">
        <v>762</v>
      </c>
      <c r="AT3" s="145" t="s">
        <v>762</v>
      </c>
      <c r="AU3" s="145" t="s">
        <v>761</v>
      </c>
      <c r="AV3" s="145" t="s">
        <v>761</v>
      </c>
      <c r="AW3" s="145" t="s">
        <v>762</v>
      </c>
      <c r="AX3" s="145" t="s">
        <v>762</v>
      </c>
      <c r="AY3" s="145" t="s">
        <v>762</v>
      </c>
      <c r="AZ3" s="145" t="s">
        <v>762</v>
      </c>
      <c r="BA3" s="26" t="s">
        <v>762</v>
      </c>
      <c r="BB3" s="26" t="s">
        <v>762</v>
      </c>
      <c r="BC3" s="145" t="s">
        <v>762</v>
      </c>
      <c r="BD3" s="145" t="s">
        <v>762</v>
      </c>
      <c r="BE3" s="26" t="s">
        <v>762</v>
      </c>
      <c r="BF3" s="26" t="s">
        <v>762</v>
      </c>
      <c r="BG3" s="26" t="s">
        <v>761</v>
      </c>
      <c r="BH3" s="26" t="s">
        <v>761</v>
      </c>
      <c r="BI3" s="26" t="s">
        <v>762</v>
      </c>
      <c r="BJ3" s="26" t="s">
        <v>762</v>
      </c>
      <c r="BK3" s="145" t="s">
        <v>762</v>
      </c>
      <c r="BL3" s="26" t="s">
        <v>762</v>
      </c>
      <c r="BM3" s="145" t="s">
        <v>762</v>
      </c>
      <c r="BN3" s="145" t="s">
        <v>762</v>
      </c>
      <c r="BO3" s="145" t="s">
        <v>762</v>
      </c>
      <c r="BP3" s="145" t="s">
        <v>761</v>
      </c>
      <c r="BQ3" s="145" t="s">
        <v>761</v>
      </c>
      <c r="BR3" s="145" t="s">
        <v>762</v>
      </c>
      <c r="BS3" s="145" t="s">
        <v>762</v>
      </c>
      <c r="BT3" s="145" t="s">
        <v>761</v>
      </c>
      <c r="BU3" s="145" t="s">
        <v>761</v>
      </c>
      <c r="BV3" s="145" t="s">
        <v>761</v>
      </c>
      <c r="BW3" s="145" t="s">
        <v>761</v>
      </c>
      <c r="BX3" s="145" t="s">
        <v>761</v>
      </c>
      <c r="BY3" s="145" t="s">
        <v>761</v>
      </c>
      <c r="BZ3" s="145" t="s">
        <v>762</v>
      </c>
      <c r="CA3" s="145" t="s">
        <v>761</v>
      </c>
      <c r="CB3" s="145" t="s">
        <v>762</v>
      </c>
      <c r="CC3" s="145" t="s">
        <v>761</v>
      </c>
      <c r="CD3" s="145" t="s">
        <v>762</v>
      </c>
      <c r="CE3" s="145" t="s">
        <v>762</v>
      </c>
      <c r="CF3" s="145" t="s">
        <v>762</v>
      </c>
      <c r="CG3" s="299" t="s">
        <v>762</v>
      </c>
      <c r="CH3" s="299" t="s">
        <v>762</v>
      </c>
      <c r="CI3" s="145" t="s">
        <v>762</v>
      </c>
      <c r="CJ3" s="26" t="s">
        <v>762</v>
      </c>
      <c r="CK3" s="26" t="s">
        <v>762</v>
      </c>
      <c r="CL3" s="26" t="s">
        <v>762</v>
      </c>
      <c r="CM3" s="72" t="s">
        <v>762</v>
      </c>
      <c r="CN3" s="72" t="s">
        <v>761</v>
      </c>
      <c r="CO3" s="72" t="s">
        <v>761</v>
      </c>
      <c r="CP3" s="72" t="s">
        <v>761</v>
      </c>
      <c r="CQ3" s="72" t="s">
        <v>761</v>
      </c>
      <c r="CR3" s="72" t="s">
        <v>761</v>
      </c>
      <c r="CS3" s="72" t="s">
        <v>761</v>
      </c>
      <c r="CT3" s="72" t="s">
        <v>761</v>
      </c>
      <c r="CU3" s="72" t="s">
        <v>761</v>
      </c>
      <c r="CV3" s="72" t="s">
        <v>761</v>
      </c>
      <c r="CW3" s="72" t="s">
        <v>761</v>
      </c>
      <c r="CX3" s="72" t="s">
        <v>761</v>
      </c>
      <c r="CY3" s="72" t="s">
        <v>761</v>
      </c>
      <c r="CZ3" s="72" t="s">
        <v>761</v>
      </c>
      <c r="DA3" s="72" t="s">
        <v>761</v>
      </c>
      <c r="DB3" s="72" t="s">
        <v>761</v>
      </c>
      <c r="DC3" s="72" t="s">
        <v>761</v>
      </c>
      <c r="DD3" s="72" t="s">
        <v>761</v>
      </c>
      <c r="DE3" s="72" t="s">
        <v>761</v>
      </c>
      <c r="DF3" s="72" t="s">
        <v>761</v>
      </c>
      <c r="DG3" s="72" t="s">
        <v>761</v>
      </c>
      <c r="DH3" s="72" t="s">
        <v>761</v>
      </c>
      <c r="DI3" s="72" t="s">
        <v>761</v>
      </c>
      <c r="DJ3" s="72" t="s">
        <v>761</v>
      </c>
      <c r="DK3" s="72" t="s">
        <v>761</v>
      </c>
      <c r="DL3" s="72" t="s">
        <v>761</v>
      </c>
      <c r="DM3" s="72" t="s">
        <v>761</v>
      </c>
      <c r="DN3" s="72" t="s">
        <v>761</v>
      </c>
      <c r="DO3" s="72" t="s">
        <v>761</v>
      </c>
      <c r="DP3" s="72" t="s">
        <v>761</v>
      </c>
      <c r="DQ3" s="72" t="s">
        <v>761</v>
      </c>
      <c r="DR3" s="72" t="s">
        <v>761</v>
      </c>
      <c r="DS3" s="72" t="s">
        <v>761</v>
      </c>
      <c r="DT3" s="70"/>
      <c r="DU3" s="70"/>
      <c r="DV3" s="70"/>
      <c r="DW3" s="70"/>
    </row>
    <row r="4" spans="1:263" s="71" customFormat="1" ht="24" hidden="1" outlineLevel="1">
      <c r="A4" s="71" t="s">
        <v>763</v>
      </c>
      <c r="B4" s="26" t="s">
        <v>764</v>
      </c>
      <c r="C4" s="26" t="s">
        <v>764</v>
      </c>
      <c r="D4" s="26" t="s">
        <v>764</v>
      </c>
      <c r="E4" s="26" t="s">
        <v>764</v>
      </c>
      <c r="F4" s="145" t="s">
        <v>764</v>
      </c>
      <c r="G4" s="145" t="s">
        <v>764</v>
      </c>
      <c r="H4" s="145" t="s">
        <v>764</v>
      </c>
      <c r="I4" s="145" t="s">
        <v>764</v>
      </c>
      <c r="J4" s="145" t="s">
        <v>764</v>
      </c>
      <c r="K4" s="145" t="s">
        <v>764</v>
      </c>
      <c r="L4" s="145" t="s">
        <v>764</v>
      </c>
      <c r="M4" s="145" t="s">
        <v>764</v>
      </c>
      <c r="N4" s="145" t="s">
        <v>764</v>
      </c>
      <c r="O4" s="145" t="s">
        <v>764</v>
      </c>
      <c r="P4" s="145" t="s">
        <v>764</v>
      </c>
      <c r="Q4" s="145" t="s">
        <v>764</v>
      </c>
      <c r="R4" s="145" t="s">
        <v>764</v>
      </c>
      <c r="S4" s="145" t="s">
        <v>764</v>
      </c>
      <c r="T4" s="145" t="s">
        <v>764</v>
      </c>
      <c r="U4" s="145" t="s">
        <v>764</v>
      </c>
      <c r="V4" s="145" t="s">
        <v>764</v>
      </c>
      <c r="W4" s="145" t="s">
        <v>764</v>
      </c>
      <c r="X4" s="145" t="s">
        <v>764</v>
      </c>
      <c r="Y4" s="145" t="s">
        <v>764</v>
      </c>
      <c r="Z4" s="145" t="s">
        <v>764</v>
      </c>
      <c r="AA4" s="145" t="s">
        <v>764</v>
      </c>
      <c r="AB4" s="145" t="s">
        <v>764</v>
      </c>
      <c r="AC4" s="145" t="s">
        <v>764</v>
      </c>
      <c r="AD4" s="145" t="s">
        <v>764</v>
      </c>
      <c r="AE4" s="145" t="s">
        <v>764</v>
      </c>
      <c r="AF4" s="145" t="s">
        <v>764</v>
      </c>
      <c r="AG4" s="145" t="s">
        <v>764</v>
      </c>
      <c r="AH4" s="145" t="s">
        <v>764</v>
      </c>
      <c r="AI4" s="145" t="s">
        <v>764</v>
      </c>
      <c r="AJ4" s="145" t="s">
        <v>764</v>
      </c>
      <c r="AK4" s="145" t="s">
        <v>764</v>
      </c>
      <c r="AL4" s="145" t="s">
        <v>764</v>
      </c>
      <c r="AM4" s="145" t="s">
        <v>764</v>
      </c>
      <c r="AN4" s="145" t="s">
        <v>764</v>
      </c>
      <c r="AO4" s="145" t="s">
        <v>764</v>
      </c>
      <c r="AP4" s="145" t="s">
        <v>764</v>
      </c>
      <c r="AQ4" s="145" t="s">
        <v>764</v>
      </c>
      <c r="AR4" s="145" t="s">
        <v>764</v>
      </c>
      <c r="AS4" s="145" t="s">
        <v>764</v>
      </c>
      <c r="AT4" s="145" t="s">
        <v>764</v>
      </c>
      <c r="AU4" s="145" t="s">
        <v>764</v>
      </c>
      <c r="AV4" s="145" t="s">
        <v>764</v>
      </c>
      <c r="AW4" s="145" t="s">
        <v>764</v>
      </c>
      <c r="AX4" s="145" t="s">
        <v>764</v>
      </c>
      <c r="AY4" s="145" t="s">
        <v>764</v>
      </c>
      <c r="AZ4" s="146" t="s">
        <v>764</v>
      </c>
      <c r="BA4" s="27" t="s">
        <v>765</v>
      </c>
      <c r="BB4" s="27" t="s">
        <v>765</v>
      </c>
      <c r="BC4" s="145" t="s">
        <v>764</v>
      </c>
      <c r="BD4" s="171" t="s">
        <v>764</v>
      </c>
      <c r="BE4" s="27" t="s">
        <v>765</v>
      </c>
      <c r="BF4" s="27" t="s">
        <v>765</v>
      </c>
      <c r="BG4" s="27" t="s">
        <v>765</v>
      </c>
      <c r="BH4" s="27" t="s">
        <v>765</v>
      </c>
      <c r="BI4" s="27" t="s">
        <v>765</v>
      </c>
      <c r="BJ4" s="27" t="s">
        <v>765</v>
      </c>
      <c r="BK4" s="178" t="s">
        <v>764</v>
      </c>
      <c r="BL4" s="27" t="s">
        <v>765</v>
      </c>
      <c r="BM4" s="178" t="s">
        <v>764</v>
      </c>
      <c r="BN4" s="178" t="s">
        <v>764</v>
      </c>
      <c r="BO4" s="178" t="s">
        <v>764</v>
      </c>
      <c r="BP4" s="178" t="s">
        <v>764</v>
      </c>
      <c r="BQ4" s="178" t="s">
        <v>764</v>
      </c>
      <c r="BR4" s="178" t="s">
        <v>764</v>
      </c>
      <c r="BS4" s="178" t="s">
        <v>764</v>
      </c>
      <c r="BT4" s="178" t="s">
        <v>764</v>
      </c>
      <c r="BU4" s="178" t="s">
        <v>764</v>
      </c>
      <c r="BV4" s="178" t="s">
        <v>764</v>
      </c>
      <c r="BW4" s="178" t="s">
        <v>764</v>
      </c>
      <c r="BX4" s="178" t="s">
        <v>764</v>
      </c>
      <c r="BY4" s="178" t="s">
        <v>764</v>
      </c>
      <c r="BZ4" s="178" t="s">
        <v>764</v>
      </c>
      <c r="CA4" s="178" t="s">
        <v>764</v>
      </c>
      <c r="CB4" s="178" t="s">
        <v>764</v>
      </c>
      <c r="CC4" s="178" t="s">
        <v>764</v>
      </c>
      <c r="CD4" s="178" t="s">
        <v>764</v>
      </c>
      <c r="CE4" s="178" t="s">
        <v>764</v>
      </c>
      <c r="CF4" s="178" t="s">
        <v>764</v>
      </c>
      <c r="CG4" s="299" t="s">
        <v>764</v>
      </c>
      <c r="CH4" s="299" t="s">
        <v>764</v>
      </c>
      <c r="CI4" s="178" t="s">
        <v>764</v>
      </c>
      <c r="CJ4" s="27" t="s">
        <v>765</v>
      </c>
      <c r="CK4" s="27" t="s">
        <v>765</v>
      </c>
      <c r="CL4" s="27" t="s">
        <v>765</v>
      </c>
      <c r="CM4" s="73" t="s">
        <v>765</v>
      </c>
      <c r="CN4" s="70" t="s">
        <v>764</v>
      </c>
      <c r="CO4" s="70" t="s">
        <v>764</v>
      </c>
      <c r="CP4" s="70" t="s">
        <v>764</v>
      </c>
      <c r="CQ4" s="70" t="s">
        <v>764</v>
      </c>
      <c r="CR4" s="70" t="s">
        <v>764</v>
      </c>
      <c r="CS4" s="70" t="s">
        <v>764</v>
      </c>
      <c r="CT4" s="70" t="s">
        <v>764</v>
      </c>
      <c r="CU4" s="70" t="s">
        <v>764</v>
      </c>
      <c r="CV4" s="70" t="s">
        <v>764</v>
      </c>
      <c r="CW4" s="70" t="s">
        <v>764</v>
      </c>
      <c r="CX4" s="70" t="s">
        <v>764</v>
      </c>
      <c r="CY4" s="70" t="s">
        <v>764</v>
      </c>
      <c r="CZ4" s="70" t="s">
        <v>764</v>
      </c>
      <c r="DA4" s="70" t="s">
        <v>764</v>
      </c>
      <c r="DB4" s="70" t="s">
        <v>764</v>
      </c>
      <c r="DC4" s="70" t="s">
        <v>764</v>
      </c>
      <c r="DD4" s="70" t="s">
        <v>764</v>
      </c>
      <c r="DE4" s="70" t="s">
        <v>764</v>
      </c>
      <c r="DF4" s="70" t="s">
        <v>764</v>
      </c>
      <c r="DG4" s="70" t="s">
        <v>764</v>
      </c>
      <c r="DH4" s="70" t="s">
        <v>764</v>
      </c>
      <c r="DI4" s="70" t="s">
        <v>764</v>
      </c>
      <c r="DJ4" s="70" t="s">
        <v>764</v>
      </c>
      <c r="DK4" s="70" t="s">
        <v>764</v>
      </c>
      <c r="DL4" s="70" t="s">
        <v>764</v>
      </c>
      <c r="DM4" s="70" t="s">
        <v>764</v>
      </c>
      <c r="DN4" s="70" t="s">
        <v>764</v>
      </c>
      <c r="DO4" s="70" t="s">
        <v>764</v>
      </c>
      <c r="DP4" s="70" t="s">
        <v>764</v>
      </c>
      <c r="DQ4" s="70" t="s">
        <v>764</v>
      </c>
      <c r="DR4" s="70" t="s">
        <v>764</v>
      </c>
      <c r="DS4" s="70" t="s">
        <v>764</v>
      </c>
      <c r="DT4" s="70"/>
      <c r="DU4" s="70"/>
      <c r="DV4" s="70"/>
      <c r="DW4" s="70"/>
    </row>
    <row r="5" spans="1:263" s="74" customFormat="1" ht="20.100000000000001" hidden="1" customHeight="1" outlineLevel="1" collapsed="1">
      <c r="B5" s="31"/>
      <c r="C5" s="31"/>
      <c r="D5" s="31"/>
      <c r="E5" s="31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8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9"/>
      <c r="AD5" s="149"/>
      <c r="AE5" s="150"/>
      <c r="AF5" s="150"/>
      <c r="AG5" s="150"/>
      <c r="AH5" s="147"/>
      <c r="AI5" s="147"/>
      <c r="AJ5" s="150"/>
      <c r="AK5" s="147"/>
      <c r="AL5" s="147"/>
      <c r="AM5" s="147"/>
      <c r="AN5" s="147"/>
      <c r="AO5" s="147"/>
      <c r="AP5" s="151"/>
      <c r="AQ5" s="151"/>
      <c r="AR5" s="151"/>
      <c r="AS5" s="147"/>
      <c r="AT5" s="147"/>
      <c r="AU5" s="147"/>
      <c r="AV5" s="47"/>
      <c r="AW5" s="48"/>
      <c r="AX5" s="49"/>
      <c r="AY5" s="50"/>
      <c r="AZ5" s="51"/>
      <c r="BA5" s="31"/>
      <c r="BB5" s="32"/>
      <c r="BC5" s="48"/>
      <c r="BD5" s="172"/>
      <c r="BE5" s="32"/>
      <c r="BF5" s="31"/>
      <c r="BG5" s="31"/>
      <c r="BH5" s="31"/>
      <c r="BI5" s="32"/>
      <c r="BJ5" s="31"/>
      <c r="BK5" s="147"/>
      <c r="BL5" s="31"/>
      <c r="BM5" s="148"/>
      <c r="BN5" s="180"/>
      <c r="BO5" s="181"/>
      <c r="BP5" s="147"/>
      <c r="BQ5" s="147"/>
      <c r="BR5" s="148"/>
      <c r="BS5" s="147"/>
      <c r="BT5" s="148"/>
      <c r="BU5" s="147"/>
      <c r="BV5" s="147"/>
      <c r="BW5" s="147"/>
      <c r="BX5" s="147"/>
      <c r="BY5" s="147"/>
      <c r="BZ5" s="147"/>
      <c r="CA5" s="182"/>
      <c r="CB5" s="182"/>
      <c r="CC5" s="182"/>
      <c r="CD5" s="148"/>
      <c r="CE5" s="148"/>
      <c r="CF5" s="148"/>
      <c r="CG5" s="300"/>
      <c r="CH5" s="300"/>
      <c r="CI5" s="183"/>
      <c r="CJ5" s="75"/>
      <c r="CM5" s="76"/>
      <c r="CN5" s="76"/>
      <c r="CO5" s="76"/>
      <c r="CP5" s="76"/>
      <c r="CQ5" s="76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8"/>
      <c r="DD5" s="78"/>
      <c r="DE5" s="78"/>
      <c r="DF5" s="78"/>
      <c r="DG5" s="77"/>
      <c r="DH5" s="77"/>
      <c r="DI5" s="78"/>
      <c r="DJ5" s="78"/>
      <c r="DK5" s="78"/>
      <c r="DL5" s="78"/>
      <c r="DM5" s="76"/>
      <c r="DN5" s="76"/>
      <c r="DO5" s="76"/>
      <c r="DP5" s="76"/>
      <c r="DQ5" s="76"/>
      <c r="DR5" s="76"/>
      <c r="DS5" s="76"/>
      <c r="DT5" s="76"/>
      <c r="DU5" s="76"/>
      <c r="DV5" s="76"/>
      <c r="DW5" s="76"/>
    </row>
    <row r="6" spans="1:263" s="74" customFormat="1" ht="20.100000000000001" hidden="1" customHeight="1" outlineLevel="1" collapsed="1">
      <c r="B6" s="31"/>
      <c r="C6" s="31"/>
      <c r="D6" s="31"/>
      <c r="E6" s="31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8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9"/>
      <c r="AD6" s="149"/>
      <c r="AE6" s="150"/>
      <c r="AF6" s="150"/>
      <c r="AG6" s="150"/>
      <c r="AH6" s="147"/>
      <c r="AI6" s="147"/>
      <c r="AJ6" s="150"/>
      <c r="AK6" s="147"/>
      <c r="AL6" s="147"/>
      <c r="AM6" s="147"/>
      <c r="AN6" s="147"/>
      <c r="AO6" s="147"/>
      <c r="AP6" s="151"/>
      <c r="AQ6" s="151"/>
      <c r="AR6" s="151"/>
      <c r="AS6" s="147"/>
      <c r="AT6" s="147"/>
      <c r="AU6" s="147"/>
      <c r="AV6" s="47"/>
      <c r="AW6" s="48"/>
      <c r="AX6" s="49"/>
      <c r="AY6" s="50"/>
      <c r="AZ6" s="51"/>
      <c r="BA6" s="31"/>
      <c r="BB6" s="32"/>
      <c r="BC6" s="48"/>
      <c r="BD6" s="172"/>
      <c r="BE6" s="32"/>
      <c r="BF6" s="31"/>
      <c r="BG6" s="31"/>
      <c r="BH6" s="31"/>
      <c r="BI6" s="32"/>
      <c r="BJ6" s="31"/>
      <c r="BK6" s="147"/>
      <c r="BL6" s="31"/>
      <c r="BM6" s="148"/>
      <c r="BN6" s="180"/>
      <c r="BO6" s="181"/>
      <c r="BP6" s="147"/>
      <c r="BQ6" s="147"/>
      <c r="BR6" s="148"/>
      <c r="BS6" s="147"/>
      <c r="BT6" s="148"/>
      <c r="BU6" s="147"/>
      <c r="BV6" s="147"/>
      <c r="BW6" s="147"/>
      <c r="BX6" s="147"/>
      <c r="BY6" s="147"/>
      <c r="BZ6" s="147"/>
      <c r="CA6" s="182"/>
      <c r="CB6" s="182"/>
      <c r="CC6" s="182"/>
      <c r="CD6" s="148"/>
      <c r="CE6" s="148"/>
      <c r="CF6" s="148"/>
      <c r="CG6" s="300"/>
      <c r="CH6" s="300"/>
      <c r="CI6" s="183"/>
      <c r="CJ6" s="75"/>
      <c r="CM6" s="76"/>
      <c r="CN6" s="76"/>
      <c r="CO6" s="76"/>
      <c r="CP6" s="76"/>
      <c r="CQ6" s="76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8"/>
      <c r="DD6" s="78"/>
      <c r="DE6" s="78"/>
      <c r="DF6" s="78"/>
      <c r="DG6" s="77"/>
      <c r="DH6" s="77"/>
      <c r="DI6" s="78"/>
      <c r="DJ6" s="78"/>
      <c r="DK6" s="78"/>
      <c r="DL6" s="78"/>
      <c r="DM6" s="76"/>
      <c r="DN6" s="76"/>
      <c r="DO6" s="76"/>
      <c r="DP6" s="76"/>
      <c r="DQ6" s="76"/>
      <c r="DR6" s="76"/>
      <c r="DS6" s="76"/>
      <c r="DT6" s="76"/>
      <c r="DU6" s="76"/>
      <c r="DV6" s="76"/>
      <c r="DW6" s="76"/>
    </row>
    <row r="7" spans="1:263" s="81" customFormat="1" ht="36.6" customHeight="1" collapsed="1">
      <c r="A7" s="74"/>
      <c r="B7" s="31"/>
      <c r="C7" s="79"/>
      <c r="D7" s="31"/>
      <c r="E7" s="79" t="s">
        <v>708</v>
      </c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8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9"/>
      <c r="AD7" s="149"/>
      <c r="AE7" s="150"/>
      <c r="AF7" s="150"/>
      <c r="AG7" s="150"/>
      <c r="AH7" s="147"/>
      <c r="AI7" s="147"/>
      <c r="AJ7" s="150"/>
      <c r="AK7" s="147"/>
      <c r="AL7" s="147"/>
      <c r="AM7" s="147"/>
      <c r="AN7" s="147"/>
      <c r="AO7" s="147"/>
      <c r="AP7" s="151"/>
      <c r="AQ7" s="151"/>
      <c r="AR7" s="151"/>
      <c r="AS7" s="147"/>
      <c r="AT7" s="147"/>
      <c r="AU7" s="147"/>
      <c r="AV7" s="47"/>
      <c r="AW7" s="48"/>
      <c r="AX7" s="49"/>
      <c r="AY7" s="50" t="s">
        <v>734</v>
      </c>
      <c r="AZ7" s="51"/>
      <c r="BA7" s="31"/>
      <c r="BB7" s="147"/>
      <c r="BC7" s="48"/>
      <c r="BD7" s="63"/>
      <c r="BE7" s="272" t="s">
        <v>688</v>
      </c>
      <c r="BF7" s="272" t="s">
        <v>726</v>
      </c>
      <c r="BG7" s="147"/>
      <c r="BH7" s="147"/>
      <c r="BI7" s="273" t="s">
        <v>775</v>
      </c>
      <c r="BJ7" s="273" t="s">
        <v>776</v>
      </c>
      <c r="BK7" s="147"/>
      <c r="BL7" s="147"/>
      <c r="BM7" s="148"/>
      <c r="BN7" s="180"/>
      <c r="BO7" s="181"/>
      <c r="BP7" s="147"/>
      <c r="BQ7" s="147"/>
      <c r="BR7" s="148"/>
      <c r="BS7" s="147"/>
      <c r="BT7" s="148"/>
      <c r="BU7" s="147"/>
      <c r="BV7" s="147"/>
      <c r="BW7" s="147"/>
      <c r="BX7" s="147"/>
      <c r="BY7" s="147"/>
      <c r="BZ7" s="147"/>
      <c r="CA7" s="182"/>
      <c r="CB7" s="182"/>
      <c r="CC7" s="182"/>
      <c r="CD7" s="148"/>
      <c r="CE7" s="148"/>
      <c r="CF7" s="148"/>
      <c r="CG7" s="300"/>
      <c r="CH7" s="300"/>
      <c r="CI7" s="183"/>
      <c r="CJ7" s="274"/>
      <c r="CK7" s="149"/>
      <c r="CL7" s="149"/>
      <c r="CM7" s="275"/>
      <c r="CN7" s="76"/>
      <c r="CO7" s="76"/>
      <c r="CP7" s="76"/>
      <c r="CQ7" s="76"/>
      <c r="CR7" s="77"/>
      <c r="CS7" s="77"/>
      <c r="CT7" s="77"/>
      <c r="CU7" s="77"/>
      <c r="CV7" s="77"/>
      <c r="CW7" s="77"/>
      <c r="CX7" s="77"/>
      <c r="CY7" s="77"/>
      <c r="CZ7" s="77"/>
      <c r="DA7" s="77"/>
      <c r="DB7" s="77"/>
      <c r="DC7" s="78"/>
      <c r="DD7" s="78"/>
      <c r="DE7" s="78"/>
      <c r="DF7" s="78"/>
      <c r="DG7" s="77"/>
      <c r="DH7" s="77"/>
      <c r="DI7" s="78"/>
      <c r="DJ7" s="78"/>
      <c r="DK7" s="78"/>
      <c r="DL7" s="78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4"/>
      <c r="DY7" s="74"/>
      <c r="DZ7" s="74"/>
      <c r="EA7" s="74"/>
      <c r="EB7" s="74"/>
      <c r="EC7" s="74"/>
      <c r="ED7" s="74"/>
      <c r="EE7" s="74"/>
      <c r="EF7" s="74"/>
      <c r="EG7" s="74"/>
      <c r="EH7" s="74"/>
      <c r="EI7" s="74"/>
      <c r="EJ7" s="74"/>
      <c r="EK7" s="74"/>
      <c r="EL7" s="74"/>
      <c r="EM7" s="74"/>
      <c r="EN7" s="74"/>
      <c r="EO7" s="74"/>
      <c r="EP7" s="74"/>
      <c r="EQ7" s="74"/>
      <c r="ER7" s="74"/>
      <c r="ES7" s="74"/>
      <c r="ET7" s="74"/>
      <c r="EU7" s="74"/>
      <c r="EV7" s="74"/>
      <c r="EW7" s="74"/>
      <c r="EX7" s="74"/>
      <c r="EY7" s="74"/>
      <c r="EZ7" s="74"/>
      <c r="FA7" s="74"/>
      <c r="FB7" s="74"/>
      <c r="FC7" s="74"/>
      <c r="FD7" s="74"/>
      <c r="FE7" s="74"/>
      <c r="FF7" s="74"/>
      <c r="FG7" s="74"/>
      <c r="FH7" s="74"/>
      <c r="FI7" s="74"/>
      <c r="FJ7" s="74"/>
      <c r="FK7" s="74"/>
      <c r="FL7" s="74"/>
      <c r="FM7" s="74"/>
      <c r="FN7" s="74"/>
      <c r="FO7" s="74"/>
      <c r="FP7" s="74"/>
      <c r="FQ7" s="74"/>
      <c r="FR7" s="74"/>
      <c r="FS7" s="74"/>
      <c r="FT7" s="80"/>
    </row>
    <row r="8" spans="1:263" s="86" customFormat="1" ht="20.100000000000001" customHeight="1">
      <c r="A8" s="33"/>
      <c r="B8" s="33"/>
      <c r="C8" s="33"/>
      <c r="D8" s="33"/>
      <c r="E8" s="33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152"/>
      <c r="AF8" s="152"/>
      <c r="AG8" s="152"/>
      <c r="AH8" s="8"/>
      <c r="AI8" s="8"/>
      <c r="AJ8" s="152"/>
      <c r="AK8" s="8"/>
      <c r="AL8" s="6"/>
      <c r="AM8" s="8"/>
      <c r="AN8" s="6"/>
      <c r="AO8" s="8"/>
      <c r="AP8" s="217"/>
      <c r="AQ8" s="217"/>
      <c r="AR8" s="217"/>
      <c r="AS8" s="8"/>
      <c r="AT8" s="8"/>
      <c r="AU8" s="6"/>
      <c r="AV8" s="9"/>
      <c r="AW8" s="12"/>
      <c r="AX8" s="7"/>
      <c r="AY8" s="213"/>
      <c r="AZ8" s="213"/>
      <c r="BA8" s="33"/>
      <c r="BB8" s="276"/>
      <c r="BC8" s="277"/>
      <c r="BD8" s="278" t="s">
        <v>674</v>
      </c>
      <c r="BE8" s="279">
        <f>CR10</f>
        <v>0</v>
      </c>
      <c r="BF8" s="280">
        <f>CS10</f>
        <v>0</v>
      </c>
      <c r="BG8" s="6"/>
      <c r="BH8" s="6"/>
      <c r="BI8" s="281">
        <f>CT10</f>
        <v>0</v>
      </c>
      <c r="BJ8" s="282">
        <f>CU10</f>
        <v>0</v>
      </c>
      <c r="BK8" s="6"/>
      <c r="BL8" s="6"/>
      <c r="BM8" s="6"/>
      <c r="BN8" s="6"/>
      <c r="BO8" s="6"/>
      <c r="BP8" s="6"/>
      <c r="BQ8" s="6"/>
      <c r="BR8" s="6"/>
      <c r="BS8" s="6"/>
      <c r="BT8" s="6"/>
      <c r="BU8" s="12"/>
      <c r="BV8" s="215"/>
      <c r="BW8" s="6"/>
      <c r="BX8" s="6"/>
      <c r="BY8" s="6"/>
      <c r="BZ8" s="6"/>
      <c r="CA8" s="6"/>
      <c r="CB8" s="6"/>
      <c r="CC8" s="6"/>
      <c r="CD8" s="6"/>
      <c r="CE8" s="12"/>
      <c r="CF8" s="12"/>
      <c r="CG8" s="301"/>
      <c r="CH8" s="302"/>
      <c r="CI8" s="6"/>
      <c r="CJ8" s="6"/>
      <c r="CK8" s="6"/>
      <c r="CL8" s="215"/>
      <c r="CM8" s="283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82"/>
      <c r="DQ8" s="82"/>
      <c r="DR8" s="82"/>
      <c r="DS8" s="82"/>
      <c r="DT8" s="82"/>
      <c r="DU8" s="82"/>
      <c r="DV8" s="82"/>
      <c r="DW8" s="82"/>
      <c r="DX8" s="83"/>
      <c r="DY8" s="83"/>
      <c r="DZ8" s="83"/>
      <c r="EA8" s="83"/>
      <c r="EB8" s="83"/>
      <c r="EC8" s="83"/>
      <c r="ED8" s="83"/>
      <c r="EE8" s="83"/>
      <c r="EF8" s="83"/>
      <c r="EG8" s="83"/>
      <c r="EH8" s="83"/>
      <c r="EI8" s="83"/>
      <c r="EJ8" s="83"/>
      <c r="EK8" s="83"/>
      <c r="EL8" s="83"/>
      <c r="EM8" s="83"/>
      <c r="EN8" s="83"/>
      <c r="EO8" s="83"/>
      <c r="EP8" s="83"/>
      <c r="EQ8" s="83"/>
      <c r="ER8" s="83"/>
      <c r="ES8" s="83"/>
      <c r="ET8" s="83"/>
      <c r="EU8" s="83"/>
      <c r="EV8" s="83"/>
      <c r="EW8" s="83"/>
      <c r="EX8" s="83"/>
      <c r="EY8" s="83"/>
      <c r="EZ8" s="83"/>
      <c r="FA8" s="83"/>
      <c r="FB8" s="83"/>
      <c r="FC8" s="83"/>
      <c r="FD8" s="83"/>
      <c r="FE8" s="83"/>
      <c r="FF8" s="83"/>
      <c r="FG8" s="83"/>
      <c r="FH8" s="83"/>
      <c r="FI8" s="83"/>
      <c r="FJ8" s="83"/>
      <c r="FK8" s="83"/>
      <c r="FL8" s="83"/>
      <c r="FM8" s="83"/>
      <c r="FN8" s="83"/>
      <c r="FO8" s="83"/>
      <c r="FP8" s="83"/>
      <c r="FQ8" s="83"/>
      <c r="FR8" s="83"/>
      <c r="FS8" s="83"/>
      <c r="FT8" s="84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5"/>
      <c r="GI8" s="85"/>
      <c r="GJ8" s="85"/>
      <c r="GK8" s="85"/>
      <c r="GL8" s="85"/>
      <c r="GM8" s="85"/>
      <c r="GN8" s="85"/>
      <c r="GO8" s="85"/>
      <c r="GP8" s="85"/>
      <c r="GQ8" s="85"/>
      <c r="GR8" s="85"/>
      <c r="GS8" s="85"/>
      <c r="GT8" s="85"/>
      <c r="GU8" s="85"/>
      <c r="GV8" s="85"/>
      <c r="GW8" s="85"/>
      <c r="GX8" s="85"/>
      <c r="GY8" s="85"/>
      <c r="GZ8" s="85"/>
      <c r="HA8" s="85"/>
      <c r="HB8" s="85"/>
      <c r="HC8" s="85"/>
      <c r="HD8" s="85"/>
      <c r="HE8" s="85"/>
      <c r="HF8" s="85"/>
      <c r="HG8" s="85"/>
      <c r="HH8" s="85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5"/>
      <c r="IF8" s="85"/>
      <c r="IG8" s="85"/>
      <c r="IH8" s="85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</row>
    <row r="9" spans="1:263" s="86" customFormat="1" ht="18.95" customHeight="1">
      <c r="A9" s="33"/>
      <c r="B9" s="33"/>
      <c r="C9" s="33"/>
      <c r="D9" s="33"/>
      <c r="E9" s="33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152"/>
      <c r="AF9" s="152"/>
      <c r="AG9" s="152"/>
      <c r="AH9" s="8"/>
      <c r="AI9" s="8"/>
      <c r="AJ9" s="152"/>
      <c r="AK9" s="8"/>
      <c r="AL9" s="6"/>
      <c r="AM9" s="8"/>
      <c r="AN9" s="6"/>
      <c r="AO9" s="8"/>
      <c r="AP9" s="212" t="s">
        <v>652</v>
      </c>
      <c r="AQ9" s="212" t="s">
        <v>635</v>
      </c>
      <c r="AR9" s="212" t="s">
        <v>735</v>
      </c>
      <c r="AS9" s="8"/>
      <c r="AT9" s="8"/>
      <c r="AU9" s="6"/>
      <c r="AV9" s="9"/>
      <c r="AW9" s="12"/>
      <c r="AX9" s="7"/>
      <c r="AY9" s="212" t="s">
        <v>782</v>
      </c>
      <c r="AZ9" s="213"/>
      <c r="BA9" s="33"/>
      <c r="BB9" s="284"/>
      <c r="BC9" s="173"/>
      <c r="BD9" s="285" t="s">
        <v>786</v>
      </c>
      <c r="BE9" s="279">
        <f>CV10</f>
        <v>8.5757645501884396E-3</v>
      </c>
      <c r="BF9" s="280">
        <f>CW10</f>
        <v>59617</v>
      </c>
      <c r="BG9" s="6"/>
      <c r="BH9" s="12"/>
      <c r="BI9" s="281">
        <f>CX10</f>
        <v>1.6051526223424151E-2</v>
      </c>
      <c r="BJ9" s="282">
        <f>CY10</f>
        <v>111587</v>
      </c>
      <c r="BK9" s="6"/>
      <c r="BL9" s="14"/>
      <c r="BM9" s="212" t="s">
        <v>772</v>
      </c>
      <c r="BN9" s="212" t="s">
        <v>727</v>
      </c>
      <c r="BO9" s="212" t="s">
        <v>665</v>
      </c>
      <c r="BP9" s="14"/>
      <c r="BQ9" s="14"/>
      <c r="BR9" s="14"/>
      <c r="BS9" s="14"/>
      <c r="BT9" s="14"/>
      <c r="BU9" s="6"/>
      <c r="BV9" s="22" t="s">
        <v>636</v>
      </c>
      <c r="BW9" s="6"/>
      <c r="BX9" s="6"/>
      <c r="BY9" s="6"/>
      <c r="BZ9" s="6"/>
      <c r="CA9" s="6"/>
      <c r="CB9" s="6"/>
      <c r="CC9" s="6"/>
      <c r="CD9" s="6"/>
      <c r="CE9" s="12"/>
      <c r="CF9" s="12"/>
      <c r="CG9" s="301"/>
      <c r="CH9" s="302"/>
      <c r="CI9" s="6"/>
      <c r="CJ9" s="6"/>
      <c r="CK9" s="6"/>
      <c r="CL9" s="212" t="s">
        <v>606</v>
      </c>
      <c r="CM9" s="283"/>
      <c r="CN9" s="82"/>
      <c r="CO9" s="82"/>
      <c r="CP9" s="87" t="s">
        <v>737</v>
      </c>
      <c r="CQ9" s="87" t="s">
        <v>736</v>
      </c>
      <c r="CR9" s="88" t="s">
        <v>676</v>
      </c>
      <c r="CS9" s="88" t="s">
        <v>677</v>
      </c>
      <c r="CT9" s="89" t="s">
        <v>732</v>
      </c>
      <c r="CU9" s="89" t="s">
        <v>733</v>
      </c>
      <c r="CV9" s="88" t="s">
        <v>678</v>
      </c>
      <c r="CW9" s="88" t="s">
        <v>679</v>
      </c>
      <c r="CX9" s="89" t="s">
        <v>680</v>
      </c>
      <c r="CY9" s="89" t="s">
        <v>681</v>
      </c>
      <c r="CZ9" s="90"/>
      <c r="DA9" s="90"/>
      <c r="DB9" s="90"/>
      <c r="DC9" s="88" t="s">
        <v>683</v>
      </c>
      <c r="DD9" s="88" t="s">
        <v>684</v>
      </c>
      <c r="DE9" s="88" t="s">
        <v>685</v>
      </c>
      <c r="DF9" s="88" t="s">
        <v>686</v>
      </c>
      <c r="DG9" s="91" t="s">
        <v>710</v>
      </c>
      <c r="DH9" s="91" t="s">
        <v>711</v>
      </c>
      <c r="DI9" s="91" t="s">
        <v>718</v>
      </c>
      <c r="DJ9" s="91" t="s">
        <v>719</v>
      </c>
      <c r="DK9" s="89" t="s">
        <v>715</v>
      </c>
      <c r="DL9" s="89" t="s">
        <v>716</v>
      </c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4"/>
      <c r="FU9" s="85"/>
      <c r="FV9" s="85"/>
      <c r="FW9" s="85"/>
      <c r="FX9" s="85"/>
      <c r="FY9" s="85"/>
      <c r="FZ9" s="85"/>
      <c r="GA9" s="85"/>
      <c r="GB9" s="85"/>
      <c r="GC9" s="85"/>
      <c r="GD9" s="85"/>
      <c r="GE9" s="85"/>
      <c r="GF9" s="85"/>
      <c r="GG9" s="85"/>
      <c r="GH9" s="85"/>
      <c r="GI9" s="85"/>
      <c r="GJ9" s="85"/>
      <c r="GK9" s="85"/>
      <c r="GL9" s="85"/>
      <c r="GM9" s="85"/>
      <c r="GN9" s="85"/>
      <c r="GO9" s="85"/>
      <c r="GP9" s="85"/>
      <c r="GQ9" s="85"/>
      <c r="GR9" s="85"/>
      <c r="GS9" s="85"/>
      <c r="GT9" s="85"/>
      <c r="GU9" s="85"/>
      <c r="GV9" s="85"/>
      <c r="GW9" s="85"/>
      <c r="GX9" s="85"/>
      <c r="GY9" s="85"/>
      <c r="GZ9" s="85"/>
      <c r="HA9" s="85"/>
      <c r="HB9" s="85"/>
      <c r="HC9" s="85"/>
      <c r="HD9" s="85"/>
      <c r="HE9" s="85"/>
      <c r="HF9" s="85"/>
      <c r="HG9" s="85"/>
      <c r="HH9" s="85"/>
      <c r="HI9" s="85"/>
      <c r="HJ9" s="85"/>
      <c r="HK9" s="85"/>
      <c r="HL9" s="85"/>
      <c r="HM9" s="85"/>
      <c r="HN9" s="85"/>
      <c r="HO9" s="85"/>
      <c r="HP9" s="85"/>
      <c r="HQ9" s="85"/>
      <c r="HR9" s="85"/>
      <c r="HS9" s="85"/>
      <c r="HT9" s="85"/>
      <c r="HU9" s="85"/>
      <c r="HV9" s="85"/>
      <c r="HW9" s="85"/>
      <c r="HX9" s="85"/>
      <c r="HY9" s="85"/>
      <c r="HZ9" s="85"/>
      <c r="IA9" s="85"/>
      <c r="IB9" s="85"/>
      <c r="IC9" s="85"/>
      <c r="ID9" s="85"/>
      <c r="IE9" s="85"/>
      <c r="IF9" s="85"/>
      <c r="IG9" s="85"/>
      <c r="IH9" s="85"/>
      <c r="II9" s="85"/>
      <c r="IJ9" s="85"/>
      <c r="IK9" s="85"/>
      <c r="IL9" s="85"/>
      <c r="IM9" s="85"/>
      <c r="IN9" s="85"/>
      <c r="IO9" s="85"/>
      <c r="IP9" s="85"/>
      <c r="IQ9" s="85"/>
      <c r="IR9" s="85"/>
      <c r="IS9" s="85"/>
      <c r="IT9" s="85"/>
      <c r="IU9" s="85"/>
      <c r="IV9" s="85"/>
      <c r="IW9" s="85"/>
      <c r="IX9" s="85"/>
      <c r="IY9" s="85"/>
      <c r="IZ9" s="85"/>
      <c r="JA9" s="85"/>
      <c r="JB9" s="85"/>
      <c r="JC9" s="85"/>
    </row>
    <row r="10" spans="1:263" s="86" customFormat="1" ht="19.5" customHeight="1">
      <c r="A10" s="33"/>
      <c r="B10" s="33"/>
      <c r="C10" s="33"/>
      <c r="D10" s="33"/>
      <c r="E10" s="33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152"/>
      <c r="AF10" s="152"/>
      <c r="AG10" s="152"/>
      <c r="AH10" s="8"/>
      <c r="AI10" s="8"/>
      <c r="AJ10" s="152"/>
      <c r="AK10" s="8"/>
      <c r="AL10" s="6"/>
      <c r="AM10" s="8"/>
      <c r="AN10" s="6"/>
      <c r="AO10" s="8"/>
      <c r="AP10" s="215">
        <f>SUM($AP$17:$AP$122)</f>
        <v>11592182</v>
      </c>
      <c r="AQ10" s="214">
        <f>SUM($AQ$17:$AQ$122)</f>
        <v>11438811</v>
      </c>
      <c r="AR10" s="214">
        <f>SUM($AR$17:$AR$122)</f>
        <v>6951800</v>
      </c>
      <c r="AS10" s="8"/>
      <c r="AT10" s="8"/>
      <c r="AU10" s="6"/>
      <c r="AV10" s="9"/>
      <c r="AW10" s="12"/>
      <c r="AX10" s="7"/>
      <c r="AY10" s="214">
        <f>SUM($AY$17:$AY$122)</f>
        <v>11592182</v>
      </c>
      <c r="AZ10" s="213"/>
      <c r="BA10" s="33"/>
      <c r="BB10" s="284"/>
      <c r="BC10" s="173"/>
      <c r="BD10" s="285" t="s">
        <v>654</v>
      </c>
      <c r="BE10" s="279">
        <f>DC10</f>
        <v>2.1272332345579563E-2</v>
      </c>
      <c r="BF10" s="280">
        <f>DD10</f>
        <v>147881</v>
      </c>
      <c r="BG10" s="286"/>
      <c r="BH10" s="12"/>
      <c r="BI10" s="409"/>
      <c r="BJ10" s="409"/>
      <c r="BK10" s="14"/>
      <c r="BL10" s="14"/>
      <c r="BM10" s="23">
        <f>BN10/AR10</f>
        <v>1.0663281452285739E-2</v>
      </c>
      <c r="BN10" s="24">
        <f>SUM($BN$17:$BN$25)</f>
        <v>74129</v>
      </c>
      <c r="BO10" s="24">
        <f>SUM($BO$17:$BO$25)</f>
        <v>1508529</v>
      </c>
      <c r="BP10" s="14"/>
      <c r="BQ10" s="14"/>
      <c r="BR10" s="14"/>
      <c r="BS10" s="14"/>
      <c r="BT10" s="14"/>
      <c r="BU10" s="6"/>
      <c r="BV10" s="24">
        <f>SUM($BV$17:$BV$122)</f>
        <v>11754708.915789474</v>
      </c>
      <c r="BW10" s="6"/>
      <c r="BX10" s="6"/>
      <c r="BY10" s="6"/>
      <c r="BZ10" s="6"/>
      <c r="CA10" s="6"/>
      <c r="CB10" s="6"/>
      <c r="CC10" s="6"/>
      <c r="CD10" s="6"/>
      <c r="CE10" s="12"/>
      <c r="CF10" s="12"/>
      <c r="CG10" s="301"/>
      <c r="CH10" s="302"/>
      <c r="CI10" s="6"/>
      <c r="CJ10" s="6"/>
      <c r="CK10" s="6"/>
      <c r="CL10" s="215">
        <f>SUM($CK$17:$CK$25)</f>
        <v>16500</v>
      </c>
      <c r="CM10" s="283"/>
      <c r="CN10" s="82"/>
      <c r="CO10" s="82"/>
      <c r="CP10" s="92">
        <f>CQ10/AR10</f>
        <v>3.2501366552547539E-2</v>
      </c>
      <c r="CQ10" s="93">
        <f>SUM($CQ$17:$CQ$122)</f>
        <v>225943</v>
      </c>
      <c r="CR10" s="94">
        <f>$CS$10/$AR$10</f>
        <v>0</v>
      </c>
      <c r="CS10" s="93">
        <f>SUM($CS$17:$CS$122)</f>
        <v>0</v>
      </c>
      <c r="CT10" s="94">
        <f>$CU$10/$AR$10</f>
        <v>0</v>
      </c>
      <c r="CU10" s="93">
        <f>SUM($CU$17:$CU$122)</f>
        <v>0</v>
      </c>
      <c r="CV10" s="94">
        <f>$CW$10/$AR$10</f>
        <v>8.5757645501884396E-3</v>
      </c>
      <c r="CW10" s="93">
        <f>SUM($CW$17:$CW$122)</f>
        <v>59617</v>
      </c>
      <c r="CX10" s="94">
        <f>$CY$10/$AR$10</f>
        <v>1.6051526223424151E-2</v>
      </c>
      <c r="CY10" s="93">
        <f>SUM($CY$17:$CY$122)</f>
        <v>111587</v>
      </c>
      <c r="CZ10" s="95"/>
      <c r="DA10" s="96"/>
      <c r="DB10" s="96"/>
      <c r="DC10" s="94">
        <f>$DD$10/$AR$10</f>
        <v>2.1272332345579563E-2</v>
      </c>
      <c r="DD10" s="93">
        <f>SUM($DD$17:$DD$122)</f>
        <v>147881</v>
      </c>
      <c r="DE10" s="94">
        <f>$DF$10/$AR$10</f>
        <v>2.6532696567795389E-3</v>
      </c>
      <c r="DF10" s="93">
        <f>SUM($DF$17:$DF$122)</f>
        <v>18445</v>
      </c>
      <c r="DG10" s="94">
        <f>$DH$10/$AR$10</f>
        <v>0</v>
      </c>
      <c r="DH10" s="97">
        <f>SUM($DH$17:$DH$122)</f>
        <v>0</v>
      </c>
      <c r="DI10" s="94">
        <f>$DJ$10/$AP$10</f>
        <v>1.9490981076729127E-2</v>
      </c>
      <c r="DJ10" s="93">
        <f>SUM($DJ$17:$DJ$122)</f>
        <v>225943</v>
      </c>
      <c r="DK10" s="94">
        <f>$DL$10/$AR$10</f>
        <v>1.6051526223424151E-2</v>
      </c>
      <c r="DL10" s="93">
        <f>SUM($DL$17:$DL$122)</f>
        <v>111587</v>
      </c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3"/>
      <c r="DY10" s="83"/>
      <c r="DZ10" s="83"/>
      <c r="EA10" s="83"/>
      <c r="EB10" s="83"/>
      <c r="EC10" s="83"/>
      <c r="ED10" s="83"/>
      <c r="EE10" s="83"/>
      <c r="EF10" s="83"/>
      <c r="EG10" s="83"/>
      <c r="EH10" s="83"/>
      <c r="EI10" s="83"/>
      <c r="EJ10" s="83"/>
      <c r="EK10" s="83"/>
      <c r="EL10" s="83"/>
      <c r="EM10" s="83"/>
      <c r="EN10" s="83"/>
      <c r="EO10" s="83"/>
      <c r="EP10" s="83"/>
      <c r="EQ10" s="83"/>
      <c r="ER10" s="83"/>
      <c r="ES10" s="83"/>
      <c r="ET10" s="83"/>
      <c r="EU10" s="83"/>
      <c r="EV10" s="83"/>
      <c r="EW10" s="83"/>
      <c r="EX10" s="83"/>
      <c r="EY10" s="83"/>
      <c r="EZ10" s="83"/>
      <c r="FA10" s="83"/>
      <c r="FB10" s="83"/>
      <c r="FC10" s="83"/>
      <c r="FD10" s="83"/>
      <c r="FE10" s="83"/>
      <c r="FF10" s="83"/>
      <c r="FG10" s="83"/>
      <c r="FH10" s="83"/>
      <c r="FI10" s="83"/>
      <c r="FJ10" s="83"/>
      <c r="FK10" s="83"/>
      <c r="FL10" s="83"/>
      <c r="FM10" s="83"/>
      <c r="FN10" s="83"/>
      <c r="FO10" s="83"/>
      <c r="FP10" s="83"/>
      <c r="FQ10" s="83"/>
      <c r="FR10" s="83"/>
      <c r="FS10" s="83"/>
      <c r="FT10" s="84"/>
      <c r="FU10" s="85"/>
      <c r="FV10" s="85"/>
      <c r="FW10" s="85"/>
      <c r="FX10" s="85"/>
      <c r="FY10" s="85"/>
      <c r="FZ10" s="85"/>
      <c r="GA10" s="85"/>
      <c r="GB10" s="85"/>
      <c r="GC10" s="85"/>
      <c r="GD10" s="85"/>
      <c r="GE10" s="85"/>
      <c r="GF10" s="85"/>
      <c r="GG10" s="85"/>
      <c r="GH10" s="85"/>
      <c r="GI10" s="85"/>
      <c r="GJ10" s="85"/>
      <c r="GK10" s="85"/>
      <c r="GL10" s="85"/>
      <c r="GM10" s="85"/>
      <c r="GN10" s="85"/>
      <c r="GO10" s="85"/>
      <c r="GP10" s="85"/>
      <c r="GQ10" s="85"/>
      <c r="GR10" s="85"/>
      <c r="GS10" s="85"/>
      <c r="GT10" s="85"/>
      <c r="GU10" s="85"/>
      <c r="GV10" s="85"/>
      <c r="GW10" s="85"/>
      <c r="GX10" s="85"/>
      <c r="GY10" s="85"/>
      <c r="GZ10" s="85"/>
      <c r="HA10" s="85"/>
      <c r="HB10" s="85"/>
      <c r="HC10" s="85"/>
      <c r="HD10" s="85"/>
      <c r="HE10" s="85"/>
      <c r="HF10" s="85"/>
      <c r="HG10" s="85"/>
      <c r="HH10" s="85"/>
      <c r="HI10" s="85"/>
      <c r="HJ10" s="85"/>
      <c r="HK10" s="85"/>
      <c r="HL10" s="85"/>
      <c r="HM10" s="85"/>
      <c r="HN10" s="85"/>
      <c r="HO10" s="85"/>
      <c r="HP10" s="85"/>
      <c r="HQ10" s="85"/>
      <c r="HR10" s="85"/>
      <c r="HS10" s="85"/>
      <c r="HT10" s="85"/>
      <c r="HU10" s="85"/>
      <c r="HV10" s="85"/>
      <c r="HW10" s="85"/>
      <c r="HX10" s="85"/>
      <c r="HY10" s="85"/>
      <c r="HZ10" s="85"/>
      <c r="IA10" s="85"/>
      <c r="IB10" s="85"/>
      <c r="IC10" s="85"/>
      <c r="ID10" s="85"/>
      <c r="IE10" s="85"/>
      <c r="IF10" s="85"/>
      <c r="IG10" s="85"/>
      <c r="IH10" s="85"/>
      <c r="II10" s="85"/>
      <c r="IJ10" s="85"/>
      <c r="IK10" s="85"/>
      <c r="IL10" s="85"/>
      <c r="IM10" s="85"/>
      <c r="IN10" s="85"/>
      <c r="IO10" s="85"/>
      <c r="IP10" s="85"/>
      <c r="IQ10" s="85"/>
      <c r="IR10" s="85"/>
      <c r="IS10" s="85"/>
      <c r="IT10" s="85"/>
      <c r="IU10" s="85"/>
      <c r="IV10" s="85"/>
      <c r="IW10" s="85"/>
      <c r="IX10" s="85"/>
      <c r="IY10" s="85"/>
      <c r="IZ10" s="85"/>
      <c r="JA10" s="85"/>
      <c r="JB10" s="85"/>
      <c r="JC10" s="85"/>
    </row>
    <row r="11" spans="1:263" s="86" customFormat="1" ht="19.5" customHeight="1">
      <c r="A11" s="33"/>
      <c r="B11" s="33"/>
      <c r="C11" s="33"/>
      <c r="D11" s="33"/>
      <c r="E11" s="33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152"/>
      <c r="AF11" s="152"/>
      <c r="AG11" s="152"/>
      <c r="AH11" s="8"/>
      <c r="AI11" s="8"/>
      <c r="AJ11" s="152"/>
      <c r="AK11" s="8"/>
      <c r="AL11" s="6"/>
      <c r="AM11" s="8"/>
      <c r="AN11" s="6"/>
      <c r="AO11" s="8"/>
      <c r="AP11" s="217"/>
      <c r="AQ11" s="217"/>
      <c r="AR11" s="217"/>
      <c r="AS11" s="8"/>
      <c r="AT11" s="8"/>
      <c r="AU11" s="6"/>
      <c r="AV11" s="9"/>
      <c r="AW11" s="12"/>
      <c r="AX11" s="7"/>
      <c r="AY11" s="213"/>
      <c r="AZ11" s="213"/>
      <c r="BA11" s="33"/>
      <c r="BB11" s="284"/>
      <c r="BC11" s="173"/>
      <c r="BD11" s="285" t="s">
        <v>0</v>
      </c>
      <c r="BE11" s="279">
        <f>DE10</f>
        <v>2.6532696567795389E-3</v>
      </c>
      <c r="BF11" s="280">
        <f>DF10</f>
        <v>18445</v>
      </c>
      <c r="BG11" s="286"/>
      <c r="BH11" s="12"/>
      <c r="BI11" s="409"/>
      <c r="BJ11" s="409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12"/>
      <c r="BV11" s="216"/>
      <c r="BW11" s="6"/>
      <c r="BX11" s="6"/>
      <c r="BY11" s="6"/>
      <c r="BZ11" s="6"/>
      <c r="CA11" s="6"/>
      <c r="CB11" s="6"/>
      <c r="CC11" s="6"/>
      <c r="CD11" s="6"/>
      <c r="CE11" s="12"/>
      <c r="CF11" s="12"/>
      <c r="CG11" s="301"/>
      <c r="CH11" s="302"/>
      <c r="CI11" s="6"/>
      <c r="CJ11" s="6"/>
      <c r="CK11" s="6"/>
      <c r="CL11" s="6"/>
      <c r="CM11" s="283"/>
      <c r="CN11" s="82"/>
      <c r="CO11" s="82"/>
      <c r="CP11" s="82"/>
      <c r="CQ11" s="98"/>
      <c r="CR11" s="82"/>
      <c r="CS11" s="82"/>
      <c r="CT11" s="82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2"/>
      <c r="DG11" s="82"/>
      <c r="DH11" s="82"/>
      <c r="DI11" s="82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3"/>
      <c r="DY11" s="83"/>
      <c r="DZ11" s="83"/>
      <c r="EA11" s="83"/>
      <c r="EB11" s="83"/>
      <c r="EC11" s="83"/>
      <c r="ED11" s="83"/>
      <c r="EE11" s="83"/>
      <c r="EF11" s="83"/>
      <c r="EG11" s="83"/>
      <c r="EH11" s="83"/>
      <c r="EI11" s="83"/>
      <c r="EJ11" s="83"/>
      <c r="EK11" s="83"/>
      <c r="EL11" s="83"/>
      <c r="EM11" s="83"/>
      <c r="EN11" s="83"/>
      <c r="EO11" s="83"/>
      <c r="EP11" s="83"/>
      <c r="EQ11" s="83"/>
      <c r="ER11" s="83"/>
      <c r="ES11" s="83"/>
      <c r="ET11" s="83"/>
      <c r="EU11" s="83"/>
      <c r="EV11" s="83"/>
      <c r="EW11" s="83"/>
      <c r="EX11" s="83"/>
      <c r="EY11" s="83"/>
      <c r="EZ11" s="83"/>
      <c r="FA11" s="83"/>
      <c r="FB11" s="83"/>
      <c r="FC11" s="83"/>
      <c r="FD11" s="83"/>
      <c r="FE11" s="83"/>
      <c r="FF11" s="83"/>
      <c r="FG11" s="83"/>
      <c r="FH11" s="83"/>
      <c r="FI11" s="83"/>
      <c r="FJ11" s="83"/>
      <c r="FK11" s="83"/>
      <c r="FL11" s="83"/>
      <c r="FM11" s="83"/>
      <c r="FN11" s="83"/>
      <c r="FO11" s="83"/>
      <c r="FP11" s="83"/>
      <c r="FQ11" s="83"/>
      <c r="FR11" s="83"/>
      <c r="FS11" s="83"/>
      <c r="FT11" s="84"/>
      <c r="FU11" s="85"/>
      <c r="FV11" s="85"/>
      <c r="FW11" s="85"/>
      <c r="FX11" s="85"/>
      <c r="FY11" s="85"/>
      <c r="FZ11" s="85"/>
      <c r="GA11" s="85"/>
      <c r="GB11" s="85"/>
      <c r="GC11" s="85"/>
      <c r="GD11" s="85"/>
      <c r="GE11" s="85"/>
      <c r="GF11" s="85"/>
      <c r="GG11" s="85"/>
      <c r="GH11" s="85"/>
      <c r="GI11" s="85"/>
      <c r="GJ11" s="85"/>
      <c r="GK11" s="85"/>
      <c r="GL11" s="85"/>
      <c r="GM11" s="85"/>
      <c r="GN11" s="85"/>
      <c r="GO11" s="85"/>
      <c r="GP11" s="85"/>
      <c r="GQ11" s="85"/>
      <c r="GR11" s="85"/>
      <c r="GS11" s="85"/>
      <c r="GT11" s="85"/>
      <c r="GU11" s="85"/>
      <c r="GV11" s="85"/>
      <c r="GW11" s="85"/>
      <c r="GX11" s="85"/>
      <c r="GY11" s="85"/>
      <c r="GZ11" s="85"/>
      <c r="HA11" s="85"/>
      <c r="HB11" s="85"/>
      <c r="HC11" s="85"/>
      <c r="HD11" s="85"/>
      <c r="HE11" s="85"/>
      <c r="HF11" s="85"/>
      <c r="HG11" s="85"/>
      <c r="HH11" s="85"/>
      <c r="HI11" s="85"/>
      <c r="HJ11" s="85"/>
      <c r="HK11" s="85"/>
      <c r="HL11" s="85"/>
      <c r="HM11" s="85"/>
      <c r="HN11" s="85"/>
      <c r="HO11" s="85"/>
      <c r="HP11" s="85"/>
      <c r="HQ11" s="85"/>
      <c r="HR11" s="85"/>
      <c r="HS11" s="85"/>
      <c r="HT11" s="85"/>
      <c r="HU11" s="85"/>
      <c r="HV11" s="85"/>
      <c r="HW11" s="85"/>
      <c r="HX11" s="85"/>
      <c r="HY11" s="85"/>
      <c r="HZ11" s="85"/>
      <c r="IA11" s="85"/>
      <c r="IB11" s="85"/>
      <c r="IC11" s="85"/>
      <c r="ID11" s="85"/>
      <c r="IE11" s="85"/>
      <c r="IF11" s="85"/>
      <c r="IG11" s="85"/>
      <c r="IH11" s="85"/>
      <c r="II11" s="85"/>
      <c r="IJ11" s="85"/>
      <c r="IK11" s="85"/>
      <c r="IL11" s="85"/>
      <c r="IM11" s="85"/>
      <c r="IN11" s="85"/>
      <c r="IO11" s="85"/>
      <c r="IP11" s="85"/>
      <c r="IQ11" s="85"/>
      <c r="IR11" s="85"/>
      <c r="IS11" s="85"/>
      <c r="IT11" s="85"/>
      <c r="IU11" s="85"/>
      <c r="IV11" s="85"/>
      <c r="IW11" s="85"/>
      <c r="IX11" s="85"/>
      <c r="IY11" s="85"/>
      <c r="IZ11" s="85"/>
      <c r="JA11" s="85"/>
      <c r="JB11" s="85"/>
      <c r="JC11" s="85"/>
    </row>
    <row r="12" spans="1:263" s="86" customFormat="1" ht="19.5" customHeight="1">
      <c r="A12" s="33"/>
      <c r="B12" s="33"/>
      <c r="C12" s="33"/>
      <c r="D12" s="33"/>
      <c r="E12" s="33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152"/>
      <c r="AF12" s="152"/>
      <c r="AG12" s="152"/>
      <c r="AH12" s="8"/>
      <c r="AI12" s="8"/>
      <c r="AJ12" s="152"/>
      <c r="AK12" s="8"/>
      <c r="AL12" s="6"/>
      <c r="AM12" s="8"/>
      <c r="AN12" s="6"/>
      <c r="AO12" s="8"/>
      <c r="AP12" s="8"/>
      <c r="AQ12" s="8"/>
      <c r="AR12" s="8"/>
      <c r="AS12" s="8"/>
      <c r="AT12" s="8"/>
      <c r="AU12" s="6"/>
      <c r="AV12" s="9"/>
      <c r="AW12" s="12"/>
      <c r="AX12" s="7"/>
      <c r="AY12" s="7"/>
      <c r="AZ12" s="7"/>
      <c r="BA12" s="33"/>
      <c r="BB12" s="421" t="s">
        <v>787</v>
      </c>
      <c r="BC12" s="422"/>
      <c r="BD12" s="423" t="s">
        <v>787</v>
      </c>
      <c r="BE12" s="287">
        <f>DG10</f>
        <v>0</v>
      </c>
      <c r="BF12" s="280">
        <f>DH10</f>
        <v>0</v>
      </c>
      <c r="BG12" s="286"/>
      <c r="BH12" s="12"/>
      <c r="BI12" s="409"/>
      <c r="BJ12" s="409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12"/>
      <c r="BV12" s="14"/>
      <c r="BW12" s="6"/>
      <c r="BX12" s="6"/>
      <c r="BY12" s="6"/>
      <c r="BZ12" s="6"/>
      <c r="CA12" s="6"/>
      <c r="CB12" s="6"/>
      <c r="CC12" s="6"/>
      <c r="CD12" s="6"/>
      <c r="CE12" s="12"/>
      <c r="CF12" s="12"/>
      <c r="CG12" s="301"/>
      <c r="CH12" s="302"/>
      <c r="CI12" s="6"/>
      <c r="CJ12" s="6"/>
      <c r="CK12" s="6"/>
      <c r="CL12" s="6"/>
      <c r="CM12" s="283"/>
      <c r="CN12" s="82"/>
      <c r="CO12" s="82"/>
      <c r="CP12" s="82"/>
      <c r="CQ12" s="82"/>
      <c r="CR12" s="99"/>
      <c r="CS12" s="82"/>
      <c r="CT12" s="82"/>
      <c r="CU12" s="82"/>
      <c r="CV12" s="82"/>
      <c r="CW12" s="82"/>
      <c r="CX12" s="82"/>
      <c r="CY12" s="82"/>
      <c r="CZ12" s="82"/>
      <c r="DA12" s="82"/>
      <c r="DB12" s="82"/>
      <c r="DC12" s="82"/>
      <c r="DD12" s="82"/>
      <c r="DE12" s="82"/>
      <c r="DF12" s="82"/>
      <c r="DG12" s="82"/>
      <c r="DH12" s="82"/>
      <c r="DI12" s="82"/>
      <c r="DJ12" s="82"/>
      <c r="DK12" s="82"/>
      <c r="DL12" s="82"/>
      <c r="DM12" s="82"/>
      <c r="DN12" s="82"/>
      <c r="DO12" s="82"/>
      <c r="DP12" s="82"/>
      <c r="DQ12" s="82"/>
      <c r="DR12" s="82"/>
      <c r="DS12" s="82"/>
      <c r="DT12" s="82"/>
      <c r="DU12" s="82"/>
      <c r="DV12" s="82"/>
      <c r="DW12" s="82"/>
      <c r="DX12" s="83"/>
      <c r="DY12" s="83"/>
      <c r="DZ12" s="83"/>
      <c r="EA12" s="83"/>
      <c r="EB12" s="83"/>
      <c r="EC12" s="83"/>
      <c r="ED12" s="83"/>
      <c r="EE12" s="83"/>
      <c r="EF12" s="83"/>
      <c r="EG12" s="83"/>
      <c r="EH12" s="83"/>
      <c r="EI12" s="83"/>
      <c r="EJ12" s="83"/>
      <c r="EK12" s="83"/>
      <c r="EL12" s="83"/>
      <c r="EM12" s="83"/>
      <c r="EN12" s="83"/>
      <c r="EO12" s="83"/>
      <c r="EP12" s="83"/>
      <c r="EQ12" s="83"/>
      <c r="ER12" s="83"/>
      <c r="ES12" s="83"/>
      <c r="ET12" s="83"/>
      <c r="EU12" s="83"/>
      <c r="EV12" s="83"/>
      <c r="EW12" s="83"/>
      <c r="EX12" s="83"/>
      <c r="EY12" s="83"/>
      <c r="EZ12" s="83"/>
      <c r="FA12" s="83"/>
      <c r="FB12" s="83"/>
      <c r="FC12" s="83"/>
      <c r="FD12" s="83"/>
      <c r="FE12" s="83"/>
      <c r="FF12" s="83"/>
      <c r="FG12" s="83"/>
      <c r="FH12" s="83"/>
      <c r="FI12" s="83"/>
      <c r="FJ12" s="83"/>
      <c r="FK12" s="83"/>
      <c r="FL12" s="83"/>
      <c r="FM12" s="83"/>
      <c r="FN12" s="83"/>
      <c r="FO12" s="83"/>
      <c r="FP12" s="83"/>
      <c r="FQ12" s="83"/>
      <c r="FR12" s="83"/>
      <c r="FS12" s="83"/>
      <c r="FT12" s="84"/>
      <c r="FU12" s="85"/>
      <c r="FV12" s="85"/>
      <c r="FW12" s="85"/>
      <c r="FX12" s="85"/>
      <c r="FY12" s="85"/>
      <c r="FZ12" s="85"/>
      <c r="GA12" s="85"/>
      <c r="GB12" s="85"/>
      <c r="GC12" s="85"/>
      <c r="GD12" s="85"/>
      <c r="GE12" s="85"/>
      <c r="GF12" s="85"/>
      <c r="GG12" s="85"/>
      <c r="GH12" s="85"/>
      <c r="GI12" s="85"/>
      <c r="GJ12" s="85"/>
      <c r="GK12" s="85"/>
      <c r="GL12" s="85"/>
      <c r="GM12" s="85"/>
      <c r="GN12" s="85"/>
      <c r="GO12" s="85"/>
      <c r="GP12" s="85"/>
      <c r="GQ12" s="85"/>
      <c r="GR12" s="85"/>
      <c r="GS12" s="85"/>
      <c r="GT12" s="85"/>
      <c r="GU12" s="85"/>
      <c r="GV12" s="85"/>
      <c r="GW12" s="85"/>
      <c r="GX12" s="85"/>
      <c r="GY12" s="85"/>
      <c r="GZ12" s="85"/>
      <c r="HA12" s="85"/>
      <c r="HB12" s="85"/>
      <c r="HC12" s="85"/>
      <c r="HD12" s="85"/>
      <c r="HE12" s="85"/>
      <c r="HF12" s="85"/>
      <c r="HG12" s="85"/>
      <c r="HH12" s="85"/>
      <c r="HI12" s="85"/>
      <c r="HJ12" s="85"/>
      <c r="HK12" s="85"/>
      <c r="HL12" s="85"/>
      <c r="HM12" s="85"/>
      <c r="HN12" s="85"/>
      <c r="HO12" s="85"/>
      <c r="HP12" s="85"/>
      <c r="HQ12" s="85"/>
      <c r="HR12" s="85"/>
      <c r="HS12" s="85"/>
      <c r="HT12" s="85"/>
      <c r="HU12" s="85"/>
      <c r="HV12" s="85"/>
      <c r="HW12" s="85"/>
      <c r="HX12" s="85"/>
      <c r="HY12" s="85"/>
      <c r="HZ12" s="85"/>
      <c r="IA12" s="85"/>
      <c r="IB12" s="85"/>
      <c r="IC12" s="85"/>
      <c r="ID12" s="85"/>
      <c r="IE12" s="85"/>
      <c r="IF12" s="85"/>
      <c r="IG12" s="85"/>
      <c r="IH12" s="85"/>
      <c r="II12" s="85"/>
      <c r="IJ12" s="85"/>
      <c r="IK12" s="85"/>
      <c r="IL12" s="85"/>
      <c r="IM12" s="85"/>
      <c r="IN12" s="85"/>
      <c r="IO12" s="85"/>
      <c r="IP12" s="85"/>
      <c r="IQ12" s="85"/>
      <c r="IR12" s="85"/>
      <c r="IS12" s="85"/>
      <c r="IT12" s="85"/>
      <c r="IU12" s="85"/>
      <c r="IV12" s="85"/>
      <c r="IW12" s="85"/>
      <c r="IX12" s="85"/>
      <c r="IY12" s="85"/>
      <c r="IZ12" s="85"/>
      <c r="JA12" s="85"/>
      <c r="JB12" s="85"/>
      <c r="JC12" s="85"/>
    </row>
    <row r="13" spans="1:263" s="103" customFormat="1" ht="19.5" customHeight="1">
      <c r="A13" s="33"/>
      <c r="B13" s="33"/>
      <c r="C13" s="33"/>
      <c r="D13" s="33"/>
      <c r="E13" s="33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152"/>
      <c r="AF13" s="152"/>
      <c r="AG13" s="152"/>
      <c r="AH13" s="8"/>
      <c r="AI13" s="8"/>
      <c r="AJ13" s="152"/>
      <c r="AK13" s="8"/>
      <c r="AL13" s="17"/>
      <c r="AM13" s="8"/>
      <c r="AN13" s="17"/>
      <c r="AO13" s="8"/>
      <c r="AP13" s="8"/>
      <c r="AQ13" s="8"/>
      <c r="AR13" s="8"/>
      <c r="AS13" s="8"/>
      <c r="AT13" s="8"/>
      <c r="AU13" s="17"/>
      <c r="AV13" s="18"/>
      <c r="AW13" s="19"/>
      <c r="AX13" s="20"/>
      <c r="AY13" s="20"/>
      <c r="AZ13" s="20"/>
      <c r="BA13" s="33"/>
      <c r="BB13" s="288"/>
      <c r="BC13" s="289"/>
      <c r="BD13" s="290" t="s">
        <v>657</v>
      </c>
      <c r="BE13" s="291">
        <f>SUM(BE8:BE12)</f>
        <v>3.2501366552547539E-2</v>
      </c>
      <c r="BF13" s="292">
        <f>SUM(BF8:BF12)</f>
        <v>225943</v>
      </c>
      <c r="BG13" s="293"/>
      <c r="BH13" s="19"/>
      <c r="BI13" s="294">
        <f>SUM(BI8:BI11)</f>
        <v>1.6051526223424151E-2</v>
      </c>
      <c r="BJ13" s="295">
        <f>SUM(BJ8:BJ11)</f>
        <v>111587</v>
      </c>
      <c r="BK13" s="19"/>
      <c r="BL13" s="19"/>
      <c r="BM13" s="6"/>
      <c r="BN13" s="6"/>
      <c r="BO13" s="6"/>
      <c r="BP13" s="19"/>
      <c r="BQ13" s="19"/>
      <c r="BR13" s="19"/>
      <c r="BS13" s="19"/>
      <c r="BT13" s="19"/>
      <c r="BU13" s="19"/>
      <c r="BV13" s="21"/>
      <c r="BW13" s="17"/>
      <c r="BX13" s="17"/>
      <c r="BY13" s="17"/>
      <c r="BZ13" s="17"/>
      <c r="CA13" s="17"/>
      <c r="CB13" s="17"/>
      <c r="CC13" s="17"/>
      <c r="CD13" s="17"/>
      <c r="CE13" s="19"/>
      <c r="CF13" s="19"/>
      <c r="CG13" s="303"/>
      <c r="CH13" s="304"/>
      <c r="CI13" s="17"/>
      <c r="CJ13" s="17"/>
      <c r="CK13" s="17"/>
      <c r="CL13" s="17"/>
      <c r="CM13" s="296"/>
      <c r="CN13" s="100"/>
      <c r="CO13" s="100"/>
      <c r="CP13" s="100"/>
      <c r="CQ13" s="100"/>
      <c r="CR13" s="100"/>
      <c r="CS13" s="100"/>
      <c r="CT13" s="100"/>
      <c r="CU13" s="100"/>
      <c r="CV13" s="100"/>
      <c r="CW13" s="100"/>
      <c r="CX13" s="100"/>
      <c r="CY13" s="100"/>
      <c r="CZ13" s="100"/>
      <c r="DA13" s="100"/>
      <c r="DB13" s="100"/>
      <c r="DC13" s="100"/>
      <c r="DD13" s="100"/>
      <c r="DE13" s="100"/>
      <c r="DF13" s="100"/>
      <c r="DG13" s="100"/>
      <c r="DH13" s="100"/>
      <c r="DI13" s="100"/>
      <c r="DJ13" s="100"/>
      <c r="DK13" s="100"/>
      <c r="DL13" s="100"/>
      <c r="DM13" s="100"/>
      <c r="DN13" s="100"/>
      <c r="DO13" s="100"/>
      <c r="DP13" s="100"/>
      <c r="DQ13" s="100"/>
      <c r="DR13" s="100"/>
      <c r="DS13" s="100"/>
      <c r="DT13" s="100"/>
      <c r="DU13" s="100"/>
      <c r="DV13" s="100"/>
      <c r="DW13" s="100"/>
      <c r="DX13" s="101"/>
      <c r="DY13" s="101"/>
      <c r="DZ13" s="101"/>
      <c r="EA13" s="101"/>
      <c r="EB13" s="101"/>
      <c r="EC13" s="101"/>
      <c r="ED13" s="101"/>
      <c r="EE13" s="101"/>
      <c r="EF13" s="101"/>
      <c r="EG13" s="101"/>
      <c r="EH13" s="101"/>
      <c r="EI13" s="101"/>
      <c r="EJ13" s="101"/>
      <c r="EK13" s="101"/>
      <c r="EL13" s="101"/>
      <c r="EM13" s="101"/>
      <c r="EN13" s="101"/>
      <c r="EO13" s="101"/>
      <c r="EP13" s="101"/>
      <c r="EQ13" s="101"/>
      <c r="ER13" s="101"/>
      <c r="ES13" s="101"/>
      <c r="ET13" s="101"/>
      <c r="EU13" s="101"/>
      <c r="EV13" s="101"/>
      <c r="EW13" s="101"/>
      <c r="EX13" s="101"/>
      <c r="EY13" s="101"/>
      <c r="EZ13" s="101"/>
      <c r="FA13" s="101"/>
      <c r="FB13" s="101"/>
      <c r="FC13" s="101"/>
      <c r="FD13" s="101"/>
      <c r="FE13" s="101"/>
      <c r="FF13" s="101"/>
      <c r="FG13" s="101"/>
      <c r="FH13" s="101"/>
      <c r="FI13" s="101"/>
      <c r="FJ13" s="101"/>
      <c r="FK13" s="101"/>
      <c r="FL13" s="101"/>
      <c r="FM13" s="101"/>
      <c r="FN13" s="101"/>
      <c r="FO13" s="101"/>
      <c r="FP13" s="101"/>
      <c r="FQ13" s="101"/>
      <c r="FR13" s="101"/>
      <c r="FS13" s="101"/>
      <c r="FT13" s="102"/>
      <c r="FU13" s="71"/>
      <c r="FV13" s="71"/>
      <c r="FW13" s="71"/>
      <c r="FX13" s="71"/>
      <c r="FY13" s="71"/>
      <c r="FZ13" s="71"/>
      <c r="GA13" s="71"/>
      <c r="GB13" s="71"/>
      <c r="GC13" s="71"/>
      <c r="GD13" s="71"/>
      <c r="GE13" s="71"/>
      <c r="GF13" s="71"/>
      <c r="GG13" s="71"/>
      <c r="GH13" s="71"/>
      <c r="GI13" s="71"/>
      <c r="GJ13" s="71"/>
      <c r="GK13" s="71"/>
      <c r="GL13" s="71"/>
      <c r="GM13" s="71"/>
      <c r="GN13" s="71"/>
      <c r="GO13" s="71"/>
      <c r="GP13" s="71"/>
      <c r="GQ13" s="71"/>
      <c r="GR13" s="71"/>
      <c r="GS13" s="71"/>
      <c r="GT13" s="71"/>
      <c r="GU13" s="71"/>
      <c r="GV13" s="71"/>
      <c r="GW13" s="71"/>
      <c r="GX13" s="71"/>
      <c r="GY13" s="71"/>
      <c r="GZ13" s="71"/>
      <c r="HA13" s="71"/>
      <c r="HB13" s="71"/>
      <c r="HC13" s="71"/>
      <c r="HD13" s="71"/>
      <c r="HE13" s="71"/>
      <c r="HF13" s="71"/>
      <c r="HG13" s="71"/>
      <c r="HH13" s="71"/>
      <c r="HI13" s="71"/>
      <c r="HJ13" s="71"/>
      <c r="HK13" s="71"/>
      <c r="HL13" s="71"/>
      <c r="HM13" s="71"/>
      <c r="HN13" s="71"/>
      <c r="HO13" s="71"/>
      <c r="HP13" s="71"/>
      <c r="HQ13" s="71"/>
      <c r="HR13" s="71"/>
      <c r="HS13" s="71"/>
      <c r="HT13" s="71"/>
      <c r="HU13" s="71"/>
      <c r="HV13" s="71"/>
      <c r="HW13" s="71"/>
      <c r="HX13" s="71"/>
      <c r="HY13" s="71"/>
      <c r="HZ13" s="71"/>
      <c r="IA13" s="71"/>
      <c r="IB13" s="71"/>
      <c r="IC13" s="71"/>
      <c r="ID13" s="71"/>
      <c r="IE13" s="71"/>
      <c r="IF13" s="71"/>
      <c r="IG13" s="71"/>
      <c r="IH13" s="71"/>
      <c r="II13" s="71"/>
      <c r="IJ13" s="71"/>
      <c r="IK13" s="71"/>
      <c r="IL13" s="71"/>
      <c r="IM13" s="71"/>
      <c r="IN13" s="71"/>
      <c r="IO13" s="71"/>
      <c r="IP13" s="71"/>
      <c r="IQ13" s="71"/>
      <c r="IR13" s="71"/>
      <c r="IS13" s="71"/>
      <c r="IT13" s="71"/>
      <c r="IU13" s="71"/>
      <c r="IV13" s="71"/>
      <c r="IW13" s="71"/>
      <c r="IX13" s="71"/>
      <c r="IY13" s="71"/>
      <c r="IZ13" s="71"/>
      <c r="JA13" s="71"/>
      <c r="JB13" s="71"/>
      <c r="JC13" s="71"/>
    </row>
    <row r="14" spans="1:263" s="86" customFormat="1">
      <c r="A14" s="33"/>
      <c r="B14" s="33"/>
      <c r="C14" s="33"/>
      <c r="D14" s="33"/>
      <c r="E14" s="33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152"/>
      <c r="AF14" s="152"/>
      <c r="AG14" s="152"/>
      <c r="AH14" s="8"/>
      <c r="AI14" s="8"/>
      <c r="AJ14" s="152"/>
      <c r="AK14" s="8"/>
      <c r="AL14" s="6"/>
      <c r="AM14" s="8"/>
      <c r="AN14" s="6"/>
      <c r="AO14" s="8"/>
      <c r="AP14" s="6"/>
      <c r="AQ14" s="9"/>
      <c r="AR14" s="9"/>
      <c r="AS14" s="8"/>
      <c r="AT14" s="8"/>
      <c r="AU14" s="6"/>
      <c r="AV14" s="9"/>
      <c r="AW14" s="12"/>
      <c r="AX14" s="7"/>
      <c r="AY14" s="9"/>
      <c r="AZ14" s="13"/>
      <c r="BA14" s="33"/>
      <c r="BB14" s="28"/>
      <c r="BC14" s="12"/>
      <c r="BD14" s="6"/>
      <c r="BE14" s="41"/>
      <c r="BF14" s="28"/>
      <c r="BG14" s="28"/>
      <c r="BH14" s="28"/>
      <c r="BI14" s="41"/>
      <c r="BJ14" s="28"/>
      <c r="BK14" s="6"/>
      <c r="BL14" s="28"/>
      <c r="BM14" s="12"/>
      <c r="BN14" s="15"/>
      <c r="BO14" s="6"/>
      <c r="BP14" s="6"/>
      <c r="BQ14" s="6"/>
      <c r="BR14" s="12"/>
      <c r="BS14" s="6"/>
      <c r="BT14" s="12"/>
      <c r="BU14" s="6"/>
      <c r="BV14" s="6"/>
      <c r="BW14" s="6"/>
      <c r="BX14" s="6"/>
      <c r="BY14" s="6"/>
      <c r="BZ14" s="6"/>
      <c r="CA14" s="6"/>
      <c r="CB14" s="6"/>
      <c r="CC14" s="6"/>
      <c r="CD14" s="12"/>
      <c r="CE14" s="12"/>
      <c r="CF14" s="12"/>
      <c r="CG14" s="302"/>
      <c r="CH14" s="302"/>
      <c r="CI14" s="6"/>
      <c r="CJ14" s="28"/>
      <c r="CK14" s="28"/>
      <c r="CL14" s="28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  <c r="CY14" s="82"/>
      <c r="CZ14" s="82"/>
      <c r="DA14" s="82"/>
      <c r="DB14" s="82"/>
      <c r="DC14" s="82"/>
      <c r="DD14" s="82"/>
      <c r="DE14" s="82"/>
      <c r="DF14" s="82"/>
      <c r="DG14" s="82"/>
      <c r="DH14" s="82"/>
      <c r="DI14" s="82"/>
      <c r="DJ14" s="82"/>
      <c r="DK14" s="82"/>
      <c r="DL14" s="82"/>
      <c r="DM14" s="82"/>
      <c r="DN14" s="82"/>
      <c r="DO14" s="82"/>
      <c r="DP14" s="82"/>
      <c r="DQ14" s="82"/>
      <c r="DR14" s="82"/>
      <c r="DS14" s="82"/>
      <c r="DT14" s="82"/>
      <c r="DU14" s="82"/>
      <c r="DV14" s="82"/>
      <c r="DW14" s="82"/>
      <c r="DX14" s="83"/>
      <c r="DY14" s="83"/>
      <c r="DZ14" s="83"/>
      <c r="EA14" s="83"/>
      <c r="EB14" s="83"/>
      <c r="EC14" s="83"/>
      <c r="ED14" s="83"/>
      <c r="EE14" s="83"/>
      <c r="EF14" s="83"/>
      <c r="EG14" s="83"/>
      <c r="EH14" s="83"/>
      <c r="EI14" s="83"/>
      <c r="EJ14" s="83"/>
      <c r="EK14" s="83"/>
      <c r="EL14" s="83"/>
      <c r="EM14" s="83"/>
      <c r="EN14" s="83"/>
      <c r="EO14" s="83"/>
      <c r="EP14" s="83"/>
      <c r="EQ14" s="83"/>
      <c r="ER14" s="83"/>
      <c r="ES14" s="83"/>
      <c r="ET14" s="83"/>
      <c r="EU14" s="83"/>
      <c r="EV14" s="83"/>
      <c r="EW14" s="83"/>
      <c r="EX14" s="83"/>
      <c r="EY14" s="83"/>
      <c r="EZ14" s="83"/>
      <c r="FA14" s="83"/>
      <c r="FB14" s="83"/>
      <c r="FC14" s="83"/>
      <c r="FD14" s="83"/>
      <c r="FE14" s="83"/>
      <c r="FF14" s="83"/>
      <c r="FG14" s="83"/>
      <c r="FH14" s="83"/>
      <c r="FI14" s="83"/>
      <c r="FJ14" s="83"/>
      <c r="FK14" s="83"/>
      <c r="FL14" s="83"/>
      <c r="FM14" s="83"/>
      <c r="FN14" s="83"/>
      <c r="FO14" s="83"/>
      <c r="FP14" s="83"/>
      <c r="FQ14" s="83"/>
      <c r="FR14" s="83"/>
      <c r="FS14" s="83"/>
      <c r="FT14" s="84"/>
      <c r="FU14" s="85"/>
      <c r="FV14" s="85"/>
      <c r="FW14" s="85"/>
      <c r="FX14" s="85"/>
      <c r="FY14" s="85"/>
      <c r="FZ14" s="85"/>
      <c r="GA14" s="85"/>
      <c r="GB14" s="85"/>
      <c r="GC14" s="85"/>
      <c r="GD14" s="85"/>
      <c r="GE14" s="85"/>
      <c r="GF14" s="85"/>
      <c r="GG14" s="85"/>
      <c r="GH14" s="85"/>
      <c r="GI14" s="85"/>
      <c r="GJ14" s="85"/>
      <c r="GK14" s="85"/>
      <c r="GL14" s="85"/>
      <c r="GM14" s="85"/>
      <c r="GN14" s="85"/>
      <c r="GO14" s="85"/>
      <c r="GP14" s="85"/>
      <c r="GQ14" s="85"/>
      <c r="GR14" s="85"/>
      <c r="GS14" s="85"/>
      <c r="GT14" s="85"/>
      <c r="GU14" s="85"/>
      <c r="GV14" s="85"/>
      <c r="GW14" s="85"/>
      <c r="GX14" s="85"/>
      <c r="GY14" s="85"/>
      <c r="GZ14" s="85"/>
      <c r="HA14" s="85"/>
      <c r="HB14" s="85"/>
      <c r="HC14" s="85"/>
      <c r="HD14" s="85"/>
      <c r="HE14" s="85"/>
      <c r="HF14" s="85"/>
      <c r="HG14" s="85"/>
      <c r="HH14" s="85"/>
      <c r="HI14" s="85"/>
      <c r="HJ14" s="85"/>
      <c r="HK14" s="85"/>
      <c r="HL14" s="85"/>
      <c r="HM14" s="85"/>
      <c r="HN14" s="85"/>
      <c r="HO14" s="85"/>
      <c r="HP14" s="85"/>
      <c r="HQ14" s="85"/>
      <c r="HR14" s="85"/>
      <c r="HS14" s="85"/>
      <c r="HT14" s="85"/>
      <c r="HU14" s="85"/>
      <c r="HV14" s="85"/>
      <c r="HW14" s="85"/>
      <c r="HX14" s="85"/>
      <c r="HY14" s="85"/>
      <c r="HZ14" s="85"/>
      <c r="IA14" s="85"/>
      <c r="IB14" s="85"/>
      <c r="IC14" s="85"/>
      <c r="ID14" s="85"/>
      <c r="IE14" s="85"/>
      <c r="IF14" s="85"/>
      <c r="IG14" s="85"/>
      <c r="IH14" s="85"/>
      <c r="II14" s="85"/>
      <c r="IJ14" s="85"/>
      <c r="IK14" s="85"/>
      <c r="IL14" s="85"/>
      <c r="IM14" s="85"/>
      <c r="IN14" s="85"/>
      <c r="IO14" s="85"/>
      <c r="IP14" s="85"/>
      <c r="IQ14" s="85"/>
      <c r="IR14" s="85"/>
      <c r="IS14" s="85"/>
      <c r="IT14" s="85"/>
      <c r="IU14" s="85"/>
      <c r="IV14" s="85"/>
      <c r="IW14" s="85"/>
      <c r="IX14" s="85"/>
      <c r="IY14" s="85"/>
      <c r="IZ14" s="85"/>
      <c r="JA14" s="85"/>
      <c r="JB14" s="85"/>
      <c r="JC14" s="85"/>
    </row>
    <row r="15" spans="1:263" s="111" customFormat="1" ht="24" customHeight="1">
      <c r="A15" s="104"/>
      <c r="B15" s="104"/>
      <c r="C15" s="104"/>
      <c r="D15" s="104"/>
      <c r="E15" s="105"/>
      <c r="F15" s="154"/>
      <c r="G15" s="154"/>
      <c r="H15" s="155"/>
      <c r="I15" s="155"/>
      <c r="J15" s="154"/>
      <c r="K15" s="154"/>
      <c r="L15" s="155"/>
      <c r="M15" s="155"/>
      <c r="N15" s="154"/>
      <c r="O15" s="154"/>
      <c r="P15" s="155"/>
      <c r="Q15" s="155"/>
      <c r="R15" s="155"/>
      <c r="S15" s="154"/>
      <c r="T15" s="154"/>
      <c r="U15" s="154"/>
      <c r="V15" s="154"/>
      <c r="W15" s="154"/>
      <c r="X15" s="155"/>
      <c r="Y15" s="155"/>
      <c r="Z15" s="155"/>
      <c r="AA15" s="155"/>
      <c r="AB15" s="155"/>
      <c r="AC15" s="155"/>
      <c r="AD15" s="155"/>
      <c r="AE15" s="156"/>
      <c r="AF15" s="156"/>
      <c r="AG15" s="156"/>
      <c r="AH15" s="155"/>
      <c r="AI15" s="155"/>
      <c r="AJ15" s="157"/>
      <c r="AK15" s="155"/>
      <c r="AL15" s="154"/>
      <c r="AM15" s="154"/>
      <c r="AN15" s="154"/>
      <c r="AO15" s="154"/>
      <c r="AP15" s="154"/>
      <c r="AQ15" s="158"/>
      <c r="AR15" s="158"/>
      <c r="AS15" s="154" t="s">
        <v>637</v>
      </c>
      <c r="AT15" s="154" t="s">
        <v>637</v>
      </c>
      <c r="AU15" s="159"/>
      <c r="AV15" s="160"/>
      <c r="AW15" s="410" t="s">
        <v>784</v>
      </c>
      <c r="AX15" s="410"/>
      <c r="AY15" s="416" t="s">
        <v>671</v>
      </c>
      <c r="AZ15" s="417"/>
      <c r="BA15" s="35"/>
      <c r="BB15" s="35"/>
      <c r="BC15" s="173"/>
      <c r="BD15" s="173"/>
      <c r="BE15" s="42" t="s">
        <v>669</v>
      </c>
      <c r="BF15" s="43"/>
      <c r="BG15" s="43"/>
      <c r="BH15" s="43"/>
      <c r="BI15" s="34"/>
      <c r="BJ15" s="35"/>
      <c r="BK15" s="173"/>
      <c r="BL15" s="42"/>
      <c r="BM15" s="412" t="s">
        <v>785</v>
      </c>
      <c r="BN15" s="413"/>
      <c r="BO15" s="413"/>
      <c r="BP15" s="413"/>
      <c r="BQ15" s="413"/>
      <c r="BR15" s="413"/>
      <c r="BS15" s="413"/>
      <c r="BT15" s="414" t="s">
        <v>661</v>
      </c>
      <c r="BU15" s="414"/>
      <c r="BV15" s="414" t="s">
        <v>664</v>
      </c>
      <c r="BW15" s="414"/>
      <c r="BX15" s="415" t="s">
        <v>767</v>
      </c>
      <c r="BY15" s="415"/>
      <c r="BZ15" s="184" t="s">
        <v>670</v>
      </c>
      <c r="CA15" s="185"/>
      <c r="CB15" s="418" t="s">
        <v>670</v>
      </c>
      <c r="CC15" s="419"/>
      <c r="CD15" s="419"/>
      <c r="CE15" s="419"/>
      <c r="CF15" s="419"/>
      <c r="CG15" s="419"/>
      <c r="CH15" s="419"/>
      <c r="CI15" s="419"/>
      <c r="CJ15" s="419"/>
      <c r="CK15" s="419"/>
      <c r="CL15" s="419"/>
      <c r="CM15" s="420"/>
      <c r="CN15" s="106"/>
      <c r="CO15" s="107" t="s">
        <v>650</v>
      </c>
      <c r="CP15" s="411" t="s">
        <v>768</v>
      </c>
      <c r="CQ15" s="411"/>
      <c r="CR15" s="411"/>
      <c r="CS15" s="411"/>
      <c r="CT15" s="411"/>
      <c r="CU15" s="411"/>
      <c r="CV15" s="411"/>
      <c r="CW15" s="411"/>
      <c r="CX15" s="411"/>
      <c r="CY15" s="411"/>
      <c r="CZ15" s="411"/>
      <c r="DA15" s="411"/>
      <c r="DB15" s="411"/>
      <c r="DC15" s="411"/>
      <c r="DD15" s="411"/>
      <c r="DE15" s="411"/>
      <c r="DF15" s="411"/>
      <c r="DG15" s="411"/>
      <c r="DH15" s="411"/>
      <c r="DI15" s="411"/>
      <c r="DJ15" s="411"/>
      <c r="DK15" s="411"/>
      <c r="DL15" s="411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10"/>
    </row>
    <row r="16" spans="1:263" s="120" customFormat="1" ht="78.75">
      <c r="A16" s="112" t="s">
        <v>766</v>
      </c>
      <c r="B16" s="113" t="s">
        <v>34</v>
      </c>
      <c r="C16" s="113" t="s">
        <v>491</v>
      </c>
      <c r="D16" s="113" t="s">
        <v>31</v>
      </c>
      <c r="E16" s="113" t="s">
        <v>27</v>
      </c>
      <c r="F16" s="11" t="s">
        <v>28</v>
      </c>
      <c r="G16" s="11" t="s">
        <v>32</v>
      </c>
      <c r="H16" s="11" t="s">
        <v>36</v>
      </c>
      <c r="I16" s="11" t="s">
        <v>35</v>
      </c>
      <c r="J16" s="11" t="s">
        <v>48</v>
      </c>
      <c r="K16" s="11" t="s">
        <v>33</v>
      </c>
      <c r="L16" s="11" t="s">
        <v>37</v>
      </c>
      <c r="M16" s="11" t="s">
        <v>535</v>
      </c>
      <c r="N16" s="11" t="s">
        <v>589</v>
      </c>
      <c r="O16" s="11" t="s">
        <v>38</v>
      </c>
      <c r="P16" s="11" t="s">
        <v>3</v>
      </c>
      <c r="Q16" s="11" t="s">
        <v>536</v>
      </c>
      <c r="R16" s="11" t="s">
        <v>579</v>
      </c>
      <c r="S16" s="11" t="s">
        <v>26</v>
      </c>
      <c r="T16" s="11" t="s">
        <v>590</v>
      </c>
      <c r="U16" s="11" t="s">
        <v>46</v>
      </c>
      <c r="V16" s="11" t="s">
        <v>45</v>
      </c>
      <c r="W16" s="11" t="s">
        <v>24</v>
      </c>
      <c r="X16" s="11" t="s">
        <v>609</v>
      </c>
      <c r="Y16" s="11" t="s">
        <v>610</v>
      </c>
      <c r="Z16" s="11" t="s">
        <v>611</v>
      </c>
      <c r="AA16" s="11" t="s">
        <v>1363</v>
      </c>
      <c r="AB16" s="11" t="s">
        <v>1364</v>
      </c>
      <c r="AC16" s="11" t="s">
        <v>592</v>
      </c>
      <c r="AD16" s="11" t="s">
        <v>593</v>
      </c>
      <c r="AE16" s="162" t="s">
        <v>632</v>
      </c>
      <c r="AF16" s="162" t="s">
        <v>489</v>
      </c>
      <c r="AG16" s="162" t="s">
        <v>633</v>
      </c>
      <c r="AH16" s="11" t="s">
        <v>39</v>
      </c>
      <c r="AI16" s="11" t="s">
        <v>595</v>
      </c>
      <c r="AJ16" s="162" t="s">
        <v>596</v>
      </c>
      <c r="AK16" s="11" t="s">
        <v>646</v>
      </c>
      <c r="AL16" s="11" t="s">
        <v>648</v>
      </c>
      <c r="AM16" s="11" t="s">
        <v>594</v>
      </c>
      <c r="AN16" s="11" t="s">
        <v>662</v>
      </c>
      <c r="AO16" s="11" t="s">
        <v>25</v>
      </c>
      <c r="AP16" s="11" t="s">
        <v>704</v>
      </c>
      <c r="AQ16" s="11" t="s">
        <v>635</v>
      </c>
      <c r="AR16" s="163" t="s">
        <v>735</v>
      </c>
      <c r="AS16" s="11" t="s">
        <v>660</v>
      </c>
      <c r="AT16" s="11" t="s">
        <v>703</v>
      </c>
      <c r="AU16" s="164" t="s">
        <v>597</v>
      </c>
      <c r="AV16" s="164" t="s">
        <v>598</v>
      </c>
      <c r="AW16" s="161" t="s">
        <v>783</v>
      </c>
      <c r="AX16" s="161" t="s">
        <v>781</v>
      </c>
      <c r="AY16" s="165" t="s">
        <v>782</v>
      </c>
      <c r="AZ16" s="165" t="s">
        <v>663</v>
      </c>
      <c r="BA16" s="36" t="s">
        <v>1360</v>
      </c>
      <c r="BB16" s="36" t="s">
        <v>47</v>
      </c>
      <c r="BC16" s="174" t="s">
        <v>672</v>
      </c>
      <c r="BD16" s="175" t="s">
        <v>653</v>
      </c>
      <c r="BE16" s="36" t="s">
        <v>705</v>
      </c>
      <c r="BF16" s="36" t="s">
        <v>649</v>
      </c>
      <c r="BG16" s="11" t="s">
        <v>769</v>
      </c>
      <c r="BH16" s="11" t="s">
        <v>770</v>
      </c>
      <c r="BI16" s="36" t="s">
        <v>658</v>
      </c>
      <c r="BJ16" s="36" t="s">
        <v>659</v>
      </c>
      <c r="BK16" s="174" t="s">
        <v>788</v>
      </c>
      <c r="BL16" s="36" t="s">
        <v>780</v>
      </c>
      <c r="BM16" s="186" t="s">
        <v>771</v>
      </c>
      <c r="BN16" s="186" t="s">
        <v>727</v>
      </c>
      <c r="BO16" s="186" t="s">
        <v>779</v>
      </c>
      <c r="BP16" s="186" t="s">
        <v>778</v>
      </c>
      <c r="BQ16" s="186" t="s">
        <v>777</v>
      </c>
      <c r="BR16" s="186" t="s">
        <v>774</v>
      </c>
      <c r="BS16" s="187" t="s">
        <v>773</v>
      </c>
      <c r="BT16" s="11" t="s">
        <v>655</v>
      </c>
      <c r="BU16" s="11" t="s">
        <v>656</v>
      </c>
      <c r="BV16" s="11" t="s">
        <v>636</v>
      </c>
      <c r="BW16" s="11" t="s">
        <v>638</v>
      </c>
      <c r="BX16" s="11" t="s">
        <v>647</v>
      </c>
      <c r="BY16" s="11" t="s">
        <v>612</v>
      </c>
      <c r="BZ16" s="11" t="s">
        <v>599</v>
      </c>
      <c r="CA16" s="11" t="s">
        <v>600</v>
      </c>
      <c r="CB16" s="153" t="s">
        <v>640</v>
      </c>
      <c r="CC16" s="153" t="s">
        <v>648</v>
      </c>
      <c r="CD16" s="153" t="s">
        <v>594</v>
      </c>
      <c r="CE16" s="153" t="s">
        <v>601</v>
      </c>
      <c r="CF16" s="153" t="s">
        <v>707</v>
      </c>
      <c r="CG16" s="305" t="s">
        <v>602</v>
      </c>
      <c r="CH16" s="305" t="s">
        <v>603</v>
      </c>
      <c r="CI16" s="153" t="s">
        <v>604</v>
      </c>
      <c r="CJ16" s="114" t="s">
        <v>605</v>
      </c>
      <c r="CK16" s="211" t="s">
        <v>606</v>
      </c>
      <c r="CL16" s="211" t="s">
        <v>607</v>
      </c>
      <c r="CM16" s="115" t="s">
        <v>738</v>
      </c>
      <c r="CN16" s="116" t="s">
        <v>608</v>
      </c>
      <c r="CO16" s="116" t="s">
        <v>651</v>
      </c>
      <c r="CP16" s="87" t="s">
        <v>737</v>
      </c>
      <c r="CQ16" s="87" t="s">
        <v>736</v>
      </c>
      <c r="CR16" s="88" t="s">
        <v>676</v>
      </c>
      <c r="CS16" s="88" t="s">
        <v>677</v>
      </c>
      <c r="CT16" s="89" t="s">
        <v>732</v>
      </c>
      <c r="CU16" s="89" t="s">
        <v>733</v>
      </c>
      <c r="CV16" s="88" t="s">
        <v>678</v>
      </c>
      <c r="CW16" s="88" t="s">
        <v>679</v>
      </c>
      <c r="CX16" s="89" t="s">
        <v>680</v>
      </c>
      <c r="CY16" s="89" t="s">
        <v>681</v>
      </c>
      <c r="CZ16" s="117" t="s">
        <v>675</v>
      </c>
      <c r="DA16" s="117" t="s">
        <v>682</v>
      </c>
      <c r="DB16" s="117"/>
      <c r="DC16" s="88" t="s">
        <v>683</v>
      </c>
      <c r="DD16" s="88" t="s">
        <v>684</v>
      </c>
      <c r="DE16" s="88" t="s">
        <v>685</v>
      </c>
      <c r="DF16" s="88" t="s">
        <v>686</v>
      </c>
      <c r="DG16" s="91" t="s">
        <v>710</v>
      </c>
      <c r="DH16" s="91" t="s">
        <v>711</v>
      </c>
      <c r="DI16" s="91" t="s">
        <v>718</v>
      </c>
      <c r="DJ16" s="91" t="s">
        <v>717</v>
      </c>
      <c r="DK16" s="89" t="s">
        <v>715</v>
      </c>
      <c r="DL16" s="89" t="s">
        <v>716</v>
      </c>
      <c r="DM16" s="116" t="s">
        <v>591</v>
      </c>
      <c r="DN16" s="116" t="s">
        <v>630</v>
      </c>
      <c r="DO16" s="116" t="s">
        <v>631</v>
      </c>
      <c r="DP16" s="116" t="s">
        <v>588</v>
      </c>
      <c r="DQ16" s="116" t="s">
        <v>588</v>
      </c>
      <c r="DR16" s="116" t="s">
        <v>588</v>
      </c>
      <c r="DS16" s="116" t="s">
        <v>588</v>
      </c>
      <c r="DT16" s="116" t="s">
        <v>588</v>
      </c>
      <c r="DU16" s="116" t="s">
        <v>588</v>
      </c>
      <c r="DV16" s="116" t="s">
        <v>588</v>
      </c>
      <c r="DW16" s="116" t="s">
        <v>1378</v>
      </c>
      <c r="DX16" s="118"/>
      <c r="DY16" s="118"/>
      <c r="DZ16" s="118"/>
      <c r="EA16" s="118"/>
      <c r="EB16" s="118"/>
      <c r="EC16" s="118"/>
      <c r="ED16" s="118"/>
      <c r="EE16" s="118"/>
      <c r="EF16" s="118"/>
      <c r="EG16" s="118"/>
      <c r="EH16" s="118"/>
      <c r="EI16" s="118"/>
      <c r="EJ16" s="118"/>
      <c r="EK16" s="118"/>
      <c r="EL16" s="118"/>
      <c r="EM16" s="118"/>
      <c r="EN16" s="118"/>
      <c r="EO16" s="118"/>
      <c r="EP16" s="118"/>
      <c r="EQ16" s="118"/>
      <c r="ER16" s="118"/>
      <c r="ES16" s="118"/>
      <c r="ET16" s="118"/>
      <c r="EU16" s="118"/>
      <c r="EV16" s="118"/>
      <c r="EW16" s="118"/>
      <c r="EX16" s="118"/>
      <c r="EY16" s="118"/>
      <c r="EZ16" s="118"/>
      <c r="FA16" s="118"/>
      <c r="FB16" s="118"/>
      <c r="FC16" s="118"/>
      <c r="FD16" s="118"/>
      <c r="FE16" s="118"/>
      <c r="FF16" s="118"/>
      <c r="FG16" s="118"/>
      <c r="FH16" s="118"/>
      <c r="FI16" s="118"/>
      <c r="FJ16" s="118"/>
      <c r="FK16" s="118"/>
      <c r="FL16" s="118"/>
      <c r="FM16" s="118"/>
      <c r="FN16" s="118"/>
      <c r="FO16" s="118"/>
      <c r="FP16" s="118"/>
      <c r="FQ16" s="118"/>
      <c r="FR16" s="118"/>
      <c r="FS16" s="118"/>
      <c r="FT16" s="119"/>
    </row>
    <row r="17" spans="1:176" s="134" customFormat="1" ht="24">
      <c r="B17" s="121" t="s">
        <v>490</v>
      </c>
      <c r="C17" s="121" t="s">
        <v>921</v>
      </c>
      <c r="D17" s="121">
        <v>16308</v>
      </c>
      <c r="E17" s="192" t="s">
        <v>922</v>
      </c>
      <c r="F17" s="192" t="s">
        <v>923</v>
      </c>
      <c r="G17" s="192" t="s">
        <v>537</v>
      </c>
      <c r="H17" s="193" t="s">
        <v>924</v>
      </c>
      <c r="I17" s="192" t="s">
        <v>925</v>
      </c>
      <c r="J17" s="192" t="s">
        <v>926</v>
      </c>
      <c r="K17" s="194">
        <v>42590</v>
      </c>
      <c r="L17" s="194"/>
      <c r="M17" s="194">
        <v>43496</v>
      </c>
      <c r="N17" s="195" t="s">
        <v>539</v>
      </c>
      <c r="O17" s="195">
        <v>38</v>
      </c>
      <c r="P17" s="196">
        <f t="shared" ref="P17:P48" si="0">$O:$O/38</f>
        <v>1</v>
      </c>
      <c r="Q17" s="192" t="s">
        <v>616</v>
      </c>
      <c r="R17" s="192">
        <v>14463</v>
      </c>
      <c r="S17" s="192" t="s">
        <v>917</v>
      </c>
      <c r="T17" s="192" t="s">
        <v>918</v>
      </c>
      <c r="U17" s="192" t="s">
        <v>919</v>
      </c>
      <c r="V17" s="193" t="s">
        <v>543</v>
      </c>
      <c r="W17" s="193" t="s">
        <v>920</v>
      </c>
      <c r="X17" s="193" t="s">
        <v>823</v>
      </c>
      <c r="Y17" s="56" t="s">
        <v>824</v>
      </c>
      <c r="Z17" s="193" t="s">
        <v>823</v>
      </c>
      <c r="AA17" s="193" t="s">
        <v>1365</v>
      </c>
      <c r="AB17" s="56" t="s">
        <v>824</v>
      </c>
      <c r="AC17" s="193" t="s">
        <v>825</v>
      </c>
      <c r="AD17" s="56" t="s">
        <v>826</v>
      </c>
      <c r="AE17" s="10">
        <f>IFERROR(INDEX('[3]Lookup_Rem Ranges'!$D:$D,MATCH($AL:$AL,'[3]Lookup_Rem Ranges'!$C:$C,0)),0)</f>
        <v>213500</v>
      </c>
      <c r="AF17" s="10">
        <f>IFERROR(INDEX('[3]Lookup_Rem Ranges'!$E:$E,MATCH($AL:$AL,'[3]Lookup_Rem Ranges'!$C:$C,0)),0)</f>
        <v>251200</v>
      </c>
      <c r="AG17" s="10">
        <f>IFERROR(INDEX('[3]Lookup_Rem Ranges'!$F:$F,MATCH($AL:$AL,'[3]Lookup_Rem Ranges'!$C:$C,0)),)</f>
        <v>288900</v>
      </c>
      <c r="AH17" s="193" t="s">
        <v>622</v>
      </c>
      <c r="AI17" s="197"/>
      <c r="AJ17" s="198">
        <v>0</v>
      </c>
      <c r="AK17" s="199"/>
      <c r="AL17" s="200" t="str">
        <f t="shared" ref="AL17:AL48" si="1">CONCATENATE(AM17,"",AN17)</f>
        <v>CASS9</v>
      </c>
      <c r="AM17" s="200" t="s">
        <v>487</v>
      </c>
      <c r="AN17" s="197">
        <v>9</v>
      </c>
      <c r="AO17" s="199" t="s">
        <v>701</v>
      </c>
      <c r="AP17" s="5">
        <v>223000</v>
      </c>
      <c r="AQ17" s="10">
        <f t="shared" ref="AQ17:AQ48" si="2">ROUND(IF($P:$P&gt;1,$AP:$AP*1,$AP:$AP*$P:$P),0)</f>
        <v>223000</v>
      </c>
      <c r="AR17" s="10">
        <f t="shared" ref="AR17:AR48" si="3">IF(BA17="Yes",AP17,0)</f>
        <v>223000</v>
      </c>
      <c r="AS17" s="53">
        <v>0.04</v>
      </c>
      <c r="AT17" s="53">
        <v>0</v>
      </c>
      <c r="AU17" s="201"/>
      <c r="AV17" s="10"/>
      <c r="AW17" s="54">
        <v>0</v>
      </c>
      <c r="AX17" s="10">
        <v>0</v>
      </c>
      <c r="AY17" s="10">
        <v>223000</v>
      </c>
      <c r="AZ17" s="55">
        <f t="shared" ref="AZ17:AZ48" si="4">IFERROR(($AY:$AY+$AJ:$AJ+$AK:$AK)/$AF:$AF,0)</f>
        <v>0.88773885350318471</v>
      </c>
      <c r="BA17" s="37" t="s">
        <v>23</v>
      </c>
      <c r="BB17" s="38">
        <v>3</v>
      </c>
      <c r="BC17" s="53">
        <f t="shared" ref="BC17:BC48" si="5">IFERROR($BD:$BD/$AY:$AY,0)</f>
        <v>0</v>
      </c>
      <c r="BD17" s="65">
        <f t="shared" ref="BD17:BD24" si="6">ROUND(IF($AY:$AY&lt;$AE:$AE,$AE:$AE-$AY:$AY,0),0)</f>
        <v>0</v>
      </c>
      <c r="BE17" s="44">
        <v>3.2500000000000001E-2</v>
      </c>
      <c r="BF17" s="179">
        <f t="shared" ref="BF17:BF48" si="7">ROUND($AR:$AR*$BE:$BE,0)</f>
        <v>7248</v>
      </c>
      <c r="BG17" s="402">
        <v>0</v>
      </c>
      <c r="BH17" s="403">
        <f t="shared" ref="BH17:BH48" si="8">ROUND($AR:$AR*$BG:$BG,0)</f>
        <v>0</v>
      </c>
      <c r="BI17" s="44">
        <v>0</v>
      </c>
      <c r="BJ17" s="179">
        <f t="shared" ref="BJ17:BJ48" si="9">ROUND($AR:$AR*$BI:$BI,0)</f>
        <v>0</v>
      </c>
      <c r="BK17" s="179">
        <f t="shared" ref="BK17:BK48" si="10">ROUND(IF($P:$P&gt;1,$BJ:$BJ*1,$BJ:$BJ*$P:$P),0)</f>
        <v>0</v>
      </c>
      <c r="BL17" s="202"/>
      <c r="BM17" s="203">
        <f t="shared" ref="BM17:BM48" si="11">$BC:$BC+$BE:$BE+$BG:$BG</f>
        <v>3.2500000000000001E-2</v>
      </c>
      <c r="BN17" s="204">
        <f t="shared" ref="BN17:BN48" si="12">$BD:$BD+$BF:$BF+$BH:$BH</f>
        <v>7248</v>
      </c>
      <c r="BO17" s="16">
        <f t="shared" ref="BO17:BO48" si="13">IFERROR(ROUND($AY:$AY+$BN:$BN,0),0)</f>
        <v>230248</v>
      </c>
      <c r="BP17" s="205">
        <f t="shared" ref="BP17:BP48" si="14">ROUND(IF(SUM($BO:$BO&lt;249080),SUM(ROUND($BO:$BO*11%,0)),27398.8),0)</f>
        <v>25327</v>
      </c>
      <c r="BQ17" s="206">
        <f t="shared" ref="BQ17:BQ48" si="15">$BO:$BO+$BP:$BP</f>
        <v>255575</v>
      </c>
      <c r="BR17" s="55">
        <f t="shared" ref="BR17:BR48" si="16">IFERROR(($BO:$BO+$AJ:$AJ+$AK:$AK)/$AF:$AF,0)</f>
        <v>0.91659235668789807</v>
      </c>
      <c r="BS17" s="64">
        <f t="shared" ref="BS17:BS48" si="17">IF($N:$N="CASUAL","TBC",ROUND($BN:$BN/(NETWORKDAYS("01/07/2023","30/06/2024"))*NETWORKDAYS("10/07/2023","04/09/2023"),0)*$P:$P)</f>
        <v>1143</v>
      </c>
      <c r="BT17" s="53">
        <f t="shared" ref="BT17:BT48" si="18">$BM17+$BI17</f>
        <v>3.2500000000000001E-2</v>
      </c>
      <c r="BU17" s="65">
        <f t="shared" ref="BU17:BU48" si="19">$BN:$BN+$BJ:$BJ</f>
        <v>7248</v>
      </c>
      <c r="BV17" s="206">
        <f t="shared" ref="BV17:BV48" si="20">$BO:$BO*$P:$P</f>
        <v>230248</v>
      </c>
      <c r="BW17" s="207">
        <f t="shared" ref="BW17:BW48" si="21">ROUND($BO:$BO/1976,2)</f>
        <v>116.52</v>
      </c>
      <c r="BX17" s="199"/>
      <c r="BY17" s="206">
        <f t="shared" ref="BY17:BY48" si="22">$BQ:$BQ+$BX:$BX</f>
        <v>255575</v>
      </c>
      <c r="BZ17" s="208" t="s">
        <v>687</v>
      </c>
      <c r="CA17" s="199"/>
      <c r="CB17" s="199"/>
      <c r="CC17" s="200" t="str">
        <f t="shared" ref="CC17:CC48" si="23">CONCATENATE(CD17,"",CE17)</f>
        <v/>
      </c>
      <c r="CD17" s="197"/>
      <c r="CE17" s="197"/>
      <c r="CF17" s="10" t="str">
        <f>IFERROR(INDEX('[4]Lookup_Rem Ranges'!$D:$D,MATCH($CC:$CC,'[4]Lookup_Rem Ranges'!$C:$C,0)),"")</f>
        <v/>
      </c>
      <c r="CG17" s="307"/>
      <c r="CH17" s="307"/>
      <c r="CI17" s="210"/>
      <c r="CJ17" s="122" t="s">
        <v>701</v>
      </c>
      <c r="CK17" s="206">
        <f t="shared" ref="CK17:CK48" si="24">IFERROR(ROUND($CI:$CI*$CJ:$CJ,0),0)</f>
        <v>0</v>
      </c>
      <c r="CL17" s="206">
        <f t="shared" ref="CL17:CL48" si="25">$CI:$CI+$CK:$CK</f>
        <v>0</v>
      </c>
      <c r="CM17" s="123"/>
      <c r="CN17" s="124">
        <f t="shared" ref="CN17:CN48" si="26">IF(SUM($CL:$CL&lt;249080),SUM(ROUND($CL:$CL*11%,0)),27398.8)</f>
        <v>0</v>
      </c>
      <c r="CO17" s="124" t="s">
        <v>1373</v>
      </c>
      <c r="CP17" s="125">
        <f t="shared" ref="CP17:CP48" si="27">IF(BA17="Yes",3.25%,0)</f>
        <v>3.2500000000000001E-2</v>
      </c>
      <c r="CQ17" s="126">
        <f t="shared" ref="CQ17:CQ48" si="28">ROUND(AR17*CP17,0)</f>
        <v>7248</v>
      </c>
      <c r="CR17" s="127">
        <f t="shared" ref="CR17:CR48" si="29">IF($AW:$AW&lt;3.25%,$AW:$AW,3.25%)</f>
        <v>0</v>
      </c>
      <c r="CS17" s="128">
        <f t="shared" ref="CS17:CS48" si="30">ROUND($AR:$AR*$CR:$CR,0)</f>
        <v>0</v>
      </c>
      <c r="CT17" s="127">
        <f t="shared" ref="CT17:CT48" si="31">IF($AW:$AW&gt;=3.25%,$AW:$AW-$CR:$CR,0)</f>
        <v>0</v>
      </c>
      <c r="CU17" s="128">
        <f t="shared" ref="CU17:CU48" si="32">ROUND($AR:$AR*$CT:$CT,0)</f>
        <v>0</v>
      </c>
      <c r="CV17" s="127">
        <f t="shared" ref="CV17:CV48" si="33">IF($CR:$CR=3.25%,0,IF($BC:$BC&lt;3.25%,$BC:$BC,IF($BC:$BC&gt;3.25%,3.25%-$CR:$CR,0)))</f>
        <v>0</v>
      </c>
      <c r="CW17" s="128">
        <f t="shared" ref="CW17:CW48" si="34">IFERROR(ROUND($AY:$AY*$CV:$CV,0),0)</f>
        <v>0</v>
      </c>
      <c r="CX17" s="127">
        <f t="shared" ref="CX17:CX48" si="35">IF($CV:$CV=0,$BC:$BC,BC:BC-$CV:$CV)</f>
        <v>0</v>
      </c>
      <c r="CY17" s="128">
        <f t="shared" ref="CY17:CY48" si="36">IFERROR(ROUND($AY:$AY*$CX:$CX,0),0)</f>
        <v>0</v>
      </c>
      <c r="CZ17" s="127">
        <f>$CR:$CR+$CT:CT+$CV:$CV+$CX:$CX</f>
        <v>0</v>
      </c>
      <c r="DA17" s="127">
        <f t="shared" ref="DA17:DA48" si="37">(SUM($AW:$AW+$BC:$BC)-$CZ:$CZ)</f>
        <v>0</v>
      </c>
      <c r="DB17" s="127"/>
      <c r="DC17" s="127">
        <f t="shared" ref="DC17:DC48" si="38">$BE:$BE</f>
        <v>3.2500000000000001E-2</v>
      </c>
      <c r="DD17" s="128">
        <f t="shared" ref="DD17:DD48" si="39">$BF:$BF</f>
        <v>7248</v>
      </c>
      <c r="DE17" s="129">
        <f t="shared" ref="DE17:DE48" si="40">$BI:$BI</f>
        <v>0</v>
      </c>
      <c r="DF17" s="128">
        <f t="shared" ref="DF17:DF48" si="41">$BJ:$BJ</f>
        <v>0</v>
      </c>
      <c r="DG17" s="129">
        <f t="shared" ref="DG17:DG48" si="42">$BG:$BG</f>
        <v>0</v>
      </c>
      <c r="DH17" s="128">
        <f t="shared" ref="DH17:DH48" si="43">IFERROR(ROUND($AP:$AP*$DG:$DG,0),0)</f>
        <v>0</v>
      </c>
      <c r="DI17" s="127">
        <f t="shared" ref="DI17:DI48" si="44">$CR:$CR+$CV:$CV+$DC:$DC+$DE:$DE+$DG:$DG</f>
        <v>3.2500000000000001E-2</v>
      </c>
      <c r="DJ17" s="128">
        <f t="shared" ref="DJ17:DJ48" si="45">$CS:$CS+$CW:$CW+$DD:$DD+$DF:$DF+$DH:$DH</f>
        <v>7248</v>
      </c>
      <c r="DK17" s="127">
        <f t="shared" ref="DK17:DK48" si="46">$CT:$CT+$CX:$CX</f>
        <v>0</v>
      </c>
      <c r="DL17" s="128">
        <f t="shared" ref="DL17:DL48" si="47">$CU:$CU+$CY:$CY</f>
        <v>0</v>
      </c>
      <c r="DM17" s="130"/>
      <c r="DN17" s="131"/>
      <c r="DO17" s="131"/>
      <c r="DP17" s="131"/>
      <c r="DQ17" s="131"/>
      <c r="DR17" s="131"/>
      <c r="DS17" s="131"/>
      <c r="DT17" s="131"/>
      <c r="DU17" s="131"/>
      <c r="DV17" s="131"/>
      <c r="DW17" s="131" t="s">
        <v>1379</v>
      </c>
      <c r="DX17" s="132"/>
      <c r="DY17" s="132"/>
      <c r="DZ17" s="132"/>
      <c r="EA17" s="132"/>
      <c r="EB17" s="132"/>
      <c r="EC17" s="132"/>
      <c r="ED17" s="132"/>
      <c r="EE17" s="132"/>
      <c r="EF17" s="132"/>
      <c r="EG17" s="132"/>
      <c r="EH17" s="132"/>
      <c r="EI17" s="132"/>
      <c r="EJ17" s="132"/>
      <c r="EK17" s="132"/>
      <c r="EL17" s="132"/>
      <c r="EM17" s="132"/>
      <c r="EN17" s="132"/>
      <c r="EO17" s="132"/>
      <c r="EP17" s="132"/>
      <c r="EQ17" s="132"/>
      <c r="ER17" s="132"/>
      <c r="ES17" s="132"/>
      <c r="ET17" s="132"/>
      <c r="EU17" s="132"/>
      <c r="EV17" s="132"/>
      <c r="EW17" s="132"/>
      <c r="EX17" s="132"/>
      <c r="EY17" s="132"/>
      <c r="EZ17" s="132"/>
      <c r="FA17" s="132"/>
      <c r="FB17" s="132"/>
      <c r="FC17" s="132"/>
      <c r="FD17" s="132"/>
      <c r="FE17" s="132"/>
      <c r="FF17" s="132"/>
      <c r="FG17" s="132"/>
      <c r="FH17" s="132"/>
      <c r="FI17" s="132"/>
      <c r="FJ17" s="132"/>
      <c r="FK17" s="132"/>
      <c r="FL17" s="132"/>
      <c r="FM17" s="132"/>
      <c r="FN17" s="132"/>
      <c r="FO17" s="132"/>
      <c r="FP17" s="132"/>
      <c r="FQ17" s="132"/>
      <c r="FR17" s="132"/>
      <c r="FS17" s="132"/>
      <c r="FT17" s="133"/>
    </row>
    <row r="18" spans="1:176" s="134" customFormat="1" ht="24">
      <c r="B18" s="121" t="s">
        <v>490</v>
      </c>
      <c r="C18" s="121" t="s">
        <v>928</v>
      </c>
      <c r="D18" s="121">
        <v>19124</v>
      </c>
      <c r="E18" s="192" t="s">
        <v>525</v>
      </c>
      <c r="F18" s="192" t="s">
        <v>929</v>
      </c>
      <c r="G18" s="192" t="s">
        <v>538</v>
      </c>
      <c r="H18" s="193" t="s">
        <v>930</v>
      </c>
      <c r="I18" s="192" t="s">
        <v>931</v>
      </c>
      <c r="J18" s="192" t="s">
        <v>932</v>
      </c>
      <c r="K18" s="194">
        <v>43850</v>
      </c>
      <c r="L18" s="194"/>
      <c r="M18" s="194">
        <v>44992</v>
      </c>
      <c r="N18" s="195" t="s">
        <v>539</v>
      </c>
      <c r="O18" s="195">
        <v>38</v>
      </c>
      <c r="P18" s="196">
        <f t="shared" si="0"/>
        <v>1</v>
      </c>
      <c r="Q18" s="192" t="s">
        <v>614</v>
      </c>
      <c r="R18" s="192">
        <v>14463</v>
      </c>
      <c r="S18" s="192" t="s">
        <v>917</v>
      </c>
      <c r="T18" s="192" t="s">
        <v>918</v>
      </c>
      <c r="U18" s="192" t="s">
        <v>919</v>
      </c>
      <c r="V18" s="193" t="s">
        <v>543</v>
      </c>
      <c r="W18" s="193" t="s">
        <v>920</v>
      </c>
      <c r="X18" s="193" t="s">
        <v>823</v>
      </c>
      <c r="Y18" s="56" t="s">
        <v>824</v>
      </c>
      <c r="Z18" s="193" t="s">
        <v>823</v>
      </c>
      <c r="AA18" s="193" t="s">
        <v>1365</v>
      </c>
      <c r="AB18" s="56" t="s">
        <v>824</v>
      </c>
      <c r="AC18" s="193" t="s">
        <v>825</v>
      </c>
      <c r="AD18" s="56" t="s">
        <v>826</v>
      </c>
      <c r="AE18" s="10">
        <f>IFERROR(INDEX('[3]Lookup_Rem Ranges'!$D:$D,MATCH($AL:$AL,'[3]Lookup_Rem Ranges'!$C:$C,0)),0)</f>
        <v>213500</v>
      </c>
      <c r="AF18" s="10">
        <f>IFERROR(INDEX('[3]Lookup_Rem Ranges'!$E:$E,MATCH($AL:$AL,'[3]Lookup_Rem Ranges'!$C:$C,0)),0)</f>
        <v>251200</v>
      </c>
      <c r="AG18" s="10">
        <f>IFERROR(INDEX('[3]Lookup_Rem Ranges'!$F:$F,MATCH($AL:$AL,'[3]Lookup_Rem Ranges'!$C:$C,0)),)</f>
        <v>288900</v>
      </c>
      <c r="AH18" s="193" t="s">
        <v>622</v>
      </c>
      <c r="AI18" s="197"/>
      <c r="AJ18" s="198">
        <v>0</v>
      </c>
      <c r="AK18" s="199"/>
      <c r="AL18" s="200" t="str">
        <f t="shared" si="1"/>
        <v>CASS9</v>
      </c>
      <c r="AM18" s="200" t="s">
        <v>487</v>
      </c>
      <c r="AN18" s="197">
        <v>9</v>
      </c>
      <c r="AO18" s="199" t="s">
        <v>701</v>
      </c>
      <c r="AP18" s="5">
        <v>220000</v>
      </c>
      <c r="AQ18" s="10">
        <f t="shared" si="2"/>
        <v>220000</v>
      </c>
      <c r="AR18" s="10">
        <f t="shared" si="3"/>
        <v>220000</v>
      </c>
      <c r="AS18" s="53">
        <v>0.06</v>
      </c>
      <c r="AT18" s="53">
        <v>0</v>
      </c>
      <c r="AU18" s="201"/>
      <c r="AV18" s="10"/>
      <c r="AW18" s="54">
        <v>0</v>
      </c>
      <c r="AX18" s="10">
        <v>0</v>
      </c>
      <c r="AY18" s="10">
        <v>220000</v>
      </c>
      <c r="AZ18" s="55">
        <f t="shared" si="4"/>
        <v>0.87579617834394907</v>
      </c>
      <c r="BA18" s="37" t="s">
        <v>23</v>
      </c>
      <c r="BB18" s="38">
        <v>3</v>
      </c>
      <c r="BC18" s="53">
        <f t="shared" si="5"/>
        <v>0</v>
      </c>
      <c r="BD18" s="65">
        <f t="shared" si="6"/>
        <v>0</v>
      </c>
      <c r="BE18" s="44">
        <v>3.2500000000000001E-2</v>
      </c>
      <c r="BF18" s="179">
        <f t="shared" si="7"/>
        <v>7150</v>
      </c>
      <c r="BG18" s="402">
        <v>0</v>
      </c>
      <c r="BH18" s="403">
        <f t="shared" si="8"/>
        <v>0</v>
      </c>
      <c r="BI18" s="44">
        <v>0</v>
      </c>
      <c r="BJ18" s="179">
        <f t="shared" si="9"/>
        <v>0</v>
      </c>
      <c r="BK18" s="179">
        <f t="shared" si="10"/>
        <v>0</v>
      </c>
      <c r="BL18" s="202"/>
      <c r="BM18" s="203">
        <f t="shared" si="11"/>
        <v>3.2500000000000001E-2</v>
      </c>
      <c r="BN18" s="204">
        <f t="shared" si="12"/>
        <v>7150</v>
      </c>
      <c r="BO18" s="16">
        <f t="shared" si="13"/>
        <v>227150</v>
      </c>
      <c r="BP18" s="205">
        <f t="shared" si="14"/>
        <v>24987</v>
      </c>
      <c r="BQ18" s="206">
        <f t="shared" si="15"/>
        <v>252137</v>
      </c>
      <c r="BR18" s="55">
        <f t="shared" si="16"/>
        <v>0.90425955414012738</v>
      </c>
      <c r="BS18" s="64">
        <f t="shared" si="17"/>
        <v>1128</v>
      </c>
      <c r="BT18" s="53">
        <f t="shared" si="18"/>
        <v>3.2500000000000001E-2</v>
      </c>
      <c r="BU18" s="65">
        <f t="shared" si="19"/>
        <v>7150</v>
      </c>
      <c r="BV18" s="206">
        <f t="shared" si="20"/>
        <v>227150</v>
      </c>
      <c r="BW18" s="207">
        <f t="shared" si="21"/>
        <v>114.95</v>
      </c>
      <c r="BX18" s="199"/>
      <c r="BY18" s="206">
        <f t="shared" si="22"/>
        <v>252137</v>
      </c>
      <c r="BZ18" s="208" t="s">
        <v>687</v>
      </c>
      <c r="CA18" s="199"/>
      <c r="CB18" s="199"/>
      <c r="CC18" s="200" t="str">
        <f t="shared" si="23"/>
        <v/>
      </c>
      <c r="CD18" s="197"/>
      <c r="CE18" s="197"/>
      <c r="CF18" s="10" t="str">
        <f>IFERROR(INDEX('[4]Lookup_Rem Ranges'!$D:$D,MATCH($CC:$CC,'[4]Lookup_Rem Ranges'!$C:$C,0)),"")</f>
        <v/>
      </c>
      <c r="CG18" s="307"/>
      <c r="CH18" s="307"/>
      <c r="CI18" s="210"/>
      <c r="CJ18" s="122" t="s">
        <v>701</v>
      </c>
      <c r="CK18" s="206">
        <f t="shared" si="24"/>
        <v>0</v>
      </c>
      <c r="CL18" s="206">
        <f t="shared" si="25"/>
        <v>0</v>
      </c>
      <c r="CM18" s="123"/>
      <c r="CN18" s="124">
        <f t="shared" si="26"/>
        <v>0</v>
      </c>
      <c r="CO18" s="124" t="s">
        <v>1374</v>
      </c>
      <c r="CP18" s="125">
        <f t="shared" si="27"/>
        <v>3.2500000000000001E-2</v>
      </c>
      <c r="CQ18" s="126">
        <f t="shared" si="28"/>
        <v>7150</v>
      </c>
      <c r="CR18" s="127">
        <f t="shared" si="29"/>
        <v>0</v>
      </c>
      <c r="CS18" s="128">
        <f t="shared" si="30"/>
        <v>0</v>
      </c>
      <c r="CT18" s="127">
        <f t="shared" si="31"/>
        <v>0</v>
      </c>
      <c r="CU18" s="128">
        <f t="shared" si="32"/>
        <v>0</v>
      </c>
      <c r="CV18" s="127">
        <f t="shared" si="33"/>
        <v>0</v>
      </c>
      <c r="CW18" s="128">
        <f t="shared" si="34"/>
        <v>0</v>
      </c>
      <c r="CX18" s="127">
        <f t="shared" si="35"/>
        <v>0</v>
      </c>
      <c r="CY18" s="128">
        <f t="shared" si="36"/>
        <v>0</v>
      </c>
      <c r="CZ18" s="127">
        <f>$CR:$CR+$CT:CT+$CV:$CV+$CX:$CX</f>
        <v>0</v>
      </c>
      <c r="DA18" s="127">
        <f t="shared" si="37"/>
        <v>0</v>
      </c>
      <c r="DB18" s="127"/>
      <c r="DC18" s="127">
        <f t="shared" si="38"/>
        <v>3.2500000000000001E-2</v>
      </c>
      <c r="DD18" s="128">
        <f t="shared" si="39"/>
        <v>7150</v>
      </c>
      <c r="DE18" s="129">
        <f t="shared" si="40"/>
        <v>0</v>
      </c>
      <c r="DF18" s="128">
        <f t="shared" si="41"/>
        <v>0</v>
      </c>
      <c r="DG18" s="129">
        <f t="shared" si="42"/>
        <v>0</v>
      </c>
      <c r="DH18" s="128">
        <f t="shared" si="43"/>
        <v>0</v>
      </c>
      <c r="DI18" s="127">
        <f t="shared" si="44"/>
        <v>3.2500000000000001E-2</v>
      </c>
      <c r="DJ18" s="128">
        <f t="shared" si="45"/>
        <v>7150</v>
      </c>
      <c r="DK18" s="127">
        <f t="shared" si="46"/>
        <v>0</v>
      </c>
      <c r="DL18" s="128">
        <f t="shared" si="47"/>
        <v>0</v>
      </c>
      <c r="DM18" s="130"/>
      <c r="DN18" s="131"/>
      <c r="DO18" s="131"/>
      <c r="DP18" s="131"/>
      <c r="DQ18" s="131"/>
      <c r="DR18" s="131"/>
      <c r="DS18" s="131"/>
      <c r="DT18" s="131"/>
      <c r="DU18" s="131"/>
      <c r="DV18" s="131"/>
      <c r="DW18" s="131" t="s">
        <v>1379</v>
      </c>
      <c r="DX18" s="132"/>
      <c r="DY18" s="132"/>
      <c r="DZ18" s="132"/>
      <c r="EA18" s="132"/>
      <c r="EB18" s="132"/>
      <c r="EC18" s="132"/>
      <c r="ED18" s="132"/>
      <c r="EE18" s="132"/>
      <c r="EF18" s="132"/>
      <c r="EG18" s="132"/>
      <c r="EH18" s="132"/>
      <c r="EI18" s="132"/>
      <c r="EJ18" s="132"/>
      <c r="EK18" s="132"/>
      <c r="EL18" s="132"/>
      <c r="EM18" s="132"/>
      <c r="EN18" s="132"/>
      <c r="EO18" s="132"/>
      <c r="EP18" s="132"/>
      <c r="EQ18" s="132"/>
      <c r="ER18" s="132"/>
      <c r="ES18" s="132"/>
      <c r="ET18" s="132"/>
      <c r="EU18" s="132"/>
      <c r="EV18" s="132"/>
      <c r="EW18" s="132"/>
      <c r="EX18" s="132"/>
      <c r="EY18" s="132"/>
      <c r="EZ18" s="132"/>
      <c r="FA18" s="132"/>
      <c r="FB18" s="132"/>
      <c r="FC18" s="132"/>
      <c r="FD18" s="132"/>
      <c r="FE18" s="132"/>
      <c r="FF18" s="132"/>
      <c r="FG18" s="132"/>
      <c r="FH18" s="132"/>
      <c r="FI18" s="132"/>
      <c r="FJ18" s="132"/>
      <c r="FK18" s="132"/>
      <c r="FL18" s="132"/>
      <c r="FM18" s="132"/>
      <c r="FN18" s="132"/>
      <c r="FO18" s="132"/>
      <c r="FP18" s="132"/>
      <c r="FQ18" s="132"/>
      <c r="FR18" s="132"/>
      <c r="FS18" s="132"/>
      <c r="FT18" s="133"/>
    </row>
    <row r="19" spans="1:176" s="134" customFormat="1" ht="24">
      <c r="B19" s="121" t="s">
        <v>490</v>
      </c>
      <c r="C19" s="121" t="s">
        <v>933</v>
      </c>
      <c r="D19" s="121">
        <v>17956</v>
      </c>
      <c r="E19" s="192" t="s">
        <v>519</v>
      </c>
      <c r="F19" s="192" t="s">
        <v>934</v>
      </c>
      <c r="G19" s="192" t="s">
        <v>538</v>
      </c>
      <c r="H19" s="193" t="s">
        <v>935</v>
      </c>
      <c r="I19" s="192" t="s">
        <v>844</v>
      </c>
      <c r="J19" s="192" t="s">
        <v>845</v>
      </c>
      <c r="K19" s="194">
        <v>43332</v>
      </c>
      <c r="L19" s="194"/>
      <c r="M19" s="194">
        <v>44991</v>
      </c>
      <c r="N19" s="195" t="s">
        <v>539</v>
      </c>
      <c r="O19" s="195">
        <v>38</v>
      </c>
      <c r="P19" s="196">
        <f t="shared" si="0"/>
        <v>1</v>
      </c>
      <c r="Q19" s="192" t="s">
        <v>614</v>
      </c>
      <c r="R19" s="192">
        <v>14463</v>
      </c>
      <c r="S19" s="192" t="s">
        <v>917</v>
      </c>
      <c r="T19" s="192" t="s">
        <v>918</v>
      </c>
      <c r="U19" s="192" t="s">
        <v>919</v>
      </c>
      <c r="V19" s="193" t="s">
        <v>543</v>
      </c>
      <c r="W19" s="193" t="s">
        <v>920</v>
      </c>
      <c r="X19" s="193" t="s">
        <v>823</v>
      </c>
      <c r="Y19" s="56" t="s">
        <v>824</v>
      </c>
      <c r="Z19" s="193" t="s">
        <v>823</v>
      </c>
      <c r="AA19" s="193" t="s">
        <v>1365</v>
      </c>
      <c r="AB19" s="56" t="s">
        <v>824</v>
      </c>
      <c r="AC19" s="193" t="s">
        <v>825</v>
      </c>
      <c r="AD19" s="56" t="s">
        <v>826</v>
      </c>
      <c r="AE19" s="10">
        <f>IFERROR(INDEX('[3]Lookup_Rem Ranges'!$D:$D,MATCH($AL:$AL,'[3]Lookup_Rem Ranges'!$C:$C,0)),0)</f>
        <v>244000</v>
      </c>
      <c r="AF19" s="10">
        <f>IFERROR(INDEX('[3]Lookup_Rem Ranges'!$E:$E,MATCH($AL:$AL,'[3]Lookup_Rem Ranges'!$C:$C,0)),0)</f>
        <v>287100</v>
      </c>
      <c r="AG19" s="10">
        <f>IFERROR(INDEX('[3]Lookup_Rem Ranges'!$F:$F,MATCH($AL:$AL,'[3]Lookup_Rem Ranges'!$C:$C,0)),)</f>
        <v>330200</v>
      </c>
      <c r="AH19" s="193" t="s">
        <v>622</v>
      </c>
      <c r="AI19" s="197"/>
      <c r="AJ19" s="198">
        <v>0</v>
      </c>
      <c r="AK19" s="199"/>
      <c r="AL19" s="200" t="str">
        <f t="shared" si="1"/>
        <v>GI9</v>
      </c>
      <c r="AM19" s="200" t="s">
        <v>486</v>
      </c>
      <c r="AN19" s="197">
        <v>9</v>
      </c>
      <c r="AO19" s="199" t="s">
        <v>701</v>
      </c>
      <c r="AP19" s="5">
        <v>215000</v>
      </c>
      <c r="AQ19" s="10">
        <f t="shared" si="2"/>
        <v>215000</v>
      </c>
      <c r="AR19" s="10">
        <f t="shared" si="3"/>
        <v>215000</v>
      </c>
      <c r="AS19" s="53">
        <v>5.0330452465683781E-2</v>
      </c>
      <c r="AT19" s="53">
        <v>0</v>
      </c>
      <c r="AU19" s="201"/>
      <c r="AV19" s="10"/>
      <c r="AW19" s="54">
        <v>0</v>
      </c>
      <c r="AX19" s="10">
        <v>0</v>
      </c>
      <c r="AY19" s="10">
        <v>215000</v>
      </c>
      <c r="AZ19" s="55">
        <f t="shared" si="4"/>
        <v>0.74886799024730055</v>
      </c>
      <c r="BA19" s="37" t="s">
        <v>23</v>
      </c>
      <c r="BB19" s="38">
        <v>4</v>
      </c>
      <c r="BC19" s="53">
        <f t="shared" si="5"/>
        <v>0.13488372093023257</v>
      </c>
      <c r="BD19" s="65">
        <f t="shared" si="6"/>
        <v>29000</v>
      </c>
      <c r="BE19" s="44">
        <v>0</v>
      </c>
      <c r="BF19" s="179">
        <f t="shared" si="7"/>
        <v>0</v>
      </c>
      <c r="BG19" s="402">
        <v>0</v>
      </c>
      <c r="BH19" s="403">
        <f t="shared" si="8"/>
        <v>0</v>
      </c>
      <c r="BI19" s="44">
        <v>0</v>
      </c>
      <c r="BJ19" s="179">
        <f t="shared" si="9"/>
        <v>0</v>
      </c>
      <c r="BK19" s="179">
        <f t="shared" si="10"/>
        <v>0</v>
      </c>
      <c r="BL19" s="202"/>
      <c r="BM19" s="203">
        <f t="shared" si="11"/>
        <v>0.13488372093023257</v>
      </c>
      <c r="BN19" s="204">
        <f t="shared" si="12"/>
        <v>29000</v>
      </c>
      <c r="BO19" s="16">
        <f t="shared" si="13"/>
        <v>244000</v>
      </c>
      <c r="BP19" s="205">
        <f t="shared" si="14"/>
        <v>26840</v>
      </c>
      <c r="BQ19" s="206">
        <f t="shared" si="15"/>
        <v>270840</v>
      </c>
      <c r="BR19" s="55">
        <f t="shared" si="16"/>
        <v>0.84987809125740155</v>
      </c>
      <c r="BS19" s="64">
        <f t="shared" si="17"/>
        <v>4573</v>
      </c>
      <c r="BT19" s="53">
        <f t="shared" si="18"/>
        <v>0.13488372093023257</v>
      </c>
      <c r="BU19" s="65">
        <f t="shared" si="19"/>
        <v>29000</v>
      </c>
      <c r="BV19" s="206">
        <f t="shared" si="20"/>
        <v>244000</v>
      </c>
      <c r="BW19" s="207">
        <f t="shared" si="21"/>
        <v>123.48</v>
      </c>
      <c r="BX19" s="199"/>
      <c r="BY19" s="206">
        <f t="shared" si="22"/>
        <v>270840</v>
      </c>
      <c r="BZ19" s="208" t="s">
        <v>687</v>
      </c>
      <c r="CA19" s="199"/>
      <c r="CB19" s="199"/>
      <c r="CC19" s="200" t="str">
        <f t="shared" si="23"/>
        <v/>
      </c>
      <c r="CD19" s="197"/>
      <c r="CE19" s="197"/>
      <c r="CF19" s="10" t="str">
        <f>IFERROR(INDEX('[4]Lookup_Rem Ranges'!$D:$D,MATCH($CC:$CC,'[4]Lookup_Rem Ranges'!$C:$C,0)),"")</f>
        <v/>
      </c>
      <c r="CG19" s="307"/>
      <c r="CH19" s="307"/>
      <c r="CI19" s="210"/>
      <c r="CJ19" s="122" t="s">
        <v>701</v>
      </c>
      <c r="CK19" s="206">
        <f t="shared" si="24"/>
        <v>0</v>
      </c>
      <c r="CL19" s="206">
        <f t="shared" si="25"/>
        <v>0</v>
      </c>
      <c r="CM19" s="123"/>
      <c r="CN19" s="124">
        <f t="shared" si="26"/>
        <v>0</v>
      </c>
      <c r="CO19" s="124" t="s">
        <v>1375</v>
      </c>
      <c r="CP19" s="125">
        <f t="shared" si="27"/>
        <v>3.2500000000000001E-2</v>
      </c>
      <c r="CQ19" s="126">
        <f t="shared" si="28"/>
        <v>6988</v>
      </c>
      <c r="CR19" s="127">
        <f t="shared" si="29"/>
        <v>0</v>
      </c>
      <c r="CS19" s="128">
        <f t="shared" si="30"/>
        <v>0</v>
      </c>
      <c r="CT19" s="127">
        <f t="shared" si="31"/>
        <v>0</v>
      </c>
      <c r="CU19" s="128">
        <f t="shared" si="32"/>
        <v>0</v>
      </c>
      <c r="CV19" s="127">
        <f t="shared" si="33"/>
        <v>3.2500000000000001E-2</v>
      </c>
      <c r="CW19" s="128">
        <f t="shared" si="34"/>
        <v>6988</v>
      </c>
      <c r="CX19" s="127">
        <f t="shared" si="35"/>
        <v>0.10238372093023257</v>
      </c>
      <c r="CY19" s="128">
        <f t="shared" si="36"/>
        <v>22013</v>
      </c>
      <c r="CZ19" s="127">
        <f>$CR:$CR+$CT:CT+$CV:$CV+$CX:$CX</f>
        <v>0.13488372093023257</v>
      </c>
      <c r="DA19" s="127">
        <f t="shared" si="37"/>
        <v>0</v>
      </c>
      <c r="DB19" s="127"/>
      <c r="DC19" s="127">
        <f t="shared" si="38"/>
        <v>0</v>
      </c>
      <c r="DD19" s="128">
        <f t="shared" si="39"/>
        <v>0</v>
      </c>
      <c r="DE19" s="129">
        <f t="shared" si="40"/>
        <v>0</v>
      </c>
      <c r="DF19" s="128">
        <f t="shared" si="41"/>
        <v>0</v>
      </c>
      <c r="DG19" s="129">
        <f t="shared" si="42"/>
        <v>0</v>
      </c>
      <c r="DH19" s="128">
        <f t="shared" si="43"/>
        <v>0</v>
      </c>
      <c r="DI19" s="127">
        <f t="shared" si="44"/>
        <v>3.2500000000000001E-2</v>
      </c>
      <c r="DJ19" s="128">
        <f t="shared" si="45"/>
        <v>6988</v>
      </c>
      <c r="DK19" s="127">
        <f t="shared" si="46"/>
        <v>0.10238372093023257</v>
      </c>
      <c r="DL19" s="128">
        <f t="shared" si="47"/>
        <v>22013</v>
      </c>
      <c r="DM19" s="130"/>
      <c r="DN19" s="131"/>
      <c r="DO19" s="131"/>
      <c r="DP19" s="131"/>
      <c r="DQ19" s="131"/>
      <c r="DR19" s="131"/>
      <c r="DS19" s="131"/>
      <c r="DT19" s="131"/>
      <c r="DU19" s="131"/>
      <c r="DV19" s="131"/>
      <c r="DW19" s="131" t="s">
        <v>1379</v>
      </c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3"/>
    </row>
    <row r="20" spans="1:176" s="134" customFormat="1" ht="36">
      <c r="B20" s="121" t="s">
        <v>490</v>
      </c>
      <c r="C20" s="121" t="s">
        <v>1068</v>
      </c>
      <c r="D20" s="121">
        <v>8939</v>
      </c>
      <c r="E20" s="192" t="s">
        <v>492</v>
      </c>
      <c r="F20" s="192" t="s">
        <v>1069</v>
      </c>
      <c r="G20" s="192" t="s">
        <v>537</v>
      </c>
      <c r="H20" s="193" t="s">
        <v>1070</v>
      </c>
      <c r="I20" s="192" t="s">
        <v>1071</v>
      </c>
      <c r="J20" s="192" t="s">
        <v>1072</v>
      </c>
      <c r="K20" s="194">
        <v>39615</v>
      </c>
      <c r="L20" s="194"/>
      <c r="M20" s="194">
        <v>43379</v>
      </c>
      <c r="N20" s="195" t="s">
        <v>539</v>
      </c>
      <c r="O20" s="195">
        <v>38</v>
      </c>
      <c r="P20" s="196">
        <f t="shared" si="0"/>
        <v>1</v>
      </c>
      <c r="Q20" s="192" t="s">
        <v>617</v>
      </c>
      <c r="R20" s="192">
        <v>14463</v>
      </c>
      <c r="S20" s="192" t="s">
        <v>917</v>
      </c>
      <c r="T20" s="192" t="s">
        <v>918</v>
      </c>
      <c r="U20" s="192" t="s">
        <v>919</v>
      </c>
      <c r="V20" s="193" t="s">
        <v>543</v>
      </c>
      <c r="W20" s="193" t="s">
        <v>920</v>
      </c>
      <c r="X20" s="193" t="s">
        <v>823</v>
      </c>
      <c r="Y20" s="56" t="s">
        <v>824</v>
      </c>
      <c r="Z20" s="193" t="s">
        <v>823</v>
      </c>
      <c r="AA20" s="193" t="s">
        <v>1365</v>
      </c>
      <c r="AB20" s="56" t="s">
        <v>824</v>
      </c>
      <c r="AC20" s="193" t="s">
        <v>825</v>
      </c>
      <c r="AD20" s="56" t="s">
        <v>826</v>
      </c>
      <c r="AE20" s="10">
        <f>IFERROR(INDEX('[3]Lookup_Rem Ranges'!$D:$D,MATCH($AL:$AL,'[3]Lookup_Rem Ranges'!$C:$C,0)),0)</f>
        <v>147100</v>
      </c>
      <c r="AF20" s="10">
        <f>IFERROR(INDEX('[3]Lookup_Rem Ranges'!$E:$E,MATCH($AL:$AL,'[3]Lookup_Rem Ranges'!$C:$C,0)),0)</f>
        <v>173100</v>
      </c>
      <c r="AG20" s="10">
        <f>IFERROR(INDEX('[3]Lookup_Rem Ranges'!$F:$F,MATCH($AL:$AL,'[3]Lookup_Rem Ranges'!$C:$C,0)),)</f>
        <v>199100</v>
      </c>
      <c r="AH20" s="193" t="s">
        <v>622</v>
      </c>
      <c r="AI20" s="197"/>
      <c r="AJ20" s="198">
        <v>0</v>
      </c>
      <c r="AK20" s="199"/>
      <c r="AL20" s="200" t="str">
        <f t="shared" si="1"/>
        <v>GI7</v>
      </c>
      <c r="AM20" s="200" t="s">
        <v>486</v>
      </c>
      <c r="AN20" s="197">
        <v>7</v>
      </c>
      <c r="AO20" s="199" t="s">
        <v>792</v>
      </c>
      <c r="AP20" s="5">
        <v>133000</v>
      </c>
      <c r="AQ20" s="10">
        <f t="shared" si="2"/>
        <v>133000</v>
      </c>
      <c r="AR20" s="10">
        <f t="shared" si="3"/>
        <v>133000</v>
      </c>
      <c r="AS20" s="53">
        <v>3.0209140201394268E-2</v>
      </c>
      <c r="AT20" s="53">
        <v>0</v>
      </c>
      <c r="AU20" s="201"/>
      <c r="AV20" s="10"/>
      <c r="AW20" s="54">
        <v>0</v>
      </c>
      <c r="AX20" s="10">
        <v>0</v>
      </c>
      <c r="AY20" s="10">
        <v>133000</v>
      </c>
      <c r="AZ20" s="55">
        <f t="shared" si="4"/>
        <v>0.76834199884459853</v>
      </c>
      <c r="BA20" s="37" t="s">
        <v>23</v>
      </c>
      <c r="BB20" s="38">
        <v>3</v>
      </c>
      <c r="BC20" s="53">
        <f t="shared" si="5"/>
        <v>0.10601503759398496</v>
      </c>
      <c r="BD20" s="65">
        <f t="shared" si="6"/>
        <v>14100</v>
      </c>
      <c r="BE20" s="44">
        <v>0</v>
      </c>
      <c r="BF20" s="179">
        <f t="shared" si="7"/>
        <v>0</v>
      </c>
      <c r="BG20" s="402">
        <v>0</v>
      </c>
      <c r="BH20" s="403">
        <f t="shared" si="8"/>
        <v>0</v>
      </c>
      <c r="BI20" s="44">
        <v>0</v>
      </c>
      <c r="BJ20" s="179">
        <f t="shared" si="9"/>
        <v>0</v>
      </c>
      <c r="BK20" s="179">
        <f t="shared" si="10"/>
        <v>0</v>
      </c>
      <c r="BL20" s="202"/>
      <c r="BM20" s="203">
        <f t="shared" si="11"/>
        <v>0.10601503759398496</v>
      </c>
      <c r="BN20" s="204">
        <f t="shared" si="12"/>
        <v>14100</v>
      </c>
      <c r="BO20" s="16">
        <f t="shared" si="13"/>
        <v>147100</v>
      </c>
      <c r="BP20" s="205">
        <f t="shared" si="14"/>
        <v>16181</v>
      </c>
      <c r="BQ20" s="206">
        <f t="shared" si="15"/>
        <v>163281</v>
      </c>
      <c r="BR20" s="55">
        <f t="shared" si="16"/>
        <v>0.84979780473714617</v>
      </c>
      <c r="BS20" s="64">
        <f t="shared" si="17"/>
        <v>2223</v>
      </c>
      <c r="BT20" s="53">
        <f t="shared" si="18"/>
        <v>0.10601503759398496</v>
      </c>
      <c r="BU20" s="65">
        <f t="shared" si="19"/>
        <v>14100</v>
      </c>
      <c r="BV20" s="206">
        <f t="shared" si="20"/>
        <v>147100</v>
      </c>
      <c r="BW20" s="207">
        <f t="shared" si="21"/>
        <v>74.44</v>
      </c>
      <c r="BX20" s="199"/>
      <c r="BY20" s="206">
        <f t="shared" si="22"/>
        <v>163281</v>
      </c>
      <c r="BZ20" s="208" t="s">
        <v>23</v>
      </c>
      <c r="CA20" s="199" t="s">
        <v>822</v>
      </c>
      <c r="CB20" s="199" t="s">
        <v>801</v>
      </c>
      <c r="CC20" s="200" t="str">
        <f t="shared" si="23"/>
        <v>GI8</v>
      </c>
      <c r="CD20" s="197" t="s">
        <v>486</v>
      </c>
      <c r="CE20" s="197">
        <v>8</v>
      </c>
      <c r="CF20" s="10">
        <f>IFERROR(INDEX('[4]Lookup_Rem Ranges'!$D:$D,MATCH($CC:$CC,'[4]Lookup_Rem Ranges'!$C:$C,0)),"")</f>
        <v>189500</v>
      </c>
      <c r="CG20" s="307">
        <v>44851</v>
      </c>
      <c r="CH20" s="307"/>
      <c r="CI20" s="210">
        <v>173000</v>
      </c>
      <c r="CJ20" s="122">
        <v>9.5375722543352595E-2</v>
      </c>
      <c r="CK20" s="206">
        <f t="shared" si="24"/>
        <v>16500</v>
      </c>
      <c r="CL20" s="206">
        <f t="shared" si="25"/>
        <v>189500</v>
      </c>
      <c r="CM20" s="123"/>
      <c r="CN20" s="124">
        <f t="shared" si="26"/>
        <v>20845</v>
      </c>
      <c r="CO20" s="124" t="s">
        <v>1376</v>
      </c>
      <c r="CP20" s="125">
        <f t="shared" si="27"/>
        <v>3.2500000000000001E-2</v>
      </c>
      <c r="CQ20" s="126">
        <f t="shared" si="28"/>
        <v>4323</v>
      </c>
      <c r="CR20" s="127">
        <f t="shared" si="29"/>
        <v>0</v>
      </c>
      <c r="CS20" s="128">
        <f t="shared" si="30"/>
        <v>0</v>
      </c>
      <c r="CT20" s="127">
        <f t="shared" si="31"/>
        <v>0</v>
      </c>
      <c r="CU20" s="128">
        <f t="shared" si="32"/>
        <v>0</v>
      </c>
      <c r="CV20" s="127">
        <f t="shared" si="33"/>
        <v>3.2500000000000001E-2</v>
      </c>
      <c r="CW20" s="128">
        <f t="shared" si="34"/>
        <v>4323</v>
      </c>
      <c r="CX20" s="127">
        <f t="shared" si="35"/>
        <v>7.3515037593984964E-2</v>
      </c>
      <c r="CY20" s="128">
        <f t="shared" si="36"/>
        <v>9778</v>
      </c>
      <c r="CZ20" s="127">
        <f>$CR:$CR+$CT:CT+$CV:$CV+$CX:$CX</f>
        <v>0.10601503759398496</v>
      </c>
      <c r="DA20" s="127">
        <f t="shared" si="37"/>
        <v>0</v>
      </c>
      <c r="DB20" s="127"/>
      <c r="DC20" s="127">
        <f t="shared" si="38"/>
        <v>0</v>
      </c>
      <c r="DD20" s="128">
        <f t="shared" si="39"/>
        <v>0</v>
      </c>
      <c r="DE20" s="129">
        <f t="shared" si="40"/>
        <v>0</v>
      </c>
      <c r="DF20" s="128">
        <f t="shared" si="41"/>
        <v>0</v>
      </c>
      <c r="DG20" s="129">
        <f t="shared" si="42"/>
        <v>0</v>
      </c>
      <c r="DH20" s="128">
        <f t="shared" si="43"/>
        <v>0</v>
      </c>
      <c r="DI20" s="127">
        <f t="shared" si="44"/>
        <v>3.2500000000000001E-2</v>
      </c>
      <c r="DJ20" s="128">
        <f t="shared" si="45"/>
        <v>4323</v>
      </c>
      <c r="DK20" s="127">
        <f t="shared" si="46"/>
        <v>7.3515037593984964E-2</v>
      </c>
      <c r="DL20" s="128">
        <f t="shared" si="47"/>
        <v>9778</v>
      </c>
      <c r="DM20" s="130"/>
      <c r="DN20" s="131"/>
      <c r="DO20" s="131"/>
      <c r="DP20" s="131"/>
      <c r="DQ20" s="131"/>
      <c r="DR20" s="131"/>
      <c r="DS20" s="131"/>
      <c r="DT20" s="131"/>
      <c r="DU20" s="131"/>
      <c r="DV20" s="131"/>
      <c r="DW20" s="131" t="s">
        <v>1379</v>
      </c>
      <c r="DX20" s="132"/>
      <c r="DY20" s="132"/>
      <c r="DZ20" s="132"/>
      <c r="EA20" s="132"/>
      <c r="EB20" s="132"/>
      <c r="EC20" s="132"/>
      <c r="ED20" s="132"/>
      <c r="EE20" s="132"/>
      <c r="EF20" s="132"/>
      <c r="EG20" s="132"/>
      <c r="EH20" s="132"/>
      <c r="EI20" s="132"/>
      <c r="EJ20" s="132"/>
      <c r="EK20" s="132"/>
      <c r="EL20" s="132"/>
      <c r="EM20" s="132"/>
      <c r="EN20" s="132"/>
      <c r="EO20" s="132"/>
      <c r="EP20" s="132"/>
      <c r="EQ20" s="132"/>
      <c r="ER20" s="132"/>
      <c r="ES20" s="132"/>
      <c r="ET20" s="132"/>
      <c r="EU20" s="132"/>
      <c r="EV20" s="132"/>
      <c r="EW20" s="132"/>
      <c r="EX20" s="132"/>
      <c r="EY20" s="132"/>
      <c r="EZ20" s="132"/>
      <c r="FA20" s="132"/>
      <c r="FB20" s="132"/>
      <c r="FC20" s="132"/>
      <c r="FD20" s="132"/>
      <c r="FE20" s="132"/>
      <c r="FF20" s="132"/>
      <c r="FG20" s="132"/>
      <c r="FH20" s="132"/>
      <c r="FI20" s="132"/>
      <c r="FJ20" s="132"/>
      <c r="FK20" s="132"/>
      <c r="FL20" s="132"/>
      <c r="FM20" s="132"/>
      <c r="FN20" s="132"/>
      <c r="FO20" s="132"/>
      <c r="FP20" s="132"/>
      <c r="FQ20" s="132"/>
      <c r="FR20" s="132"/>
      <c r="FS20" s="132"/>
      <c r="FT20" s="133"/>
    </row>
    <row r="21" spans="1:176" s="134" customFormat="1" ht="33.75">
      <c r="B21" s="121" t="s">
        <v>490</v>
      </c>
      <c r="C21" s="121" t="s">
        <v>1137</v>
      </c>
      <c r="D21" s="121">
        <v>17817</v>
      </c>
      <c r="E21" s="192" t="s">
        <v>1138</v>
      </c>
      <c r="F21" s="192" t="s">
        <v>1139</v>
      </c>
      <c r="G21" s="192" t="s">
        <v>537</v>
      </c>
      <c r="H21" s="193" t="s">
        <v>1140</v>
      </c>
      <c r="I21" s="192" t="s">
        <v>1141</v>
      </c>
      <c r="J21" s="192" t="s">
        <v>1142</v>
      </c>
      <c r="K21" s="194">
        <v>43262</v>
      </c>
      <c r="L21" s="194"/>
      <c r="M21" s="194">
        <v>44991</v>
      </c>
      <c r="N21" s="195" t="s">
        <v>540</v>
      </c>
      <c r="O21" s="195">
        <v>34</v>
      </c>
      <c r="P21" s="196">
        <f t="shared" si="0"/>
        <v>0.89473684210526316</v>
      </c>
      <c r="Q21" s="192" t="s">
        <v>613</v>
      </c>
      <c r="R21" s="192">
        <v>14463</v>
      </c>
      <c r="S21" s="192" t="s">
        <v>917</v>
      </c>
      <c r="T21" s="192" t="s">
        <v>918</v>
      </c>
      <c r="U21" s="192" t="s">
        <v>919</v>
      </c>
      <c r="V21" s="193" t="s">
        <v>543</v>
      </c>
      <c r="W21" s="193" t="s">
        <v>920</v>
      </c>
      <c r="X21" s="193" t="s">
        <v>823</v>
      </c>
      <c r="Y21" s="56" t="s">
        <v>824</v>
      </c>
      <c r="Z21" s="193" t="s">
        <v>823</v>
      </c>
      <c r="AA21" s="193" t="s">
        <v>1365</v>
      </c>
      <c r="AB21" s="56" t="s">
        <v>824</v>
      </c>
      <c r="AC21" s="193" t="s">
        <v>825</v>
      </c>
      <c r="AD21" s="56" t="s">
        <v>826</v>
      </c>
      <c r="AE21" s="10">
        <f>IFERROR(INDEX('[3]Lookup_Rem Ranges'!$D:$D,MATCH($AL:$AL,'[3]Lookup_Rem Ranges'!$C:$C,0)),0)</f>
        <v>114200</v>
      </c>
      <c r="AF21" s="10">
        <f>IFERROR(INDEX('[3]Lookup_Rem Ranges'!$E:$E,MATCH($AL:$AL,'[3]Lookup_Rem Ranges'!$C:$C,0)),0)</f>
        <v>134400</v>
      </c>
      <c r="AG21" s="10">
        <f>IFERROR(INDEX('[3]Lookup_Rem Ranges'!$F:$F,MATCH($AL:$AL,'[3]Lookup_Rem Ranges'!$C:$C,0)),)</f>
        <v>154600</v>
      </c>
      <c r="AH21" s="193" t="s">
        <v>622</v>
      </c>
      <c r="AI21" s="197"/>
      <c r="AJ21" s="198">
        <v>0</v>
      </c>
      <c r="AK21" s="199"/>
      <c r="AL21" s="200" t="str">
        <f t="shared" si="1"/>
        <v>GI6</v>
      </c>
      <c r="AM21" s="200" t="s">
        <v>486</v>
      </c>
      <c r="AN21" s="197">
        <v>6</v>
      </c>
      <c r="AO21" s="199" t="s">
        <v>701</v>
      </c>
      <c r="AP21" s="5">
        <v>130000</v>
      </c>
      <c r="AQ21" s="10">
        <f t="shared" si="2"/>
        <v>116316</v>
      </c>
      <c r="AR21" s="10">
        <f t="shared" si="3"/>
        <v>130000</v>
      </c>
      <c r="AS21" s="53">
        <v>9.8901098901098897E-2</v>
      </c>
      <c r="AT21" s="53">
        <v>0</v>
      </c>
      <c r="AU21" s="201"/>
      <c r="AV21" s="10"/>
      <c r="AW21" s="54">
        <v>0</v>
      </c>
      <c r="AX21" s="10">
        <v>0</v>
      </c>
      <c r="AY21" s="10">
        <v>130000</v>
      </c>
      <c r="AZ21" s="55">
        <f t="shared" si="4"/>
        <v>0.96726190476190477</v>
      </c>
      <c r="BA21" s="37" t="s">
        <v>23</v>
      </c>
      <c r="BB21" s="38">
        <v>4</v>
      </c>
      <c r="BC21" s="53">
        <f t="shared" si="5"/>
        <v>0</v>
      </c>
      <c r="BD21" s="65">
        <f t="shared" si="6"/>
        <v>0</v>
      </c>
      <c r="BE21" s="44">
        <v>3.2500000000000001E-2</v>
      </c>
      <c r="BF21" s="179">
        <f t="shared" si="7"/>
        <v>4225</v>
      </c>
      <c r="BG21" s="402">
        <v>0</v>
      </c>
      <c r="BH21" s="403">
        <f t="shared" si="8"/>
        <v>0</v>
      </c>
      <c r="BI21" s="44">
        <v>0</v>
      </c>
      <c r="BJ21" s="179">
        <f t="shared" si="9"/>
        <v>0</v>
      </c>
      <c r="BK21" s="179">
        <f t="shared" si="10"/>
        <v>0</v>
      </c>
      <c r="BL21" s="202"/>
      <c r="BM21" s="203">
        <f t="shared" si="11"/>
        <v>3.2500000000000001E-2</v>
      </c>
      <c r="BN21" s="204">
        <f t="shared" si="12"/>
        <v>4225</v>
      </c>
      <c r="BO21" s="16">
        <f t="shared" si="13"/>
        <v>134225</v>
      </c>
      <c r="BP21" s="205">
        <f t="shared" si="14"/>
        <v>14765</v>
      </c>
      <c r="BQ21" s="206">
        <f t="shared" si="15"/>
        <v>148990</v>
      </c>
      <c r="BR21" s="55">
        <f t="shared" si="16"/>
        <v>0.99869791666666663</v>
      </c>
      <c r="BS21" s="64">
        <f t="shared" si="17"/>
        <v>595.89473684210532</v>
      </c>
      <c r="BT21" s="53">
        <f t="shared" si="18"/>
        <v>3.2500000000000001E-2</v>
      </c>
      <c r="BU21" s="65">
        <f t="shared" si="19"/>
        <v>4225</v>
      </c>
      <c r="BV21" s="206">
        <f t="shared" si="20"/>
        <v>120096.05263157895</v>
      </c>
      <c r="BW21" s="207">
        <f t="shared" si="21"/>
        <v>67.930000000000007</v>
      </c>
      <c r="BX21" s="199"/>
      <c r="BY21" s="206">
        <f t="shared" si="22"/>
        <v>148990</v>
      </c>
      <c r="BZ21" s="208" t="s">
        <v>687</v>
      </c>
      <c r="CA21" s="199"/>
      <c r="CB21" s="199"/>
      <c r="CC21" s="200" t="str">
        <f t="shared" si="23"/>
        <v/>
      </c>
      <c r="CD21" s="197"/>
      <c r="CE21" s="197"/>
      <c r="CF21" s="10" t="str">
        <f>IFERROR(INDEX('[4]Lookup_Rem Ranges'!$D:$D,MATCH($CC:$CC,'[4]Lookup_Rem Ranges'!$C:$C,0)),"")</f>
        <v/>
      </c>
      <c r="CG21" s="307"/>
      <c r="CH21" s="307"/>
      <c r="CI21" s="210"/>
      <c r="CJ21" s="122" t="s">
        <v>701</v>
      </c>
      <c r="CK21" s="206">
        <f t="shared" si="24"/>
        <v>0</v>
      </c>
      <c r="CL21" s="206">
        <f t="shared" si="25"/>
        <v>0</v>
      </c>
      <c r="CM21" s="123"/>
      <c r="CN21" s="124">
        <f t="shared" si="26"/>
        <v>0</v>
      </c>
      <c r="CO21" s="124" t="s">
        <v>1376</v>
      </c>
      <c r="CP21" s="125">
        <f t="shared" si="27"/>
        <v>3.2500000000000001E-2</v>
      </c>
      <c r="CQ21" s="126">
        <f t="shared" si="28"/>
        <v>4225</v>
      </c>
      <c r="CR21" s="127">
        <f t="shared" si="29"/>
        <v>0</v>
      </c>
      <c r="CS21" s="128">
        <f t="shared" si="30"/>
        <v>0</v>
      </c>
      <c r="CT21" s="127">
        <f t="shared" si="31"/>
        <v>0</v>
      </c>
      <c r="CU21" s="128">
        <f t="shared" si="32"/>
        <v>0</v>
      </c>
      <c r="CV21" s="127">
        <f t="shared" si="33"/>
        <v>0</v>
      </c>
      <c r="CW21" s="128">
        <f t="shared" si="34"/>
        <v>0</v>
      </c>
      <c r="CX21" s="127">
        <f t="shared" si="35"/>
        <v>0</v>
      </c>
      <c r="CY21" s="128">
        <f t="shared" si="36"/>
        <v>0</v>
      </c>
      <c r="CZ21" s="127">
        <f>$CR:$CR+$CT:CT+$CV:$CV+$CX:$CX</f>
        <v>0</v>
      </c>
      <c r="DA21" s="127">
        <f t="shared" si="37"/>
        <v>0</v>
      </c>
      <c r="DB21" s="127"/>
      <c r="DC21" s="127">
        <f t="shared" si="38"/>
        <v>3.2500000000000001E-2</v>
      </c>
      <c r="DD21" s="128">
        <f t="shared" si="39"/>
        <v>4225</v>
      </c>
      <c r="DE21" s="129">
        <f t="shared" si="40"/>
        <v>0</v>
      </c>
      <c r="DF21" s="128">
        <f t="shared" si="41"/>
        <v>0</v>
      </c>
      <c r="DG21" s="129">
        <f t="shared" si="42"/>
        <v>0</v>
      </c>
      <c r="DH21" s="128">
        <f t="shared" si="43"/>
        <v>0</v>
      </c>
      <c r="DI21" s="127">
        <f t="shared" si="44"/>
        <v>3.2500000000000001E-2</v>
      </c>
      <c r="DJ21" s="128">
        <f t="shared" si="45"/>
        <v>4225</v>
      </c>
      <c r="DK21" s="127">
        <f t="shared" si="46"/>
        <v>0</v>
      </c>
      <c r="DL21" s="128">
        <f t="shared" si="47"/>
        <v>0</v>
      </c>
      <c r="DM21" s="130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 t="s">
        <v>1379</v>
      </c>
      <c r="DX21" s="132"/>
      <c r="DY21" s="132"/>
      <c r="DZ21" s="132"/>
      <c r="EA21" s="132"/>
      <c r="EB21" s="132"/>
      <c r="EC21" s="132"/>
      <c r="ED21" s="132"/>
      <c r="EE21" s="132"/>
      <c r="EF21" s="132"/>
      <c r="EG21" s="132"/>
      <c r="EH21" s="132"/>
      <c r="EI21" s="132"/>
      <c r="EJ21" s="132"/>
      <c r="EK21" s="132"/>
      <c r="EL21" s="132"/>
      <c r="EM21" s="132"/>
      <c r="EN21" s="132"/>
      <c r="EO21" s="132"/>
      <c r="EP21" s="132"/>
      <c r="EQ21" s="132"/>
      <c r="ER21" s="132"/>
      <c r="ES21" s="132"/>
      <c r="ET21" s="132"/>
      <c r="EU21" s="132"/>
      <c r="EV21" s="132"/>
      <c r="EW21" s="132"/>
      <c r="EX21" s="132"/>
      <c r="EY21" s="132"/>
      <c r="EZ21" s="132"/>
      <c r="FA21" s="132"/>
      <c r="FB21" s="132"/>
      <c r="FC21" s="132"/>
      <c r="FD21" s="132"/>
      <c r="FE21" s="132"/>
      <c r="FF21" s="132"/>
      <c r="FG21" s="132"/>
      <c r="FH21" s="132"/>
      <c r="FI21" s="132"/>
      <c r="FJ21" s="132"/>
      <c r="FK21" s="132"/>
      <c r="FL21" s="132"/>
      <c r="FM21" s="132"/>
      <c r="FN21" s="132"/>
      <c r="FO21" s="132"/>
      <c r="FP21" s="132"/>
      <c r="FQ21" s="132"/>
      <c r="FR21" s="132"/>
      <c r="FS21" s="132"/>
      <c r="FT21" s="133"/>
    </row>
    <row r="22" spans="1:176" s="134" customFormat="1" ht="33.75">
      <c r="B22" s="121" t="s">
        <v>490</v>
      </c>
      <c r="C22" s="121" t="s">
        <v>911</v>
      </c>
      <c r="D22" s="121">
        <v>21991</v>
      </c>
      <c r="E22" s="192" t="s">
        <v>912</v>
      </c>
      <c r="F22" s="192" t="s">
        <v>913</v>
      </c>
      <c r="G22" s="192" t="s">
        <v>538</v>
      </c>
      <c r="H22" s="193" t="s">
        <v>914</v>
      </c>
      <c r="I22" s="192" t="s">
        <v>915</v>
      </c>
      <c r="J22" s="192" t="s">
        <v>916</v>
      </c>
      <c r="K22" s="194">
        <v>45047</v>
      </c>
      <c r="L22" s="194"/>
      <c r="M22" s="194">
        <v>45047</v>
      </c>
      <c r="N22" s="195" t="s">
        <v>539</v>
      </c>
      <c r="O22" s="195">
        <v>38</v>
      </c>
      <c r="P22" s="196">
        <f t="shared" si="0"/>
        <v>1</v>
      </c>
      <c r="Q22" s="192" t="s">
        <v>616</v>
      </c>
      <c r="R22" s="192">
        <v>14463</v>
      </c>
      <c r="S22" s="192" t="s">
        <v>917</v>
      </c>
      <c r="T22" s="192" t="s">
        <v>918</v>
      </c>
      <c r="U22" s="192" t="s">
        <v>919</v>
      </c>
      <c r="V22" s="193" t="s">
        <v>543</v>
      </c>
      <c r="W22" s="193" t="s">
        <v>920</v>
      </c>
      <c r="X22" s="193" t="s">
        <v>823</v>
      </c>
      <c r="Y22" s="56" t="s">
        <v>824</v>
      </c>
      <c r="Z22" s="193" t="s">
        <v>823</v>
      </c>
      <c r="AA22" s="193" t="s">
        <v>1365</v>
      </c>
      <c r="AB22" s="56" t="s">
        <v>824</v>
      </c>
      <c r="AC22" s="193" t="s">
        <v>825</v>
      </c>
      <c r="AD22" s="56" t="s">
        <v>826</v>
      </c>
      <c r="AE22" s="10">
        <f>IFERROR(INDEX('[3]Lookup_Rem Ranges'!$D:$D,MATCH($AL:$AL,'[3]Lookup_Rem Ranges'!$C:$C,0)),0)</f>
        <v>213500</v>
      </c>
      <c r="AF22" s="10">
        <f>IFERROR(INDEX('[3]Lookup_Rem Ranges'!$E:$E,MATCH($AL:$AL,'[3]Lookup_Rem Ranges'!$C:$C,0)),0)</f>
        <v>251200</v>
      </c>
      <c r="AG22" s="10">
        <f>IFERROR(INDEX('[3]Lookup_Rem Ranges'!$F:$F,MATCH($AL:$AL,'[3]Lookup_Rem Ranges'!$C:$C,0)),)</f>
        <v>288900</v>
      </c>
      <c r="AH22" s="193" t="s">
        <v>622</v>
      </c>
      <c r="AI22" s="197"/>
      <c r="AJ22" s="198">
        <v>0</v>
      </c>
      <c r="AK22" s="199"/>
      <c r="AL22" s="200" t="str">
        <f t="shared" si="1"/>
        <v>CASS9</v>
      </c>
      <c r="AM22" s="200" t="s">
        <v>487</v>
      </c>
      <c r="AN22" s="197">
        <v>9</v>
      </c>
      <c r="AO22" s="199" t="s">
        <v>701</v>
      </c>
      <c r="AP22" s="5">
        <v>215000</v>
      </c>
      <c r="AQ22" s="10">
        <f t="shared" si="2"/>
        <v>215000</v>
      </c>
      <c r="AR22" s="10">
        <f t="shared" si="3"/>
        <v>215000</v>
      </c>
      <c r="AS22" s="53" t="s">
        <v>790</v>
      </c>
      <c r="AT22" s="53">
        <v>0</v>
      </c>
      <c r="AU22" s="201"/>
      <c r="AV22" s="10"/>
      <c r="AW22" s="54">
        <v>0</v>
      </c>
      <c r="AX22" s="10">
        <v>0</v>
      </c>
      <c r="AY22" s="10">
        <v>215000</v>
      </c>
      <c r="AZ22" s="55">
        <f t="shared" si="4"/>
        <v>0.85589171974522293</v>
      </c>
      <c r="BA22" s="37" t="s">
        <v>23</v>
      </c>
      <c r="BB22" s="38">
        <v>3</v>
      </c>
      <c r="BC22" s="53">
        <f t="shared" si="5"/>
        <v>0</v>
      </c>
      <c r="BD22" s="65">
        <f t="shared" si="6"/>
        <v>0</v>
      </c>
      <c r="BE22" s="44">
        <v>3.2500000000000001E-2</v>
      </c>
      <c r="BF22" s="179">
        <f t="shared" si="7"/>
        <v>6988</v>
      </c>
      <c r="BG22" s="402">
        <v>0</v>
      </c>
      <c r="BH22" s="403">
        <f t="shared" si="8"/>
        <v>0</v>
      </c>
      <c r="BI22" s="44">
        <v>0</v>
      </c>
      <c r="BJ22" s="179">
        <f t="shared" si="9"/>
        <v>0</v>
      </c>
      <c r="BK22" s="179">
        <f t="shared" si="10"/>
        <v>0</v>
      </c>
      <c r="BL22" s="202"/>
      <c r="BM22" s="203">
        <f t="shared" si="11"/>
        <v>3.2500000000000001E-2</v>
      </c>
      <c r="BN22" s="204">
        <f t="shared" si="12"/>
        <v>6988</v>
      </c>
      <c r="BO22" s="16">
        <f t="shared" si="13"/>
        <v>221988</v>
      </c>
      <c r="BP22" s="205">
        <f t="shared" si="14"/>
        <v>24419</v>
      </c>
      <c r="BQ22" s="206">
        <f t="shared" si="15"/>
        <v>246407</v>
      </c>
      <c r="BR22" s="55">
        <f t="shared" si="16"/>
        <v>0.88371019108280258</v>
      </c>
      <c r="BS22" s="64">
        <f t="shared" si="17"/>
        <v>1102</v>
      </c>
      <c r="BT22" s="53">
        <f t="shared" si="18"/>
        <v>3.2500000000000001E-2</v>
      </c>
      <c r="BU22" s="65">
        <f t="shared" si="19"/>
        <v>6988</v>
      </c>
      <c r="BV22" s="206">
        <f t="shared" si="20"/>
        <v>221988</v>
      </c>
      <c r="BW22" s="207">
        <f t="shared" si="21"/>
        <v>112.34</v>
      </c>
      <c r="BX22" s="199"/>
      <c r="BY22" s="206">
        <f t="shared" si="22"/>
        <v>246407</v>
      </c>
      <c r="BZ22" s="208" t="s">
        <v>687</v>
      </c>
      <c r="CA22" s="199"/>
      <c r="CB22" s="199"/>
      <c r="CC22" s="200" t="str">
        <f t="shared" si="23"/>
        <v/>
      </c>
      <c r="CD22" s="197"/>
      <c r="CE22" s="197"/>
      <c r="CF22" s="10" t="str">
        <f>IFERROR(INDEX('[4]Lookup_Rem Ranges'!$D:$D,MATCH($CC:$CC,'[4]Lookup_Rem Ranges'!$C:$C,0)),"")</f>
        <v/>
      </c>
      <c r="CG22" s="307"/>
      <c r="CH22" s="307"/>
      <c r="CI22" s="210"/>
      <c r="CJ22" s="122" t="s">
        <v>701</v>
      </c>
      <c r="CK22" s="206">
        <f t="shared" si="24"/>
        <v>0</v>
      </c>
      <c r="CL22" s="206">
        <f t="shared" si="25"/>
        <v>0</v>
      </c>
      <c r="CM22" s="123"/>
      <c r="CN22" s="124">
        <f t="shared" si="26"/>
        <v>0</v>
      </c>
      <c r="CO22" s="124" t="s">
        <v>1376</v>
      </c>
      <c r="CP22" s="125">
        <f t="shared" si="27"/>
        <v>3.2500000000000001E-2</v>
      </c>
      <c r="CQ22" s="126">
        <f t="shared" si="28"/>
        <v>6988</v>
      </c>
      <c r="CR22" s="127">
        <f t="shared" si="29"/>
        <v>0</v>
      </c>
      <c r="CS22" s="128">
        <f t="shared" si="30"/>
        <v>0</v>
      </c>
      <c r="CT22" s="127">
        <f t="shared" si="31"/>
        <v>0</v>
      </c>
      <c r="CU22" s="128">
        <f t="shared" si="32"/>
        <v>0</v>
      </c>
      <c r="CV22" s="127">
        <f t="shared" si="33"/>
        <v>0</v>
      </c>
      <c r="CW22" s="128">
        <f t="shared" si="34"/>
        <v>0</v>
      </c>
      <c r="CX22" s="127">
        <f t="shared" si="35"/>
        <v>0</v>
      </c>
      <c r="CY22" s="128">
        <f t="shared" si="36"/>
        <v>0</v>
      </c>
      <c r="CZ22" s="127">
        <f>$CR:$CR+$CT:CT+$CV:$CV+$CX:$CX</f>
        <v>0</v>
      </c>
      <c r="DA22" s="127">
        <f t="shared" si="37"/>
        <v>0</v>
      </c>
      <c r="DB22" s="127"/>
      <c r="DC22" s="127">
        <f t="shared" si="38"/>
        <v>3.2500000000000001E-2</v>
      </c>
      <c r="DD22" s="128">
        <f t="shared" si="39"/>
        <v>6988</v>
      </c>
      <c r="DE22" s="129">
        <f t="shared" si="40"/>
        <v>0</v>
      </c>
      <c r="DF22" s="128">
        <f t="shared" si="41"/>
        <v>0</v>
      </c>
      <c r="DG22" s="129">
        <f t="shared" si="42"/>
        <v>0</v>
      </c>
      <c r="DH22" s="128">
        <f t="shared" si="43"/>
        <v>0</v>
      </c>
      <c r="DI22" s="127">
        <f t="shared" si="44"/>
        <v>3.2500000000000001E-2</v>
      </c>
      <c r="DJ22" s="128">
        <f t="shared" si="45"/>
        <v>6988</v>
      </c>
      <c r="DK22" s="127">
        <f t="shared" si="46"/>
        <v>0</v>
      </c>
      <c r="DL22" s="128">
        <f t="shared" si="47"/>
        <v>0</v>
      </c>
      <c r="DM22" s="130"/>
      <c r="DN22" s="131"/>
      <c r="DO22" s="131"/>
      <c r="DP22" s="131"/>
      <c r="DQ22" s="131"/>
      <c r="DR22" s="131"/>
      <c r="DS22" s="131"/>
      <c r="DT22" s="131"/>
      <c r="DU22" s="131"/>
      <c r="DV22" s="131"/>
      <c r="DW22" s="131" t="s">
        <v>1379</v>
      </c>
      <c r="DX22" s="132"/>
      <c r="DY22" s="132"/>
      <c r="DZ22" s="132"/>
      <c r="EA22" s="132"/>
      <c r="EB22" s="132"/>
      <c r="EC22" s="132"/>
      <c r="ED22" s="132"/>
      <c r="EE22" s="132"/>
      <c r="EF22" s="132"/>
      <c r="EG22" s="132"/>
      <c r="EH22" s="132"/>
      <c r="EI22" s="132"/>
      <c r="EJ22" s="132"/>
      <c r="EK22" s="132"/>
      <c r="EL22" s="132"/>
      <c r="EM22" s="132"/>
      <c r="EN22" s="132"/>
      <c r="EO22" s="132"/>
      <c r="EP22" s="132"/>
      <c r="EQ22" s="132"/>
      <c r="ER22" s="132"/>
      <c r="ES22" s="132"/>
      <c r="ET22" s="132"/>
      <c r="EU22" s="132"/>
      <c r="EV22" s="132"/>
      <c r="EW22" s="132"/>
      <c r="EX22" s="132"/>
      <c r="EY22" s="132"/>
      <c r="EZ22" s="132"/>
      <c r="FA22" s="132"/>
      <c r="FB22" s="132"/>
      <c r="FC22" s="132"/>
      <c r="FD22" s="132"/>
      <c r="FE22" s="132"/>
      <c r="FF22" s="132"/>
      <c r="FG22" s="132"/>
      <c r="FH22" s="132"/>
      <c r="FI22" s="132"/>
      <c r="FJ22" s="132"/>
      <c r="FK22" s="132"/>
      <c r="FL22" s="132"/>
      <c r="FM22" s="132"/>
      <c r="FN22" s="132"/>
      <c r="FO22" s="132"/>
      <c r="FP22" s="132"/>
      <c r="FQ22" s="132"/>
      <c r="FR22" s="132"/>
      <c r="FS22" s="132"/>
      <c r="FT22" s="133"/>
    </row>
    <row r="23" spans="1:176" s="134" customFormat="1" ht="33.75">
      <c r="B23" s="121" t="s">
        <v>490</v>
      </c>
      <c r="C23" s="121" t="s">
        <v>1193</v>
      </c>
      <c r="D23" s="121">
        <v>20741</v>
      </c>
      <c r="E23" s="192" t="s">
        <v>936</v>
      </c>
      <c r="F23" s="192" t="s">
        <v>530</v>
      </c>
      <c r="G23" s="192" t="s">
        <v>537</v>
      </c>
      <c r="H23" s="193" t="s">
        <v>1194</v>
      </c>
      <c r="I23" s="192" t="s">
        <v>875</v>
      </c>
      <c r="J23" s="192" t="s">
        <v>876</v>
      </c>
      <c r="K23" s="194">
        <v>42373</v>
      </c>
      <c r="L23" s="194"/>
      <c r="M23" s="194">
        <v>44627</v>
      </c>
      <c r="N23" s="195" t="s">
        <v>539</v>
      </c>
      <c r="O23" s="195">
        <v>38</v>
      </c>
      <c r="P23" s="196">
        <f t="shared" si="0"/>
        <v>1</v>
      </c>
      <c r="Q23" s="192" t="s">
        <v>614</v>
      </c>
      <c r="R23" s="192">
        <v>14463</v>
      </c>
      <c r="S23" s="192" t="s">
        <v>917</v>
      </c>
      <c r="T23" s="192" t="s">
        <v>918</v>
      </c>
      <c r="U23" s="192" t="s">
        <v>919</v>
      </c>
      <c r="V23" s="193" t="s">
        <v>543</v>
      </c>
      <c r="W23" s="193" t="s">
        <v>920</v>
      </c>
      <c r="X23" s="193" t="s">
        <v>823</v>
      </c>
      <c r="Y23" s="56" t="s">
        <v>824</v>
      </c>
      <c r="Z23" s="193" t="s">
        <v>823</v>
      </c>
      <c r="AA23" s="193" t="s">
        <v>1365</v>
      </c>
      <c r="AB23" s="56" t="s">
        <v>824</v>
      </c>
      <c r="AC23" s="193" t="s">
        <v>825</v>
      </c>
      <c r="AD23" s="56" t="s">
        <v>826</v>
      </c>
      <c r="AE23" s="10">
        <f>IFERROR(INDEX('[3]Lookup_Rem Ranges'!$D:$D,MATCH($AL:$AL,'[3]Lookup_Rem Ranges'!$C:$C,0)),0)</f>
        <v>147100</v>
      </c>
      <c r="AF23" s="10">
        <f>IFERROR(INDEX('[3]Lookup_Rem Ranges'!$E:$E,MATCH($AL:$AL,'[3]Lookup_Rem Ranges'!$C:$C,0)),0)</f>
        <v>173100</v>
      </c>
      <c r="AG23" s="10">
        <f>IFERROR(INDEX('[3]Lookup_Rem Ranges'!$F:$F,MATCH($AL:$AL,'[3]Lookup_Rem Ranges'!$C:$C,0)),)</f>
        <v>199100</v>
      </c>
      <c r="AH23" s="193" t="s">
        <v>622</v>
      </c>
      <c r="AI23" s="197"/>
      <c r="AJ23" s="198">
        <v>0</v>
      </c>
      <c r="AK23" s="199"/>
      <c r="AL23" s="200" t="str">
        <f t="shared" si="1"/>
        <v>GI7</v>
      </c>
      <c r="AM23" s="200" t="s">
        <v>486</v>
      </c>
      <c r="AN23" s="197">
        <v>7</v>
      </c>
      <c r="AO23" s="199" t="s">
        <v>701</v>
      </c>
      <c r="AP23" s="5">
        <v>166700</v>
      </c>
      <c r="AQ23" s="10">
        <f t="shared" si="2"/>
        <v>166700</v>
      </c>
      <c r="AR23" s="10">
        <f t="shared" si="3"/>
        <v>166700</v>
      </c>
      <c r="AS23" s="53">
        <v>3.5403726708074533E-2</v>
      </c>
      <c r="AT23" s="53">
        <v>0</v>
      </c>
      <c r="AU23" s="201"/>
      <c r="AV23" s="10"/>
      <c r="AW23" s="54">
        <v>0</v>
      </c>
      <c r="AX23" s="10">
        <v>0</v>
      </c>
      <c r="AY23" s="10">
        <v>166700</v>
      </c>
      <c r="AZ23" s="55">
        <f t="shared" si="4"/>
        <v>0.96302715193529753</v>
      </c>
      <c r="BA23" s="37" t="s">
        <v>23</v>
      </c>
      <c r="BB23" s="38">
        <v>3</v>
      </c>
      <c r="BC23" s="53">
        <f t="shared" si="5"/>
        <v>0</v>
      </c>
      <c r="BD23" s="65">
        <f t="shared" si="6"/>
        <v>0</v>
      </c>
      <c r="BE23" s="44">
        <v>3.2500000000000001E-2</v>
      </c>
      <c r="BF23" s="179">
        <f t="shared" si="7"/>
        <v>5418</v>
      </c>
      <c r="BG23" s="402">
        <v>0</v>
      </c>
      <c r="BH23" s="403">
        <f t="shared" si="8"/>
        <v>0</v>
      </c>
      <c r="BI23" s="44">
        <v>0</v>
      </c>
      <c r="BJ23" s="179">
        <f t="shared" si="9"/>
        <v>0</v>
      </c>
      <c r="BK23" s="179">
        <f t="shared" si="10"/>
        <v>0</v>
      </c>
      <c r="BL23" s="202"/>
      <c r="BM23" s="203">
        <f t="shared" si="11"/>
        <v>3.2500000000000001E-2</v>
      </c>
      <c r="BN23" s="204">
        <f t="shared" si="12"/>
        <v>5418</v>
      </c>
      <c r="BO23" s="16">
        <f t="shared" si="13"/>
        <v>172118</v>
      </c>
      <c r="BP23" s="205">
        <f t="shared" si="14"/>
        <v>18933</v>
      </c>
      <c r="BQ23" s="206">
        <f t="shared" si="15"/>
        <v>191051</v>
      </c>
      <c r="BR23" s="55">
        <f t="shared" si="16"/>
        <v>0.99432697862507224</v>
      </c>
      <c r="BS23" s="64">
        <f t="shared" si="17"/>
        <v>854</v>
      </c>
      <c r="BT23" s="53">
        <f t="shared" si="18"/>
        <v>3.2500000000000001E-2</v>
      </c>
      <c r="BU23" s="65">
        <f t="shared" si="19"/>
        <v>5418</v>
      </c>
      <c r="BV23" s="206">
        <f t="shared" si="20"/>
        <v>172118</v>
      </c>
      <c r="BW23" s="207">
        <f t="shared" si="21"/>
        <v>87.1</v>
      </c>
      <c r="BX23" s="199"/>
      <c r="BY23" s="206">
        <f t="shared" si="22"/>
        <v>191051</v>
      </c>
      <c r="BZ23" s="208" t="s">
        <v>687</v>
      </c>
      <c r="CA23" s="199"/>
      <c r="CB23" s="199"/>
      <c r="CC23" s="200" t="str">
        <f t="shared" si="23"/>
        <v/>
      </c>
      <c r="CD23" s="197"/>
      <c r="CE23" s="197"/>
      <c r="CF23" s="10" t="str">
        <f>IFERROR(INDEX('[4]Lookup_Rem Ranges'!$D:$D,MATCH($CC:$CC,'[4]Lookup_Rem Ranges'!$C:$C,0)),"")</f>
        <v/>
      </c>
      <c r="CG23" s="307"/>
      <c r="CH23" s="307"/>
      <c r="CI23" s="210"/>
      <c r="CJ23" s="122" t="s">
        <v>701</v>
      </c>
      <c r="CK23" s="206">
        <f t="shared" si="24"/>
        <v>0</v>
      </c>
      <c r="CL23" s="206">
        <f t="shared" si="25"/>
        <v>0</v>
      </c>
      <c r="CM23" s="123"/>
      <c r="CN23" s="124">
        <f t="shared" si="26"/>
        <v>0</v>
      </c>
      <c r="CO23" s="124" t="s">
        <v>1376</v>
      </c>
      <c r="CP23" s="125">
        <f t="shared" si="27"/>
        <v>3.2500000000000001E-2</v>
      </c>
      <c r="CQ23" s="126">
        <f t="shared" si="28"/>
        <v>5418</v>
      </c>
      <c r="CR23" s="127">
        <f t="shared" si="29"/>
        <v>0</v>
      </c>
      <c r="CS23" s="128">
        <f t="shared" si="30"/>
        <v>0</v>
      </c>
      <c r="CT23" s="127">
        <f t="shared" si="31"/>
        <v>0</v>
      </c>
      <c r="CU23" s="128">
        <f t="shared" si="32"/>
        <v>0</v>
      </c>
      <c r="CV23" s="127">
        <f t="shared" si="33"/>
        <v>0</v>
      </c>
      <c r="CW23" s="128">
        <f t="shared" si="34"/>
        <v>0</v>
      </c>
      <c r="CX23" s="127">
        <f t="shared" si="35"/>
        <v>0</v>
      </c>
      <c r="CY23" s="128">
        <f t="shared" si="36"/>
        <v>0</v>
      </c>
      <c r="CZ23" s="127">
        <f>$CR:$CR+$CT:CT+$CV:$CV+$CX:$CX</f>
        <v>0</v>
      </c>
      <c r="DA23" s="127">
        <f t="shared" si="37"/>
        <v>0</v>
      </c>
      <c r="DB23" s="127"/>
      <c r="DC23" s="127">
        <f t="shared" si="38"/>
        <v>3.2500000000000001E-2</v>
      </c>
      <c r="DD23" s="128">
        <f t="shared" si="39"/>
        <v>5418</v>
      </c>
      <c r="DE23" s="129">
        <f t="shared" si="40"/>
        <v>0</v>
      </c>
      <c r="DF23" s="128">
        <f t="shared" si="41"/>
        <v>0</v>
      </c>
      <c r="DG23" s="129">
        <f t="shared" si="42"/>
        <v>0</v>
      </c>
      <c r="DH23" s="128">
        <f t="shared" si="43"/>
        <v>0</v>
      </c>
      <c r="DI23" s="127">
        <f t="shared" si="44"/>
        <v>3.2500000000000001E-2</v>
      </c>
      <c r="DJ23" s="128">
        <f t="shared" si="45"/>
        <v>5418</v>
      </c>
      <c r="DK23" s="127">
        <f t="shared" si="46"/>
        <v>0</v>
      </c>
      <c r="DL23" s="128">
        <f t="shared" si="47"/>
        <v>0</v>
      </c>
      <c r="DM23" s="130"/>
      <c r="DN23" s="131"/>
      <c r="DO23" s="131"/>
      <c r="DP23" s="131"/>
      <c r="DQ23" s="131"/>
      <c r="DR23" s="131"/>
      <c r="DS23" s="131"/>
      <c r="DT23" s="131"/>
      <c r="DU23" s="131"/>
      <c r="DV23" s="131"/>
      <c r="DW23" s="131" t="s">
        <v>1379</v>
      </c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3"/>
    </row>
    <row r="24" spans="1:176" s="134" customFormat="1" ht="33.75">
      <c r="B24" s="121" t="s">
        <v>490</v>
      </c>
      <c r="C24" s="121" t="s">
        <v>1336</v>
      </c>
      <c r="D24" s="121">
        <v>15882</v>
      </c>
      <c r="E24" s="192" t="s">
        <v>515</v>
      </c>
      <c r="F24" s="192" t="s">
        <v>903</v>
      </c>
      <c r="G24" s="192" t="s">
        <v>538</v>
      </c>
      <c r="H24" s="193" t="s">
        <v>1330</v>
      </c>
      <c r="I24" s="192" t="s">
        <v>1337</v>
      </c>
      <c r="J24" s="192" t="s">
        <v>1332</v>
      </c>
      <c r="K24" s="194">
        <v>42396</v>
      </c>
      <c r="L24" s="194"/>
      <c r="M24" s="194">
        <v>44746</v>
      </c>
      <c r="N24" s="195" t="s">
        <v>539</v>
      </c>
      <c r="O24" s="195">
        <v>38</v>
      </c>
      <c r="P24" s="196">
        <f t="shared" si="0"/>
        <v>1</v>
      </c>
      <c r="Q24" s="192" t="s">
        <v>615</v>
      </c>
      <c r="R24" s="192">
        <v>5120</v>
      </c>
      <c r="S24" s="192" t="s">
        <v>1150</v>
      </c>
      <c r="T24" s="192" t="s">
        <v>960</v>
      </c>
      <c r="U24" s="192" t="s">
        <v>961</v>
      </c>
      <c r="V24" s="193" t="s">
        <v>543</v>
      </c>
      <c r="W24" s="193" t="s">
        <v>544</v>
      </c>
      <c r="X24" s="193" t="s">
        <v>823</v>
      </c>
      <c r="Y24" s="56" t="s">
        <v>824</v>
      </c>
      <c r="Z24" s="193" t="s">
        <v>837</v>
      </c>
      <c r="AA24" s="192" t="s">
        <v>845</v>
      </c>
      <c r="AB24" s="57" t="s">
        <v>1366</v>
      </c>
      <c r="AC24" s="193" t="s">
        <v>825</v>
      </c>
      <c r="AD24" s="56" t="s">
        <v>826</v>
      </c>
      <c r="AE24" s="10">
        <f>IFERROR(INDEX('[3]Lookup_Rem Ranges'!$D:$D,MATCH($AL:$AL,'[3]Lookup_Rem Ranges'!$C:$C,0)),0)</f>
        <v>64900</v>
      </c>
      <c r="AF24" s="10">
        <f>IFERROR(INDEX('[3]Lookup_Rem Ranges'!$E:$E,MATCH($AL:$AL,'[3]Lookup_Rem Ranges'!$C:$C,0)),0)</f>
        <v>76300</v>
      </c>
      <c r="AG24" s="10">
        <f>IFERROR(INDEX('[3]Lookup_Rem Ranges'!$F:$F,MATCH($AL:$AL,'[3]Lookup_Rem Ranges'!$C:$C,0)),)</f>
        <v>87700</v>
      </c>
      <c r="AH24" s="193" t="s">
        <v>622</v>
      </c>
      <c r="AI24" s="197"/>
      <c r="AJ24" s="198">
        <v>0</v>
      </c>
      <c r="AK24" s="199"/>
      <c r="AL24" s="200" t="str">
        <f t="shared" si="1"/>
        <v>GI3</v>
      </c>
      <c r="AM24" s="200" t="s">
        <v>486</v>
      </c>
      <c r="AN24" s="197">
        <v>3</v>
      </c>
      <c r="AO24" s="199" t="s">
        <v>827</v>
      </c>
      <c r="AP24" s="5">
        <v>67600</v>
      </c>
      <c r="AQ24" s="10">
        <f t="shared" si="2"/>
        <v>67600</v>
      </c>
      <c r="AR24" s="10">
        <f t="shared" si="3"/>
        <v>0</v>
      </c>
      <c r="AS24" s="53">
        <v>1.5625E-2</v>
      </c>
      <c r="AT24" s="53">
        <v>0</v>
      </c>
      <c r="AU24" s="201"/>
      <c r="AV24" s="10"/>
      <c r="AW24" s="54">
        <v>0</v>
      </c>
      <c r="AX24" s="10">
        <v>0</v>
      </c>
      <c r="AY24" s="10">
        <v>67600</v>
      </c>
      <c r="AZ24" s="55">
        <f t="shared" si="4"/>
        <v>0.88597640891218876</v>
      </c>
      <c r="BA24" s="37" t="s">
        <v>687</v>
      </c>
      <c r="BB24" s="38">
        <v>3</v>
      </c>
      <c r="BC24" s="53">
        <f t="shared" si="5"/>
        <v>0</v>
      </c>
      <c r="BD24" s="65">
        <f t="shared" si="6"/>
        <v>0</v>
      </c>
      <c r="BE24" s="44">
        <v>0</v>
      </c>
      <c r="BF24" s="179">
        <f t="shared" si="7"/>
        <v>0</v>
      </c>
      <c r="BG24" s="402">
        <v>0</v>
      </c>
      <c r="BH24" s="403">
        <f t="shared" si="8"/>
        <v>0</v>
      </c>
      <c r="BI24" s="44">
        <v>0</v>
      </c>
      <c r="BJ24" s="179">
        <f t="shared" si="9"/>
        <v>0</v>
      </c>
      <c r="BK24" s="179">
        <f t="shared" si="10"/>
        <v>0</v>
      </c>
      <c r="BL24" s="202"/>
      <c r="BM24" s="203">
        <f t="shared" si="11"/>
        <v>0</v>
      </c>
      <c r="BN24" s="204">
        <f t="shared" si="12"/>
        <v>0</v>
      </c>
      <c r="BO24" s="16">
        <f t="shared" si="13"/>
        <v>67600</v>
      </c>
      <c r="BP24" s="205">
        <f t="shared" si="14"/>
        <v>7436</v>
      </c>
      <c r="BQ24" s="206">
        <f t="shared" si="15"/>
        <v>75036</v>
      </c>
      <c r="BR24" s="55">
        <f t="shared" si="16"/>
        <v>0.88597640891218876</v>
      </c>
      <c r="BS24" s="64">
        <f t="shared" si="17"/>
        <v>0</v>
      </c>
      <c r="BT24" s="53">
        <f t="shared" si="18"/>
        <v>0</v>
      </c>
      <c r="BU24" s="65">
        <f t="shared" si="19"/>
        <v>0</v>
      </c>
      <c r="BV24" s="206">
        <f t="shared" si="20"/>
        <v>67600</v>
      </c>
      <c r="BW24" s="207">
        <f t="shared" si="21"/>
        <v>34.21</v>
      </c>
      <c r="BX24" s="199"/>
      <c r="BY24" s="206">
        <f t="shared" si="22"/>
        <v>75036</v>
      </c>
      <c r="BZ24" s="208" t="s">
        <v>687</v>
      </c>
      <c r="CA24" s="199"/>
      <c r="CB24" s="199"/>
      <c r="CC24" s="200" t="str">
        <f t="shared" si="23"/>
        <v/>
      </c>
      <c r="CD24" s="197"/>
      <c r="CE24" s="197"/>
      <c r="CF24" s="10" t="str">
        <f>IFERROR(INDEX('[4]Lookup_Rem Ranges'!$D:$D,MATCH($CC:$CC,'[4]Lookup_Rem Ranges'!$C:$C,0)),"")</f>
        <v/>
      </c>
      <c r="CG24" s="307"/>
      <c r="CH24" s="307"/>
      <c r="CI24" s="210"/>
      <c r="CJ24" s="122" t="s">
        <v>701</v>
      </c>
      <c r="CK24" s="206">
        <f t="shared" si="24"/>
        <v>0</v>
      </c>
      <c r="CL24" s="206">
        <f t="shared" si="25"/>
        <v>0</v>
      </c>
      <c r="CM24" s="123"/>
      <c r="CN24" s="124">
        <f t="shared" si="26"/>
        <v>0</v>
      </c>
      <c r="CO24" s="124" t="s">
        <v>1376</v>
      </c>
      <c r="CP24" s="125">
        <f t="shared" si="27"/>
        <v>0</v>
      </c>
      <c r="CQ24" s="126">
        <f t="shared" si="28"/>
        <v>0</v>
      </c>
      <c r="CR24" s="127">
        <f t="shared" si="29"/>
        <v>0</v>
      </c>
      <c r="CS24" s="128">
        <f t="shared" si="30"/>
        <v>0</v>
      </c>
      <c r="CT24" s="127">
        <f t="shared" si="31"/>
        <v>0</v>
      </c>
      <c r="CU24" s="128">
        <f t="shared" si="32"/>
        <v>0</v>
      </c>
      <c r="CV24" s="127">
        <f t="shared" si="33"/>
        <v>0</v>
      </c>
      <c r="CW24" s="128">
        <f t="shared" si="34"/>
        <v>0</v>
      </c>
      <c r="CX24" s="127">
        <f t="shared" si="35"/>
        <v>0</v>
      </c>
      <c r="CY24" s="128">
        <f t="shared" si="36"/>
        <v>0</v>
      </c>
      <c r="CZ24" s="127">
        <f>$CR:$CR+$CT:CT+$CV:$CV+$CX:$CX</f>
        <v>0</v>
      </c>
      <c r="DA24" s="127">
        <f t="shared" si="37"/>
        <v>0</v>
      </c>
      <c r="DB24" s="127"/>
      <c r="DC24" s="127">
        <f t="shared" si="38"/>
        <v>0</v>
      </c>
      <c r="DD24" s="128">
        <f t="shared" si="39"/>
        <v>0</v>
      </c>
      <c r="DE24" s="129">
        <f t="shared" si="40"/>
        <v>0</v>
      </c>
      <c r="DF24" s="128">
        <f t="shared" si="41"/>
        <v>0</v>
      </c>
      <c r="DG24" s="129">
        <f t="shared" si="42"/>
        <v>0</v>
      </c>
      <c r="DH24" s="128">
        <f t="shared" si="43"/>
        <v>0</v>
      </c>
      <c r="DI24" s="127">
        <f t="shared" si="44"/>
        <v>0</v>
      </c>
      <c r="DJ24" s="128">
        <f t="shared" si="45"/>
        <v>0</v>
      </c>
      <c r="DK24" s="127">
        <f t="shared" si="46"/>
        <v>0</v>
      </c>
      <c r="DL24" s="128">
        <f t="shared" si="47"/>
        <v>0</v>
      </c>
      <c r="DM24" s="130"/>
      <c r="DN24" s="131"/>
      <c r="DO24" s="131"/>
      <c r="DP24" s="131"/>
      <c r="DQ24" s="131"/>
      <c r="DR24" s="131"/>
      <c r="DS24" s="131"/>
      <c r="DT24" s="131"/>
      <c r="DU24" s="131"/>
      <c r="DV24" s="131"/>
      <c r="DW24" s="131" t="s">
        <v>1379</v>
      </c>
      <c r="DX24" s="132"/>
      <c r="DY24" s="132"/>
      <c r="DZ24" s="132"/>
      <c r="EA24" s="132"/>
      <c r="EB24" s="132"/>
      <c r="EC24" s="132"/>
      <c r="ED24" s="132"/>
      <c r="EE24" s="132"/>
      <c r="EF24" s="132"/>
      <c r="EG24" s="132"/>
      <c r="EH24" s="132"/>
      <c r="EI24" s="132"/>
      <c r="EJ24" s="132"/>
      <c r="EK24" s="132"/>
      <c r="EL24" s="132"/>
      <c r="EM24" s="132"/>
      <c r="EN24" s="132"/>
      <c r="EO24" s="132"/>
      <c r="EP24" s="132"/>
      <c r="EQ24" s="132"/>
      <c r="ER24" s="132"/>
      <c r="ES24" s="132"/>
      <c r="ET24" s="132"/>
      <c r="EU24" s="132"/>
      <c r="EV24" s="132"/>
      <c r="EW24" s="132"/>
      <c r="EX24" s="132"/>
      <c r="EY24" s="132"/>
      <c r="EZ24" s="132"/>
      <c r="FA24" s="132"/>
      <c r="FB24" s="132"/>
      <c r="FC24" s="132"/>
      <c r="FD24" s="132"/>
      <c r="FE24" s="132"/>
      <c r="FF24" s="132"/>
      <c r="FG24" s="132"/>
      <c r="FH24" s="132"/>
      <c r="FI24" s="132"/>
      <c r="FJ24" s="132"/>
      <c r="FK24" s="132"/>
      <c r="FL24" s="132"/>
      <c r="FM24" s="132"/>
      <c r="FN24" s="132"/>
      <c r="FO24" s="132"/>
      <c r="FP24" s="132"/>
      <c r="FQ24" s="132"/>
      <c r="FR24" s="132"/>
      <c r="FS24" s="132"/>
      <c r="FT24" s="133"/>
    </row>
    <row r="25" spans="1:176" s="134" customFormat="1" ht="36">
      <c r="B25" s="121" t="s">
        <v>490</v>
      </c>
      <c r="C25" s="121" t="s">
        <v>1145</v>
      </c>
      <c r="D25" s="121">
        <v>5088</v>
      </c>
      <c r="E25" s="192" t="s">
        <v>1146</v>
      </c>
      <c r="F25" s="192" t="s">
        <v>497</v>
      </c>
      <c r="G25" s="192" t="s">
        <v>537</v>
      </c>
      <c r="H25" s="193" t="s">
        <v>1147</v>
      </c>
      <c r="I25" s="192" t="s">
        <v>1148</v>
      </c>
      <c r="J25" s="192" t="s">
        <v>1149</v>
      </c>
      <c r="K25" s="194">
        <v>37291</v>
      </c>
      <c r="L25" s="194"/>
      <c r="M25" s="194">
        <v>44655</v>
      </c>
      <c r="N25" s="195" t="s">
        <v>539</v>
      </c>
      <c r="O25" s="195">
        <v>38</v>
      </c>
      <c r="P25" s="196">
        <f t="shared" si="0"/>
        <v>1</v>
      </c>
      <c r="Q25" s="192" t="s">
        <v>615</v>
      </c>
      <c r="R25" s="192">
        <v>5120</v>
      </c>
      <c r="S25" s="192" t="s">
        <v>1150</v>
      </c>
      <c r="T25" s="192" t="s">
        <v>960</v>
      </c>
      <c r="U25" s="192" t="s">
        <v>961</v>
      </c>
      <c r="V25" s="193" t="s">
        <v>543</v>
      </c>
      <c r="W25" s="193" t="s">
        <v>544</v>
      </c>
      <c r="X25" s="193" t="s">
        <v>823</v>
      </c>
      <c r="Y25" s="56" t="s">
        <v>824</v>
      </c>
      <c r="Z25" s="193" t="s">
        <v>837</v>
      </c>
      <c r="AA25" s="192" t="s">
        <v>845</v>
      </c>
      <c r="AB25" s="57" t="s">
        <v>1366</v>
      </c>
      <c r="AC25" s="193" t="s">
        <v>825</v>
      </c>
      <c r="AD25" s="56" t="s">
        <v>826</v>
      </c>
      <c r="AE25" s="10">
        <f>IFERROR(INDEX('[3]Lookup_Rem Ranges'!$D:$D,MATCH($AL:$AL,'[3]Lookup_Rem Ranges'!$C:$C,0)),0)</f>
        <v>64900</v>
      </c>
      <c r="AF25" s="10">
        <f>IFERROR(INDEX('[3]Lookup_Rem Ranges'!$E:$E,MATCH($AL:$AL,'[3]Lookup_Rem Ranges'!$C:$C,0)),0)</f>
        <v>76300</v>
      </c>
      <c r="AG25" s="10">
        <f>IFERROR(INDEX('[3]Lookup_Rem Ranges'!$F:$F,MATCH($AL:$AL,'[3]Lookup_Rem Ranges'!$C:$C,0)),)</f>
        <v>87700</v>
      </c>
      <c r="AH25" s="193" t="s">
        <v>622</v>
      </c>
      <c r="AI25" s="197"/>
      <c r="AJ25" s="198">
        <v>0</v>
      </c>
      <c r="AK25" s="199"/>
      <c r="AL25" s="200" t="str">
        <f t="shared" si="1"/>
        <v>GI3</v>
      </c>
      <c r="AM25" s="200" t="s">
        <v>486</v>
      </c>
      <c r="AN25" s="197">
        <v>3</v>
      </c>
      <c r="AO25" s="199" t="s">
        <v>1359</v>
      </c>
      <c r="AP25" s="5">
        <v>64100</v>
      </c>
      <c r="AQ25" s="10">
        <f t="shared" si="2"/>
        <v>64100</v>
      </c>
      <c r="AR25" s="10">
        <f t="shared" si="3"/>
        <v>0</v>
      </c>
      <c r="AS25" s="53">
        <v>1.1090573012939002E-2</v>
      </c>
      <c r="AT25" s="53">
        <v>0</v>
      </c>
      <c r="AU25" s="201"/>
      <c r="AV25" s="10"/>
      <c r="AW25" s="54">
        <v>0</v>
      </c>
      <c r="AX25" s="10">
        <v>0</v>
      </c>
      <c r="AY25" s="10">
        <v>64100</v>
      </c>
      <c r="AZ25" s="55">
        <f t="shared" si="4"/>
        <v>0.84010484927916118</v>
      </c>
      <c r="BA25" s="37" t="s">
        <v>687</v>
      </c>
      <c r="BB25" s="38">
        <v>3</v>
      </c>
      <c r="BC25" s="53">
        <f t="shared" si="5"/>
        <v>0</v>
      </c>
      <c r="BD25" s="65">
        <v>0</v>
      </c>
      <c r="BE25" s="44">
        <v>0</v>
      </c>
      <c r="BF25" s="179">
        <f t="shared" si="7"/>
        <v>0</v>
      </c>
      <c r="BG25" s="402">
        <v>0</v>
      </c>
      <c r="BH25" s="403">
        <f t="shared" si="8"/>
        <v>0</v>
      </c>
      <c r="BI25" s="44">
        <v>0</v>
      </c>
      <c r="BJ25" s="179">
        <f t="shared" si="9"/>
        <v>0</v>
      </c>
      <c r="BK25" s="179">
        <f t="shared" si="10"/>
        <v>0</v>
      </c>
      <c r="BL25" s="202"/>
      <c r="BM25" s="203">
        <f t="shared" si="11"/>
        <v>0</v>
      </c>
      <c r="BN25" s="204">
        <f t="shared" si="12"/>
        <v>0</v>
      </c>
      <c r="BO25" s="16">
        <f t="shared" si="13"/>
        <v>64100</v>
      </c>
      <c r="BP25" s="205">
        <f t="shared" si="14"/>
        <v>7051</v>
      </c>
      <c r="BQ25" s="206">
        <f t="shared" si="15"/>
        <v>71151</v>
      </c>
      <c r="BR25" s="55">
        <f t="shared" si="16"/>
        <v>0.84010484927916118</v>
      </c>
      <c r="BS25" s="64">
        <f t="shared" si="17"/>
        <v>0</v>
      </c>
      <c r="BT25" s="53">
        <f t="shared" si="18"/>
        <v>0</v>
      </c>
      <c r="BU25" s="65">
        <f t="shared" si="19"/>
        <v>0</v>
      </c>
      <c r="BV25" s="206">
        <f t="shared" si="20"/>
        <v>64100</v>
      </c>
      <c r="BW25" s="207">
        <f t="shared" si="21"/>
        <v>32.44</v>
      </c>
      <c r="BX25" s="199"/>
      <c r="BY25" s="206">
        <f t="shared" si="22"/>
        <v>71151</v>
      </c>
      <c r="BZ25" s="208" t="s">
        <v>687</v>
      </c>
      <c r="CA25" s="199"/>
      <c r="CB25" s="199"/>
      <c r="CC25" s="200" t="str">
        <f t="shared" si="23"/>
        <v/>
      </c>
      <c r="CD25" s="197"/>
      <c r="CE25" s="197"/>
      <c r="CF25" s="10" t="str">
        <f>IFERROR(INDEX('[4]Lookup_Rem Ranges'!$D:$D,MATCH($CC:$CC,'[4]Lookup_Rem Ranges'!$C:$C,0)),"")</f>
        <v/>
      </c>
      <c r="CG25" s="307"/>
      <c r="CH25" s="307"/>
      <c r="CI25" s="210"/>
      <c r="CJ25" s="122" t="s">
        <v>701</v>
      </c>
      <c r="CK25" s="206">
        <f t="shared" si="24"/>
        <v>0</v>
      </c>
      <c r="CL25" s="206">
        <f t="shared" si="25"/>
        <v>0</v>
      </c>
      <c r="CM25" s="123"/>
      <c r="CN25" s="124">
        <f t="shared" si="26"/>
        <v>0</v>
      </c>
      <c r="CO25" s="124" t="s">
        <v>1376</v>
      </c>
      <c r="CP25" s="125">
        <f t="shared" si="27"/>
        <v>0</v>
      </c>
      <c r="CQ25" s="126">
        <f t="shared" si="28"/>
        <v>0</v>
      </c>
      <c r="CR25" s="127">
        <f t="shared" si="29"/>
        <v>0</v>
      </c>
      <c r="CS25" s="128">
        <f t="shared" si="30"/>
        <v>0</v>
      </c>
      <c r="CT25" s="127">
        <f t="shared" si="31"/>
        <v>0</v>
      </c>
      <c r="CU25" s="128">
        <f t="shared" si="32"/>
        <v>0</v>
      </c>
      <c r="CV25" s="127">
        <f t="shared" si="33"/>
        <v>0</v>
      </c>
      <c r="CW25" s="128">
        <f t="shared" si="34"/>
        <v>0</v>
      </c>
      <c r="CX25" s="127">
        <f t="shared" si="35"/>
        <v>0</v>
      </c>
      <c r="CY25" s="128">
        <f t="shared" si="36"/>
        <v>0</v>
      </c>
      <c r="CZ25" s="127">
        <f>$CR:$CR+$CT:CT+$CV:$CV+$CX:$CX</f>
        <v>0</v>
      </c>
      <c r="DA25" s="127">
        <f t="shared" si="37"/>
        <v>0</v>
      </c>
      <c r="DB25" s="127"/>
      <c r="DC25" s="127">
        <f t="shared" si="38"/>
        <v>0</v>
      </c>
      <c r="DD25" s="128">
        <f t="shared" si="39"/>
        <v>0</v>
      </c>
      <c r="DE25" s="129">
        <f t="shared" si="40"/>
        <v>0</v>
      </c>
      <c r="DF25" s="128">
        <f t="shared" si="41"/>
        <v>0</v>
      </c>
      <c r="DG25" s="129">
        <f t="shared" si="42"/>
        <v>0</v>
      </c>
      <c r="DH25" s="128">
        <f t="shared" si="43"/>
        <v>0</v>
      </c>
      <c r="DI25" s="127">
        <f t="shared" si="44"/>
        <v>0</v>
      </c>
      <c r="DJ25" s="128">
        <f t="shared" si="45"/>
        <v>0</v>
      </c>
      <c r="DK25" s="127">
        <f t="shared" si="46"/>
        <v>0</v>
      </c>
      <c r="DL25" s="128">
        <f t="shared" si="47"/>
        <v>0</v>
      </c>
      <c r="DM25" s="130"/>
      <c r="DN25" s="131"/>
      <c r="DO25" s="131"/>
      <c r="DP25" s="131"/>
      <c r="DQ25" s="131"/>
      <c r="DR25" s="131"/>
      <c r="DS25" s="131"/>
      <c r="DT25" s="131"/>
      <c r="DU25" s="131"/>
      <c r="DV25" s="131"/>
      <c r="DW25" s="131" t="s">
        <v>1379</v>
      </c>
      <c r="DX25" s="132"/>
      <c r="DY25" s="132"/>
      <c r="DZ25" s="132"/>
      <c r="EA25" s="132"/>
      <c r="EB25" s="132"/>
      <c r="EC25" s="132"/>
      <c r="ED25" s="132"/>
      <c r="EE25" s="132"/>
      <c r="EF25" s="132"/>
      <c r="EG25" s="132"/>
      <c r="EH25" s="132"/>
      <c r="EI25" s="132"/>
      <c r="EJ25" s="132"/>
      <c r="EK25" s="132"/>
      <c r="EL25" s="132"/>
      <c r="EM25" s="132"/>
      <c r="EN25" s="132"/>
      <c r="EO25" s="132"/>
      <c r="EP25" s="132"/>
      <c r="EQ25" s="132"/>
      <c r="ER25" s="132"/>
      <c r="ES25" s="132"/>
      <c r="ET25" s="132"/>
      <c r="EU25" s="132"/>
      <c r="EV25" s="132"/>
      <c r="EW25" s="132"/>
      <c r="EX25" s="132"/>
      <c r="EY25" s="132"/>
      <c r="EZ25" s="132"/>
      <c r="FA25" s="132"/>
      <c r="FB25" s="132"/>
      <c r="FC25" s="132"/>
      <c r="FD25" s="132"/>
      <c r="FE25" s="132"/>
      <c r="FF25" s="132"/>
      <c r="FG25" s="132"/>
      <c r="FH25" s="132"/>
      <c r="FI25" s="132"/>
      <c r="FJ25" s="132"/>
      <c r="FK25" s="132"/>
      <c r="FL25" s="132"/>
      <c r="FM25" s="132"/>
      <c r="FN25" s="132"/>
      <c r="FO25" s="132"/>
      <c r="FP25" s="132"/>
      <c r="FQ25" s="132"/>
      <c r="FR25" s="132"/>
      <c r="FS25" s="132"/>
      <c r="FT25" s="133"/>
    </row>
    <row r="26" spans="1:176" ht="33.75">
      <c r="A26" s="134"/>
      <c r="B26" s="121" t="s">
        <v>490</v>
      </c>
      <c r="C26" s="121" t="s">
        <v>1159</v>
      </c>
      <c r="D26" s="121">
        <v>21170</v>
      </c>
      <c r="E26" s="192" t="s">
        <v>813</v>
      </c>
      <c r="F26" s="192" t="s">
        <v>1160</v>
      </c>
      <c r="G26" s="192" t="s">
        <v>537</v>
      </c>
      <c r="H26" s="193" t="s">
        <v>1161</v>
      </c>
      <c r="I26" s="192" t="s">
        <v>1162</v>
      </c>
      <c r="J26" s="192" t="s">
        <v>1163</v>
      </c>
      <c r="K26" s="194">
        <v>44761</v>
      </c>
      <c r="L26" s="194"/>
      <c r="M26" s="194">
        <v>44761</v>
      </c>
      <c r="N26" s="195" t="s">
        <v>539</v>
      </c>
      <c r="O26" s="195">
        <v>38</v>
      </c>
      <c r="P26" s="196">
        <f t="shared" si="0"/>
        <v>1</v>
      </c>
      <c r="Q26" s="192" t="s">
        <v>553</v>
      </c>
      <c r="R26" s="192">
        <v>18797</v>
      </c>
      <c r="S26" s="192" t="s">
        <v>1164</v>
      </c>
      <c r="T26" s="192" t="s">
        <v>1165</v>
      </c>
      <c r="U26" s="192" t="s">
        <v>1166</v>
      </c>
      <c r="V26" s="193" t="s">
        <v>543</v>
      </c>
      <c r="W26" s="193" t="s">
        <v>544</v>
      </c>
      <c r="X26" s="193" t="s">
        <v>823</v>
      </c>
      <c r="Y26" s="56" t="s">
        <v>824</v>
      </c>
      <c r="Z26" s="193" t="s">
        <v>837</v>
      </c>
      <c r="AA26" s="192" t="s">
        <v>845</v>
      </c>
      <c r="AB26" s="57" t="s">
        <v>1366</v>
      </c>
      <c r="AC26" s="193" t="s">
        <v>825</v>
      </c>
      <c r="AD26" s="56" t="s">
        <v>826</v>
      </c>
      <c r="AE26" s="10">
        <f>IFERROR(INDEX('[3]Lookup_Rem Ranges'!$D:$D,MATCH($AL:$AL,'[3]Lookup_Rem Ranges'!$C:$C,0)),0)</f>
        <v>64900</v>
      </c>
      <c r="AF26" s="10">
        <f>IFERROR(INDEX('[3]Lookup_Rem Ranges'!$E:$E,MATCH($AL:$AL,'[3]Lookup_Rem Ranges'!$C:$C,0)),0)</f>
        <v>76300</v>
      </c>
      <c r="AG26" s="10">
        <f>IFERROR(INDEX('[3]Lookup_Rem Ranges'!$F:$F,MATCH($AL:$AL,'[3]Lookup_Rem Ranges'!$C:$C,0)),)</f>
        <v>87700</v>
      </c>
      <c r="AH26" s="193" t="s">
        <v>622</v>
      </c>
      <c r="AI26" s="197"/>
      <c r="AJ26" s="198">
        <v>0</v>
      </c>
      <c r="AK26" s="199"/>
      <c r="AL26" s="200" t="str">
        <f t="shared" si="1"/>
        <v>GI3</v>
      </c>
      <c r="AM26" s="200" t="s">
        <v>486</v>
      </c>
      <c r="AN26" s="197">
        <v>3</v>
      </c>
      <c r="AO26" s="199" t="s">
        <v>827</v>
      </c>
      <c r="AP26" s="5">
        <v>72000</v>
      </c>
      <c r="AQ26" s="10">
        <f t="shared" si="2"/>
        <v>72000</v>
      </c>
      <c r="AR26" s="10">
        <f t="shared" si="3"/>
        <v>0</v>
      </c>
      <c r="AS26" s="53" t="s">
        <v>790</v>
      </c>
      <c r="AT26" s="53">
        <v>0</v>
      </c>
      <c r="AU26" s="201"/>
      <c r="AV26" s="10"/>
      <c r="AW26" s="54">
        <v>0</v>
      </c>
      <c r="AX26" s="10">
        <v>0</v>
      </c>
      <c r="AY26" s="10">
        <v>72000</v>
      </c>
      <c r="AZ26" s="55">
        <f t="shared" si="4"/>
        <v>0.94364351245085187</v>
      </c>
      <c r="BA26" s="37" t="s">
        <v>687</v>
      </c>
      <c r="BB26" s="38">
        <v>3</v>
      </c>
      <c r="BC26" s="53">
        <f t="shared" si="5"/>
        <v>0</v>
      </c>
      <c r="BD26" s="65">
        <f>ROUND(IF($AY:$AY&lt;$AE:$AE,$AE:$AE-$AY:$AY,0),0)</f>
        <v>0</v>
      </c>
      <c r="BE26" s="44">
        <v>0</v>
      </c>
      <c r="BF26" s="179">
        <f t="shared" si="7"/>
        <v>0</v>
      </c>
      <c r="BG26" s="402">
        <v>0</v>
      </c>
      <c r="BH26" s="403">
        <f t="shared" si="8"/>
        <v>0</v>
      </c>
      <c r="BI26" s="44">
        <v>0</v>
      </c>
      <c r="BJ26" s="179">
        <f t="shared" si="9"/>
        <v>0</v>
      </c>
      <c r="BK26" s="179">
        <f t="shared" si="10"/>
        <v>0</v>
      </c>
      <c r="BL26" s="202"/>
      <c r="BM26" s="203">
        <f t="shared" si="11"/>
        <v>0</v>
      </c>
      <c r="BN26" s="204">
        <f t="shared" si="12"/>
        <v>0</v>
      </c>
      <c r="BO26" s="16">
        <f t="shared" si="13"/>
        <v>72000</v>
      </c>
      <c r="BP26" s="205">
        <f t="shared" si="14"/>
        <v>7920</v>
      </c>
      <c r="BQ26" s="206">
        <f t="shared" si="15"/>
        <v>79920</v>
      </c>
      <c r="BR26" s="55">
        <f t="shared" si="16"/>
        <v>0.94364351245085187</v>
      </c>
      <c r="BS26" s="64">
        <f t="shared" si="17"/>
        <v>0</v>
      </c>
      <c r="BT26" s="53">
        <f t="shared" si="18"/>
        <v>0</v>
      </c>
      <c r="BU26" s="65">
        <f t="shared" si="19"/>
        <v>0</v>
      </c>
      <c r="BV26" s="206">
        <f t="shared" si="20"/>
        <v>72000</v>
      </c>
      <c r="BW26" s="207">
        <f t="shared" si="21"/>
        <v>36.44</v>
      </c>
      <c r="BX26" s="199"/>
      <c r="BY26" s="206">
        <f t="shared" si="22"/>
        <v>79920</v>
      </c>
      <c r="BZ26" s="208" t="s">
        <v>687</v>
      </c>
      <c r="CA26" s="199"/>
      <c r="CB26" s="199"/>
      <c r="CC26" s="200" t="str">
        <f t="shared" si="23"/>
        <v/>
      </c>
      <c r="CD26" s="197"/>
      <c r="CE26" s="197"/>
      <c r="CF26" s="10" t="str">
        <f>IFERROR(INDEX('[4]Lookup_Rem Ranges'!$D:$D,MATCH($CC:$CC,'[4]Lookup_Rem Ranges'!$C:$C,0)),"")</f>
        <v/>
      </c>
      <c r="CG26" s="307"/>
      <c r="CH26" s="307"/>
      <c r="CI26" s="210"/>
      <c r="CJ26" s="122" t="s">
        <v>701</v>
      </c>
      <c r="CK26" s="206">
        <f t="shared" si="24"/>
        <v>0</v>
      </c>
      <c r="CL26" s="206">
        <f t="shared" si="25"/>
        <v>0</v>
      </c>
      <c r="CM26" s="123"/>
      <c r="CN26" s="124">
        <f t="shared" si="26"/>
        <v>0</v>
      </c>
      <c r="CO26" s="124" t="s">
        <v>1376</v>
      </c>
      <c r="CP26" s="125">
        <f t="shared" si="27"/>
        <v>0</v>
      </c>
      <c r="CQ26" s="126">
        <f t="shared" si="28"/>
        <v>0</v>
      </c>
      <c r="CR26" s="127">
        <f t="shared" si="29"/>
        <v>0</v>
      </c>
      <c r="CS26" s="128">
        <f t="shared" si="30"/>
        <v>0</v>
      </c>
      <c r="CT26" s="127">
        <f t="shared" si="31"/>
        <v>0</v>
      </c>
      <c r="CU26" s="128">
        <f t="shared" si="32"/>
        <v>0</v>
      </c>
      <c r="CV26" s="127">
        <f t="shared" si="33"/>
        <v>0</v>
      </c>
      <c r="CW26" s="128">
        <f t="shared" si="34"/>
        <v>0</v>
      </c>
      <c r="CX26" s="127">
        <f t="shared" si="35"/>
        <v>0</v>
      </c>
      <c r="CY26" s="128">
        <f t="shared" si="36"/>
        <v>0</v>
      </c>
      <c r="CZ26" s="127">
        <f>$CR:$CR+$CT:CT+$CV:$CV+$CX:$CX</f>
        <v>0</v>
      </c>
      <c r="DA26" s="127">
        <f t="shared" si="37"/>
        <v>0</v>
      </c>
      <c r="DB26" s="127"/>
      <c r="DC26" s="127">
        <f t="shared" si="38"/>
        <v>0</v>
      </c>
      <c r="DD26" s="128">
        <f t="shared" si="39"/>
        <v>0</v>
      </c>
      <c r="DE26" s="129">
        <f t="shared" si="40"/>
        <v>0</v>
      </c>
      <c r="DF26" s="128">
        <f t="shared" si="41"/>
        <v>0</v>
      </c>
      <c r="DG26" s="129">
        <f t="shared" si="42"/>
        <v>0</v>
      </c>
      <c r="DH26" s="128">
        <f t="shared" si="43"/>
        <v>0</v>
      </c>
      <c r="DI26" s="127">
        <f t="shared" si="44"/>
        <v>0</v>
      </c>
      <c r="DJ26" s="128">
        <f t="shared" si="45"/>
        <v>0</v>
      </c>
      <c r="DK26" s="127">
        <f t="shared" si="46"/>
        <v>0</v>
      </c>
      <c r="DL26" s="128">
        <f t="shared" si="47"/>
        <v>0</v>
      </c>
      <c r="DM26" s="130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 t="s">
        <v>1379</v>
      </c>
    </row>
    <row r="27" spans="1:176" ht="24" customHeight="1">
      <c r="A27" s="134"/>
      <c r="B27" s="121" t="s">
        <v>490</v>
      </c>
      <c r="C27" s="121" t="s">
        <v>1040</v>
      </c>
      <c r="D27" s="121">
        <v>7728</v>
      </c>
      <c r="E27" s="192" t="s">
        <v>501</v>
      </c>
      <c r="F27" s="192" t="s">
        <v>1041</v>
      </c>
      <c r="G27" s="192" t="s">
        <v>537</v>
      </c>
      <c r="H27" s="193" t="s">
        <v>1042</v>
      </c>
      <c r="I27" s="192" t="s">
        <v>1043</v>
      </c>
      <c r="J27" s="192" t="s">
        <v>1044</v>
      </c>
      <c r="K27" s="194">
        <v>38979</v>
      </c>
      <c r="L27" s="194"/>
      <c r="M27" s="194">
        <v>44936</v>
      </c>
      <c r="N27" s="195" t="s">
        <v>540</v>
      </c>
      <c r="O27" s="195">
        <v>32</v>
      </c>
      <c r="P27" s="196">
        <f t="shared" si="0"/>
        <v>0.84210526315789469</v>
      </c>
      <c r="Q27" s="192" t="s">
        <v>615</v>
      </c>
      <c r="R27" s="192">
        <v>4212</v>
      </c>
      <c r="S27" s="192" t="s">
        <v>1045</v>
      </c>
      <c r="T27" s="192" t="s">
        <v>1046</v>
      </c>
      <c r="U27" s="192" t="s">
        <v>1047</v>
      </c>
      <c r="V27" s="193" t="s">
        <v>543</v>
      </c>
      <c r="W27" s="193" t="s">
        <v>544</v>
      </c>
      <c r="X27" s="193" t="s">
        <v>823</v>
      </c>
      <c r="Y27" s="56" t="s">
        <v>824</v>
      </c>
      <c r="Z27" s="193" t="s">
        <v>837</v>
      </c>
      <c r="AA27" s="192" t="s">
        <v>845</v>
      </c>
      <c r="AB27" s="57" t="s">
        <v>1366</v>
      </c>
      <c r="AC27" s="193" t="s">
        <v>825</v>
      </c>
      <c r="AD27" s="56" t="s">
        <v>826</v>
      </c>
      <c r="AE27" s="10">
        <f>IFERROR(INDEX('[3]Lookup_Rem Ranges'!$D:$D,MATCH($AL:$AL,'[3]Lookup_Rem Ranges'!$C:$C,0)),0)</f>
        <v>57100</v>
      </c>
      <c r="AF27" s="10">
        <f>IFERROR(INDEX('[3]Lookup_Rem Ranges'!$E:$E,MATCH($AL:$AL,'[3]Lookup_Rem Ranges'!$C:$C,0)),0)</f>
        <v>67200</v>
      </c>
      <c r="AG27" s="10">
        <f>IFERROR(INDEX('[3]Lookup_Rem Ranges'!$F:$F,MATCH($AL:$AL,'[3]Lookup_Rem Ranges'!$C:$C,0)),)</f>
        <v>77300</v>
      </c>
      <c r="AH27" s="193" t="s">
        <v>622</v>
      </c>
      <c r="AI27" s="197"/>
      <c r="AJ27" s="198">
        <v>0</v>
      </c>
      <c r="AK27" s="199"/>
      <c r="AL27" s="200" t="str">
        <f t="shared" si="1"/>
        <v>GI2</v>
      </c>
      <c r="AM27" s="200" t="s">
        <v>486</v>
      </c>
      <c r="AN27" s="197">
        <v>2</v>
      </c>
      <c r="AO27" s="199" t="s">
        <v>827</v>
      </c>
      <c r="AP27" s="5">
        <v>68567</v>
      </c>
      <c r="AQ27" s="10">
        <f t="shared" si="2"/>
        <v>57741</v>
      </c>
      <c r="AR27" s="10">
        <f t="shared" si="3"/>
        <v>0</v>
      </c>
      <c r="AS27" s="53" t="s">
        <v>790</v>
      </c>
      <c r="AT27" s="53">
        <v>0</v>
      </c>
      <c r="AU27" s="201"/>
      <c r="AV27" s="10"/>
      <c r="AW27" s="54">
        <v>0</v>
      </c>
      <c r="AX27" s="10">
        <v>0</v>
      </c>
      <c r="AY27" s="10">
        <v>68567</v>
      </c>
      <c r="AZ27" s="55">
        <f t="shared" si="4"/>
        <v>1.020342261904762</v>
      </c>
      <c r="BA27" s="37" t="s">
        <v>687</v>
      </c>
      <c r="BB27" s="38">
        <v>3</v>
      </c>
      <c r="BC27" s="53">
        <f t="shared" si="5"/>
        <v>0</v>
      </c>
      <c r="BD27" s="65">
        <f>ROUND(IF($AY:$AY&lt;$AE:$AE,$AE:$AE-$AY:$AY,0),0)</f>
        <v>0</v>
      </c>
      <c r="BE27" s="44">
        <v>0</v>
      </c>
      <c r="BF27" s="179">
        <f t="shared" si="7"/>
        <v>0</v>
      </c>
      <c r="BG27" s="402">
        <v>0</v>
      </c>
      <c r="BH27" s="403">
        <f t="shared" si="8"/>
        <v>0</v>
      </c>
      <c r="BI27" s="44">
        <v>0</v>
      </c>
      <c r="BJ27" s="179">
        <f t="shared" si="9"/>
        <v>0</v>
      </c>
      <c r="BK27" s="179">
        <f t="shared" si="10"/>
        <v>0</v>
      </c>
      <c r="BL27" s="202"/>
      <c r="BM27" s="203">
        <f t="shared" si="11"/>
        <v>0</v>
      </c>
      <c r="BN27" s="204">
        <f t="shared" si="12"/>
        <v>0</v>
      </c>
      <c r="BO27" s="16">
        <f t="shared" si="13"/>
        <v>68567</v>
      </c>
      <c r="BP27" s="205">
        <f t="shared" si="14"/>
        <v>7542</v>
      </c>
      <c r="BQ27" s="206">
        <f t="shared" si="15"/>
        <v>76109</v>
      </c>
      <c r="BR27" s="55">
        <f t="shared" si="16"/>
        <v>1.020342261904762</v>
      </c>
      <c r="BS27" s="64">
        <f t="shared" si="17"/>
        <v>0</v>
      </c>
      <c r="BT27" s="53">
        <f t="shared" si="18"/>
        <v>0</v>
      </c>
      <c r="BU27" s="65">
        <f t="shared" si="19"/>
        <v>0</v>
      </c>
      <c r="BV27" s="206">
        <f t="shared" si="20"/>
        <v>57740.631578947367</v>
      </c>
      <c r="BW27" s="207">
        <f t="shared" si="21"/>
        <v>34.700000000000003</v>
      </c>
      <c r="BX27" s="199"/>
      <c r="BY27" s="206">
        <f t="shared" si="22"/>
        <v>76109</v>
      </c>
      <c r="BZ27" s="208" t="s">
        <v>687</v>
      </c>
      <c r="CA27" s="199"/>
      <c r="CB27" s="199"/>
      <c r="CC27" s="200" t="str">
        <f t="shared" si="23"/>
        <v/>
      </c>
      <c r="CD27" s="197"/>
      <c r="CE27" s="197"/>
      <c r="CF27" s="10" t="str">
        <f>IFERROR(INDEX('[4]Lookup_Rem Ranges'!$D:$D,MATCH($CC:$CC,'[4]Lookup_Rem Ranges'!$C:$C,0)),"")</f>
        <v/>
      </c>
      <c r="CG27" s="307"/>
      <c r="CH27" s="307"/>
      <c r="CI27" s="210"/>
      <c r="CJ27" s="122" t="s">
        <v>701</v>
      </c>
      <c r="CK27" s="206">
        <f t="shared" si="24"/>
        <v>0</v>
      </c>
      <c r="CL27" s="206">
        <f t="shared" si="25"/>
        <v>0</v>
      </c>
      <c r="CM27" s="123"/>
      <c r="CN27" s="124">
        <f t="shared" si="26"/>
        <v>0</v>
      </c>
      <c r="CO27" s="124" t="s">
        <v>1376</v>
      </c>
      <c r="CP27" s="125">
        <f t="shared" si="27"/>
        <v>0</v>
      </c>
      <c r="CQ27" s="126">
        <f t="shared" si="28"/>
        <v>0</v>
      </c>
      <c r="CR27" s="127">
        <f t="shared" si="29"/>
        <v>0</v>
      </c>
      <c r="CS27" s="128">
        <f t="shared" si="30"/>
        <v>0</v>
      </c>
      <c r="CT27" s="127">
        <f t="shared" si="31"/>
        <v>0</v>
      </c>
      <c r="CU27" s="128">
        <f t="shared" si="32"/>
        <v>0</v>
      </c>
      <c r="CV27" s="127">
        <f t="shared" si="33"/>
        <v>0</v>
      </c>
      <c r="CW27" s="128">
        <f t="shared" si="34"/>
        <v>0</v>
      </c>
      <c r="CX27" s="127">
        <f t="shared" si="35"/>
        <v>0</v>
      </c>
      <c r="CY27" s="128">
        <f t="shared" si="36"/>
        <v>0</v>
      </c>
      <c r="CZ27" s="127">
        <f>$CR:$CR+$CT:CT+$CV:$CV+$CX:$CX</f>
        <v>0</v>
      </c>
      <c r="DA27" s="127">
        <f t="shared" si="37"/>
        <v>0</v>
      </c>
      <c r="DB27" s="127"/>
      <c r="DC27" s="127">
        <f t="shared" si="38"/>
        <v>0</v>
      </c>
      <c r="DD27" s="128">
        <f t="shared" si="39"/>
        <v>0</v>
      </c>
      <c r="DE27" s="129">
        <f t="shared" si="40"/>
        <v>0</v>
      </c>
      <c r="DF27" s="128">
        <f t="shared" si="41"/>
        <v>0</v>
      </c>
      <c r="DG27" s="129">
        <f t="shared" si="42"/>
        <v>0</v>
      </c>
      <c r="DH27" s="128">
        <f t="shared" si="43"/>
        <v>0</v>
      </c>
      <c r="DI27" s="127">
        <f t="shared" si="44"/>
        <v>0</v>
      </c>
      <c r="DJ27" s="128">
        <f t="shared" si="45"/>
        <v>0</v>
      </c>
      <c r="DK27" s="127">
        <f t="shared" si="46"/>
        <v>0</v>
      </c>
      <c r="DL27" s="128">
        <f t="shared" si="47"/>
        <v>0</v>
      </c>
      <c r="DM27" s="130"/>
      <c r="DN27" s="131"/>
      <c r="DO27" s="131"/>
      <c r="DP27" s="131"/>
      <c r="DQ27" s="131"/>
      <c r="DR27" s="131"/>
      <c r="DS27" s="131"/>
      <c r="DT27" s="131"/>
      <c r="DU27" s="131"/>
      <c r="DV27" s="131"/>
      <c r="DW27" s="131" t="s">
        <v>1379</v>
      </c>
    </row>
    <row r="28" spans="1:176" ht="33.75">
      <c r="A28" s="134"/>
      <c r="B28" s="121" t="s">
        <v>490</v>
      </c>
      <c r="C28" s="121" t="s">
        <v>998</v>
      </c>
      <c r="D28" s="121">
        <v>17456</v>
      </c>
      <c r="E28" s="192" t="s">
        <v>492</v>
      </c>
      <c r="F28" s="192" t="s">
        <v>999</v>
      </c>
      <c r="G28" s="192" t="s">
        <v>537</v>
      </c>
      <c r="H28" s="193" t="s">
        <v>1000</v>
      </c>
      <c r="I28" s="192" t="s">
        <v>1001</v>
      </c>
      <c r="J28" s="192" t="s">
        <v>1002</v>
      </c>
      <c r="K28" s="194">
        <v>43087</v>
      </c>
      <c r="L28" s="194"/>
      <c r="M28" s="194">
        <v>44188</v>
      </c>
      <c r="N28" s="195" t="s">
        <v>539</v>
      </c>
      <c r="O28" s="195">
        <v>38</v>
      </c>
      <c r="P28" s="196">
        <f t="shared" si="0"/>
        <v>1</v>
      </c>
      <c r="Q28" s="192" t="s">
        <v>553</v>
      </c>
      <c r="R28" s="192">
        <v>18151</v>
      </c>
      <c r="S28" s="192" t="s">
        <v>962</v>
      </c>
      <c r="T28" s="192" t="s">
        <v>963</v>
      </c>
      <c r="U28" s="192" t="s">
        <v>964</v>
      </c>
      <c r="V28" s="193" t="s">
        <v>543</v>
      </c>
      <c r="W28" s="193" t="s">
        <v>544</v>
      </c>
      <c r="X28" s="193" t="s">
        <v>823</v>
      </c>
      <c r="Y28" s="56" t="s">
        <v>824</v>
      </c>
      <c r="Z28" s="193" t="s">
        <v>837</v>
      </c>
      <c r="AA28" s="192" t="s">
        <v>845</v>
      </c>
      <c r="AB28" s="57" t="s">
        <v>1366</v>
      </c>
      <c r="AC28" s="193" t="s">
        <v>825</v>
      </c>
      <c r="AD28" s="56" t="s">
        <v>826</v>
      </c>
      <c r="AE28" s="10">
        <f>IFERROR(INDEX('[3]Lookup_Rem Ranges'!$D:$D,MATCH($AL:$AL,'[3]Lookup_Rem Ranges'!$C:$C,0)),0)</f>
        <v>73500</v>
      </c>
      <c r="AF28" s="10">
        <f>IFERROR(INDEX('[3]Lookup_Rem Ranges'!$E:$E,MATCH($AL:$AL,'[3]Lookup_Rem Ranges'!$C:$C,0)),0)</f>
        <v>86500</v>
      </c>
      <c r="AG28" s="10">
        <f>IFERROR(INDEX('[3]Lookup_Rem Ranges'!$F:$F,MATCH($AL:$AL,'[3]Lookup_Rem Ranges'!$C:$C,0)),)</f>
        <v>99500</v>
      </c>
      <c r="AH28" s="193" t="s">
        <v>622</v>
      </c>
      <c r="AI28" s="197"/>
      <c r="AJ28" s="198">
        <v>0</v>
      </c>
      <c r="AK28" s="199"/>
      <c r="AL28" s="200" t="str">
        <f t="shared" si="1"/>
        <v>GI4</v>
      </c>
      <c r="AM28" s="200" t="s">
        <v>486</v>
      </c>
      <c r="AN28" s="197">
        <v>4</v>
      </c>
      <c r="AO28" s="199" t="s">
        <v>1358</v>
      </c>
      <c r="AP28" s="5">
        <v>62500</v>
      </c>
      <c r="AQ28" s="10">
        <f t="shared" si="2"/>
        <v>62500</v>
      </c>
      <c r="AR28" s="10">
        <f t="shared" si="3"/>
        <v>62500</v>
      </c>
      <c r="AS28" s="53">
        <v>2.6272577996715927E-2</v>
      </c>
      <c r="AT28" s="53">
        <v>0</v>
      </c>
      <c r="AU28" s="201"/>
      <c r="AV28" s="10"/>
      <c r="AW28" s="54">
        <v>0</v>
      </c>
      <c r="AX28" s="10">
        <v>0</v>
      </c>
      <c r="AY28" s="10">
        <v>62500</v>
      </c>
      <c r="AZ28" s="55">
        <f t="shared" si="4"/>
        <v>0.7225433526011561</v>
      </c>
      <c r="BA28" s="37" t="s">
        <v>23</v>
      </c>
      <c r="BB28" s="38">
        <v>3</v>
      </c>
      <c r="BC28" s="53">
        <f t="shared" si="5"/>
        <v>0.17599999999999999</v>
      </c>
      <c r="BD28" s="65">
        <f>ROUND(IF($AY:$AY&lt;$AE:$AE,$AE:$AE-$AY:$AY,0),0)</f>
        <v>11000</v>
      </c>
      <c r="BE28" s="44">
        <v>0</v>
      </c>
      <c r="BF28" s="179">
        <f t="shared" si="7"/>
        <v>0</v>
      </c>
      <c r="BG28" s="402">
        <v>0</v>
      </c>
      <c r="BH28" s="403">
        <f t="shared" si="8"/>
        <v>0</v>
      </c>
      <c r="BI28" s="44">
        <v>0</v>
      </c>
      <c r="BJ28" s="179">
        <f t="shared" si="9"/>
        <v>0</v>
      </c>
      <c r="BK28" s="179">
        <f t="shared" si="10"/>
        <v>0</v>
      </c>
      <c r="BL28" s="202"/>
      <c r="BM28" s="203">
        <f t="shared" si="11"/>
        <v>0.17599999999999999</v>
      </c>
      <c r="BN28" s="204">
        <f t="shared" si="12"/>
        <v>11000</v>
      </c>
      <c r="BO28" s="16">
        <f t="shared" si="13"/>
        <v>73500</v>
      </c>
      <c r="BP28" s="205">
        <f t="shared" si="14"/>
        <v>8085</v>
      </c>
      <c r="BQ28" s="206">
        <f t="shared" si="15"/>
        <v>81585</v>
      </c>
      <c r="BR28" s="55">
        <f t="shared" si="16"/>
        <v>0.8497109826589595</v>
      </c>
      <c r="BS28" s="64">
        <f t="shared" si="17"/>
        <v>1735</v>
      </c>
      <c r="BT28" s="53">
        <f t="shared" si="18"/>
        <v>0.17599999999999999</v>
      </c>
      <c r="BU28" s="65">
        <f t="shared" si="19"/>
        <v>11000</v>
      </c>
      <c r="BV28" s="206">
        <f t="shared" si="20"/>
        <v>73500</v>
      </c>
      <c r="BW28" s="207">
        <f t="shared" si="21"/>
        <v>37.200000000000003</v>
      </c>
      <c r="BX28" s="199"/>
      <c r="BY28" s="206">
        <f t="shared" si="22"/>
        <v>81585</v>
      </c>
      <c r="BZ28" s="208" t="s">
        <v>687</v>
      </c>
      <c r="CA28" s="199"/>
      <c r="CB28" s="199"/>
      <c r="CC28" s="200" t="str">
        <f t="shared" si="23"/>
        <v/>
      </c>
      <c r="CD28" s="197"/>
      <c r="CE28" s="197"/>
      <c r="CF28" s="10" t="str">
        <f>IFERROR(INDEX('[4]Lookup_Rem Ranges'!$D:$D,MATCH($CC:$CC,'[4]Lookup_Rem Ranges'!$C:$C,0)),"")</f>
        <v/>
      </c>
      <c r="CG28" s="307"/>
      <c r="CH28" s="307"/>
      <c r="CI28" s="210"/>
      <c r="CJ28" s="122" t="s">
        <v>701</v>
      </c>
      <c r="CK28" s="206">
        <f t="shared" si="24"/>
        <v>0</v>
      </c>
      <c r="CL28" s="206">
        <f t="shared" si="25"/>
        <v>0</v>
      </c>
      <c r="CM28" s="123"/>
      <c r="CN28" s="124">
        <f t="shared" si="26"/>
        <v>0</v>
      </c>
      <c r="CO28" s="124" t="s">
        <v>1376</v>
      </c>
      <c r="CP28" s="125">
        <f t="shared" si="27"/>
        <v>3.2500000000000001E-2</v>
      </c>
      <c r="CQ28" s="126">
        <f t="shared" si="28"/>
        <v>2031</v>
      </c>
      <c r="CR28" s="127">
        <f t="shared" si="29"/>
        <v>0</v>
      </c>
      <c r="CS28" s="128">
        <f t="shared" si="30"/>
        <v>0</v>
      </c>
      <c r="CT28" s="127">
        <f t="shared" si="31"/>
        <v>0</v>
      </c>
      <c r="CU28" s="128">
        <f t="shared" si="32"/>
        <v>0</v>
      </c>
      <c r="CV28" s="127">
        <f t="shared" si="33"/>
        <v>3.2500000000000001E-2</v>
      </c>
      <c r="CW28" s="128">
        <f t="shared" si="34"/>
        <v>2031</v>
      </c>
      <c r="CX28" s="127">
        <f t="shared" si="35"/>
        <v>0.14349999999999999</v>
      </c>
      <c r="CY28" s="128">
        <f t="shared" si="36"/>
        <v>8969</v>
      </c>
      <c r="CZ28" s="127">
        <f>$CR:$CR+$CT:CT+$CV:$CV+$CX:$CX</f>
        <v>0.17599999999999999</v>
      </c>
      <c r="DA28" s="127">
        <f t="shared" si="37"/>
        <v>0</v>
      </c>
      <c r="DB28" s="127"/>
      <c r="DC28" s="127">
        <f t="shared" si="38"/>
        <v>0</v>
      </c>
      <c r="DD28" s="128">
        <f t="shared" si="39"/>
        <v>0</v>
      </c>
      <c r="DE28" s="129">
        <f t="shared" si="40"/>
        <v>0</v>
      </c>
      <c r="DF28" s="128">
        <f t="shared" si="41"/>
        <v>0</v>
      </c>
      <c r="DG28" s="129">
        <f t="shared" si="42"/>
        <v>0</v>
      </c>
      <c r="DH28" s="128">
        <f t="shared" si="43"/>
        <v>0</v>
      </c>
      <c r="DI28" s="127">
        <f t="shared" si="44"/>
        <v>3.2500000000000001E-2</v>
      </c>
      <c r="DJ28" s="128">
        <f t="shared" si="45"/>
        <v>2031</v>
      </c>
      <c r="DK28" s="127">
        <f t="shared" si="46"/>
        <v>0.14349999999999999</v>
      </c>
      <c r="DL28" s="128">
        <f t="shared" si="47"/>
        <v>8969</v>
      </c>
      <c r="DM28" s="130"/>
      <c r="DN28" s="131"/>
      <c r="DO28" s="131"/>
      <c r="DP28" s="131"/>
      <c r="DQ28" s="131"/>
      <c r="DR28" s="131"/>
      <c r="DS28" s="131"/>
      <c r="DT28" s="131"/>
      <c r="DU28" s="131"/>
      <c r="DV28" s="131"/>
      <c r="DW28" s="131" t="s">
        <v>1379</v>
      </c>
    </row>
    <row r="29" spans="1:176" ht="33.75">
      <c r="A29" s="134"/>
      <c r="B29" s="121" t="s">
        <v>490</v>
      </c>
      <c r="C29" s="121" t="s">
        <v>957</v>
      </c>
      <c r="D29" s="121">
        <v>5120</v>
      </c>
      <c r="E29" s="192" t="s">
        <v>798</v>
      </c>
      <c r="F29" s="192" t="s">
        <v>958</v>
      </c>
      <c r="G29" s="192" t="s">
        <v>537</v>
      </c>
      <c r="H29" s="193" t="s">
        <v>959</v>
      </c>
      <c r="I29" s="192" t="s">
        <v>960</v>
      </c>
      <c r="J29" s="192" t="s">
        <v>961</v>
      </c>
      <c r="K29" s="194">
        <v>34099</v>
      </c>
      <c r="L29" s="194"/>
      <c r="M29" s="194">
        <v>44795</v>
      </c>
      <c r="N29" s="195" t="s">
        <v>539</v>
      </c>
      <c r="O29" s="195">
        <v>38</v>
      </c>
      <c r="P29" s="196">
        <f t="shared" si="0"/>
        <v>1</v>
      </c>
      <c r="Q29" s="192" t="s">
        <v>617</v>
      </c>
      <c r="R29" s="192">
        <v>18151</v>
      </c>
      <c r="S29" s="192" t="s">
        <v>962</v>
      </c>
      <c r="T29" s="192" t="s">
        <v>963</v>
      </c>
      <c r="U29" s="192" t="s">
        <v>964</v>
      </c>
      <c r="V29" s="193" t="s">
        <v>543</v>
      </c>
      <c r="W29" s="193" t="s">
        <v>544</v>
      </c>
      <c r="X29" s="193" t="s">
        <v>823</v>
      </c>
      <c r="Y29" s="56" t="s">
        <v>824</v>
      </c>
      <c r="Z29" s="193" t="s">
        <v>837</v>
      </c>
      <c r="AA29" s="192" t="s">
        <v>845</v>
      </c>
      <c r="AB29" s="57" t="s">
        <v>1366</v>
      </c>
      <c r="AC29" s="193" t="s">
        <v>825</v>
      </c>
      <c r="AD29" s="56" t="s">
        <v>826</v>
      </c>
      <c r="AE29" s="10">
        <f>IFERROR(INDEX('[3]Lookup_Rem Ranges'!$D:$D,MATCH($AL:$AL,'[3]Lookup_Rem Ranges'!$C:$C,0)),0)</f>
        <v>73500</v>
      </c>
      <c r="AF29" s="10">
        <f>IFERROR(INDEX('[3]Lookup_Rem Ranges'!$E:$E,MATCH($AL:$AL,'[3]Lookup_Rem Ranges'!$C:$C,0)),0)</f>
        <v>86500</v>
      </c>
      <c r="AG29" s="10">
        <f>IFERROR(INDEX('[3]Lookup_Rem Ranges'!$F:$F,MATCH($AL:$AL,'[3]Lookup_Rem Ranges'!$C:$C,0)),)</f>
        <v>99500</v>
      </c>
      <c r="AH29" s="193" t="s">
        <v>965</v>
      </c>
      <c r="AI29" s="197"/>
      <c r="AJ29" s="198">
        <v>0</v>
      </c>
      <c r="AK29" s="199"/>
      <c r="AL29" s="200" t="str">
        <f t="shared" si="1"/>
        <v>GI4</v>
      </c>
      <c r="AM29" s="200" t="s">
        <v>486</v>
      </c>
      <c r="AN29" s="197">
        <v>4</v>
      </c>
      <c r="AO29" s="199" t="s">
        <v>701</v>
      </c>
      <c r="AP29" s="5">
        <v>87500</v>
      </c>
      <c r="AQ29" s="10">
        <f t="shared" si="2"/>
        <v>87500</v>
      </c>
      <c r="AR29" s="10">
        <f t="shared" si="3"/>
        <v>87500</v>
      </c>
      <c r="AS29" s="53">
        <v>2.0645161290322581E-2</v>
      </c>
      <c r="AT29" s="53">
        <v>0</v>
      </c>
      <c r="AU29" s="201"/>
      <c r="AV29" s="10"/>
      <c r="AW29" s="54">
        <v>0</v>
      </c>
      <c r="AX29" s="10">
        <v>0</v>
      </c>
      <c r="AY29" s="10">
        <v>87500</v>
      </c>
      <c r="AZ29" s="55">
        <f t="shared" si="4"/>
        <v>1.0115606936416186</v>
      </c>
      <c r="BA29" s="37" t="s">
        <v>23</v>
      </c>
      <c r="BB29" s="38">
        <v>3</v>
      </c>
      <c r="BC29" s="53">
        <f t="shared" si="5"/>
        <v>0</v>
      </c>
      <c r="BD29" s="65">
        <f>ROUND(IF($AY:$AY&lt;$AE:$AE,$AE:$AE-$AY:$AY,0),0)</f>
        <v>0</v>
      </c>
      <c r="BE29" s="44">
        <v>3.2500000000000001E-2</v>
      </c>
      <c r="BF29" s="179">
        <f t="shared" si="7"/>
        <v>2844</v>
      </c>
      <c r="BG29" s="402">
        <v>0</v>
      </c>
      <c r="BH29" s="403">
        <f t="shared" si="8"/>
        <v>0</v>
      </c>
      <c r="BI29" s="44">
        <v>0</v>
      </c>
      <c r="BJ29" s="179">
        <f t="shared" si="9"/>
        <v>0</v>
      </c>
      <c r="BK29" s="179">
        <f t="shared" si="10"/>
        <v>0</v>
      </c>
      <c r="BL29" s="202"/>
      <c r="BM29" s="203">
        <f t="shared" si="11"/>
        <v>3.2500000000000001E-2</v>
      </c>
      <c r="BN29" s="204">
        <f t="shared" si="12"/>
        <v>2844</v>
      </c>
      <c r="BO29" s="16">
        <f t="shared" si="13"/>
        <v>90344</v>
      </c>
      <c r="BP29" s="205">
        <f t="shared" si="14"/>
        <v>9938</v>
      </c>
      <c r="BQ29" s="206">
        <f t="shared" si="15"/>
        <v>100282</v>
      </c>
      <c r="BR29" s="55">
        <f t="shared" si="16"/>
        <v>1.0444393063583814</v>
      </c>
      <c r="BS29" s="64">
        <f t="shared" si="17"/>
        <v>448</v>
      </c>
      <c r="BT29" s="53">
        <f t="shared" si="18"/>
        <v>3.2500000000000001E-2</v>
      </c>
      <c r="BU29" s="65">
        <f t="shared" si="19"/>
        <v>2844</v>
      </c>
      <c r="BV29" s="206">
        <f t="shared" si="20"/>
        <v>90344</v>
      </c>
      <c r="BW29" s="207">
        <f t="shared" si="21"/>
        <v>45.72</v>
      </c>
      <c r="BX29" s="199"/>
      <c r="BY29" s="206">
        <f t="shared" si="22"/>
        <v>100282</v>
      </c>
      <c r="BZ29" s="208" t="s">
        <v>687</v>
      </c>
      <c r="CA29" s="199"/>
      <c r="CB29" s="199"/>
      <c r="CC29" s="200" t="str">
        <f t="shared" si="23"/>
        <v/>
      </c>
      <c r="CD29" s="197"/>
      <c r="CE29" s="197"/>
      <c r="CF29" s="10" t="str">
        <f>IFERROR(INDEX('[4]Lookup_Rem Ranges'!$D:$D,MATCH($CC:$CC,'[4]Lookup_Rem Ranges'!$C:$C,0)),"")</f>
        <v/>
      </c>
      <c r="CG29" s="307"/>
      <c r="CH29" s="307"/>
      <c r="CI29" s="210"/>
      <c r="CJ29" s="122" t="s">
        <v>701</v>
      </c>
      <c r="CK29" s="206">
        <f t="shared" si="24"/>
        <v>0</v>
      </c>
      <c r="CL29" s="206">
        <f t="shared" si="25"/>
        <v>0</v>
      </c>
      <c r="CM29" s="123"/>
      <c r="CN29" s="124">
        <f t="shared" si="26"/>
        <v>0</v>
      </c>
      <c r="CO29" s="124" t="s">
        <v>1376</v>
      </c>
      <c r="CP29" s="125">
        <f t="shared" si="27"/>
        <v>3.2500000000000001E-2</v>
      </c>
      <c r="CQ29" s="126">
        <f t="shared" si="28"/>
        <v>2844</v>
      </c>
      <c r="CR29" s="127">
        <f t="shared" si="29"/>
        <v>0</v>
      </c>
      <c r="CS29" s="128">
        <f t="shared" si="30"/>
        <v>0</v>
      </c>
      <c r="CT29" s="127">
        <f t="shared" si="31"/>
        <v>0</v>
      </c>
      <c r="CU29" s="128">
        <f t="shared" si="32"/>
        <v>0</v>
      </c>
      <c r="CV29" s="127">
        <f t="shared" si="33"/>
        <v>0</v>
      </c>
      <c r="CW29" s="128">
        <f t="shared" si="34"/>
        <v>0</v>
      </c>
      <c r="CX29" s="127">
        <f t="shared" si="35"/>
        <v>0</v>
      </c>
      <c r="CY29" s="128">
        <f t="shared" si="36"/>
        <v>0</v>
      </c>
      <c r="CZ29" s="127">
        <f>$CR:$CR+$CT:CT+$CV:$CV+$CX:$CX</f>
        <v>0</v>
      </c>
      <c r="DA29" s="127">
        <f t="shared" si="37"/>
        <v>0</v>
      </c>
      <c r="DB29" s="127"/>
      <c r="DC29" s="127">
        <f t="shared" si="38"/>
        <v>3.2500000000000001E-2</v>
      </c>
      <c r="DD29" s="128">
        <f t="shared" si="39"/>
        <v>2844</v>
      </c>
      <c r="DE29" s="129">
        <f t="shared" si="40"/>
        <v>0</v>
      </c>
      <c r="DF29" s="128">
        <f t="shared" si="41"/>
        <v>0</v>
      </c>
      <c r="DG29" s="129">
        <f t="shared" si="42"/>
        <v>0</v>
      </c>
      <c r="DH29" s="128">
        <f t="shared" si="43"/>
        <v>0</v>
      </c>
      <c r="DI29" s="127">
        <f t="shared" si="44"/>
        <v>3.2500000000000001E-2</v>
      </c>
      <c r="DJ29" s="128">
        <f t="shared" si="45"/>
        <v>2844</v>
      </c>
      <c r="DK29" s="127">
        <f t="shared" si="46"/>
        <v>0</v>
      </c>
      <c r="DL29" s="128">
        <f t="shared" si="47"/>
        <v>0</v>
      </c>
      <c r="DM29" s="130"/>
      <c r="DN29" s="131"/>
      <c r="DO29" s="131"/>
      <c r="DP29" s="131"/>
      <c r="DQ29" s="131"/>
      <c r="DR29" s="131"/>
      <c r="DS29" s="131"/>
      <c r="DT29" s="131"/>
      <c r="DU29" s="131"/>
      <c r="DV29" s="131"/>
      <c r="DW29" s="131" t="s">
        <v>1379</v>
      </c>
    </row>
    <row r="30" spans="1:176" ht="33.75">
      <c r="A30" s="134"/>
      <c r="B30" s="121" t="s">
        <v>490</v>
      </c>
      <c r="C30" s="121" t="s">
        <v>1026</v>
      </c>
      <c r="D30" s="121">
        <v>21403</v>
      </c>
      <c r="E30" s="192" t="s">
        <v>1027</v>
      </c>
      <c r="F30" s="192" t="s">
        <v>1028</v>
      </c>
      <c r="G30" s="192" t="s">
        <v>537</v>
      </c>
      <c r="H30" s="193" t="s">
        <v>1029</v>
      </c>
      <c r="I30" s="192" t="s">
        <v>1030</v>
      </c>
      <c r="J30" s="192" t="s">
        <v>1031</v>
      </c>
      <c r="K30" s="194">
        <v>44866</v>
      </c>
      <c r="L30" s="194"/>
      <c r="M30" s="194">
        <v>44866</v>
      </c>
      <c r="N30" s="195" t="s">
        <v>539</v>
      </c>
      <c r="O30" s="195">
        <v>38</v>
      </c>
      <c r="P30" s="196">
        <f t="shared" si="0"/>
        <v>1</v>
      </c>
      <c r="Q30" s="192" t="s">
        <v>613</v>
      </c>
      <c r="R30" s="192">
        <v>18151</v>
      </c>
      <c r="S30" s="192" t="s">
        <v>962</v>
      </c>
      <c r="T30" s="192" t="s">
        <v>963</v>
      </c>
      <c r="U30" s="192" t="s">
        <v>964</v>
      </c>
      <c r="V30" s="193" t="s">
        <v>543</v>
      </c>
      <c r="W30" s="193" t="s">
        <v>544</v>
      </c>
      <c r="X30" s="193" t="s">
        <v>823</v>
      </c>
      <c r="Y30" s="56" t="s">
        <v>824</v>
      </c>
      <c r="Z30" s="193" t="s">
        <v>837</v>
      </c>
      <c r="AA30" s="192" t="s">
        <v>845</v>
      </c>
      <c r="AB30" s="57" t="s">
        <v>1366</v>
      </c>
      <c r="AC30" s="193" t="s">
        <v>825</v>
      </c>
      <c r="AD30" s="56" t="s">
        <v>826</v>
      </c>
      <c r="AE30" s="10">
        <f>IFERROR(INDEX('[3]Lookup_Rem Ranges'!$D:$D,MATCH($AL:$AL,'[3]Lookup_Rem Ranges'!$C:$C,0)),0)</f>
        <v>88700</v>
      </c>
      <c r="AF30" s="10">
        <f>IFERROR(INDEX('[3]Lookup_Rem Ranges'!$E:$E,MATCH($AL:$AL,'[3]Lookup_Rem Ranges'!$C:$C,0)),0)</f>
        <v>104300</v>
      </c>
      <c r="AG30" s="10">
        <f>IFERROR(INDEX('[3]Lookup_Rem Ranges'!$F:$F,MATCH($AL:$AL,'[3]Lookup_Rem Ranges'!$C:$C,0)),)</f>
        <v>119900</v>
      </c>
      <c r="AH30" s="193" t="s">
        <v>622</v>
      </c>
      <c r="AI30" s="197"/>
      <c r="AJ30" s="198">
        <v>0</v>
      </c>
      <c r="AK30" s="199"/>
      <c r="AL30" s="200" t="str">
        <f t="shared" si="1"/>
        <v>GI5</v>
      </c>
      <c r="AM30" s="200" t="s">
        <v>486</v>
      </c>
      <c r="AN30" s="197">
        <v>5</v>
      </c>
      <c r="AO30" s="199" t="s">
        <v>827</v>
      </c>
      <c r="AP30" s="5">
        <v>95000</v>
      </c>
      <c r="AQ30" s="10">
        <f t="shared" si="2"/>
        <v>95000</v>
      </c>
      <c r="AR30" s="10">
        <f t="shared" si="3"/>
        <v>0</v>
      </c>
      <c r="AS30" s="53" t="s">
        <v>790</v>
      </c>
      <c r="AT30" s="53">
        <v>0</v>
      </c>
      <c r="AU30" s="201"/>
      <c r="AV30" s="10"/>
      <c r="AW30" s="54">
        <v>0</v>
      </c>
      <c r="AX30" s="10">
        <v>0</v>
      </c>
      <c r="AY30" s="10">
        <v>95000</v>
      </c>
      <c r="AZ30" s="55">
        <f t="shared" si="4"/>
        <v>0.91083413231064236</v>
      </c>
      <c r="BA30" s="37" t="s">
        <v>687</v>
      </c>
      <c r="BB30" s="38">
        <v>3</v>
      </c>
      <c r="BC30" s="53">
        <f t="shared" si="5"/>
        <v>0</v>
      </c>
      <c r="BD30" s="65">
        <f>ROUND(IF($AY:$AY&lt;$AE:$AE,$AE:$AE-$AY:$AY,0),0)</f>
        <v>0</v>
      </c>
      <c r="BE30" s="44">
        <v>0</v>
      </c>
      <c r="BF30" s="179">
        <f t="shared" si="7"/>
        <v>0</v>
      </c>
      <c r="BG30" s="402">
        <v>0</v>
      </c>
      <c r="BH30" s="403">
        <f t="shared" si="8"/>
        <v>0</v>
      </c>
      <c r="BI30" s="44">
        <v>0</v>
      </c>
      <c r="BJ30" s="179">
        <f t="shared" si="9"/>
        <v>0</v>
      </c>
      <c r="BK30" s="179">
        <f t="shared" si="10"/>
        <v>0</v>
      </c>
      <c r="BL30" s="202"/>
      <c r="BM30" s="203">
        <f t="shared" si="11"/>
        <v>0</v>
      </c>
      <c r="BN30" s="204">
        <f t="shared" si="12"/>
        <v>0</v>
      </c>
      <c r="BO30" s="16">
        <f t="shared" si="13"/>
        <v>95000</v>
      </c>
      <c r="BP30" s="205">
        <f t="shared" si="14"/>
        <v>10450</v>
      </c>
      <c r="BQ30" s="206">
        <f t="shared" si="15"/>
        <v>105450</v>
      </c>
      <c r="BR30" s="55">
        <f t="shared" si="16"/>
        <v>0.91083413231064236</v>
      </c>
      <c r="BS30" s="64">
        <f t="shared" si="17"/>
        <v>0</v>
      </c>
      <c r="BT30" s="53">
        <f t="shared" si="18"/>
        <v>0</v>
      </c>
      <c r="BU30" s="65">
        <f t="shared" si="19"/>
        <v>0</v>
      </c>
      <c r="BV30" s="206">
        <f t="shared" si="20"/>
        <v>95000</v>
      </c>
      <c r="BW30" s="207">
        <f t="shared" si="21"/>
        <v>48.08</v>
      </c>
      <c r="BX30" s="199"/>
      <c r="BY30" s="206">
        <f t="shared" si="22"/>
        <v>105450</v>
      </c>
      <c r="BZ30" s="208" t="s">
        <v>687</v>
      </c>
      <c r="CA30" s="199"/>
      <c r="CB30" s="199"/>
      <c r="CC30" s="200" t="str">
        <f t="shared" si="23"/>
        <v/>
      </c>
      <c r="CD30" s="197"/>
      <c r="CE30" s="197"/>
      <c r="CF30" s="10" t="str">
        <f>IFERROR(INDEX('[4]Lookup_Rem Ranges'!$D:$D,MATCH($CC:$CC,'[4]Lookup_Rem Ranges'!$C:$C,0)),"")</f>
        <v/>
      </c>
      <c r="CG30" s="307"/>
      <c r="CH30" s="307"/>
      <c r="CI30" s="210"/>
      <c r="CJ30" s="122" t="s">
        <v>701</v>
      </c>
      <c r="CK30" s="206">
        <f t="shared" si="24"/>
        <v>0</v>
      </c>
      <c r="CL30" s="206">
        <f t="shared" si="25"/>
        <v>0</v>
      </c>
      <c r="CM30" s="123"/>
      <c r="CN30" s="124">
        <f t="shared" si="26"/>
        <v>0</v>
      </c>
      <c r="CO30" s="124" t="s">
        <v>1376</v>
      </c>
      <c r="CP30" s="125">
        <f t="shared" si="27"/>
        <v>0</v>
      </c>
      <c r="CQ30" s="126">
        <f t="shared" si="28"/>
        <v>0</v>
      </c>
      <c r="CR30" s="127">
        <f t="shared" si="29"/>
        <v>0</v>
      </c>
      <c r="CS30" s="128">
        <f t="shared" si="30"/>
        <v>0</v>
      </c>
      <c r="CT30" s="127">
        <f t="shared" si="31"/>
        <v>0</v>
      </c>
      <c r="CU30" s="128">
        <f t="shared" si="32"/>
        <v>0</v>
      </c>
      <c r="CV30" s="127">
        <f t="shared" si="33"/>
        <v>0</v>
      </c>
      <c r="CW30" s="128">
        <f t="shared" si="34"/>
        <v>0</v>
      </c>
      <c r="CX30" s="127">
        <f t="shared" si="35"/>
        <v>0</v>
      </c>
      <c r="CY30" s="128">
        <f t="shared" si="36"/>
        <v>0</v>
      </c>
      <c r="CZ30" s="127">
        <f>$CR:$CR+$CT:CT+$CV:$CV+$CX:$CX</f>
        <v>0</v>
      </c>
      <c r="DA30" s="127">
        <f t="shared" si="37"/>
        <v>0</v>
      </c>
      <c r="DB30" s="127"/>
      <c r="DC30" s="127">
        <f t="shared" si="38"/>
        <v>0</v>
      </c>
      <c r="DD30" s="128">
        <f t="shared" si="39"/>
        <v>0</v>
      </c>
      <c r="DE30" s="129">
        <f t="shared" si="40"/>
        <v>0</v>
      </c>
      <c r="DF30" s="128">
        <f t="shared" si="41"/>
        <v>0</v>
      </c>
      <c r="DG30" s="129">
        <f t="shared" si="42"/>
        <v>0</v>
      </c>
      <c r="DH30" s="128">
        <f t="shared" si="43"/>
        <v>0</v>
      </c>
      <c r="DI30" s="127">
        <f t="shared" si="44"/>
        <v>0</v>
      </c>
      <c r="DJ30" s="128">
        <f t="shared" si="45"/>
        <v>0</v>
      </c>
      <c r="DK30" s="127">
        <f t="shared" si="46"/>
        <v>0</v>
      </c>
      <c r="DL30" s="128">
        <f t="shared" si="47"/>
        <v>0</v>
      </c>
      <c r="DM30" s="130"/>
      <c r="DN30" s="131"/>
      <c r="DO30" s="131"/>
      <c r="DP30" s="131"/>
      <c r="DQ30" s="131"/>
      <c r="DR30" s="131"/>
      <c r="DS30" s="131"/>
      <c r="DT30" s="131"/>
      <c r="DU30" s="131"/>
      <c r="DV30" s="131"/>
      <c r="DW30" s="131" t="s">
        <v>1379</v>
      </c>
    </row>
    <row r="31" spans="1:176" ht="36">
      <c r="A31" s="134"/>
      <c r="B31" s="121" t="s">
        <v>490</v>
      </c>
      <c r="C31" s="121" t="s">
        <v>1173</v>
      </c>
      <c r="D31" s="121">
        <v>11634</v>
      </c>
      <c r="E31" s="192" t="s">
        <v>811</v>
      </c>
      <c r="F31" s="192" t="s">
        <v>505</v>
      </c>
      <c r="G31" s="192" t="s">
        <v>537</v>
      </c>
      <c r="H31" s="193" t="s">
        <v>1174</v>
      </c>
      <c r="I31" s="192" t="s">
        <v>1175</v>
      </c>
      <c r="J31" s="192" t="s">
        <v>1176</v>
      </c>
      <c r="K31" s="194">
        <v>40603</v>
      </c>
      <c r="L31" s="194"/>
      <c r="M31" s="194">
        <v>44998</v>
      </c>
      <c r="N31" s="195" t="s">
        <v>539</v>
      </c>
      <c r="O31" s="195">
        <v>38</v>
      </c>
      <c r="P31" s="196">
        <f t="shared" si="0"/>
        <v>1</v>
      </c>
      <c r="Q31" s="192" t="s">
        <v>553</v>
      </c>
      <c r="R31" s="192">
        <v>18959</v>
      </c>
      <c r="S31" s="192" t="s">
        <v>1177</v>
      </c>
      <c r="T31" s="192" t="s">
        <v>1153</v>
      </c>
      <c r="U31" s="192" t="s">
        <v>1154</v>
      </c>
      <c r="V31" s="193" t="s">
        <v>543</v>
      </c>
      <c r="W31" s="193" t="s">
        <v>544</v>
      </c>
      <c r="X31" s="193" t="s">
        <v>823</v>
      </c>
      <c r="Y31" s="56" t="s">
        <v>824</v>
      </c>
      <c r="Z31" s="193" t="s">
        <v>837</v>
      </c>
      <c r="AA31" s="192" t="s">
        <v>845</v>
      </c>
      <c r="AB31" s="57" t="s">
        <v>1366</v>
      </c>
      <c r="AC31" s="193" t="s">
        <v>825</v>
      </c>
      <c r="AD31" s="56" t="s">
        <v>826</v>
      </c>
      <c r="AE31" s="10">
        <f>IFERROR(INDEX('[3]Lookup_Rem Ranges'!$D:$D,MATCH($AL:$AL,'[3]Lookup_Rem Ranges'!$C:$C,0)),0)</f>
        <v>64900</v>
      </c>
      <c r="AF31" s="10">
        <f>IFERROR(INDEX('[3]Lookup_Rem Ranges'!$E:$E,MATCH($AL:$AL,'[3]Lookup_Rem Ranges'!$C:$C,0)),0)</f>
        <v>76300</v>
      </c>
      <c r="AG31" s="10">
        <f>IFERROR(INDEX('[3]Lookup_Rem Ranges'!$F:$F,MATCH($AL:$AL,'[3]Lookup_Rem Ranges'!$C:$C,0)),)</f>
        <v>87700</v>
      </c>
      <c r="AH31" s="193" t="s">
        <v>622</v>
      </c>
      <c r="AI31" s="197"/>
      <c r="AJ31" s="198">
        <v>0</v>
      </c>
      <c r="AK31" s="199"/>
      <c r="AL31" s="200" t="str">
        <f t="shared" si="1"/>
        <v>GI3</v>
      </c>
      <c r="AM31" s="200" t="s">
        <v>486</v>
      </c>
      <c r="AN31" s="197">
        <v>3</v>
      </c>
      <c r="AO31" s="199" t="s">
        <v>1359</v>
      </c>
      <c r="AP31" s="5">
        <v>60000</v>
      </c>
      <c r="AQ31" s="10">
        <f t="shared" si="2"/>
        <v>60000</v>
      </c>
      <c r="AR31" s="10">
        <f t="shared" si="3"/>
        <v>0</v>
      </c>
      <c r="AS31" s="53" t="s">
        <v>790</v>
      </c>
      <c r="AT31" s="53">
        <v>0</v>
      </c>
      <c r="AU31" s="201"/>
      <c r="AV31" s="10"/>
      <c r="AW31" s="54">
        <v>0</v>
      </c>
      <c r="AX31" s="10">
        <v>0</v>
      </c>
      <c r="AY31" s="10">
        <v>60000</v>
      </c>
      <c r="AZ31" s="55">
        <f t="shared" si="4"/>
        <v>0.78636959370904325</v>
      </c>
      <c r="BA31" s="37" t="s">
        <v>687</v>
      </c>
      <c r="BB31" s="38">
        <v>3</v>
      </c>
      <c r="BC31" s="53">
        <f t="shared" si="5"/>
        <v>0</v>
      </c>
      <c r="BD31" s="65">
        <v>0</v>
      </c>
      <c r="BE31" s="44">
        <v>0</v>
      </c>
      <c r="BF31" s="179">
        <f t="shared" si="7"/>
        <v>0</v>
      </c>
      <c r="BG31" s="402">
        <v>0</v>
      </c>
      <c r="BH31" s="403">
        <f t="shared" si="8"/>
        <v>0</v>
      </c>
      <c r="BI31" s="44">
        <v>0</v>
      </c>
      <c r="BJ31" s="179">
        <f t="shared" si="9"/>
        <v>0</v>
      </c>
      <c r="BK31" s="179">
        <f t="shared" si="10"/>
        <v>0</v>
      </c>
      <c r="BL31" s="202"/>
      <c r="BM31" s="203">
        <f t="shared" si="11"/>
        <v>0</v>
      </c>
      <c r="BN31" s="204">
        <f t="shared" si="12"/>
        <v>0</v>
      </c>
      <c r="BO31" s="16">
        <f t="shared" si="13"/>
        <v>60000</v>
      </c>
      <c r="BP31" s="205">
        <f t="shared" si="14"/>
        <v>6600</v>
      </c>
      <c r="BQ31" s="206">
        <f t="shared" si="15"/>
        <v>66600</v>
      </c>
      <c r="BR31" s="55">
        <f t="shared" si="16"/>
        <v>0.78636959370904325</v>
      </c>
      <c r="BS31" s="64">
        <f t="shared" si="17"/>
        <v>0</v>
      </c>
      <c r="BT31" s="53">
        <f t="shared" si="18"/>
        <v>0</v>
      </c>
      <c r="BU31" s="65">
        <f t="shared" si="19"/>
        <v>0</v>
      </c>
      <c r="BV31" s="206">
        <f t="shared" si="20"/>
        <v>60000</v>
      </c>
      <c r="BW31" s="207">
        <f t="shared" si="21"/>
        <v>30.36</v>
      </c>
      <c r="BX31" s="199"/>
      <c r="BY31" s="206">
        <f t="shared" si="22"/>
        <v>66600</v>
      </c>
      <c r="BZ31" s="208" t="s">
        <v>687</v>
      </c>
      <c r="CA31" s="199"/>
      <c r="CB31" s="199"/>
      <c r="CC31" s="200" t="str">
        <f t="shared" si="23"/>
        <v/>
      </c>
      <c r="CD31" s="197"/>
      <c r="CE31" s="197"/>
      <c r="CF31" s="10" t="str">
        <f>IFERROR(INDEX('[4]Lookup_Rem Ranges'!$D:$D,MATCH($CC:$CC,'[4]Lookup_Rem Ranges'!$C:$C,0)),"")</f>
        <v/>
      </c>
      <c r="CG31" s="307"/>
      <c r="CH31" s="307"/>
      <c r="CI31" s="210"/>
      <c r="CJ31" s="122" t="s">
        <v>701</v>
      </c>
      <c r="CK31" s="206">
        <f t="shared" si="24"/>
        <v>0</v>
      </c>
      <c r="CL31" s="206">
        <f t="shared" si="25"/>
        <v>0</v>
      </c>
      <c r="CM31" s="123"/>
      <c r="CN31" s="124">
        <f t="shared" si="26"/>
        <v>0</v>
      </c>
      <c r="CO31" s="124" t="s">
        <v>1376</v>
      </c>
      <c r="CP31" s="125">
        <f t="shared" si="27"/>
        <v>0</v>
      </c>
      <c r="CQ31" s="126">
        <f t="shared" si="28"/>
        <v>0</v>
      </c>
      <c r="CR31" s="127">
        <f t="shared" si="29"/>
        <v>0</v>
      </c>
      <c r="CS31" s="128">
        <f t="shared" si="30"/>
        <v>0</v>
      </c>
      <c r="CT31" s="127">
        <f t="shared" si="31"/>
        <v>0</v>
      </c>
      <c r="CU31" s="128">
        <f t="shared" si="32"/>
        <v>0</v>
      </c>
      <c r="CV31" s="127">
        <f t="shared" si="33"/>
        <v>0</v>
      </c>
      <c r="CW31" s="128">
        <f t="shared" si="34"/>
        <v>0</v>
      </c>
      <c r="CX31" s="127">
        <f t="shared" si="35"/>
        <v>0</v>
      </c>
      <c r="CY31" s="128">
        <f t="shared" si="36"/>
        <v>0</v>
      </c>
      <c r="CZ31" s="127">
        <f>$CR:$CR+$CT:CT+$CV:$CV+$CX:$CX</f>
        <v>0</v>
      </c>
      <c r="DA31" s="127">
        <f t="shared" si="37"/>
        <v>0</v>
      </c>
      <c r="DB31" s="127"/>
      <c r="DC31" s="127">
        <f t="shared" si="38"/>
        <v>0</v>
      </c>
      <c r="DD31" s="128">
        <f t="shared" si="39"/>
        <v>0</v>
      </c>
      <c r="DE31" s="129">
        <f t="shared" si="40"/>
        <v>0</v>
      </c>
      <c r="DF31" s="128">
        <f t="shared" si="41"/>
        <v>0</v>
      </c>
      <c r="DG31" s="129">
        <f t="shared" si="42"/>
        <v>0</v>
      </c>
      <c r="DH31" s="128">
        <f t="shared" si="43"/>
        <v>0</v>
      </c>
      <c r="DI31" s="127">
        <f t="shared" si="44"/>
        <v>0</v>
      </c>
      <c r="DJ31" s="128">
        <f t="shared" si="45"/>
        <v>0</v>
      </c>
      <c r="DK31" s="127">
        <f t="shared" si="46"/>
        <v>0</v>
      </c>
      <c r="DL31" s="128">
        <f t="shared" si="47"/>
        <v>0</v>
      </c>
      <c r="DM31" s="130"/>
      <c r="DN31" s="131"/>
      <c r="DO31" s="131"/>
      <c r="DP31" s="131"/>
      <c r="DQ31" s="131"/>
      <c r="DR31" s="131"/>
      <c r="DS31" s="131"/>
      <c r="DT31" s="131"/>
      <c r="DU31" s="131"/>
      <c r="DV31" s="131"/>
      <c r="DW31" s="131" t="s">
        <v>1379</v>
      </c>
    </row>
    <row r="32" spans="1:176" ht="33.75">
      <c r="A32" s="134"/>
      <c r="B32" s="121" t="s">
        <v>490</v>
      </c>
      <c r="C32" s="121" t="s">
        <v>1342</v>
      </c>
      <c r="D32" s="121">
        <v>21109</v>
      </c>
      <c r="E32" s="192" t="s">
        <v>1343</v>
      </c>
      <c r="F32" s="192" t="s">
        <v>531</v>
      </c>
      <c r="G32" s="192" t="s">
        <v>537</v>
      </c>
      <c r="H32" s="193" t="s">
        <v>1330</v>
      </c>
      <c r="I32" s="192" t="s">
        <v>1344</v>
      </c>
      <c r="J32" s="192" t="s">
        <v>1332</v>
      </c>
      <c r="K32" s="194">
        <v>44726</v>
      </c>
      <c r="L32" s="194"/>
      <c r="M32" s="194">
        <v>44726</v>
      </c>
      <c r="N32" s="195" t="s">
        <v>539</v>
      </c>
      <c r="O32" s="195">
        <v>38</v>
      </c>
      <c r="P32" s="196">
        <f t="shared" si="0"/>
        <v>1</v>
      </c>
      <c r="Q32" s="192" t="s">
        <v>615</v>
      </c>
      <c r="R32" s="192">
        <v>18959</v>
      </c>
      <c r="S32" s="192" t="s">
        <v>1177</v>
      </c>
      <c r="T32" s="192" t="s">
        <v>1153</v>
      </c>
      <c r="U32" s="192" t="s">
        <v>1154</v>
      </c>
      <c r="V32" s="193" t="s">
        <v>543</v>
      </c>
      <c r="W32" s="193" t="s">
        <v>544</v>
      </c>
      <c r="X32" s="193" t="s">
        <v>823</v>
      </c>
      <c r="Y32" s="56" t="s">
        <v>824</v>
      </c>
      <c r="Z32" s="193" t="s">
        <v>837</v>
      </c>
      <c r="AA32" s="192" t="s">
        <v>845</v>
      </c>
      <c r="AB32" s="57" t="s">
        <v>1366</v>
      </c>
      <c r="AC32" s="193" t="s">
        <v>825</v>
      </c>
      <c r="AD32" s="56" t="s">
        <v>826</v>
      </c>
      <c r="AE32" s="10">
        <f>IFERROR(INDEX('[3]Lookup_Rem Ranges'!$D:$D,MATCH($AL:$AL,'[3]Lookup_Rem Ranges'!$C:$C,0)),0)</f>
        <v>64900</v>
      </c>
      <c r="AF32" s="10">
        <f>IFERROR(INDEX('[3]Lookup_Rem Ranges'!$E:$E,MATCH($AL:$AL,'[3]Lookup_Rem Ranges'!$C:$C,0)),0)</f>
        <v>76300</v>
      </c>
      <c r="AG32" s="10">
        <f>IFERROR(INDEX('[3]Lookup_Rem Ranges'!$F:$F,MATCH($AL:$AL,'[3]Lookup_Rem Ranges'!$C:$C,0)),)</f>
        <v>87700</v>
      </c>
      <c r="AH32" s="193" t="s">
        <v>622</v>
      </c>
      <c r="AI32" s="197"/>
      <c r="AJ32" s="198">
        <v>0</v>
      </c>
      <c r="AK32" s="199"/>
      <c r="AL32" s="200" t="str">
        <f t="shared" si="1"/>
        <v>GI3</v>
      </c>
      <c r="AM32" s="200" t="s">
        <v>486</v>
      </c>
      <c r="AN32" s="197">
        <v>3</v>
      </c>
      <c r="AO32" s="199" t="s">
        <v>827</v>
      </c>
      <c r="AP32" s="5">
        <v>72000</v>
      </c>
      <c r="AQ32" s="10">
        <f t="shared" si="2"/>
        <v>72000</v>
      </c>
      <c r="AR32" s="10">
        <f t="shared" si="3"/>
        <v>0</v>
      </c>
      <c r="AS32" s="53" t="s">
        <v>790</v>
      </c>
      <c r="AT32" s="53">
        <v>0</v>
      </c>
      <c r="AU32" s="201"/>
      <c r="AV32" s="10"/>
      <c r="AW32" s="54">
        <v>0</v>
      </c>
      <c r="AX32" s="10">
        <v>0</v>
      </c>
      <c r="AY32" s="10">
        <v>72000</v>
      </c>
      <c r="AZ32" s="55">
        <f t="shared" si="4"/>
        <v>0.94364351245085187</v>
      </c>
      <c r="BA32" s="37" t="s">
        <v>687</v>
      </c>
      <c r="BB32" s="38">
        <v>3</v>
      </c>
      <c r="BC32" s="53">
        <f t="shared" si="5"/>
        <v>0</v>
      </c>
      <c r="BD32" s="65">
        <f t="shared" ref="BD32:BD44" si="48">ROUND(IF($AY:$AY&lt;$AE:$AE,$AE:$AE-$AY:$AY,0),0)</f>
        <v>0</v>
      </c>
      <c r="BE32" s="44">
        <v>0</v>
      </c>
      <c r="BF32" s="179">
        <f t="shared" si="7"/>
        <v>0</v>
      </c>
      <c r="BG32" s="402">
        <v>0</v>
      </c>
      <c r="BH32" s="403">
        <f t="shared" si="8"/>
        <v>0</v>
      </c>
      <c r="BI32" s="44">
        <v>0</v>
      </c>
      <c r="BJ32" s="179">
        <f t="shared" si="9"/>
        <v>0</v>
      </c>
      <c r="BK32" s="179">
        <f t="shared" si="10"/>
        <v>0</v>
      </c>
      <c r="BL32" s="202"/>
      <c r="BM32" s="203">
        <f t="shared" si="11"/>
        <v>0</v>
      </c>
      <c r="BN32" s="204">
        <f t="shared" si="12"/>
        <v>0</v>
      </c>
      <c r="BO32" s="16">
        <f t="shared" si="13"/>
        <v>72000</v>
      </c>
      <c r="BP32" s="205">
        <f t="shared" si="14"/>
        <v>7920</v>
      </c>
      <c r="BQ32" s="206">
        <f t="shared" si="15"/>
        <v>79920</v>
      </c>
      <c r="BR32" s="55">
        <f t="shared" si="16"/>
        <v>0.94364351245085187</v>
      </c>
      <c r="BS32" s="64">
        <f t="shared" si="17"/>
        <v>0</v>
      </c>
      <c r="BT32" s="53">
        <f t="shared" si="18"/>
        <v>0</v>
      </c>
      <c r="BU32" s="65">
        <f t="shared" si="19"/>
        <v>0</v>
      </c>
      <c r="BV32" s="206">
        <f t="shared" si="20"/>
        <v>72000</v>
      </c>
      <c r="BW32" s="207">
        <f t="shared" si="21"/>
        <v>36.44</v>
      </c>
      <c r="BX32" s="199"/>
      <c r="BY32" s="206">
        <f t="shared" si="22"/>
        <v>79920</v>
      </c>
      <c r="BZ32" s="208" t="s">
        <v>687</v>
      </c>
      <c r="CA32" s="199"/>
      <c r="CB32" s="199"/>
      <c r="CC32" s="200" t="str">
        <f t="shared" si="23"/>
        <v/>
      </c>
      <c r="CD32" s="197"/>
      <c r="CE32" s="197"/>
      <c r="CF32" s="10" t="str">
        <f>IFERROR(INDEX('[4]Lookup_Rem Ranges'!$D:$D,MATCH($CC:$CC,'[4]Lookup_Rem Ranges'!$C:$C,0)),"")</f>
        <v/>
      </c>
      <c r="CG32" s="307"/>
      <c r="CH32" s="307"/>
      <c r="CI32" s="210"/>
      <c r="CJ32" s="122" t="s">
        <v>701</v>
      </c>
      <c r="CK32" s="206">
        <f t="shared" si="24"/>
        <v>0</v>
      </c>
      <c r="CL32" s="206">
        <f t="shared" si="25"/>
        <v>0</v>
      </c>
      <c r="CM32" s="123"/>
      <c r="CN32" s="124">
        <f t="shared" si="26"/>
        <v>0</v>
      </c>
      <c r="CO32" s="124" t="s">
        <v>1376</v>
      </c>
      <c r="CP32" s="125">
        <f t="shared" si="27"/>
        <v>0</v>
      </c>
      <c r="CQ32" s="126">
        <f t="shared" si="28"/>
        <v>0</v>
      </c>
      <c r="CR32" s="127">
        <f t="shared" si="29"/>
        <v>0</v>
      </c>
      <c r="CS32" s="128">
        <f t="shared" si="30"/>
        <v>0</v>
      </c>
      <c r="CT32" s="127">
        <f t="shared" si="31"/>
        <v>0</v>
      </c>
      <c r="CU32" s="128">
        <f t="shared" si="32"/>
        <v>0</v>
      </c>
      <c r="CV32" s="127">
        <f t="shared" si="33"/>
        <v>0</v>
      </c>
      <c r="CW32" s="128">
        <f t="shared" si="34"/>
        <v>0</v>
      </c>
      <c r="CX32" s="127">
        <f t="shared" si="35"/>
        <v>0</v>
      </c>
      <c r="CY32" s="128">
        <f t="shared" si="36"/>
        <v>0</v>
      </c>
      <c r="CZ32" s="127">
        <f>$CR:$CR+$CT:CT+$CV:$CV+$CX:$CX</f>
        <v>0</v>
      </c>
      <c r="DA32" s="127">
        <f t="shared" si="37"/>
        <v>0</v>
      </c>
      <c r="DB32" s="127"/>
      <c r="DC32" s="127">
        <f t="shared" si="38"/>
        <v>0</v>
      </c>
      <c r="DD32" s="128">
        <f t="shared" si="39"/>
        <v>0</v>
      </c>
      <c r="DE32" s="129">
        <f t="shared" si="40"/>
        <v>0</v>
      </c>
      <c r="DF32" s="128">
        <f t="shared" si="41"/>
        <v>0</v>
      </c>
      <c r="DG32" s="129">
        <f t="shared" si="42"/>
        <v>0</v>
      </c>
      <c r="DH32" s="128">
        <f t="shared" si="43"/>
        <v>0</v>
      </c>
      <c r="DI32" s="127">
        <f t="shared" si="44"/>
        <v>0</v>
      </c>
      <c r="DJ32" s="128">
        <f t="shared" si="45"/>
        <v>0</v>
      </c>
      <c r="DK32" s="127">
        <f t="shared" si="46"/>
        <v>0</v>
      </c>
      <c r="DL32" s="128">
        <f t="shared" si="47"/>
        <v>0</v>
      </c>
      <c r="DM32" s="130"/>
      <c r="DN32" s="131"/>
      <c r="DO32" s="131"/>
      <c r="DP32" s="131"/>
      <c r="DQ32" s="131"/>
      <c r="DR32" s="131"/>
      <c r="DS32" s="131"/>
      <c r="DT32" s="131"/>
      <c r="DU32" s="131"/>
      <c r="DV32" s="131"/>
      <c r="DW32" s="131" t="s">
        <v>1379</v>
      </c>
    </row>
    <row r="33" spans="1:127" ht="33.75">
      <c r="A33" s="134"/>
      <c r="B33" s="121" t="s">
        <v>490</v>
      </c>
      <c r="C33" s="121" t="s">
        <v>1345</v>
      </c>
      <c r="D33" s="121">
        <v>17947</v>
      </c>
      <c r="E33" s="192" t="s">
        <v>805</v>
      </c>
      <c r="F33" s="192" t="s">
        <v>1346</v>
      </c>
      <c r="G33" s="192" t="s">
        <v>538</v>
      </c>
      <c r="H33" s="193" t="s">
        <v>1347</v>
      </c>
      <c r="I33" s="192" t="s">
        <v>1348</v>
      </c>
      <c r="J33" s="192" t="s">
        <v>1349</v>
      </c>
      <c r="K33" s="194">
        <v>43313</v>
      </c>
      <c r="L33" s="194"/>
      <c r="M33" s="194">
        <v>44638</v>
      </c>
      <c r="N33" s="195" t="s">
        <v>541</v>
      </c>
      <c r="O33" s="195">
        <v>38</v>
      </c>
      <c r="P33" s="196">
        <f t="shared" si="0"/>
        <v>1</v>
      </c>
      <c r="Q33" s="192" t="s">
        <v>1350</v>
      </c>
      <c r="R33" s="192">
        <v>18959</v>
      </c>
      <c r="S33" s="192" t="s">
        <v>1177</v>
      </c>
      <c r="T33" s="192" t="s">
        <v>1153</v>
      </c>
      <c r="U33" s="192" t="s">
        <v>1154</v>
      </c>
      <c r="V33" s="193" t="s">
        <v>543</v>
      </c>
      <c r="W33" s="193" t="s">
        <v>544</v>
      </c>
      <c r="X33" s="193" t="s">
        <v>823</v>
      </c>
      <c r="Y33" s="56" t="s">
        <v>824</v>
      </c>
      <c r="Z33" s="193" t="s">
        <v>837</v>
      </c>
      <c r="AA33" s="192" t="s">
        <v>845</v>
      </c>
      <c r="AB33" s="57" t="s">
        <v>1366</v>
      </c>
      <c r="AC33" s="193" t="s">
        <v>825</v>
      </c>
      <c r="AD33" s="56" t="s">
        <v>826</v>
      </c>
      <c r="AE33" s="10">
        <f>IFERROR(INDEX('[3]Lookup_Rem Ranges'!$D:$D,MATCH($AL:$AL,'[3]Lookup_Rem Ranges'!$C:$C,0)),0)</f>
        <v>57100</v>
      </c>
      <c r="AF33" s="10">
        <f>IFERROR(INDEX('[3]Lookup_Rem Ranges'!$E:$E,MATCH($AL:$AL,'[3]Lookup_Rem Ranges'!$C:$C,0)),0)</f>
        <v>67200</v>
      </c>
      <c r="AG33" s="10">
        <f>IFERROR(INDEX('[3]Lookup_Rem Ranges'!$F:$F,MATCH($AL:$AL,'[3]Lookup_Rem Ranges'!$C:$C,0)),)</f>
        <v>77300</v>
      </c>
      <c r="AH33" s="193" t="s">
        <v>627</v>
      </c>
      <c r="AI33" s="197"/>
      <c r="AJ33" s="198">
        <v>0</v>
      </c>
      <c r="AK33" s="199"/>
      <c r="AL33" s="200" t="str">
        <f t="shared" si="1"/>
        <v>GI2</v>
      </c>
      <c r="AM33" s="200" t="s">
        <v>486</v>
      </c>
      <c r="AN33" s="197">
        <v>2</v>
      </c>
      <c r="AO33" s="199" t="s">
        <v>827</v>
      </c>
      <c r="AP33" s="5">
        <v>63100</v>
      </c>
      <c r="AQ33" s="10">
        <f t="shared" si="2"/>
        <v>63100</v>
      </c>
      <c r="AR33" s="10">
        <f t="shared" si="3"/>
        <v>0</v>
      </c>
      <c r="AS33" s="53">
        <v>3.1045751633986929E-2</v>
      </c>
      <c r="AT33" s="53">
        <v>0</v>
      </c>
      <c r="AU33" s="201"/>
      <c r="AV33" s="10"/>
      <c r="AW33" s="54">
        <v>0</v>
      </c>
      <c r="AX33" s="10">
        <v>0</v>
      </c>
      <c r="AY33" s="10">
        <v>63100</v>
      </c>
      <c r="AZ33" s="55">
        <f t="shared" si="4"/>
        <v>0.93898809523809523</v>
      </c>
      <c r="BA33" s="37" t="s">
        <v>687</v>
      </c>
      <c r="BB33" s="38">
        <v>3</v>
      </c>
      <c r="BC33" s="53">
        <f t="shared" si="5"/>
        <v>0</v>
      </c>
      <c r="BD33" s="65">
        <f t="shared" si="48"/>
        <v>0</v>
      </c>
      <c r="BE33" s="44">
        <v>0</v>
      </c>
      <c r="BF33" s="179">
        <f t="shared" si="7"/>
        <v>0</v>
      </c>
      <c r="BG33" s="402">
        <v>0</v>
      </c>
      <c r="BH33" s="403">
        <f t="shared" si="8"/>
        <v>0</v>
      </c>
      <c r="BI33" s="44">
        <v>0</v>
      </c>
      <c r="BJ33" s="179">
        <f t="shared" si="9"/>
        <v>0</v>
      </c>
      <c r="BK33" s="179">
        <f t="shared" si="10"/>
        <v>0</v>
      </c>
      <c r="BL33" s="202"/>
      <c r="BM33" s="203">
        <f t="shared" si="11"/>
        <v>0</v>
      </c>
      <c r="BN33" s="204">
        <f t="shared" si="12"/>
        <v>0</v>
      </c>
      <c r="BO33" s="16">
        <f t="shared" si="13"/>
        <v>63100</v>
      </c>
      <c r="BP33" s="205">
        <f t="shared" si="14"/>
        <v>6941</v>
      </c>
      <c r="BQ33" s="206">
        <f t="shared" si="15"/>
        <v>70041</v>
      </c>
      <c r="BR33" s="55">
        <f t="shared" si="16"/>
        <v>0.93898809523809523</v>
      </c>
      <c r="BS33" s="64" t="str">
        <f t="shared" si="17"/>
        <v>TBC</v>
      </c>
      <c r="BT33" s="53">
        <f t="shared" si="18"/>
        <v>0</v>
      </c>
      <c r="BU33" s="65">
        <f t="shared" si="19"/>
        <v>0</v>
      </c>
      <c r="BV33" s="206">
        <f t="shared" si="20"/>
        <v>63100</v>
      </c>
      <c r="BW33" s="207">
        <f t="shared" si="21"/>
        <v>31.93</v>
      </c>
      <c r="BX33" s="199"/>
      <c r="BY33" s="206">
        <f t="shared" si="22"/>
        <v>70041</v>
      </c>
      <c r="BZ33" s="208" t="s">
        <v>687</v>
      </c>
      <c r="CA33" s="199"/>
      <c r="CB33" s="199"/>
      <c r="CC33" s="200" t="str">
        <f t="shared" si="23"/>
        <v/>
      </c>
      <c r="CD33" s="197"/>
      <c r="CE33" s="197"/>
      <c r="CF33" s="10" t="str">
        <f>IFERROR(INDEX('[4]Lookup_Rem Ranges'!$D:$D,MATCH($CC:$CC,'[4]Lookup_Rem Ranges'!$C:$C,0)),"")</f>
        <v/>
      </c>
      <c r="CG33" s="307"/>
      <c r="CH33" s="307"/>
      <c r="CI33" s="210"/>
      <c r="CJ33" s="122" t="s">
        <v>701</v>
      </c>
      <c r="CK33" s="206">
        <f t="shared" si="24"/>
        <v>0</v>
      </c>
      <c r="CL33" s="206">
        <f t="shared" si="25"/>
        <v>0</v>
      </c>
      <c r="CM33" s="123"/>
      <c r="CN33" s="124">
        <f t="shared" si="26"/>
        <v>0</v>
      </c>
      <c r="CO33" s="124" t="s">
        <v>1376</v>
      </c>
      <c r="CP33" s="125">
        <f t="shared" si="27"/>
        <v>0</v>
      </c>
      <c r="CQ33" s="126">
        <f t="shared" si="28"/>
        <v>0</v>
      </c>
      <c r="CR33" s="127">
        <f t="shared" si="29"/>
        <v>0</v>
      </c>
      <c r="CS33" s="128">
        <f t="shared" si="30"/>
        <v>0</v>
      </c>
      <c r="CT33" s="127">
        <f t="shared" si="31"/>
        <v>0</v>
      </c>
      <c r="CU33" s="128">
        <f t="shared" si="32"/>
        <v>0</v>
      </c>
      <c r="CV33" s="127">
        <f t="shared" si="33"/>
        <v>0</v>
      </c>
      <c r="CW33" s="128">
        <f t="shared" si="34"/>
        <v>0</v>
      </c>
      <c r="CX33" s="127">
        <f t="shared" si="35"/>
        <v>0</v>
      </c>
      <c r="CY33" s="128">
        <f t="shared" si="36"/>
        <v>0</v>
      </c>
      <c r="CZ33" s="127">
        <f>$CR:$CR+$CT:CT+$CV:$CV+$CX:$CX</f>
        <v>0</v>
      </c>
      <c r="DA33" s="127">
        <f t="shared" si="37"/>
        <v>0</v>
      </c>
      <c r="DB33" s="127"/>
      <c r="DC33" s="127">
        <f t="shared" si="38"/>
        <v>0</v>
      </c>
      <c r="DD33" s="128">
        <f t="shared" si="39"/>
        <v>0</v>
      </c>
      <c r="DE33" s="129">
        <f t="shared" si="40"/>
        <v>0</v>
      </c>
      <c r="DF33" s="128">
        <f t="shared" si="41"/>
        <v>0</v>
      </c>
      <c r="DG33" s="129">
        <f t="shared" si="42"/>
        <v>0</v>
      </c>
      <c r="DH33" s="128">
        <f t="shared" si="43"/>
        <v>0</v>
      </c>
      <c r="DI33" s="127">
        <f t="shared" si="44"/>
        <v>0</v>
      </c>
      <c r="DJ33" s="128">
        <f t="shared" si="45"/>
        <v>0</v>
      </c>
      <c r="DK33" s="127">
        <f t="shared" si="46"/>
        <v>0</v>
      </c>
      <c r="DL33" s="128">
        <f t="shared" si="47"/>
        <v>0</v>
      </c>
      <c r="DM33" s="130"/>
      <c r="DN33" s="131"/>
      <c r="DO33" s="131"/>
      <c r="DP33" s="131"/>
      <c r="DQ33" s="131"/>
      <c r="DR33" s="131"/>
      <c r="DS33" s="131"/>
      <c r="DT33" s="131"/>
      <c r="DU33" s="131"/>
      <c r="DV33" s="131"/>
      <c r="DW33" s="131" t="s">
        <v>1379</v>
      </c>
    </row>
    <row r="34" spans="1:127" ht="24">
      <c r="A34" s="134"/>
      <c r="B34" s="121" t="s">
        <v>490</v>
      </c>
      <c r="C34" s="121" t="s">
        <v>1328</v>
      </c>
      <c r="D34" s="121">
        <v>20135</v>
      </c>
      <c r="E34" s="192" t="s">
        <v>528</v>
      </c>
      <c r="F34" s="192" t="s">
        <v>1329</v>
      </c>
      <c r="G34" s="192" t="s">
        <v>538</v>
      </c>
      <c r="H34" s="193" t="s">
        <v>1330</v>
      </c>
      <c r="I34" s="192" t="s">
        <v>1331</v>
      </c>
      <c r="J34" s="192" t="s">
        <v>1332</v>
      </c>
      <c r="K34" s="194">
        <v>44368</v>
      </c>
      <c r="L34" s="194"/>
      <c r="M34" s="194">
        <v>44368</v>
      </c>
      <c r="N34" s="195" t="s">
        <v>539</v>
      </c>
      <c r="O34" s="195">
        <v>38</v>
      </c>
      <c r="P34" s="196">
        <f t="shared" si="0"/>
        <v>1</v>
      </c>
      <c r="Q34" s="192" t="s">
        <v>615</v>
      </c>
      <c r="R34" s="192">
        <v>18959</v>
      </c>
      <c r="S34" s="192" t="s">
        <v>1177</v>
      </c>
      <c r="T34" s="192" t="s">
        <v>1153</v>
      </c>
      <c r="U34" s="192" t="s">
        <v>1154</v>
      </c>
      <c r="V34" s="193" t="s">
        <v>543</v>
      </c>
      <c r="W34" s="193" t="s">
        <v>544</v>
      </c>
      <c r="X34" s="193" t="s">
        <v>823</v>
      </c>
      <c r="Y34" s="56" t="s">
        <v>824</v>
      </c>
      <c r="Z34" s="193" t="s">
        <v>837</v>
      </c>
      <c r="AA34" s="192" t="s">
        <v>845</v>
      </c>
      <c r="AB34" s="57" t="s">
        <v>1366</v>
      </c>
      <c r="AC34" s="193" t="s">
        <v>825</v>
      </c>
      <c r="AD34" s="56" t="s">
        <v>826</v>
      </c>
      <c r="AE34" s="10">
        <f>IFERROR(INDEX('[3]Lookup_Rem Ranges'!$D:$D,MATCH($AL:$AL,'[3]Lookup_Rem Ranges'!$C:$C,0)),0)</f>
        <v>64900</v>
      </c>
      <c r="AF34" s="10">
        <f>IFERROR(INDEX('[3]Lookup_Rem Ranges'!$E:$E,MATCH($AL:$AL,'[3]Lookup_Rem Ranges'!$C:$C,0)),0)</f>
        <v>76300</v>
      </c>
      <c r="AG34" s="10">
        <f>IFERROR(INDEX('[3]Lookup_Rem Ranges'!$F:$F,MATCH($AL:$AL,'[3]Lookup_Rem Ranges'!$C:$C,0)),)</f>
        <v>87700</v>
      </c>
      <c r="AH34" s="193" t="s">
        <v>622</v>
      </c>
      <c r="AI34" s="197"/>
      <c r="AJ34" s="198">
        <v>0</v>
      </c>
      <c r="AK34" s="199"/>
      <c r="AL34" s="200" t="str">
        <f t="shared" si="1"/>
        <v>GI3</v>
      </c>
      <c r="AM34" s="200" t="s">
        <v>486</v>
      </c>
      <c r="AN34" s="197">
        <v>3</v>
      </c>
      <c r="AO34" s="199" t="s">
        <v>827</v>
      </c>
      <c r="AP34" s="5">
        <v>71500</v>
      </c>
      <c r="AQ34" s="10">
        <f t="shared" si="2"/>
        <v>71500</v>
      </c>
      <c r="AR34" s="10">
        <f t="shared" si="3"/>
        <v>0</v>
      </c>
      <c r="AS34" s="53">
        <v>2.0714071578466501E-2</v>
      </c>
      <c r="AT34" s="53">
        <v>0</v>
      </c>
      <c r="AU34" s="201"/>
      <c r="AV34" s="10"/>
      <c r="AW34" s="54">
        <v>0</v>
      </c>
      <c r="AX34" s="10">
        <v>0</v>
      </c>
      <c r="AY34" s="10">
        <v>71500</v>
      </c>
      <c r="AZ34" s="55">
        <f t="shared" si="4"/>
        <v>0.9370904325032765</v>
      </c>
      <c r="BA34" s="37" t="s">
        <v>687</v>
      </c>
      <c r="BB34" s="38">
        <v>3</v>
      </c>
      <c r="BC34" s="53">
        <f t="shared" si="5"/>
        <v>0</v>
      </c>
      <c r="BD34" s="65">
        <f t="shared" si="48"/>
        <v>0</v>
      </c>
      <c r="BE34" s="44">
        <v>0</v>
      </c>
      <c r="BF34" s="179">
        <f t="shared" si="7"/>
        <v>0</v>
      </c>
      <c r="BG34" s="402">
        <v>0</v>
      </c>
      <c r="BH34" s="403">
        <f t="shared" si="8"/>
        <v>0</v>
      </c>
      <c r="BI34" s="44">
        <v>0</v>
      </c>
      <c r="BJ34" s="179">
        <f t="shared" si="9"/>
        <v>0</v>
      </c>
      <c r="BK34" s="179">
        <f t="shared" si="10"/>
        <v>0</v>
      </c>
      <c r="BL34" s="202"/>
      <c r="BM34" s="203">
        <f t="shared" si="11"/>
        <v>0</v>
      </c>
      <c r="BN34" s="204">
        <f t="shared" si="12"/>
        <v>0</v>
      </c>
      <c r="BO34" s="16">
        <f t="shared" si="13"/>
        <v>71500</v>
      </c>
      <c r="BP34" s="205">
        <f t="shared" si="14"/>
        <v>7865</v>
      </c>
      <c r="BQ34" s="206">
        <f t="shared" si="15"/>
        <v>79365</v>
      </c>
      <c r="BR34" s="55">
        <f t="shared" si="16"/>
        <v>0.9370904325032765</v>
      </c>
      <c r="BS34" s="64">
        <f t="shared" si="17"/>
        <v>0</v>
      </c>
      <c r="BT34" s="53">
        <f t="shared" si="18"/>
        <v>0</v>
      </c>
      <c r="BU34" s="65">
        <f t="shared" si="19"/>
        <v>0</v>
      </c>
      <c r="BV34" s="206">
        <f t="shared" si="20"/>
        <v>71500</v>
      </c>
      <c r="BW34" s="207">
        <f t="shared" si="21"/>
        <v>36.18</v>
      </c>
      <c r="BX34" s="199"/>
      <c r="BY34" s="206">
        <f t="shared" si="22"/>
        <v>79365</v>
      </c>
      <c r="BZ34" s="208" t="s">
        <v>687</v>
      </c>
      <c r="CA34" s="199"/>
      <c r="CB34" s="199"/>
      <c r="CC34" s="200" t="str">
        <f t="shared" si="23"/>
        <v/>
      </c>
      <c r="CD34" s="197"/>
      <c r="CE34" s="197"/>
      <c r="CF34" s="10" t="str">
        <f>IFERROR(INDEX('[4]Lookup_Rem Ranges'!$D:$D,MATCH($CC:$CC,'[4]Lookup_Rem Ranges'!$C:$C,0)),"")</f>
        <v/>
      </c>
      <c r="CG34" s="307"/>
      <c r="CH34" s="307"/>
      <c r="CI34" s="210"/>
      <c r="CJ34" s="122" t="s">
        <v>701</v>
      </c>
      <c r="CK34" s="206">
        <f t="shared" si="24"/>
        <v>0</v>
      </c>
      <c r="CL34" s="206">
        <f t="shared" si="25"/>
        <v>0</v>
      </c>
      <c r="CM34" s="123"/>
      <c r="CN34" s="124">
        <f t="shared" si="26"/>
        <v>0</v>
      </c>
      <c r="CO34" s="124" t="s">
        <v>1374</v>
      </c>
      <c r="CP34" s="125">
        <f t="shared" si="27"/>
        <v>0</v>
      </c>
      <c r="CQ34" s="126">
        <f t="shared" si="28"/>
        <v>0</v>
      </c>
      <c r="CR34" s="127">
        <f t="shared" si="29"/>
        <v>0</v>
      </c>
      <c r="CS34" s="128">
        <f t="shared" si="30"/>
        <v>0</v>
      </c>
      <c r="CT34" s="127">
        <f t="shared" si="31"/>
        <v>0</v>
      </c>
      <c r="CU34" s="128">
        <f t="shared" si="32"/>
        <v>0</v>
      </c>
      <c r="CV34" s="127">
        <f t="shared" si="33"/>
        <v>0</v>
      </c>
      <c r="CW34" s="128">
        <f t="shared" si="34"/>
        <v>0</v>
      </c>
      <c r="CX34" s="127">
        <f t="shared" si="35"/>
        <v>0</v>
      </c>
      <c r="CY34" s="128">
        <f t="shared" si="36"/>
        <v>0</v>
      </c>
      <c r="CZ34" s="127">
        <f>$CR:$CR+$CT:CT+$CV:$CV+$CX:$CX</f>
        <v>0</v>
      </c>
      <c r="DA34" s="127">
        <f t="shared" si="37"/>
        <v>0</v>
      </c>
      <c r="DB34" s="127"/>
      <c r="DC34" s="127">
        <f t="shared" si="38"/>
        <v>0</v>
      </c>
      <c r="DD34" s="128">
        <f t="shared" si="39"/>
        <v>0</v>
      </c>
      <c r="DE34" s="129">
        <f t="shared" si="40"/>
        <v>0</v>
      </c>
      <c r="DF34" s="128">
        <f t="shared" si="41"/>
        <v>0</v>
      </c>
      <c r="DG34" s="129">
        <f t="shared" si="42"/>
        <v>0</v>
      </c>
      <c r="DH34" s="128">
        <f t="shared" si="43"/>
        <v>0</v>
      </c>
      <c r="DI34" s="127">
        <f t="shared" si="44"/>
        <v>0</v>
      </c>
      <c r="DJ34" s="128">
        <f t="shared" si="45"/>
        <v>0</v>
      </c>
      <c r="DK34" s="127">
        <f t="shared" si="46"/>
        <v>0</v>
      </c>
      <c r="DL34" s="128">
        <f t="shared" si="47"/>
        <v>0</v>
      </c>
      <c r="DM34" s="130"/>
      <c r="DN34" s="131"/>
      <c r="DO34" s="131"/>
      <c r="DP34" s="131"/>
      <c r="DQ34" s="131"/>
      <c r="DR34" s="131"/>
      <c r="DS34" s="131"/>
      <c r="DT34" s="131"/>
      <c r="DU34" s="131"/>
      <c r="DV34" s="131"/>
      <c r="DW34" s="131" t="s">
        <v>1379</v>
      </c>
    </row>
    <row r="35" spans="1:127" ht="22.5">
      <c r="A35" s="134"/>
      <c r="B35" s="121" t="s">
        <v>490</v>
      </c>
      <c r="C35" s="121" t="s">
        <v>840</v>
      </c>
      <c r="D35" s="121">
        <v>19129</v>
      </c>
      <c r="E35" s="192" t="s">
        <v>526</v>
      </c>
      <c r="F35" s="192" t="s">
        <v>527</v>
      </c>
      <c r="G35" s="192" t="s">
        <v>538</v>
      </c>
      <c r="H35" s="193" t="s">
        <v>841</v>
      </c>
      <c r="I35" s="192" t="s">
        <v>842</v>
      </c>
      <c r="J35" s="192" t="s">
        <v>843</v>
      </c>
      <c r="K35" s="194">
        <v>43871</v>
      </c>
      <c r="L35" s="194"/>
      <c r="M35" s="194">
        <v>43871</v>
      </c>
      <c r="N35" s="195" t="s">
        <v>539</v>
      </c>
      <c r="O35" s="195">
        <v>38</v>
      </c>
      <c r="P35" s="196">
        <f t="shared" si="0"/>
        <v>1</v>
      </c>
      <c r="Q35" s="192" t="s">
        <v>617</v>
      </c>
      <c r="R35" s="192">
        <v>17956</v>
      </c>
      <c r="S35" s="192" t="s">
        <v>837</v>
      </c>
      <c r="T35" s="192" t="s">
        <v>844</v>
      </c>
      <c r="U35" s="192" t="s">
        <v>845</v>
      </c>
      <c r="V35" s="193" t="s">
        <v>543</v>
      </c>
      <c r="W35" s="193" t="s">
        <v>544</v>
      </c>
      <c r="X35" s="193" t="s">
        <v>823</v>
      </c>
      <c r="Y35" s="52" t="s">
        <v>824</v>
      </c>
      <c r="Z35" s="193" t="s">
        <v>837</v>
      </c>
      <c r="AA35" s="192" t="s">
        <v>845</v>
      </c>
      <c r="AB35" s="57" t="s">
        <v>1366</v>
      </c>
      <c r="AC35" s="193" t="s">
        <v>825</v>
      </c>
      <c r="AD35" s="52" t="s">
        <v>826</v>
      </c>
      <c r="AE35" s="10">
        <f>IFERROR(INDEX('[3]Lookup_Rem Ranges'!$D:$D,MATCH($AL:$AL,'[3]Lookup_Rem Ranges'!$C:$C,0)),0)</f>
        <v>114200</v>
      </c>
      <c r="AF35" s="10">
        <f>IFERROR(INDEX('[3]Lookup_Rem Ranges'!$E:$E,MATCH($AL:$AL,'[3]Lookup_Rem Ranges'!$C:$C,0)),0)</f>
        <v>134400</v>
      </c>
      <c r="AG35" s="10">
        <f>IFERROR(INDEX('[3]Lookup_Rem Ranges'!$F:$F,MATCH($AL:$AL,'[3]Lookup_Rem Ranges'!$C:$C,0)),)</f>
        <v>154600</v>
      </c>
      <c r="AH35" s="193" t="s">
        <v>622</v>
      </c>
      <c r="AI35" s="197"/>
      <c r="AJ35" s="198">
        <v>0</v>
      </c>
      <c r="AK35" s="199"/>
      <c r="AL35" s="200" t="str">
        <f t="shared" si="1"/>
        <v>GI6</v>
      </c>
      <c r="AM35" s="200" t="s">
        <v>486</v>
      </c>
      <c r="AN35" s="197">
        <v>6</v>
      </c>
      <c r="AO35" s="199" t="s">
        <v>701</v>
      </c>
      <c r="AP35" s="5">
        <v>105100</v>
      </c>
      <c r="AQ35" s="10">
        <f t="shared" si="2"/>
        <v>105100</v>
      </c>
      <c r="AR35" s="10">
        <f t="shared" si="3"/>
        <v>105100</v>
      </c>
      <c r="AS35" s="53">
        <v>2.5365853658536587E-2</v>
      </c>
      <c r="AT35" s="53">
        <v>0</v>
      </c>
      <c r="AU35" s="201"/>
      <c r="AV35" s="10"/>
      <c r="AW35" s="54">
        <v>0</v>
      </c>
      <c r="AX35" s="10">
        <v>0</v>
      </c>
      <c r="AY35" s="10">
        <v>105100</v>
      </c>
      <c r="AZ35" s="55">
        <f t="shared" si="4"/>
        <v>0.78199404761904767</v>
      </c>
      <c r="BA35" s="37" t="s">
        <v>23</v>
      </c>
      <c r="BB35" s="38">
        <v>4</v>
      </c>
      <c r="BC35" s="53">
        <f t="shared" si="5"/>
        <v>8.6584205518553753E-2</v>
      </c>
      <c r="BD35" s="65">
        <f t="shared" si="48"/>
        <v>9100</v>
      </c>
      <c r="BE35" s="44">
        <v>0</v>
      </c>
      <c r="BF35" s="179">
        <f t="shared" si="7"/>
        <v>0</v>
      </c>
      <c r="BG35" s="402">
        <v>0</v>
      </c>
      <c r="BH35" s="403">
        <f t="shared" si="8"/>
        <v>0</v>
      </c>
      <c r="BI35" s="44">
        <v>0</v>
      </c>
      <c r="BJ35" s="179">
        <f t="shared" si="9"/>
        <v>0</v>
      </c>
      <c r="BK35" s="179">
        <f t="shared" si="10"/>
        <v>0</v>
      </c>
      <c r="BL35" s="202"/>
      <c r="BM35" s="203">
        <f t="shared" si="11"/>
        <v>8.6584205518553753E-2</v>
      </c>
      <c r="BN35" s="204">
        <f t="shared" si="12"/>
        <v>9100</v>
      </c>
      <c r="BO35" s="16">
        <f t="shared" si="13"/>
        <v>114200</v>
      </c>
      <c r="BP35" s="205">
        <f t="shared" si="14"/>
        <v>12562</v>
      </c>
      <c r="BQ35" s="206">
        <f t="shared" si="15"/>
        <v>126762</v>
      </c>
      <c r="BR35" s="55">
        <f t="shared" si="16"/>
        <v>0.84970238095238093</v>
      </c>
      <c r="BS35" s="64">
        <f t="shared" si="17"/>
        <v>1435</v>
      </c>
      <c r="BT35" s="53">
        <f t="shared" si="18"/>
        <v>8.6584205518553753E-2</v>
      </c>
      <c r="BU35" s="65">
        <f t="shared" si="19"/>
        <v>9100</v>
      </c>
      <c r="BV35" s="206">
        <f t="shared" si="20"/>
        <v>114200</v>
      </c>
      <c r="BW35" s="207">
        <f t="shared" si="21"/>
        <v>57.79</v>
      </c>
      <c r="BX35" s="199"/>
      <c r="BY35" s="206">
        <f t="shared" si="22"/>
        <v>126762</v>
      </c>
      <c r="BZ35" s="208" t="s">
        <v>687</v>
      </c>
      <c r="CA35" s="199"/>
      <c r="CB35" s="199"/>
      <c r="CC35" s="200" t="str">
        <f t="shared" si="23"/>
        <v/>
      </c>
      <c r="CD35" s="197"/>
      <c r="CE35" s="197"/>
      <c r="CF35" s="10" t="str">
        <f>IFERROR(INDEX('[4]Lookup_Rem Ranges'!$D:$D,MATCH($CC:$CC,'[4]Lookup_Rem Ranges'!$C:$C,0)),"")</f>
        <v/>
      </c>
      <c r="CG35" s="306"/>
      <c r="CH35" s="306"/>
      <c r="CI35" s="209"/>
      <c r="CJ35" s="122" t="s">
        <v>701</v>
      </c>
      <c r="CK35" s="206">
        <f t="shared" si="24"/>
        <v>0</v>
      </c>
      <c r="CL35" s="206">
        <f t="shared" si="25"/>
        <v>0</v>
      </c>
      <c r="CM35" s="123"/>
      <c r="CN35" s="124">
        <f t="shared" si="26"/>
        <v>0</v>
      </c>
      <c r="CO35" s="124" t="s">
        <v>1375</v>
      </c>
      <c r="CP35" s="125">
        <f t="shared" si="27"/>
        <v>3.2500000000000001E-2</v>
      </c>
      <c r="CQ35" s="126">
        <f t="shared" si="28"/>
        <v>3416</v>
      </c>
      <c r="CR35" s="127">
        <f t="shared" si="29"/>
        <v>0</v>
      </c>
      <c r="CS35" s="128">
        <f t="shared" si="30"/>
        <v>0</v>
      </c>
      <c r="CT35" s="127">
        <f t="shared" si="31"/>
        <v>0</v>
      </c>
      <c r="CU35" s="128">
        <f t="shared" si="32"/>
        <v>0</v>
      </c>
      <c r="CV35" s="127">
        <f t="shared" si="33"/>
        <v>3.2500000000000001E-2</v>
      </c>
      <c r="CW35" s="128">
        <f t="shared" si="34"/>
        <v>3416</v>
      </c>
      <c r="CX35" s="127">
        <f t="shared" si="35"/>
        <v>5.4084205518553752E-2</v>
      </c>
      <c r="CY35" s="128">
        <f t="shared" si="36"/>
        <v>5684</v>
      </c>
      <c r="CZ35" s="127">
        <f>$CR:$CR+$CT:CT+$CV:$CV+$CX:$CX</f>
        <v>8.6584205518553753E-2</v>
      </c>
      <c r="DA35" s="127">
        <f t="shared" si="37"/>
        <v>0</v>
      </c>
      <c r="DB35" s="127"/>
      <c r="DC35" s="127">
        <f t="shared" si="38"/>
        <v>0</v>
      </c>
      <c r="DD35" s="128">
        <f t="shared" si="39"/>
        <v>0</v>
      </c>
      <c r="DE35" s="129">
        <f t="shared" si="40"/>
        <v>0</v>
      </c>
      <c r="DF35" s="128">
        <f t="shared" si="41"/>
        <v>0</v>
      </c>
      <c r="DG35" s="129">
        <f t="shared" si="42"/>
        <v>0</v>
      </c>
      <c r="DH35" s="128">
        <f t="shared" si="43"/>
        <v>0</v>
      </c>
      <c r="DI35" s="127">
        <f t="shared" si="44"/>
        <v>3.2500000000000001E-2</v>
      </c>
      <c r="DJ35" s="128">
        <f t="shared" si="45"/>
        <v>3416</v>
      </c>
      <c r="DK35" s="127">
        <f t="shared" si="46"/>
        <v>5.4084205518553752E-2</v>
      </c>
      <c r="DL35" s="128">
        <f t="shared" si="47"/>
        <v>5684</v>
      </c>
      <c r="DM35" s="130"/>
      <c r="DN35" s="131"/>
      <c r="DO35" s="131"/>
      <c r="DP35" s="131"/>
      <c r="DQ35" s="131"/>
      <c r="DR35" s="131"/>
      <c r="DS35" s="131"/>
      <c r="DT35" s="131"/>
      <c r="DU35" s="131"/>
      <c r="DV35" s="131"/>
      <c r="DW35" s="131" t="s">
        <v>1379</v>
      </c>
    </row>
    <row r="36" spans="1:127" ht="33.75">
      <c r="A36" s="134"/>
      <c r="B36" s="121" t="s">
        <v>490</v>
      </c>
      <c r="C36" s="121" t="s">
        <v>850</v>
      </c>
      <c r="D36" s="121">
        <v>5267</v>
      </c>
      <c r="E36" s="192" t="s">
        <v>851</v>
      </c>
      <c r="F36" s="192" t="s">
        <v>852</v>
      </c>
      <c r="G36" s="192" t="s">
        <v>537</v>
      </c>
      <c r="H36" s="193" t="s">
        <v>841</v>
      </c>
      <c r="I36" s="192" t="s">
        <v>853</v>
      </c>
      <c r="J36" s="192" t="s">
        <v>843</v>
      </c>
      <c r="K36" s="194">
        <v>36129</v>
      </c>
      <c r="L36" s="194"/>
      <c r="M36" s="194">
        <v>44287</v>
      </c>
      <c r="N36" s="195" t="s">
        <v>539</v>
      </c>
      <c r="O36" s="195">
        <v>38</v>
      </c>
      <c r="P36" s="196">
        <f t="shared" si="0"/>
        <v>1</v>
      </c>
      <c r="Q36" s="192" t="s">
        <v>617</v>
      </c>
      <c r="R36" s="192">
        <v>17956</v>
      </c>
      <c r="S36" s="192" t="s">
        <v>837</v>
      </c>
      <c r="T36" s="192" t="s">
        <v>844</v>
      </c>
      <c r="U36" s="192" t="s">
        <v>845</v>
      </c>
      <c r="V36" s="193" t="s">
        <v>543</v>
      </c>
      <c r="W36" s="193" t="s">
        <v>544</v>
      </c>
      <c r="X36" s="193" t="s">
        <v>823</v>
      </c>
      <c r="Y36" s="52" t="s">
        <v>824</v>
      </c>
      <c r="Z36" s="193" t="s">
        <v>837</v>
      </c>
      <c r="AA36" s="192" t="s">
        <v>845</v>
      </c>
      <c r="AB36" s="57" t="s">
        <v>1366</v>
      </c>
      <c r="AC36" s="193" t="s">
        <v>825</v>
      </c>
      <c r="AD36" s="52" t="s">
        <v>826</v>
      </c>
      <c r="AE36" s="10">
        <f>IFERROR(INDEX('[3]Lookup_Rem Ranges'!$D:$D,MATCH($AL:$AL,'[3]Lookup_Rem Ranges'!$C:$C,0)),0)</f>
        <v>114200</v>
      </c>
      <c r="AF36" s="10">
        <f>IFERROR(INDEX('[3]Lookup_Rem Ranges'!$E:$E,MATCH($AL:$AL,'[3]Lookup_Rem Ranges'!$C:$C,0)),0)</f>
        <v>134400</v>
      </c>
      <c r="AG36" s="10">
        <f>IFERROR(INDEX('[3]Lookup_Rem Ranges'!$F:$F,MATCH($AL:$AL,'[3]Lookup_Rem Ranges'!$C:$C,0)),)</f>
        <v>154600</v>
      </c>
      <c r="AH36" s="193" t="s">
        <v>622</v>
      </c>
      <c r="AI36" s="197"/>
      <c r="AJ36" s="198">
        <v>0</v>
      </c>
      <c r="AK36" s="199"/>
      <c r="AL36" s="200" t="str">
        <f t="shared" si="1"/>
        <v>GI6</v>
      </c>
      <c r="AM36" s="200" t="s">
        <v>486</v>
      </c>
      <c r="AN36" s="197">
        <v>6</v>
      </c>
      <c r="AO36" s="199" t="s">
        <v>701</v>
      </c>
      <c r="AP36" s="5">
        <v>104700</v>
      </c>
      <c r="AQ36" s="10">
        <f t="shared" si="2"/>
        <v>104700</v>
      </c>
      <c r="AR36" s="10">
        <f t="shared" si="3"/>
        <v>104700</v>
      </c>
      <c r="AS36" s="53">
        <v>1.5518913676042677E-2</v>
      </c>
      <c r="AT36" s="53">
        <v>0</v>
      </c>
      <c r="AU36" s="201"/>
      <c r="AV36" s="10"/>
      <c r="AW36" s="54">
        <v>0</v>
      </c>
      <c r="AX36" s="10">
        <v>0</v>
      </c>
      <c r="AY36" s="10">
        <v>104700</v>
      </c>
      <c r="AZ36" s="55">
        <f t="shared" si="4"/>
        <v>0.7790178571428571</v>
      </c>
      <c r="BA36" s="37" t="s">
        <v>23</v>
      </c>
      <c r="BB36" s="38">
        <v>3</v>
      </c>
      <c r="BC36" s="53">
        <f t="shared" si="5"/>
        <v>9.0735434574976126E-2</v>
      </c>
      <c r="BD36" s="65">
        <f t="shared" si="48"/>
        <v>9500</v>
      </c>
      <c r="BE36" s="44">
        <v>0</v>
      </c>
      <c r="BF36" s="179">
        <f t="shared" si="7"/>
        <v>0</v>
      </c>
      <c r="BG36" s="402">
        <v>0</v>
      </c>
      <c r="BH36" s="403">
        <f t="shared" si="8"/>
        <v>0</v>
      </c>
      <c r="BI36" s="44">
        <v>0</v>
      </c>
      <c r="BJ36" s="179">
        <f t="shared" si="9"/>
        <v>0</v>
      </c>
      <c r="BK36" s="179">
        <f t="shared" si="10"/>
        <v>0</v>
      </c>
      <c r="BL36" s="202"/>
      <c r="BM36" s="203">
        <f t="shared" si="11"/>
        <v>9.0735434574976126E-2</v>
      </c>
      <c r="BN36" s="204">
        <f t="shared" si="12"/>
        <v>9500</v>
      </c>
      <c r="BO36" s="16">
        <f t="shared" si="13"/>
        <v>114200</v>
      </c>
      <c r="BP36" s="205">
        <f t="shared" si="14"/>
        <v>12562</v>
      </c>
      <c r="BQ36" s="206">
        <f t="shared" si="15"/>
        <v>126762</v>
      </c>
      <c r="BR36" s="55">
        <f t="shared" si="16"/>
        <v>0.84970238095238093</v>
      </c>
      <c r="BS36" s="64">
        <f t="shared" si="17"/>
        <v>1498</v>
      </c>
      <c r="BT36" s="53">
        <f t="shared" si="18"/>
        <v>9.0735434574976126E-2</v>
      </c>
      <c r="BU36" s="65">
        <f t="shared" si="19"/>
        <v>9500</v>
      </c>
      <c r="BV36" s="206">
        <f t="shared" si="20"/>
        <v>114200</v>
      </c>
      <c r="BW36" s="207">
        <f t="shared" si="21"/>
        <v>57.79</v>
      </c>
      <c r="BX36" s="199"/>
      <c r="BY36" s="206">
        <f t="shared" si="22"/>
        <v>126762</v>
      </c>
      <c r="BZ36" s="208" t="s">
        <v>687</v>
      </c>
      <c r="CA36" s="199"/>
      <c r="CB36" s="199"/>
      <c r="CC36" s="200" t="str">
        <f t="shared" si="23"/>
        <v/>
      </c>
      <c r="CD36" s="197"/>
      <c r="CE36" s="197"/>
      <c r="CF36" s="10" t="str">
        <f>IFERROR(INDEX('[4]Lookup_Rem Ranges'!$D:$D,MATCH($CC:$CC,'[4]Lookup_Rem Ranges'!$C:$C,0)),"")</f>
        <v/>
      </c>
      <c r="CG36" s="306"/>
      <c r="CH36" s="306"/>
      <c r="CI36" s="209"/>
      <c r="CJ36" s="122" t="s">
        <v>701</v>
      </c>
      <c r="CK36" s="206">
        <f t="shared" si="24"/>
        <v>0</v>
      </c>
      <c r="CL36" s="206">
        <f t="shared" si="25"/>
        <v>0</v>
      </c>
      <c r="CM36" s="123"/>
      <c r="CN36" s="124">
        <f t="shared" si="26"/>
        <v>0</v>
      </c>
      <c r="CO36" s="124" t="s">
        <v>1376</v>
      </c>
      <c r="CP36" s="125">
        <f t="shared" si="27"/>
        <v>3.2500000000000001E-2</v>
      </c>
      <c r="CQ36" s="126">
        <f t="shared" si="28"/>
        <v>3403</v>
      </c>
      <c r="CR36" s="127">
        <f t="shared" si="29"/>
        <v>0</v>
      </c>
      <c r="CS36" s="128">
        <f t="shared" si="30"/>
        <v>0</v>
      </c>
      <c r="CT36" s="127">
        <f t="shared" si="31"/>
        <v>0</v>
      </c>
      <c r="CU36" s="128">
        <f t="shared" si="32"/>
        <v>0</v>
      </c>
      <c r="CV36" s="127">
        <f t="shared" si="33"/>
        <v>3.2500000000000001E-2</v>
      </c>
      <c r="CW36" s="128">
        <f t="shared" si="34"/>
        <v>3403</v>
      </c>
      <c r="CX36" s="127">
        <f t="shared" si="35"/>
        <v>5.8235434574976125E-2</v>
      </c>
      <c r="CY36" s="128">
        <f t="shared" si="36"/>
        <v>6097</v>
      </c>
      <c r="CZ36" s="127">
        <f>$CR:$CR+$CT:CT+$CV:$CV+$CX:$CX</f>
        <v>9.0735434574976126E-2</v>
      </c>
      <c r="DA36" s="127">
        <f t="shared" si="37"/>
        <v>0</v>
      </c>
      <c r="DB36" s="127"/>
      <c r="DC36" s="127">
        <f t="shared" si="38"/>
        <v>0</v>
      </c>
      <c r="DD36" s="128">
        <f t="shared" si="39"/>
        <v>0</v>
      </c>
      <c r="DE36" s="129">
        <f t="shared" si="40"/>
        <v>0</v>
      </c>
      <c r="DF36" s="128">
        <f t="shared" si="41"/>
        <v>0</v>
      </c>
      <c r="DG36" s="129">
        <f t="shared" si="42"/>
        <v>0</v>
      </c>
      <c r="DH36" s="128">
        <f t="shared" si="43"/>
        <v>0</v>
      </c>
      <c r="DI36" s="127">
        <f t="shared" si="44"/>
        <v>3.2500000000000001E-2</v>
      </c>
      <c r="DJ36" s="128">
        <f t="shared" si="45"/>
        <v>3403</v>
      </c>
      <c r="DK36" s="127">
        <f t="shared" si="46"/>
        <v>5.8235434574976125E-2</v>
      </c>
      <c r="DL36" s="128">
        <f t="shared" si="47"/>
        <v>6097</v>
      </c>
      <c r="DM36" s="130"/>
      <c r="DN36" s="131"/>
      <c r="DO36" s="131"/>
      <c r="DP36" s="131"/>
      <c r="DQ36" s="131"/>
      <c r="DR36" s="131"/>
      <c r="DS36" s="131"/>
      <c r="DT36" s="131"/>
      <c r="DU36" s="131"/>
      <c r="DV36" s="131"/>
      <c r="DW36" s="131" t="s">
        <v>1379</v>
      </c>
    </row>
    <row r="37" spans="1:127" ht="33.75">
      <c r="A37" s="134"/>
      <c r="B37" s="121" t="s">
        <v>490</v>
      </c>
      <c r="C37" s="121" t="s">
        <v>854</v>
      </c>
      <c r="D37" s="121">
        <v>14167</v>
      </c>
      <c r="E37" s="192" t="s">
        <v>506</v>
      </c>
      <c r="F37" s="192" t="s">
        <v>855</v>
      </c>
      <c r="G37" s="192" t="s">
        <v>537</v>
      </c>
      <c r="H37" s="193" t="s">
        <v>841</v>
      </c>
      <c r="I37" s="192" t="s">
        <v>856</v>
      </c>
      <c r="J37" s="192" t="s">
        <v>857</v>
      </c>
      <c r="K37" s="194">
        <v>41582</v>
      </c>
      <c r="L37" s="194"/>
      <c r="M37" s="194">
        <v>44473</v>
      </c>
      <c r="N37" s="195" t="s">
        <v>539</v>
      </c>
      <c r="O37" s="195">
        <v>38</v>
      </c>
      <c r="P37" s="196">
        <f t="shared" si="0"/>
        <v>1</v>
      </c>
      <c r="Q37" s="192" t="s">
        <v>617</v>
      </c>
      <c r="R37" s="192">
        <v>17956</v>
      </c>
      <c r="S37" s="192" t="s">
        <v>837</v>
      </c>
      <c r="T37" s="192" t="s">
        <v>844</v>
      </c>
      <c r="U37" s="192" t="s">
        <v>845</v>
      </c>
      <c r="V37" s="193" t="s">
        <v>543</v>
      </c>
      <c r="W37" s="193" t="s">
        <v>544</v>
      </c>
      <c r="X37" s="193" t="s">
        <v>823</v>
      </c>
      <c r="Y37" s="52" t="s">
        <v>824</v>
      </c>
      <c r="Z37" s="193" t="s">
        <v>837</v>
      </c>
      <c r="AA37" s="192" t="s">
        <v>845</v>
      </c>
      <c r="AB37" s="57" t="s">
        <v>1366</v>
      </c>
      <c r="AC37" s="193" t="s">
        <v>825</v>
      </c>
      <c r="AD37" s="52" t="s">
        <v>826</v>
      </c>
      <c r="AE37" s="10">
        <f>IFERROR(INDEX('[3]Lookup_Rem Ranges'!$D:$D,MATCH($AL:$AL,'[3]Lookup_Rem Ranges'!$C:$C,0)),0)</f>
        <v>114200</v>
      </c>
      <c r="AF37" s="10">
        <f>IFERROR(INDEX('[3]Lookup_Rem Ranges'!$E:$E,MATCH($AL:$AL,'[3]Lookup_Rem Ranges'!$C:$C,0)),0)</f>
        <v>134400</v>
      </c>
      <c r="AG37" s="10">
        <f>IFERROR(INDEX('[3]Lookup_Rem Ranges'!$F:$F,MATCH($AL:$AL,'[3]Lookup_Rem Ranges'!$C:$C,0)),)</f>
        <v>154600</v>
      </c>
      <c r="AH37" s="193" t="s">
        <v>622</v>
      </c>
      <c r="AI37" s="197"/>
      <c r="AJ37" s="198">
        <v>0</v>
      </c>
      <c r="AK37" s="199"/>
      <c r="AL37" s="200" t="str">
        <f t="shared" si="1"/>
        <v>GI6</v>
      </c>
      <c r="AM37" s="200" t="s">
        <v>486</v>
      </c>
      <c r="AN37" s="197">
        <v>6</v>
      </c>
      <c r="AO37" s="199" t="s">
        <v>701</v>
      </c>
      <c r="AP37" s="5">
        <v>98500</v>
      </c>
      <c r="AQ37" s="10">
        <f t="shared" si="2"/>
        <v>98500</v>
      </c>
      <c r="AR37" s="10">
        <f t="shared" si="3"/>
        <v>98500</v>
      </c>
      <c r="AS37" s="53">
        <v>3.6842105263157891E-2</v>
      </c>
      <c r="AT37" s="53">
        <v>0</v>
      </c>
      <c r="AU37" s="201"/>
      <c r="AV37" s="10"/>
      <c r="AW37" s="54">
        <v>0</v>
      </c>
      <c r="AX37" s="10">
        <v>0</v>
      </c>
      <c r="AY37" s="10">
        <v>98500</v>
      </c>
      <c r="AZ37" s="55">
        <f t="shared" si="4"/>
        <v>0.73288690476190477</v>
      </c>
      <c r="BA37" s="37" t="s">
        <v>23</v>
      </c>
      <c r="BB37" s="38">
        <v>3</v>
      </c>
      <c r="BC37" s="53">
        <f t="shared" si="5"/>
        <v>0.15939086294416244</v>
      </c>
      <c r="BD37" s="65">
        <f t="shared" si="48"/>
        <v>15700</v>
      </c>
      <c r="BE37" s="44">
        <v>0</v>
      </c>
      <c r="BF37" s="179">
        <f t="shared" si="7"/>
        <v>0</v>
      </c>
      <c r="BG37" s="402">
        <v>0</v>
      </c>
      <c r="BH37" s="403">
        <f t="shared" si="8"/>
        <v>0</v>
      </c>
      <c r="BI37" s="44">
        <v>0</v>
      </c>
      <c r="BJ37" s="179">
        <f t="shared" si="9"/>
        <v>0</v>
      </c>
      <c r="BK37" s="179">
        <f t="shared" si="10"/>
        <v>0</v>
      </c>
      <c r="BL37" s="202"/>
      <c r="BM37" s="203">
        <f t="shared" si="11"/>
        <v>0.15939086294416244</v>
      </c>
      <c r="BN37" s="204">
        <f t="shared" si="12"/>
        <v>15700</v>
      </c>
      <c r="BO37" s="16">
        <f t="shared" si="13"/>
        <v>114200</v>
      </c>
      <c r="BP37" s="205">
        <f t="shared" si="14"/>
        <v>12562</v>
      </c>
      <c r="BQ37" s="206">
        <f t="shared" si="15"/>
        <v>126762</v>
      </c>
      <c r="BR37" s="55">
        <f t="shared" si="16"/>
        <v>0.84970238095238093</v>
      </c>
      <c r="BS37" s="64">
        <f t="shared" si="17"/>
        <v>2476</v>
      </c>
      <c r="BT37" s="53">
        <f t="shared" si="18"/>
        <v>0.15939086294416244</v>
      </c>
      <c r="BU37" s="65">
        <f t="shared" si="19"/>
        <v>15700</v>
      </c>
      <c r="BV37" s="206">
        <f t="shared" si="20"/>
        <v>114200</v>
      </c>
      <c r="BW37" s="207">
        <f t="shared" si="21"/>
        <v>57.79</v>
      </c>
      <c r="BX37" s="199"/>
      <c r="BY37" s="206">
        <f t="shared" si="22"/>
        <v>126762</v>
      </c>
      <c r="BZ37" s="208" t="s">
        <v>687</v>
      </c>
      <c r="CA37" s="199"/>
      <c r="CB37" s="199"/>
      <c r="CC37" s="200" t="str">
        <f t="shared" si="23"/>
        <v/>
      </c>
      <c r="CD37" s="197"/>
      <c r="CE37" s="197"/>
      <c r="CF37" s="10" t="str">
        <f>IFERROR(INDEX('[4]Lookup_Rem Ranges'!$D:$D,MATCH($CC:$CC,'[4]Lookup_Rem Ranges'!$C:$C,0)),"")</f>
        <v/>
      </c>
      <c r="CG37" s="306"/>
      <c r="CH37" s="306"/>
      <c r="CI37" s="209"/>
      <c r="CJ37" s="122" t="s">
        <v>701</v>
      </c>
      <c r="CK37" s="206">
        <f t="shared" si="24"/>
        <v>0</v>
      </c>
      <c r="CL37" s="206">
        <f t="shared" si="25"/>
        <v>0</v>
      </c>
      <c r="CM37" s="123"/>
      <c r="CN37" s="124">
        <f t="shared" si="26"/>
        <v>0</v>
      </c>
      <c r="CO37" s="124" t="s">
        <v>1376</v>
      </c>
      <c r="CP37" s="125">
        <f t="shared" si="27"/>
        <v>3.2500000000000001E-2</v>
      </c>
      <c r="CQ37" s="126">
        <f t="shared" si="28"/>
        <v>3201</v>
      </c>
      <c r="CR37" s="127">
        <f t="shared" si="29"/>
        <v>0</v>
      </c>
      <c r="CS37" s="128">
        <f t="shared" si="30"/>
        <v>0</v>
      </c>
      <c r="CT37" s="127">
        <f t="shared" si="31"/>
        <v>0</v>
      </c>
      <c r="CU37" s="128">
        <f t="shared" si="32"/>
        <v>0</v>
      </c>
      <c r="CV37" s="127">
        <f t="shared" si="33"/>
        <v>3.2500000000000001E-2</v>
      </c>
      <c r="CW37" s="128">
        <f t="shared" si="34"/>
        <v>3201</v>
      </c>
      <c r="CX37" s="127">
        <f t="shared" si="35"/>
        <v>0.12689086294416244</v>
      </c>
      <c r="CY37" s="128">
        <f t="shared" si="36"/>
        <v>12499</v>
      </c>
      <c r="CZ37" s="127">
        <f>$CR:$CR+$CT:CT+$CV:$CV+$CX:$CX</f>
        <v>0.15939086294416244</v>
      </c>
      <c r="DA37" s="127">
        <f t="shared" si="37"/>
        <v>0</v>
      </c>
      <c r="DB37" s="127"/>
      <c r="DC37" s="127">
        <f t="shared" si="38"/>
        <v>0</v>
      </c>
      <c r="DD37" s="128">
        <f t="shared" si="39"/>
        <v>0</v>
      </c>
      <c r="DE37" s="129">
        <f t="shared" si="40"/>
        <v>0</v>
      </c>
      <c r="DF37" s="128">
        <f t="shared" si="41"/>
        <v>0</v>
      </c>
      <c r="DG37" s="129">
        <f t="shared" si="42"/>
        <v>0</v>
      </c>
      <c r="DH37" s="128">
        <f t="shared" si="43"/>
        <v>0</v>
      </c>
      <c r="DI37" s="127">
        <f t="shared" si="44"/>
        <v>3.2500000000000001E-2</v>
      </c>
      <c r="DJ37" s="128">
        <f t="shared" si="45"/>
        <v>3201</v>
      </c>
      <c r="DK37" s="127">
        <f t="shared" si="46"/>
        <v>0.12689086294416244</v>
      </c>
      <c r="DL37" s="128">
        <f t="shared" si="47"/>
        <v>12499</v>
      </c>
      <c r="DM37" s="130"/>
      <c r="DN37" s="131"/>
      <c r="DO37" s="131"/>
      <c r="DP37" s="131"/>
      <c r="DQ37" s="131"/>
      <c r="DR37" s="131"/>
      <c r="DS37" s="131"/>
      <c r="DT37" s="131"/>
      <c r="DU37" s="131"/>
      <c r="DV37" s="131"/>
      <c r="DW37" s="131" t="s">
        <v>1379</v>
      </c>
    </row>
    <row r="38" spans="1:127" ht="33.75">
      <c r="A38" s="134"/>
      <c r="B38" s="121" t="s">
        <v>490</v>
      </c>
      <c r="C38" s="121" t="s">
        <v>1266</v>
      </c>
      <c r="D38" s="121">
        <v>18750</v>
      </c>
      <c r="E38" s="192" t="s">
        <v>521</v>
      </c>
      <c r="F38" s="192" t="s">
        <v>1267</v>
      </c>
      <c r="G38" s="192" t="s">
        <v>537</v>
      </c>
      <c r="H38" s="193" t="s">
        <v>1268</v>
      </c>
      <c r="I38" s="192" t="s">
        <v>1269</v>
      </c>
      <c r="J38" s="192" t="s">
        <v>1270</v>
      </c>
      <c r="K38" s="194">
        <v>43654</v>
      </c>
      <c r="L38" s="194"/>
      <c r="M38" s="194">
        <v>44136</v>
      </c>
      <c r="N38" s="195" t="s">
        <v>539</v>
      </c>
      <c r="O38" s="195">
        <v>38</v>
      </c>
      <c r="P38" s="196">
        <f t="shared" si="0"/>
        <v>1</v>
      </c>
      <c r="Q38" s="192" t="s">
        <v>617</v>
      </c>
      <c r="R38" s="192">
        <v>17956</v>
      </c>
      <c r="S38" s="192" t="s">
        <v>837</v>
      </c>
      <c r="T38" s="192" t="s">
        <v>844</v>
      </c>
      <c r="U38" s="192" t="s">
        <v>845</v>
      </c>
      <c r="V38" s="193" t="s">
        <v>543</v>
      </c>
      <c r="W38" s="193" t="s">
        <v>544</v>
      </c>
      <c r="X38" s="193" t="s">
        <v>823</v>
      </c>
      <c r="Y38" s="56" t="s">
        <v>824</v>
      </c>
      <c r="Z38" s="193" t="s">
        <v>837</v>
      </c>
      <c r="AA38" s="192" t="s">
        <v>845</v>
      </c>
      <c r="AB38" s="57" t="s">
        <v>1366</v>
      </c>
      <c r="AC38" s="193" t="s">
        <v>825</v>
      </c>
      <c r="AD38" s="56" t="s">
        <v>826</v>
      </c>
      <c r="AE38" s="10">
        <f>IFERROR(INDEX('[3]Lookup_Rem Ranges'!$D:$D,MATCH($AL:$AL,'[3]Lookup_Rem Ranges'!$C:$C,0)),0)</f>
        <v>88700</v>
      </c>
      <c r="AF38" s="10">
        <f>IFERROR(INDEX('[3]Lookup_Rem Ranges'!$E:$E,MATCH($AL:$AL,'[3]Lookup_Rem Ranges'!$C:$C,0)),0)</f>
        <v>104300</v>
      </c>
      <c r="AG38" s="10">
        <f>IFERROR(INDEX('[3]Lookup_Rem Ranges'!$F:$F,MATCH($AL:$AL,'[3]Lookup_Rem Ranges'!$C:$C,0)),)</f>
        <v>119900</v>
      </c>
      <c r="AH38" s="193" t="s">
        <v>622</v>
      </c>
      <c r="AI38" s="197"/>
      <c r="AJ38" s="198">
        <v>0</v>
      </c>
      <c r="AK38" s="199"/>
      <c r="AL38" s="200" t="str">
        <f t="shared" si="1"/>
        <v>GI5</v>
      </c>
      <c r="AM38" s="200" t="s">
        <v>486</v>
      </c>
      <c r="AN38" s="197">
        <v>5</v>
      </c>
      <c r="AO38" s="199" t="s">
        <v>701</v>
      </c>
      <c r="AP38" s="5">
        <v>98300</v>
      </c>
      <c r="AQ38" s="10">
        <f t="shared" si="2"/>
        <v>98300</v>
      </c>
      <c r="AR38" s="10">
        <f t="shared" si="3"/>
        <v>98300</v>
      </c>
      <c r="AS38" s="53">
        <v>2.502606882168926E-2</v>
      </c>
      <c r="AT38" s="53">
        <v>0</v>
      </c>
      <c r="AU38" s="201"/>
      <c r="AV38" s="10"/>
      <c r="AW38" s="54">
        <v>0</v>
      </c>
      <c r="AX38" s="10">
        <v>0</v>
      </c>
      <c r="AY38" s="10">
        <v>98300</v>
      </c>
      <c r="AZ38" s="55">
        <f t="shared" si="4"/>
        <v>0.94247363374880155</v>
      </c>
      <c r="BA38" s="37" t="s">
        <v>23</v>
      </c>
      <c r="BB38" s="38">
        <v>4</v>
      </c>
      <c r="BC38" s="53">
        <f t="shared" si="5"/>
        <v>0</v>
      </c>
      <c r="BD38" s="65">
        <f t="shared" si="48"/>
        <v>0</v>
      </c>
      <c r="BE38" s="44">
        <v>3.2500000000000001E-2</v>
      </c>
      <c r="BF38" s="179">
        <f t="shared" si="7"/>
        <v>3195</v>
      </c>
      <c r="BG38" s="402">
        <v>0</v>
      </c>
      <c r="BH38" s="403">
        <f t="shared" si="8"/>
        <v>0</v>
      </c>
      <c r="BI38" s="44">
        <v>0</v>
      </c>
      <c r="BJ38" s="179">
        <f t="shared" si="9"/>
        <v>0</v>
      </c>
      <c r="BK38" s="179">
        <f t="shared" si="10"/>
        <v>0</v>
      </c>
      <c r="BL38" s="202"/>
      <c r="BM38" s="203">
        <f t="shared" si="11"/>
        <v>3.2500000000000001E-2</v>
      </c>
      <c r="BN38" s="204">
        <f t="shared" si="12"/>
        <v>3195</v>
      </c>
      <c r="BO38" s="16">
        <f t="shared" si="13"/>
        <v>101495</v>
      </c>
      <c r="BP38" s="205">
        <f t="shared" si="14"/>
        <v>11164</v>
      </c>
      <c r="BQ38" s="206">
        <f t="shared" si="15"/>
        <v>112659</v>
      </c>
      <c r="BR38" s="55">
        <f t="shared" si="16"/>
        <v>0.97310642377756473</v>
      </c>
      <c r="BS38" s="64">
        <f t="shared" si="17"/>
        <v>504</v>
      </c>
      <c r="BT38" s="53">
        <f t="shared" si="18"/>
        <v>3.2500000000000001E-2</v>
      </c>
      <c r="BU38" s="65">
        <f t="shared" si="19"/>
        <v>3195</v>
      </c>
      <c r="BV38" s="206">
        <f t="shared" si="20"/>
        <v>101495</v>
      </c>
      <c r="BW38" s="207">
        <f t="shared" si="21"/>
        <v>51.36</v>
      </c>
      <c r="BX38" s="199"/>
      <c r="BY38" s="206">
        <f t="shared" si="22"/>
        <v>112659</v>
      </c>
      <c r="BZ38" s="208" t="s">
        <v>687</v>
      </c>
      <c r="CA38" s="199"/>
      <c r="CB38" s="199"/>
      <c r="CC38" s="200" t="str">
        <f t="shared" si="23"/>
        <v/>
      </c>
      <c r="CD38" s="197"/>
      <c r="CE38" s="197"/>
      <c r="CF38" s="10" t="str">
        <f>IFERROR(INDEX('[4]Lookup_Rem Ranges'!$D:$D,MATCH($CC:$CC,'[4]Lookup_Rem Ranges'!$C:$C,0)),"")</f>
        <v/>
      </c>
      <c r="CG38" s="307"/>
      <c r="CH38" s="307"/>
      <c r="CI38" s="210"/>
      <c r="CJ38" s="122" t="s">
        <v>701</v>
      </c>
      <c r="CK38" s="206">
        <f t="shared" si="24"/>
        <v>0</v>
      </c>
      <c r="CL38" s="206">
        <f t="shared" si="25"/>
        <v>0</v>
      </c>
      <c r="CM38" s="123"/>
      <c r="CN38" s="124">
        <f t="shared" si="26"/>
        <v>0</v>
      </c>
      <c r="CO38" s="124" t="s">
        <v>1376</v>
      </c>
      <c r="CP38" s="125">
        <f t="shared" si="27"/>
        <v>3.2500000000000001E-2</v>
      </c>
      <c r="CQ38" s="126">
        <f t="shared" si="28"/>
        <v>3195</v>
      </c>
      <c r="CR38" s="127">
        <f t="shared" si="29"/>
        <v>0</v>
      </c>
      <c r="CS38" s="128">
        <f t="shared" si="30"/>
        <v>0</v>
      </c>
      <c r="CT38" s="127">
        <f t="shared" si="31"/>
        <v>0</v>
      </c>
      <c r="CU38" s="128">
        <f t="shared" si="32"/>
        <v>0</v>
      </c>
      <c r="CV38" s="127">
        <f t="shared" si="33"/>
        <v>0</v>
      </c>
      <c r="CW38" s="128">
        <f t="shared" si="34"/>
        <v>0</v>
      </c>
      <c r="CX38" s="127">
        <f t="shared" si="35"/>
        <v>0</v>
      </c>
      <c r="CY38" s="128">
        <f t="shared" si="36"/>
        <v>0</v>
      </c>
      <c r="CZ38" s="127">
        <f>$CR:$CR+$CT:CT+$CV:$CV+$CX:$CX</f>
        <v>0</v>
      </c>
      <c r="DA38" s="127">
        <f t="shared" si="37"/>
        <v>0</v>
      </c>
      <c r="DB38" s="127"/>
      <c r="DC38" s="127">
        <f t="shared" si="38"/>
        <v>3.2500000000000001E-2</v>
      </c>
      <c r="DD38" s="128">
        <f t="shared" si="39"/>
        <v>3195</v>
      </c>
      <c r="DE38" s="129">
        <f t="shared" si="40"/>
        <v>0</v>
      </c>
      <c r="DF38" s="128">
        <f t="shared" si="41"/>
        <v>0</v>
      </c>
      <c r="DG38" s="129">
        <f t="shared" si="42"/>
        <v>0</v>
      </c>
      <c r="DH38" s="128">
        <f t="shared" si="43"/>
        <v>0</v>
      </c>
      <c r="DI38" s="127">
        <f t="shared" si="44"/>
        <v>3.2500000000000001E-2</v>
      </c>
      <c r="DJ38" s="128">
        <f t="shared" si="45"/>
        <v>3195</v>
      </c>
      <c r="DK38" s="127">
        <f t="shared" si="46"/>
        <v>0</v>
      </c>
      <c r="DL38" s="128">
        <f t="shared" si="47"/>
        <v>0</v>
      </c>
      <c r="DM38" s="130"/>
      <c r="DN38" s="131"/>
      <c r="DO38" s="131"/>
      <c r="DP38" s="131"/>
      <c r="DQ38" s="131"/>
      <c r="DR38" s="131"/>
      <c r="DS38" s="131"/>
      <c r="DT38" s="131"/>
      <c r="DU38" s="131"/>
      <c r="DV38" s="131"/>
      <c r="DW38" s="131" t="s">
        <v>1379</v>
      </c>
    </row>
    <row r="39" spans="1:127" ht="33.75">
      <c r="A39" s="134"/>
      <c r="B39" s="121" t="s">
        <v>490</v>
      </c>
      <c r="C39" s="121" t="s">
        <v>1178</v>
      </c>
      <c r="D39" s="121">
        <v>18797</v>
      </c>
      <c r="E39" s="192" t="s">
        <v>523</v>
      </c>
      <c r="F39" s="192" t="s">
        <v>524</v>
      </c>
      <c r="G39" s="192" t="s">
        <v>537</v>
      </c>
      <c r="H39" s="193" t="s">
        <v>1179</v>
      </c>
      <c r="I39" s="192" t="s">
        <v>1165</v>
      </c>
      <c r="J39" s="192" t="s">
        <v>1166</v>
      </c>
      <c r="K39" s="194">
        <v>43696</v>
      </c>
      <c r="L39" s="194"/>
      <c r="M39" s="194">
        <v>44865</v>
      </c>
      <c r="N39" s="195" t="s">
        <v>539</v>
      </c>
      <c r="O39" s="195">
        <v>38</v>
      </c>
      <c r="P39" s="196">
        <f t="shared" si="0"/>
        <v>1</v>
      </c>
      <c r="Q39" s="192" t="s">
        <v>617</v>
      </c>
      <c r="R39" s="192">
        <v>17956</v>
      </c>
      <c r="S39" s="192" t="s">
        <v>837</v>
      </c>
      <c r="T39" s="192" t="s">
        <v>844</v>
      </c>
      <c r="U39" s="192" t="s">
        <v>845</v>
      </c>
      <c r="V39" s="193" t="s">
        <v>543</v>
      </c>
      <c r="W39" s="193" t="s">
        <v>544</v>
      </c>
      <c r="X39" s="193" t="s">
        <v>823</v>
      </c>
      <c r="Y39" s="56" t="s">
        <v>824</v>
      </c>
      <c r="Z39" s="193" t="s">
        <v>837</v>
      </c>
      <c r="AA39" s="192" t="s">
        <v>845</v>
      </c>
      <c r="AB39" s="57" t="s">
        <v>1366</v>
      </c>
      <c r="AC39" s="193" t="s">
        <v>825</v>
      </c>
      <c r="AD39" s="56" t="s">
        <v>826</v>
      </c>
      <c r="AE39" s="10">
        <f>IFERROR(INDEX('[3]Lookup_Rem Ranges'!$D:$D,MATCH($AL:$AL,'[3]Lookup_Rem Ranges'!$C:$C,0)),0)</f>
        <v>88700</v>
      </c>
      <c r="AF39" s="10">
        <f>IFERROR(INDEX('[3]Lookup_Rem Ranges'!$E:$E,MATCH($AL:$AL,'[3]Lookup_Rem Ranges'!$C:$C,0)),0)</f>
        <v>104300</v>
      </c>
      <c r="AG39" s="10">
        <f>IFERROR(INDEX('[3]Lookup_Rem Ranges'!$F:$F,MATCH($AL:$AL,'[3]Lookup_Rem Ranges'!$C:$C,0)),)</f>
        <v>119900</v>
      </c>
      <c r="AH39" s="193" t="s">
        <v>622</v>
      </c>
      <c r="AI39" s="197"/>
      <c r="AJ39" s="198">
        <v>0</v>
      </c>
      <c r="AK39" s="199"/>
      <c r="AL39" s="200" t="str">
        <f t="shared" si="1"/>
        <v>GI5</v>
      </c>
      <c r="AM39" s="200" t="s">
        <v>486</v>
      </c>
      <c r="AN39" s="197">
        <v>5</v>
      </c>
      <c r="AO39" s="199"/>
      <c r="AP39" s="5">
        <v>113600</v>
      </c>
      <c r="AQ39" s="10">
        <f t="shared" si="2"/>
        <v>113600</v>
      </c>
      <c r="AR39" s="10">
        <f t="shared" si="3"/>
        <v>113600</v>
      </c>
      <c r="AS39" s="53">
        <v>2.2502250225022502E-2</v>
      </c>
      <c r="AT39" s="53">
        <v>0</v>
      </c>
      <c r="AU39" s="201"/>
      <c r="AV39" s="10"/>
      <c r="AW39" s="54">
        <v>0</v>
      </c>
      <c r="AX39" s="10">
        <v>0</v>
      </c>
      <c r="AY39" s="10">
        <v>113600</v>
      </c>
      <c r="AZ39" s="55">
        <f t="shared" si="4"/>
        <v>1.0891658676893576</v>
      </c>
      <c r="BA39" s="37" t="s">
        <v>23</v>
      </c>
      <c r="BB39" s="38">
        <v>4</v>
      </c>
      <c r="BC39" s="53">
        <f t="shared" si="5"/>
        <v>0</v>
      </c>
      <c r="BD39" s="65">
        <f t="shared" si="48"/>
        <v>0</v>
      </c>
      <c r="BE39" s="44">
        <v>3.2500000000000001E-2</v>
      </c>
      <c r="BF39" s="179">
        <f t="shared" si="7"/>
        <v>3692</v>
      </c>
      <c r="BG39" s="402">
        <v>0</v>
      </c>
      <c r="BH39" s="403">
        <f t="shared" si="8"/>
        <v>0</v>
      </c>
      <c r="BI39" s="44">
        <v>0</v>
      </c>
      <c r="BJ39" s="179">
        <f t="shared" si="9"/>
        <v>0</v>
      </c>
      <c r="BK39" s="179">
        <f t="shared" si="10"/>
        <v>0</v>
      </c>
      <c r="BL39" s="202"/>
      <c r="BM39" s="203">
        <f t="shared" si="11"/>
        <v>3.2500000000000001E-2</v>
      </c>
      <c r="BN39" s="204">
        <f t="shared" si="12"/>
        <v>3692</v>
      </c>
      <c r="BO39" s="16">
        <f t="shared" si="13"/>
        <v>117292</v>
      </c>
      <c r="BP39" s="205">
        <f t="shared" si="14"/>
        <v>12902</v>
      </c>
      <c r="BQ39" s="206">
        <f t="shared" si="15"/>
        <v>130194</v>
      </c>
      <c r="BR39" s="55">
        <f t="shared" si="16"/>
        <v>1.1245637583892618</v>
      </c>
      <c r="BS39" s="64">
        <f t="shared" si="17"/>
        <v>582</v>
      </c>
      <c r="BT39" s="53">
        <f t="shared" si="18"/>
        <v>3.2500000000000001E-2</v>
      </c>
      <c r="BU39" s="65">
        <f t="shared" si="19"/>
        <v>3692</v>
      </c>
      <c r="BV39" s="206">
        <f t="shared" si="20"/>
        <v>117292</v>
      </c>
      <c r="BW39" s="207">
        <f t="shared" si="21"/>
        <v>59.36</v>
      </c>
      <c r="BX39" s="199"/>
      <c r="BY39" s="206">
        <f t="shared" si="22"/>
        <v>130194</v>
      </c>
      <c r="BZ39" s="208" t="s">
        <v>687</v>
      </c>
      <c r="CA39" s="199"/>
      <c r="CB39" s="199"/>
      <c r="CC39" s="200" t="str">
        <f t="shared" si="23"/>
        <v/>
      </c>
      <c r="CD39" s="197"/>
      <c r="CE39" s="197"/>
      <c r="CF39" s="10" t="str">
        <f>IFERROR(INDEX('[4]Lookup_Rem Ranges'!$D:$D,MATCH($CC:$CC,'[4]Lookup_Rem Ranges'!$C:$C,0)),"")</f>
        <v/>
      </c>
      <c r="CG39" s="307"/>
      <c r="CH39" s="307"/>
      <c r="CI39" s="210"/>
      <c r="CJ39" s="122" t="s">
        <v>701</v>
      </c>
      <c r="CK39" s="206">
        <f t="shared" si="24"/>
        <v>0</v>
      </c>
      <c r="CL39" s="206">
        <f t="shared" si="25"/>
        <v>0</v>
      </c>
      <c r="CM39" s="123"/>
      <c r="CN39" s="124">
        <f t="shared" si="26"/>
        <v>0</v>
      </c>
      <c r="CO39" s="124" t="s">
        <v>1376</v>
      </c>
      <c r="CP39" s="125">
        <f t="shared" si="27"/>
        <v>3.2500000000000001E-2</v>
      </c>
      <c r="CQ39" s="126">
        <f t="shared" si="28"/>
        <v>3692</v>
      </c>
      <c r="CR39" s="127">
        <f t="shared" si="29"/>
        <v>0</v>
      </c>
      <c r="CS39" s="128">
        <f t="shared" si="30"/>
        <v>0</v>
      </c>
      <c r="CT39" s="127">
        <f t="shared" si="31"/>
        <v>0</v>
      </c>
      <c r="CU39" s="128">
        <f t="shared" si="32"/>
        <v>0</v>
      </c>
      <c r="CV39" s="127">
        <f t="shared" si="33"/>
        <v>0</v>
      </c>
      <c r="CW39" s="128">
        <f t="shared" si="34"/>
        <v>0</v>
      </c>
      <c r="CX39" s="127">
        <f t="shared" si="35"/>
        <v>0</v>
      </c>
      <c r="CY39" s="128">
        <f t="shared" si="36"/>
        <v>0</v>
      </c>
      <c r="CZ39" s="127">
        <f>$CR:$CR+$CT:CT+$CV:$CV+$CX:$CX</f>
        <v>0</v>
      </c>
      <c r="DA39" s="127">
        <f t="shared" si="37"/>
        <v>0</v>
      </c>
      <c r="DB39" s="127"/>
      <c r="DC39" s="127">
        <f t="shared" si="38"/>
        <v>3.2500000000000001E-2</v>
      </c>
      <c r="DD39" s="128">
        <f t="shared" si="39"/>
        <v>3692</v>
      </c>
      <c r="DE39" s="129">
        <f t="shared" si="40"/>
        <v>0</v>
      </c>
      <c r="DF39" s="128">
        <f t="shared" si="41"/>
        <v>0</v>
      </c>
      <c r="DG39" s="129">
        <f t="shared" si="42"/>
        <v>0</v>
      </c>
      <c r="DH39" s="128">
        <f t="shared" si="43"/>
        <v>0</v>
      </c>
      <c r="DI39" s="127">
        <f t="shared" si="44"/>
        <v>3.2500000000000001E-2</v>
      </c>
      <c r="DJ39" s="128">
        <f t="shared" si="45"/>
        <v>3692</v>
      </c>
      <c r="DK39" s="127">
        <f t="shared" si="46"/>
        <v>0</v>
      </c>
      <c r="DL39" s="128">
        <f t="shared" si="47"/>
        <v>0</v>
      </c>
      <c r="DM39" s="130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 t="s">
        <v>1379</v>
      </c>
    </row>
    <row r="40" spans="1:127" ht="33.75">
      <c r="A40" s="134"/>
      <c r="B40" s="121" t="s">
        <v>490</v>
      </c>
      <c r="C40" s="121" t="s">
        <v>846</v>
      </c>
      <c r="D40" s="121">
        <v>5140</v>
      </c>
      <c r="E40" s="192" t="s">
        <v>847</v>
      </c>
      <c r="F40" s="192" t="s">
        <v>848</v>
      </c>
      <c r="G40" s="192" t="s">
        <v>538</v>
      </c>
      <c r="H40" s="193" t="s">
        <v>841</v>
      </c>
      <c r="I40" s="192" t="s">
        <v>849</v>
      </c>
      <c r="J40" s="192" t="s">
        <v>843</v>
      </c>
      <c r="K40" s="194">
        <v>35562</v>
      </c>
      <c r="L40" s="194"/>
      <c r="M40" s="194">
        <v>43927</v>
      </c>
      <c r="N40" s="195" t="s">
        <v>539</v>
      </c>
      <c r="O40" s="195">
        <v>38</v>
      </c>
      <c r="P40" s="196">
        <f t="shared" si="0"/>
        <v>1</v>
      </c>
      <c r="Q40" s="192" t="s">
        <v>617</v>
      </c>
      <c r="R40" s="192">
        <v>17956</v>
      </c>
      <c r="S40" s="192" t="s">
        <v>837</v>
      </c>
      <c r="T40" s="192" t="s">
        <v>844</v>
      </c>
      <c r="U40" s="192" t="s">
        <v>845</v>
      </c>
      <c r="V40" s="193" t="s">
        <v>543</v>
      </c>
      <c r="W40" s="193" t="s">
        <v>544</v>
      </c>
      <c r="X40" s="193" t="s">
        <v>823</v>
      </c>
      <c r="Y40" s="52" t="s">
        <v>824</v>
      </c>
      <c r="Z40" s="193" t="s">
        <v>837</v>
      </c>
      <c r="AA40" s="192" t="s">
        <v>845</v>
      </c>
      <c r="AB40" s="57" t="s">
        <v>1366</v>
      </c>
      <c r="AC40" s="193" t="s">
        <v>825</v>
      </c>
      <c r="AD40" s="52" t="s">
        <v>826</v>
      </c>
      <c r="AE40" s="10">
        <f>IFERROR(INDEX('[3]Lookup_Rem Ranges'!$D:$D,MATCH($AL:$AL,'[3]Lookup_Rem Ranges'!$C:$C,0)),0)</f>
        <v>114200</v>
      </c>
      <c r="AF40" s="10">
        <f>IFERROR(INDEX('[3]Lookup_Rem Ranges'!$E:$E,MATCH($AL:$AL,'[3]Lookup_Rem Ranges'!$C:$C,0)),0)</f>
        <v>134400</v>
      </c>
      <c r="AG40" s="10">
        <f>IFERROR(INDEX('[3]Lookup_Rem Ranges'!$F:$F,MATCH($AL:$AL,'[3]Lookup_Rem Ranges'!$C:$C,0)),)</f>
        <v>154600</v>
      </c>
      <c r="AH40" s="193" t="s">
        <v>622</v>
      </c>
      <c r="AI40" s="197"/>
      <c r="AJ40" s="198">
        <v>0</v>
      </c>
      <c r="AK40" s="199"/>
      <c r="AL40" s="200" t="str">
        <f t="shared" si="1"/>
        <v>GI6</v>
      </c>
      <c r="AM40" s="200" t="s">
        <v>486</v>
      </c>
      <c r="AN40" s="197">
        <v>6</v>
      </c>
      <c r="AO40" s="199" t="s">
        <v>701</v>
      </c>
      <c r="AP40" s="5">
        <v>102000</v>
      </c>
      <c r="AQ40" s="10">
        <f t="shared" si="2"/>
        <v>102000</v>
      </c>
      <c r="AR40" s="10">
        <f t="shared" si="3"/>
        <v>102000</v>
      </c>
      <c r="AS40" s="53">
        <v>0.02</v>
      </c>
      <c r="AT40" s="53">
        <v>0</v>
      </c>
      <c r="AU40" s="201"/>
      <c r="AV40" s="10"/>
      <c r="AW40" s="54">
        <v>0</v>
      </c>
      <c r="AX40" s="10">
        <v>0</v>
      </c>
      <c r="AY40" s="10">
        <v>102000</v>
      </c>
      <c r="AZ40" s="55">
        <f t="shared" si="4"/>
        <v>0.7589285714285714</v>
      </c>
      <c r="BA40" s="37" t="s">
        <v>23</v>
      </c>
      <c r="BB40" s="38">
        <v>3</v>
      </c>
      <c r="BC40" s="53">
        <f t="shared" si="5"/>
        <v>0.11960784313725491</v>
      </c>
      <c r="BD40" s="65">
        <f t="shared" si="48"/>
        <v>12200</v>
      </c>
      <c r="BE40" s="44">
        <v>0</v>
      </c>
      <c r="BF40" s="179">
        <f t="shared" si="7"/>
        <v>0</v>
      </c>
      <c r="BG40" s="402">
        <v>0</v>
      </c>
      <c r="BH40" s="403">
        <f t="shared" si="8"/>
        <v>0</v>
      </c>
      <c r="BI40" s="44">
        <v>0</v>
      </c>
      <c r="BJ40" s="179">
        <f t="shared" si="9"/>
        <v>0</v>
      </c>
      <c r="BK40" s="179">
        <f t="shared" si="10"/>
        <v>0</v>
      </c>
      <c r="BL40" s="202"/>
      <c r="BM40" s="203">
        <f t="shared" si="11"/>
        <v>0.11960784313725491</v>
      </c>
      <c r="BN40" s="204">
        <f t="shared" si="12"/>
        <v>12200</v>
      </c>
      <c r="BO40" s="16">
        <f t="shared" si="13"/>
        <v>114200</v>
      </c>
      <c r="BP40" s="205">
        <f t="shared" si="14"/>
        <v>12562</v>
      </c>
      <c r="BQ40" s="206">
        <f t="shared" si="15"/>
        <v>126762</v>
      </c>
      <c r="BR40" s="55">
        <f t="shared" si="16"/>
        <v>0.84970238095238093</v>
      </c>
      <c r="BS40" s="64">
        <f t="shared" si="17"/>
        <v>1924</v>
      </c>
      <c r="BT40" s="53">
        <f t="shared" si="18"/>
        <v>0.11960784313725491</v>
      </c>
      <c r="BU40" s="65">
        <f t="shared" si="19"/>
        <v>12200</v>
      </c>
      <c r="BV40" s="206">
        <f t="shared" si="20"/>
        <v>114200</v>
      </c>
      <c r="BW40" s="207">
        <f t="shared" si="21"/>
        <v>57.79</v>
      </c>
      <c r="BX40" s="199"/>
      <c r="BY40" s="206">
        <f t="shared" si="22"/>
        <v>126762</v>
      </c>
      <c r="BZ40" s="208" t="s">
        <v>687</v>
      </c>
      <c r="CA40" s="199"/>
      <c r="CB40" s="199"/>
      <c r="CC40" s="200" t="str">
        <f t="shared" si="23"/>
        <v/>
      </c>
      <c r="CD40" s="197"/>
      <c r="CE40" s="197"/>
      <c r="CF40" s="10" t="str">
        <f>IFERROR(INDEX('[4]Lookup_Rem Ranges'!$D:$D,MATCH($CC:$CC,'[4]Lookup_Rem Ranges'!$C:$C,0)),"")</f>
        <v/>
      </c>
      <c r="CG40" s="306"/>
      <c r="CH40" s="306"/>
      <c r="CI40" s="209"/>
      <c r="CJ40" s="122" t="s">
        <v>701</v>
      </c>
      <c r="CK40" s="206">
        <f t="shared" si="24"/>
        <v>0</v>
      </c>
      <c r="CL40" s="206">
        <f t="shared" si="25"/>
        <v>0</v>
      </c>
      <c r="CM40" s="123"/>
      <c r="CN40" s="124">
        <f t="shared" si="26"/>
        <v>0</v>
      </c>
      <c r="CO40" s="124" t="s">
        <v>1376</v>
      </c>
      <c r="CP40" s="125">
        <f t="shared" si="27"/>
        <v>3.2500000000000001E-2</v>
      </c>
      <c r="CQ40" s="126">
        <f t="shared" si="28"/>
        <v>3315</v>
      </c>
      <c r="CR40" s="127">
        <f t="shared" si="29"/>
        <v>0</v>
      </c>
      <c r="CS40" s="128">
        <f t="shared" si="30"/>
        <v>0</v>
      </c>
      <c r="CT40" s="127">
        <f t="shared" si="31"/>
        <v>0</v>
      </c>
      <c r="CU40" s="128">
        <f t="shared" si="32"/>
        <v>0</v>
      </c>
      <c r="CV40" s="127">
        <f t="shared" si="33"/>
        <v>3.2500000000000001E-2</v>
      </c>
      <c r="CW40" s="128">
        <f t="shared" si="34"/>
        <v>3315</v>
      </c>
      <c r="CX40" s="127">
        <f t="shared" si="35"/>
        <v>8.7107843137254906E-2</v>
      </c>
      <c r="CY40" s="128">
        <f t="shared" si="36"/>
        <v>8885</v>
      </c>
      <c r="CZ40" s="127">
        <f>$CR:$CR+$CT:CT+$CV:$CV+$CX:$CX</f>
        <v>0.11960784313725491</v>
      </c>
      <c r="DA40" s="127">
        <f t="shared" si="37"/>
        <v>0</v>
      </c>
      <c r="DB40" s="127"/>
      <c r="DC40" s="127">
        <f t="shared" si="38"/>
        <v>0</v>
      </c>
      <c r="DD40" s="128">
        <f t="shared" si="39"/>
        <v>0</v>
      </c>
      <c r="DE40" s="129">
        <f t="shared" si="40"/>
        <v>0</v>
      </c>
      <c r="DF40" s="128">
        <f t="shared" si="41"/>
        <v>0</v>
      </c>
      <c r="DG40" s="129">
        <f t="shared" si="42"/>
        <v>0</v>
      </c>
      <c r="DH40" s="128">
        <f t="shared" si="43"/>
        <v>0</v>
      </c>
      <c r="DI40" s="127">
        <f t="shared" si="44"/>
        <v>3.2500000000000001E-2</v>
      </c>
      <c r="DJ40" s="128">
        <f t="shared" si="45"/>
        <v>3315</v>
      </c>
      <c r="DK40" s="127">
        <f t="shared" si="46"/>
        <v>8.7107843137254906E-2</v>
      </c>
      <c r="DL40" s="128">
        <f t="shared" si="47"/>
        <v>8885</v>
      </c>
      <c r="DM40" s="130"/>
      <c r="DN40" s="131"/>
      <c r="DO40" s="131"/>
      <c r="DP40" s="131"/>
      <c r="DQ40" s="131"/>
      <c r="DR40" s="131"/>
      <c r="DS40" s="131"/>
      <c r="DT40" s="131"/>
      <c r="DU40" s="131"/>
      <c r="DV40" s="131"/>
      <c r="DW40" s="131" t="s">
        <v>1379</v>
      </c>
    </row>
    <row r="41" spans="1:127" ht="33.75">
      <c r="A41" s="134"/>
      <c r="B41" s="121" t="s">
        <v>490</v>
      </c>
      <c r="C41" s="121" t="s">
        <v>1259</v>
      </c>
      <c r="D41" s="121">
        <v>18151</v>
      </c>
      <c r="E41" s="192" t="s">
        <v>29</v>
      </c>
      <c r="F41" s="192" t="s">
        <v>1260</v>
      </c>
      <c r="G41" s="192" t="s">
        <v>538</v>
      </c>
      <c r="H41" s="193" t="s">
        <v>1261</v>
      </c>
      <c r="I41" s="192" t="s">
        <v>963</v>
      </c>
      <c r="J41" s="192" t="s">
        <v>964</v>
      </c>
      <c r="K41" s="194">
        <v>43437</v>
      </c>
      <c r="L41" s="194"/>
      <c r="M41" s="194">
        <v>44737</v>
      </c>
      <c r="N41" s="195" t="s">
        <v>539</v>
      </c>
      <c r="O41" s="195">
        <v>38</v>
      </c>
      <c r="P41" s="196">
        <f t="shared" si="0"/>
        <v>1</v>
      </c>
      <c r="Q41" s="192" t="s">
        <v>617</v>
      </c>
      <c r="R41" s="192">
        <v>17956</v>
      </c>
      <c r="S41" s="192" t="s">
        <v>837</v>
      </c>
      <c r="T41" s="192" t="s">
        <v>844</v>
      </c>
      <c r="U41" s="192" t="s">
        <v>845</v>
      </c>
      <c r="V41" s="193" t="s">
        <v>543</v>
      </c>
      <c r="W41" s="193" t="s">
        <v>544</v>
      </c>
      <c r="X41" s="193" t="s">
        <v>823</v>
      </c>
      <c r="Y41" s="56" t="s">
        <v>824</v>
      </c>
      <c r="Z41" s="193" t="s">
        <v>837</v>
      </c>
      <c r="AA41" s="192" t="s">
        <v>845</v>
      </c>
      <c r="AB41" s="57" t="s">
        <v>1366</v>
      </c>
      <c r="AC41" s="193" t="s">
        <v>825</v>
      </c>
      <c r="AD41" s="56" t="s">
        <v>826</v>
      </c>
      <c r="AE41" s="10">
        <f>IFERROR(INDEX('[3]Lookup_Rem Ranges'!$D:$D,MATCH($AL:$AL,'[3]Lookup_Rem Ranges'!$C:$C,0)),0)</f>
        <v>114200</v>
      </c>
      <c r="AF41" s="10">
        <f>IFERROR(INDEX('[3]Lookup_Rem Ranges'!$E:$E,MATCH($AL:$AL,'[3]Lookup_Rem Ranges'!$C:$C,0)),0)</f>
        <v>134400</v>
      </c>
      <c r="AG41" s="10">
        <f>IFERROR(INDEX('[3]Lookup_Rem Ranges'!$F:$F,MATCH($AL:$AL,'[3]Lookup_Rem Ranges'!$C:$C,0)),)</f>
        <v>154600</v>
      </c>
      <c r="AH41" s="193" t="s">
        <v>622</v>
      </c>
      <c r="AI41" s="197"/>
      <c r="AJ41" s="198">
        <v>0</v>
      </c>
      <c r="AK41" s="199"/>
      <c r="AL41" s="200" t="str">
        <f t="shared" si="1"/>
        <v>GI6</v>
      </c>
      <c r="AM41" s="200" t="s">
        <v>486</v>
      </c>
      <c r="AN41" s="197">
        <v>6</v>
      </c>
      <c r="AO41" s="199" t="s">
        <v>701</v>
      </c>
      <c r="AP41" s="5">
        <v>130100</v>
      </c>
      <c r="AQ41" s="10">
        <f t="shared" si="2"/>
        <v>130100</v>
      </c>
      <c r="AR41" s="10">
        <f t="shared" si="3"/>
        <v>130100</v>
      </c>
      <c r="AS41" s="53">
        <v>2.0392156862745099E-2</v>
      </c>
      <c r="AT41" s="53">
        <v>0</v>
      </c>
      <c r="AU41" s="201"/>
      <c r="AV41" s="10"/>
      <c r="AW41" s="54">
        <v>0</v>
      </c>
      <c r="AX41" s="10">
        <v>0</v>
      </c>
      <c r="AY41" s="10">
        <v>130100</v>
      </c>
      <c r="AZ41" s="55">
        <f t="shared" si="4"/>
        <v>0.96800595238095233</v>
      </c>
      <c r="BA41" s="37" t="s">
        <v>23</v>
      </c>
      <c r="BB41" s="38">
        <v>4</v>
      </c>
      <c r="BC41" s="53">
        <f t="shared" si="5"/>
        <v>0</v>
      </c>
      <c r="BD41" s="65">
        <f t="shared" si="48"/>
        <v>0</v>
      </c>
      <c r="BE41" s="44">
        <v>3.2500000000000001E-2</v>
      </c>
      <c r="BF41" s="179">
        <f t="shared" si="7"/>
        <v>4228</v>
      </c>
      <c r="BG41" s="402">
        <v>0</v>
      </c>
      <c r="BH41" s="403">
        <f t="shared" si="8"/>
        <v>0</v>
      </c>
      <c r="BI41" s="44">
        <v>0</v>
      </c>
      <c r="BJ41" s="179">
        <f t="shared" si="9"/>
        <v>0</v>
      </c>
      <c r="BK41" s="179">
        <f t="shared" si="10"/>
        <v>0</v>
      </c>
      <c r="BL41" s="202"/>
      <c r="BM41" s="203">
        <f t="shared" si="11"/>
        <v>3.2500000000000001E-2</v>
      </c>
      <c r="BN41" s="204">
        <f t="shared" si="12"/>
        <v>4228</v>
      </c>
      <c r="BO41" s="16">
        <f t="shared" si="13"/>
        <v>134328</v>
      </c>
      <c r="BP41" s="205">
        <f t="shared" si="14"/>
        <v>14776</v>
      </c>
      <c r="BQ41" s="206">
        <f t="shared" si="15"/>
        <v>149104</v>
      </c>
      <c r="BR41" s="55">
        <f t="shared" si="16"/>
        <v>0.99946428571428569</v>
      </c>
      <c r="BS41" s="64">
        <f t="shared" si="17"/>
        <v>667</v>
      </c>
      <c r="BT41" s="53">
        <f t="shared" si="18"/>
        <v>3.2500000000000001E-2</v>
      </c>
      <c r="BU41" s="65">
        <f t="shared" si="19"/>
        <v>4228</v>
      </c>
      <c r="BV41" s="206">
        <f t="shared" si="20"/>
        <v>134328</v>
      </c>
      <c r="BW41" s="207">
        <f t="shared" si="21"/>
        <v>67.98</v>
      </c>
      <c r="BX41" s="199"/>
      <c r="BY41" s="206">
        <f t="shared" si="22"/>
        <v>149104</v>
      </c>
      <c r="BZ41" s="208" t="s">
        <v>687</v>
      </c>
      <c r="CA41" s="199"/>
      <c r="CB41" s="199"/>
      <c r="CC41" s="200" t="str">
        <f t="shared" si="23"/>
        <v/>
      </c>
      <c r="CD41" s="197"/>
      <c r="CE41" s="197"/>
      <c r="CF41" s="10" t="str">
        <f>IFERROR(INDEX('[4]Lookup_Rem Ranges'!$D:$D,MATCH($CC:$CC,'[4]Lookup_Rem Ranges'!$C:$C,0)),"")</f>
        <v/>
      </c>
      <c r="CG41" s="307"/>
      <c r="CH41" s="307"/>
      <c r="CI41" s="210"/>
      <c r="CJ41" s="122" t="s">
        <v>701</v>
      </c>
      <c r="CK41" s="206">
        <f t="shared" si="24"/>
        <v>0</v>
      </c>
      <c r="CL41" s="206">
        <f t="shared" si="25"/>
        <v>0</v>
      </c>
      <c r="CM41" s="123"/>
      <c r="CN41" s="124">
        <f t="shared" si="26"/>
        <v>0</v>
      </c>
      <c r="CO41" s="124" t="s">
        <v>1376</v>
      </c>
      <c r="CP41" s="125">
        <f t="shared" si="27"/>
        <v>3.2500000000000001E-2</v>
      </c>
      <c r="CQ41" s="126">
        <f t="shared" si="28"/>
        <v>4228</v>
      </c>
      <c r="CR41" s="127">
        <f t="shared" si="29"/>
        <v>0</v>
      </c>
      <c r="CS41" s="128">
        <f t="shared" si="30"/>
        <v>0</v>
      </c>
      <c r="CT41" s="127">
        <f t="shared" si="31"/>
        <v>0</v>
      </c>
      <c r="CU41" s="128">
        <f t="shared" si="32"/>
        <v>0</v>
      </c>
      <c r="CV41" s="127">
        <f t="shared" si="33"/>
        <v>0</v>
      </c>
      <c r="CW41" s="128">
        <f t="shared" si="34"/>
        <v>0</v>
      </c>
      <c r="CX41" s="127">
        <f t="shared" si="35"/>
        <v>0</v>
      </c>
      <c r="CY41" s="128">
        <f t="shared" si="36"/>
        <v>0</v>
      </c>
      <c r="CZ41" s="127">
        <f>$CR:$CR+$CT:CT+$CV:$CV+$CX:$CX</f>
        <v>0</v>
      </c>
      <c r="DA41" s="127">
        <f t="shared" si="37"/>
        <v>0</v>
      </c>
      <c r="DB41" s="127"/>
      <c r="DC41" s="127">
        <f t="shared" si="38"/>
        <v>3.2500000000000001E-2</v>
      </c>
      <c r="DD41" s="128">
        <f t="shared" si="39"/>
        <v>4228</v>
      </c>
      <c r="DE41" s="129">
        <f t="shared" si="40"/>
        <v>0</v>
      </c>
      <c r="DF41" s="128">
        <f t="shared" si="41"/>
        <v>0</v>
      </c>
      <c r="DG41" s="129">
        <f t="shared" si="42"/>
        <v>0</v>
      </c>
      <c r="DH41" s="128">
        <f t="shared" si="43"/>
        <v>0</v>
      </c>
      <c r="DI41" s="127">
        <f t="shared" si="44"/>
        <v>3.2500000000000001E-2</v>
      </c>
      <c r="DJ41" s="128">
        <f t="shared" si="45"/>
        <v>4228</v>
      </c>
      <c r="DK41" s="127">
        <f t="shared" si="46"/>
        <v>0</v>
      </c>
      <c r="DL41" s="128">
        <f t="shared" si="47"/>
        <v>0</v>
      </c>
      <c r="DM41" s="130"/>
      <c r="DN41" s="131"/>
      <c r="DO41" s="131"/>
      <c r="DP41" s="131"/>
      <c r="DQ41" s="131"/>
      <c r="DR41" s="131"/>
      <c r="DS41" s="131"/>
      <c r="DT41" s="131"/>
      <c r="DU41" s="131"/>
      <c r="DV41" s="131"/>
      <c r="DW41" s="131" t="s">
        <v>1379</v>
      </c>
    </row>
    <row r="42" spans="1:127" ht="33.75">
      <c r="A42" s="134"/>
      <c r="B42" s="121" t="s">
        <v>490</v>
      </c>
      <c r="C42" s="121" t="s">
        <v>1152</v>
      </c>
      <c r="D42" s="121">
        <v>18959</v>
      </c>
      <c r="E42" s="192" t="s">
        <v>808</v>
      </c>
      <c r="F42" s="192" t="s">
        <v>1039</v>
      </c>
      <c r="G42" s="192" t="s">
        <v>537</v>
      </c>
      <c r="H42" s="193" t="s">
        <v>841</v>
      </c>
      <c r="I42" s="192" t="s">
        <v>1153</v>
      </c>
      <c r="J42" s="192" t="s">
        <v>1154</v>
      </c>
      <c r="K42" s="194">
        <v>43773</v>
      </c>
      <c r="L42" s="194"/>
      <c r="M42" s="194">
        <v>43773</v>
      </c>
      <c r="N42" s="195" t="s">
        <v>539</v>
      </c>
      <c r="O42" s="195">
        <v>38</v>
      </c>
      <c r="P42" s="196">
        <f t="shared" si="0"/>
        <v>1</v>
      </c>
      <c r="Q42" s="192" t="s">
        <v>617</v>
      </c>
      <c r="R42" s="192">
        <v>17956</v>
      </c>
      <c r="S42" s="192" t="s">
        <v>837</v>
      </c>
      <c r="T42" s="192" t="s">
        <v>844</v>
      </c>
      <c r="U42" s="192" t="s">
        <v>845</v>
      </c>
      <c r="V42" s="193" t="s">
        <v>543</v>
      </c>
      <c r="W42" s="193" t="s">
        <v>544</v>
      </c>
      <c r="X42" s="193" t="s">
        <v>823</v>
      </c>
      <c r="Y42" s="56" t="s">
        <v>824</v>
      </c>
      <c r="Z42" s="193" t="s">
        <v>837</v>
      </c>
      <c r="AA42" s="192" t="s">
        <v>845</v>
      </c>
      <c r="AB42" s="57" t="s">
        <v>1366</v>
      </c>
      <c r="AC42" s="193" t="s">
        <v>825</v>
      </c>
      <c r="AD42" s="56" t="s">
        <v>826</v>
      </c>
      <c r="AE42" s="10">
        <f>IFERROR(INDEX('[3]Lookup_Rem Ranges'!$D:$D,MATCH($AL:$AL,'[3]Lookup_Rem Ranges'!$C:$C,0)),0)</f>
        <v>114200</v>
      </c>
      <c r="AF42" s="10">
        <f>IFERROR(INDEX('[3]Lookup_Rem Ranges'!$E:$E,MATCH($AL:$AL,'[3]Lookup_Rem Ranges'!$C:$C,0)),0)</f>
        <v>134400</v>
      </c>
      <c r="AG42" s="10">
        <f>IFERROR(INDEX('[3]Lookup_Rem Ranges'!$F:$F,MATCH($AL:$AL,'[3]Lookup_Rem Ranges'!$C:$C,0)),)</f>
        <v>154600</v>
      </c>
      <c r="AH42" s="193" t="s">
        <v>622</v>
      </c>
      <c r="AI42" s="197"/>
      <c r="AJ42" s="198">
        <v>0</v>
      </c>
      <c r="AK42" s="199"/>
      <c r="AL42" s="200" t="str">
        <f t="shared" si="1"/>
        <v>GI6</v>
      </c>
      <c r="AM42" s="200" t="s">
        <v>486</v>
      </c>
      <c r="AN42" s="197">
        <v>6</v>
      </c>
      <c r="AO42" s="199" t="s">
        <v>701</v>
      </c>
      <c r="AP42" s="5">
        <v>104600</v>
      </c>
      <c r="AQ42" s="10">
        <f t="shared" si="2"/>
        <v>104600</v>
      </c>
      <c r="AR42" s="10">
        <f t="shared" si="3"/>
        <v>104600</v>
      </c>
      <c r="AS42" s="53">
        <v>2.5490196078431372E-2</v>
      </c>
      <c r="AT42" s="53">
        <v>0</v>
      </c>
      <c r="AU42" s="201"/>
      <c r="AV42" s="10"/>
      <c r="AW42" s="54">
        <v>0</v>
      </c>
      <c r="AX42" s="10">
        <v>0</v>
      </c>
      <c r="AY42" s="10">
        <v>104600</v>
      </c>
      <c r="AZ42" s="55">
        <f t="shared" si="4"/>
        <v>0.77827380952380953</v>
      </c>
      <c r="BA42" s="37" t="s">
        <v>23</v>
      </c>
      <c r="BB42" s="38">
        <v>3</v>
      </c>
      <c r="BC42" s="53">
        <f t="shared" si="5"/>
        <v>9.1778202676864248E-2</v>
      </c>
      <c r="BD42" s="65">
        <f t="shared" si="48"/>
        <v>9600</v>
      </c>
      <c r="BE42" s="44">
        <v>0</v>
      </c>
      <c r="BF42" s="179">
        <f t="shared" si="7"/>
        <v>0</v>
      </c>
      <c r="BG42" s="402">
        <v>0</v>
      </c>
      <c r="BH42" s="403">
        <f t="shared" si="8"/>
        <v>0</v>
      </c>
      <c r="BI42" s="44">
        <v>0</v>
      </c>
      <c r="BJ42" s="179">
        <f t="shared" si="9"/>
        <v>0</v>
      </c>
      <c r="BK42" s="179">
        <f t="shared" si="10"/>
        <v>0</v>
      </c>
      <c r="BL42" s="202"/>
      <c r="BM42" s="203">
        <f t="shared" si="11"/>
        <v>9.1778202676864248E-2</v>
      </c>
      <c r="BN42" s="204">
        <f t="shared" si="12"/>
        <v>9600</v>
      </c>
      <c r="BO42" s="16">
        <f t="shared" si="13"/>
        <v>114200</v>
      </c>
      <c r="BP42" s="205">
        <f t="shared" si="14"/>
        <v>12562</v>
      </c>
      <c r="BQ42" s="206">
        <f t="shared" si="15"/>
        <v>126762</v>
      </c>
      <c r="BR42" s="55">
        <f t="shared" si="16"/>
        <v>0.84970238095238093</v>
      </c>
      <c r="BS42" s="64">
        <f t="shared" si="17"/>
        <v>1514</v>
      </c>
      <c r="BT42" s="53">
        <f t="shared" si="18"/>
        <v>9.1778202676864248E-2</v>
      </c>
      <c r="BU42" s="65">
        <f t="shared" si="19"/>
        <v>9600</v>
      </c>
      <c r="BV42" s="206">
        <f t="shared" si="20"/>
        <v>114200</v>
      </c>
      <c r="BW42" s="207">
        <f t="shared" si="21"/>
        <v>57.79</v>
      </c>
      <c r="BX42" s="199"/>
      <c r="BY42" s="206">
        <f t="shared" si="22"/>
        <v>126762</v>
      </c>
      <c r="BZ42" s="208" t="s">
        <v>687</v>
      </c>
      <c r="CA42" s="199"/>
      <c r="CB42" s="199"/>
      <c r="CC42" s="200" t="str">
        <f t="shared" si="23"/>
        <v/>
      </c>
      <c r="CD42" s="197"/>
      <c r="CE42" s="197"/>
      <c r="CF42" s="10" t="str">
        <f>IFERROR(INDEX('[4]Lookup_Rem Ranges'!$D:$D,MATCH($CC:$CC,'[4]Lookup_Rem Ranges'!$C:$C,0)),"")</f>
        <v/>
      </c>
      <c r="CG42" s="307"/>
      <c r="CH42" s="307"/>
      <c r="CI42" s="210"/>
      <c r="CJ42" s="122" t="s">
        <v>701</v>
      </c>
      <c r="CK42" s="206">
        <f t="shared" si="24"/>
        <v>0</v>
      </c>
      <c r="CL42" s="206">
        <f t="shared" si="25"/>
        <v>0</v>
      </c>
      <c r="CM42" s="123"/>
      <c r="CN42" s="124">
        <f t="shared" si="26"/>
        <v>0</v>
      </c>
      <c r="CO42" s="124" t="s">
        <v>1376</v>
      </c>
      <c r="CP42" s="125">
        <f t="shared" si="27"/>
        <v>3.2500000000000001E-2</v>
      </c>
      <c r="CQ42" s="126">
        <f t="shared" si="28"/>
        <v>3400</v>
      </c>
      <c r="CR42" s="127">
        <f t="shared" si="29"/>
        <v>0</v>
      </c>
      <c r="CS42" s="128">
        <f t="shared" si="30"/>
        <v>0</v>
      </c>
      <c r="CT42" s="127">
        <f t="shared" si="31"/>
        <v>0</v>
      </c>
      <c r="CU42" s="128">
        <f t="shared" si="32"/>
        <v>0</v>
      </c>
      <c r="CV42" s="127">
        <f t="shared" si="33"/>
        <v>3.2500000000000001E-2</v>
      </c>
      <c r="CW42" s="128">
        <f t="shared" si="34"/>
        <v>3400</v>
      </c>
      <c r="CX42" s="127">
        <f t="shared" si="35"/>
        <v>5.9278202676864247E-2</v>
      </c>
      <c r="CY42" s="128">
        <f t="shared" si="36"/>
        <v>6201</v>
      </c>
      <c r="CZ42" s="127">
        <f>$CR:$CR+$CT:CT+$CV:$CV+$CX:$CX</f>
        <v>9.1778202676864248E-2</v>
      </c>
      <c r="DA42" s="127">
        <f t="shared" si="37"/>
        <v>0</v>
      </c>
      <c r="DB42" s="127"/>
      <c r="DC42" s="127">
        <f t="shared" si="38"/>
        <v>0</v>
      </c>
      <c r="DD42" s="128">
        <f t="shared" si="39"/>
        <v>0</v>
      </c>
      <c r="DE42" s="129">
        <f t="shared" si="40"/>
        <v>0</v>
      </c>
      <c r="DF42" s="128">
        <f t="shared" si="41"/>
        <v>0</v>
      </c>
      <c r="DG42" s="129">
        <f t="shared" si="42"/>
        <v>0</v>
      </c>
      <c r="DH42" s="128">
        <f t="shared" si="43"/>
        <v>0</v>
      </c>
      <c r="DI42" s="127">
        <f t="shared" si="44"/>
        <v>3.2500000000000001E-2</v>
      </c>
      <c r="DJ42" s="128">
        <f t="shared" si="45"/>
        <v>3400</v>
      </c>
      <c r="DK42" s="127">
        <f t="shared" si="46"/>
        <v>5.9278202676864247E-2</v>
      </c>
      <c r="DL42" s="128">
        <f t="shared" si="47"/>
        <v>6201</v>
      </c>
      <c r="DM42" s="130"/>
      <c r="DN42" s="131"/>
      <c r="DO42" s="131"/>
      <c r="DP42" s="131"/>
      <c r="DQ42" s="131"/>
      <c r="DR42" s="131"/>
      <c r="DS42" s="131"/>
      <c r="DT42" s="131"/>
      <c r="DU42" s="131"/>
      <c r="DV42" s="131"/>
      <c r="DW42" s="131" t="s">
        <v>1379</v>
      </c>
    </row>
    <row r="43" spans="1:127" ht="33.75">
      <c r="A43" s="134"/>
      <c r="B43" s="121" t="s">
        <v>490</v>
      </c>
      <c r="C43" s="121" t="s">
        <v>1048</v>
      </c>
      <c r="D43" s="121">
        <v>5136</v>
      </c>
      <c r="E43" s="192" t="s">
        <v>498</v>
      </c>
      <c r="F43" s="192" t="s">
        <v>1049</v>
      </c>
      <c r="G43" s="192" t="s">
        <v>537</v>
      </c>
      <c r="H43" s="193" t="s">
        <v>1050</v>
      </c>
      <c r="I43" s="192" t="s">
        <v>1051</v>
      </c>
      <c r="J43" s="192" t="s">
        <v>1052</v>
      </c>
      <c r="K43" s="194">
        <v>35417</v>
      </c>
      <c r="L43" s="194"/>
      <c r="M43" s="194">
        <v>44795</v>
      </c>
      <c r="N43" s="195" t="s">
        <v>539</v>
      </c>
      <c r="O43" s="195">
        <v>38</v>
      </c>
      <c r="P43" s="196">
        <f t="shared" si="0"/>
        <v>1</v>
      </c>
      <c r="Q43" s="192" t="s">
        <v>553</v>
      </c>
      <c r="R43" s="192">
        <v>17956</v>
      </c>
      <c r="S43" s="192" t="s">
        <v>837</v>
      </c>
      <c r="T43" s="192" t="s">
        <v>844</v>
      </c>
      <c r="U43" s="192" t="s">
        <v>845</v>
      </c>
      <c r="V43" s="193" t="s">
        <v>543</v>
      </c>
      <c r="W43" s="193" t="s">
        <v>544</v>
      </c>
      <c r="X43" s="193" t="s">
        <v>823</v>
      </c>
      <c r="Y43" s="56" t="s">
        <v>824</v>
      </c>
      <c r="Z43" s="193" t="s">
        <v>837</v>
      </c>
      <c r="AA43" s="192" t="s">
        <v>845</v>
      </c>
      <c r="AB43" s="57" t="s">
        <v>1366</v>
      </c>
      <c r="AC43" s="193" t="s">
        <v>825</v>
      </c>
      <c r="AD43" s="56" t="s">
        <v>826</v>
      </c>
      <c r="AE43" s="10">
        <f>IFERROR(INDEX('[3]Lookup_Rem Ranges'!$D:$D,MATCH($AL:$AL,'[3]Lookup_Rem Ranges'!$C:$C,0)),0)</f>
        <v>64900</v>
      </c>
      <c r="AF43" s="10">
        <f>IFERROR(INDEX('[3]Lookup_Rem Ranges'!$E:$E,MATCH($AL:$AL,'[3]Lookup_Rem Ranges'!$C:$C,0)),0)</f>
        <v>76300</v>
      </c>
      <c r="AG43" s="10">
        <f>IFERROR(INDEX('[3]Lookup_Rem Ranges'!$F:$F,MATCH($AL:$AL,'[3]Lookup_Rem Ranges'!$C:$C,0)),)</f>
        <v>87700</v>
      </c>
      <c r="AH43" s="193" t="s">
        <v>622</v>
      </c>
      <c r="AI43" s="197"/>
      <c r="AJ43" s="198">
        <v>0</v>
      </c>
      <c r="AK43" s="199"/>
      <c r="AL43" s="200" t="str">
        <f t="shared" si="1"/>
        <v>GI3</v>
      </c>
      <c r="AM43" s="200" t="s">
        <v>486</v>
      </c>
      <c r="AN43" s="197">
        <v>3</v>
      </c>
      <c r="AO43" s="199" t="s">
        <v>827</v>
      </c>
      <c r="AP43" s="5">
        <v>68000</v>
      </c>
      <c r="AQ43" s="10">
        <f t="shared" si="2"/>
        <v>68000</v>
      </c>
      <c r="AR43" s="10">
        <f t="shared" si="3"/>
        <v>0</v>
      </c>
      <c r="AS43" s="53">
        <v>1.0909202812697142E-2</v>
      </c>
      <c r="AT43" s="53">
        <v>0</v>
      </c>
      <c r="AU43" s="201"/>
      <c r="AV43" s="10"/>
      <c r="AW43" s="54">
        <v>0</v>
      </c>
      <c r="AX43" s="10">
        <v>0</v>
      </c>
      <c r="AY43" s="10">
        <v>68000</v>
      </c>
      <c r="AZ43" s="55">
        <f t="shared" si="4"/>
        <v>0.89121887287024903</v>
      </c>
      <c r="BA43" s="37" t="s">
        <v>687</v>
      </c>
      <c r="BB43" s="38">
        <v>3</v>
      </c>
      <c r="BC43" s="53">
        <f t="shared" si="5"/>
        <v>0</v>
      </c>
      <c r="BD43" s="65">
        <f t="shared" si="48"/>
        <v>0</v>
      </c>
      <c r="BE43" s="44">
        <v>0</v>
      </c>
      <c r="BF43" s="179">
        <f t="shared" si="7"/>
        <v>0</v>
      </c>
      <c r="BG43" s="402">
        <v>0</v>
      </c>
      <c r="BH43" s="403">
        <f t="shared" si="8"/>
        <v>0</v>
      </c>
      <c r="BI43" s="44">
        <v>0</v>
      </c>
      <c r="BJ43" s="179">
        <f t="shared" si="9"/>
        <v>0</v>
      </c>
      <c r="BK43" s="179">
        <f t="shared" si="10"/>
        <v>0</v>
      </c>
      <c r="BL43" s="202"/>
      <c r="BM43" s="203">
        <f t="shared" si="11"/>
        <v>0</v>
      </c>
      <c r="BN43" s="204">
        <f t="shared" si="12"/>
        <v>0</v>
      </c>
      <c r="BO43" s="16">
        <f t="shared" si="13"/>
        <v>68000</v>
      </c>
      <c r="BP43" s="205">
        <f t="shared" si="14"/>
        <v>7480</v>
      </c>
      <c r="BQ43" s="206">
        <f t="shared" si="15"/>
        <v>75480</v>
      </c>
      <c r="BR43" s="55">
        <f t="shared" si="16"/>
        <v>0.89121887287024903</v>
      </c>
      <c r="BS43" s="64">
        <f t="shared" si="17"/>
        <v>0</v>
      </c>
      <c r="BT43" s="53">
        <f t="shared" si="18"/>
        <v>0</v>
      </c>
      <c r="BU43" s="65">
        <f t="shared" si="19"/>
        <v>0</v>
      </c>
      <c r="BV43" s="206">
        <f t="shared" si="20"/>
        <v>68000</v>
      </c>
      <c r="BW43" s="207">
        <f t="shared" si="21"/>
        <v>34.409999999999997</v>
      </c>
      <c r="BX43" s="199"/>
      <c r="BY43" s="206">
        <f t="shared" si="22"/>
        <v>75480</v>
      </c>
      <c r="BZ43" s="208" t="s">
        <v>687</v>
      </c>
      <c r="CA43" s="199"/>
      <c r="CB43" s="199"/>
      <c r="CC43" s="200" t="str">
        <f t="shared" si="23"/>
        <v/>
      </c>
      <c r="CD43" s="197"/>
      <c r="CE43" s="197"/>
      <c r="CF43" s="10" t="str">
        <f>IFERROR(INDEX('[4]Lookup_Rem Ranges'!$D:$D,MATCH($CC:$CC,'[4]Lookup_Rem Ranges'!$C:$C,0)),"")</f>
        <v/>
      </c>
      <c r="CG43" s="307"/>
      <c r="CH43" s="307"/>
      <c r="CI43" s="210"/>
      <c r="CJ43" s="122" t="s">
        <v>701</v>
      </c>
      <c r="CK43" s="206">
        <f t="shared" si="24"/>
        <v>0</v>
      </c>
      <c r="CL43" s="206">
        <f t="shared" si="25"/>
        <v>0</v>
      </c>
      <c r="CM43" s="123"/>
      <c r="CN43" s="124">
        <f t="shared" si="26"/>
        <v>0</v>
      </c>
      <c r="CO43" s="124" t="s">
        <v>1376</v>
      </c>
      <c r="CP43" s="125">
        <f t="shared" si="27"/>
        <v>0</v>
      </c>
      <c r="CQ43" s="126">
        <f t="shared" si="28"/>
        <v>0</v>
      </c>
      <c r="CR43" s="127">
        <f t="shared" si="29"/>
        <v>0</v>
      </c>
      <c r="CS43" s="128">
        <f t="shared" si="30"/>
        <v>0</v>
      </c>
      <c r="CT43" s="127">
        <f t="shared" si="31"/>
        <v>0</v>
      </c>
      <c r="CU43" s="128">
        <f t="shared" si="32"/>
        <v>0</v>
      </c>
      <c r="CV43" s="127">
        <f t="shared" si="33"/>
        <v>0</v>
      </c>
      <c r="CW43" s="128">
        <f t="shared" si="34"/>
        <v>0</v>
      </c>
      <c r="CX43" s="127">
        <f t="shared" si="35"/>
        <v>0</v>
      </c>
      <c r="CY43" s="128">
        <f t="shared" si="36"/>
        <v>0</v>
      </c>
      <c r="CZ43" s="127">
        <f>$CR:$CR+$CT:CT+$CV:$CV+$CX:$CX</f>
        <v>0</v>
      </c>
      <c r="DA43" s="127">
        <f t="shared" si="37"/>
        <v>0</v>
      </c>
      <c r="DB43" s="127"/>
      <c r="DC43" s="127">
        <f t="shared" si="38"/>
        <v>0</v>
      </c>
      <c r="DD43" s="128">
        <f t="shared" si="39"/>
        <v>0</v>
      </c>
      <c r="DE43" s="129">
        <f t="shared" si="40"/>
        <v>0</v>
      </c>
      <c r="DF43" s="128">
        <f t="shared" si="41"/>
        <v>0</v>
      </c>
      <c r="DG43" s="129">
        <f t="shared" si="42"/>
        <v>0</v>
      </c>
      <c r="DH43" s="128">
        <f t="shared" si="43"/>
        <v>0</v>
      </c>
      <c r="DI43" s="127">
        <f t="shared" si="44"/>
        <v>0</v>
      </c>
      <c r="DJ43" s="128">
        <f t="shared" si="45"/>
        <v>0</v>
      </c>
      <c r="DK43" s="127">
        <f t="shared" si="46"/>
        <v>0</v>
      </c>
      <c r="DL43" s="128">
        <f t="shared" si="47"/>
        <v>0</v>
      </c>
      <c r="DM43" s="130"/>
      <c r="DN43" s="131"/>
      <c r="DO43" s="131"/>
      <c r="DP43" s="131"/>
      <c r="DQ43" s="131"/>
      <c r="DR43" s="131"/>
      <c r="DS43" s="131"/>
      <c r="DT43" s="131"/>
      <c r="DU43" s="131"/>
      <c r="DV43" s="131"/>
      <c r="DW43" s="131" t="s">
        <v>1379</v>
      </c>
    </row>
    <row r="44" spans="1:127" ht="33.75">
      <c r="A44" s="134"/>
      <c r="B44" s="121" t="s">
        <v>490</v>
      </c>
      <c r="C44" s="121" t="s">
        <v>1187</v>
      </c>
      <c r="D44" s="121">
        <v>18243</v>
      </c>
      <c r="E44" s="192" t="s">
        <v>1188</v>
      </c>
      <c r="F44" s="192" t="s">
        <v>1189</v>
      </c>
      <c r="G44" s="192" t="s">
        <v>538</v>
      </c>
      <c r="H44" s="193" t="s">
        <v>1190</v>
      </c>
      <c r="I44" s="192" t="s">
        <v>835</v>
      </c>
      <c r="J44" s="192" t="s">
        <v>836</v>
      </c>
      <c r="K44" s="194">
        <v>43472</v>
      </c>
      <c r="L44" s="194"/>
      <c r="M44" s="194">
        <v>43556</v>
      </c>
      <c r="N44" s="195" t="s">
        <v>539</v>
      </c>
      <c r="O44" s="195">
        <v>38</v>
      </c>
      <c r="P44" s="196">
        <f t="shared" si="0"/>
        <v>1</v>
      </c>
      <c r="Q44" s="192" t="s">
        <v>613</v>
      </c>
      <c r="R44" s="192">
        <v>17956</v>
      </c>
      <c r="S44" s="192" t="s">
        <v>837</v>
      </c>
      <c r="T44" s="192" t="s">
        <v>844</v>
      </c>
      <c r="U44" s="192" t="s">
        <v>845</v>
      </c>
      <c r="V44" s="193" t="s">
        <v>543</v>
      </c>
      <c r="W44" s="193" t="s">
        <v>544</v>
      </c>
      <c r="X44" s="193" t="s">
        <v>823</v>
      </c>
      <c r="Y44" s="56" t="s">
        <v>824</v>
      </c>
      <c r="Z44" s="193" t="s">
        <v>837</v>
      </c>
      <c r="AA44" s="192" t="s">
        <v>845</v>
      </c>
      <c r="AB44" s="57" t="s">
        <v>1366</v>
      </c>
      <c r="AC44" s="193" t="s">
        <v>825</v>
      </c>
      <c r="AD44" s="56" t="s">
        <v>826</v>
      </c>
      <c r="AE44" s="10">
        <f>IFERROR(INDEX('[3]Lookup_Rem Ranges'!$D:$D,MATCH($AL:$AL,'[3]Lookup_Rem Ranges'!$C:$C,0)),0)</f>
        <v>114200</v>
      </c>
      <c r="AF44" s="10">
        <f>IFERROR(INDEX('[3]Lookup_Rem Ranges'!$E:$E,MATCH($AL:$AL,'[3]Lookup_Rem Ranges'!$C:$C,0)),0)</f>
        <v>134400</v>
      </c>
      <c r="AG44" s="10">
        <f>IFERROR(INDEX('[3]Lookup_Rem Ranges'!$F:$F,MATCH($AL:$AL,'[3]Lookup_Rem Ranges'!$C:$C,0)),)</f>
        <v>154600</v>
      </c>
      <c r="AH44" s="193" t="s">
        <v>622</v>
      </c>
      <c r="AI44" s="197"/>
      <c r="AJ44" s="198">
        <v>0</v>
      </c>
      <c r="AK44" s="199"/>
      <c r="AL44" s="200" t="str">
        <f t="shared" si="1"/>
        <v>GI6</v>
      </c>
      <c r="AM44" s="200" t="s">
        <v>486</v>
      </c>
      <c r="AN44" s="197">
        <v>6</v>
      </c>
      <c r="AO44" s="199" t="s">
        <v>701</v>
      </c>
      <c r="AP44" s="5">
        <v>111100</v>
      </c>
      <c r="AQ44" s="10">
        <f t="shared" si="2"/>
        <v>111100</v>
      </c>
      <c r="AR44" s="10">
        <f t="shared" si="3"/>
        <v>111100</v>
      </c>
      <c r="AS44" s="53">
        <v>3.0612244897959183E-2</v>
      </c>
      <c r="AT44" s="53">
        <v>0</v>
      </c>
      <c r="AU44" s="201"/>
      <c r="AV44" s="10"/>
      <c r="AW44" s="54">
        <v>0</v>
      </c>
      <c r="AX44" s="10">
        <v>0</v>
      </c>
      <c r="AY44" s="10">
        <v>111100</v>
      </c>
      <c r="AZ44" s="55">
        <f t="shared" si="4"/>
        <v>0.82663690476190477</v>
      </c>
      <c r="BA44" s="37" t="s">
        <v>23</v>
      </c>
      <c r="BB44" s="38">
        <v>4</v>
      </c>
      <c r="BC44" s="53">
        <f t="shared" si="5"/>
        <v>2.7902790279027902E-2</v>
      </c>
      <c r="BD44" s="65">
        <f t="shared" si="48"/>
        <v>3100</v>
      </c>
      <c r="BE44" s="44">
        <v>4.5972097209720994E-3</v>
      </c>
      <c r="BF44" s="179">
        <f t="shared" si="7"/>
        <v>511</v>
      </c>
      <c r="BG44" s="402">
        <v>0</v>
      </c>
      <c r="BH44" s="403">
        <f t="shared" si="8"/>
        <v>0</v>
      </c>
      <c r="BI44" s="44">
        <v>0</v>
      </c>
      <c r="BJ44" s="179">
        <f t="shared" si="9"/>
        <v>0</v>
      </c>
      <c r="BK44" s="179">
        <f t="shared" si="10"/>
        <v>0</v>
      </c>
      <c r="BL44" s="202"/>
      <c r="BM44" s="203">
        <f t="shared" si="11"/>
        <v>3.2500000000000001E-2</v>
      </c>
      <c r="BN44" s="204">
        <f t="shared" si="12"/>
        <v>3611</v>
      </c>
      <c r="BO44" s="16">
        <f t="shared" si="13"/>
        <v>114711</v>
      </c>
      <c r="BP44" s="205">
        <f t="shared" si="14"/>
        <v>12618</v>
      </c>
      <c r="BQ44" s="206">
        <f t="shared" si="15"/>
        <v>127329</v>
      </c>
      <c r="BR44" s="55">
        <f t="shared" si="16"/>
        <v>0.85350446428571425</v>
      </c>
      <c r="BS44" s="64">
        <f t="shared" si="17"/>
        <v>569</v>
      </c>
      <c r="BT44" s="53">
        <f t="shared" si="18"/>
        <v>3.2500000000000001E-2</v>
      </c>
      <c r="BU44" s="65">
        <f t="shared" si="19"/>
        <v>3611</v>
      </c>
      <c r="BV44" s="206">
        <f t="shared" si="20"/>
        <v>114711</v>
      </c>
      <c r="BW44" s="207">
        <f t="shared" si="21"/>
        <v>58.05</v>
      </c>
      <c r="BX44" s="199"/>
      <c r="BY44" s="206">
        <f t="shared" si="22"/>
        <v>127329</v>
      </c>
      <c r="BZ44" s="208" t="s">
        <v>687</v>
      </c>
      <c r="CA44" s="199"/>
      <c r="CB44" s="199"/>
      <c r="CC44" s="200" t="str">
        <f t="shared" si="23"/>
        <v/>
      </c>
      <c r="CD44" s="197"/>
      <c r="CE44" s="197"/>
      <c r="CF44" s="10" t="str">
        <f>IFERROR(INDEX('[4]Lookup_Rem Ranges'!$D:$D,MATCH($CC:$CC,'[4]Lookup_Rem Ranges'!$C:$C,0)),"")</f>
        <v/>
      </c>
      <c r="CG44" s="307"/>
      <c r="CH44" s="307"/>
      <c r="CI44" s="210"/>
      <c r="CJ44" s="122" t="s">
        <v>701</v>
      </c>
      <c r="CK44" s="206">
        <f t="shared" si="24"/>
        <v>0</v>
      </c>
      <c r="CL44" s="206">
        <f t="shared" si="25"/>
        <v>0</v>
      </c>
      <c r="CM44" s="123"/>
      <c r="CN44" s="124">
        <f t="shared" si="26"/>
        <v>0</v>
      </c>
      <c r="CO44" s="124" t="s">
        <v>1376</v>
      </c>
      <c r="CP44" s="125">
        <f t="shared" si="27"/>
        <v>3.2500000000000001E-2</v>
      </c>
      <c r="CQ44" s="126">
        <f t="shared" si="28"/>
        <v>3611</v>
      </c>
      <c r="CR44" s="127">
        <f t="shared" si="29"/>
        <v>0</v>
      </c>
      <c r="CS44" s="128">
        <f t="shared" si="30"/>
        <v>0</v>
      </c>
      <c r="CT44" s="127">
        <f t="shared" si="31"/>
        <v>0</v>
      </c>
      <c r="CU44" s="128">
        <f t="shared" si="32"/>
        <v>0</v>
      </c>
      <c r="CV44" s="127">
        <f t="shared" si="33"/>
        <v>2.7902790279027902E-2</v>
      </c>
      <c r="CW44" s="128">
        <f t="shared" si="34"/>
        <v>3100</v>
      </c>
      <c r="CX44" s="127">
        <f t="shared" si="35"/>
        <v>0</v>
      </c>
      <c r="CY44" s="128">
        <f t="shared" si="36"/>
        <v>0</v>
      </c>
      <c r="CZ44" s="127">
        <f>$CR:$CR+$CT:CT+$CV:$CV+$CX:$CX</f>
        <v>2.7902790279027902E-2</v>
      </c>
      <c r="DA44" s="127">
        <f t="shared" si="37"/>
        <v>0</v>
      </c>
      <c r="DB44" s="127"/>
      <c r="DC44" s="127">
        <f t="shared" si="38"/>
        <v>4.5972097209720994E-3</v>
      </c>
      <c r="DD44" s="128">
        <f t="shared" si="39"/>
        <v>511</v>
      </c>
      <c r="DE44" s="129">
        <f t="shared" si="40"/>
        <v>0</v>
      </c>
      <c r="DF44" s="128">
        <f t="shared" si="41"/>
        <v>0</v>
      </c>
      <c r="DG44" s="129">
        <f t="shared" si="42"/>
        <v>0</v>
      </c>
      <c r="DH44" s="128">
        <f t="shared" si="43"/>
        <v>0</v>
      </c>
      <c r="DI44" s="127">
        <f t="shared" si="44"/>
        <v>3.2500000000000001E-2</v>
      </c>
      <c r="DJ44" s="128">
        <f t="shared" si="45"/>
        <v>3611</v>
      </c>
      <c r="DK44" s="127">
        <f t="shared" si="46"/>
        <v>0</v>
      </c>
      <c r="DL44" s="128">
        <f t="shared" si="47"/>
        <v>0</v>
      </c>
      <c r="DM44" s="130"/>
      <c r="DN44" s="131"/>
      <c r="DO44" s="131"/>
      <c r="DP44" s="131"/>
      <c r="DQ44" s="131"/>
      <c r="DR44" s="131"/>
      <c r="DS44" s="131"/>
      <c r="DT44" s="131"/>
      <c r="DU44" s="131"/>
      <c r="DV44" s="131"/>
      <c r="DW44" s="131" t="s">
        <v>1379</v>
      </c>
    </row>
    <row r="45" spans="1:127" ht="36">
      <c r="A45" s="134"/>
      <c r="B45" s="121" t="s">
        <v>490</v>
      </c>
      <c r="C45" s="121" t="s">
        <v>1262</v>
      </c>
      <c r="D45" s="121">
        <v>18779</v>
      </c>
      <c r="E45" s="192" t="s">
        <v>522</v>
      </c>
      <c r="F45" s="192" t="s">
        <v>838</v>
      </c>
      <c r="G45" s="192" t="s">
        <v>537</v>
      </c>
      <c r="H45" s="193" t="s">
        <v>1263</v>
      </c>
      <c r="I45" s="192" t="s">
        <v>1264</v>
      </c>
      <c r="J45" s="192" t="s">
        <v>1265</v>
      </c>
      <c r="K45" s="194">
        <v>43696</v>
      </c>
      <c r="L45" s="194"/>
      <c r="M45" s="194">
        <v>43696</v>
      </c>
      <c r="N45" s="195" t="s">
        <v>539</v>
      </c>
      <c r="O45" s="195">
        <v>38</v>
      </c>
      <c r="P45" s="196">
        <f t="shared" si="0"/>
        <v>1</v>
      </c>
      <c r="Q45" s="192" t="s">
        <v>617</v>
      </c>
      <c r="R45" s="192">
        <v>17956</v>
      </c>
      <c r="S45" s="192" t="s">
        <v>837</v>
      </c>
      <c r="T45" s="192" t="s">
        <v>844</v>
      </c>
      <c r="U45" s="192" t="s">
        <v>845</v>
      </c>
      <c r="V45" s="193" t="s">
        <v>543</v>
      </c>
      <c r="W45" s="193" t="s">
        <v>544</v>
      </c>
      <c r="X45" s="193" t="s">
        <v>823</v>
      </c>
      <c r="Y45" s="56" t="s">
        <v>824</v>
      </c>
      <c r="Z45" s="193" t="s">
        <v>837</v>
      </c>
      <c r="AA45" s="192" t="s">
        <v>845</v>
      </c>
      <c r="AB45" s="57" t="s">
        <v>1366</v>
      </c>
      <c r="AC45" s="193" t="s">
        <v>825</v>
      </c>
      <c r="AD45" s="56" t="s">
        <v>826</v>
      </c>
      <c r="AE45" s="10">
        <f>IFERROR(INDEX('[3]Lookup_Rem Ranges'!$D:$D,MATCH($AL:$AL,'[3]Lookup_Rem Ranges'!$C:$C,0)),0)</f>
        <v>88700</v>
      </c>
      <c r="AF45" s="10">
        <f>IFERROR(INDEX('[3]Lookup_Rem Ranges'!$E:$E,MATCH($AL:$AL,'[3]Lookup_Rem Ranges'!$C:$C,0)),0)</f>
        <v>104300</v>
      </c>
      <c r="AG45" s="10">
        <f>IFERROR(INDEX('[3]Lookup_Rem Ranges'!$F:$F,MATCH($AL:$AL,'[3]Lookup_Rem Ranges'!$C:$C,0)),)</f>
        <v>119900</v>
      </c>
      <c r="AH45" s="193" t="s">
        <v>622</v>
      </c>
      <c r="AI45" s="197"/>
      <c r="AJ45" s="198">
        <v>0</v>
      </c>
      <c r="AK45" s="199"/>
      <c r="AL45" s="200" t="str">
        <f t="shared" si="1"/>
        <v>GI5</v>
      </c>
      <c r="AM45" s="200" t="s">
        <v>486</v>
      </c>
      <c r="AN45" s="197">
        <v>5</v>
      </c>
      <c r="AO45" s="199" t="s">
        <v>1359</v>
      </c>
      <c r="AP45" s="5">
        <v>84500</v>
      </c>
      <c r="AQ45" s="10">
        <f t="shared" si="2"/>
        <v>84500</v>
      </c>
      <c r="AR45" s="10">
        <f t="shared" si="3"/>
        <v>0</v>
      </c>
      <c r="AS45" s="53">
        <v>4.064039408866995E-2</v>
      </c>
      <c r="AT45" s="53">
        <v>0</v>
      </c>
      <c r="AU45" s="201"/>
      <c r="AV45" s="10"/>
      <c r="AW45" s="54">
        <v>0</v>
      </c>
      <c r="AX45" s="10">
        <v>0</v>
      </c>
      <c r="AY45" s="10">
        <v>84500</v>
      </c>
      <c r="AZ45" s="55">
        <f t="shared" si="4"/>
        <v>0.81016299137104508</v>
      </c>
      <c r="BA45" s="37" t="s">
        <v>687</v>
      </c>
      <c r="BB45" s="38">
        <v>4</v>
      </c>
      <c r="BC45" s="53">
        <f t="shared" si="5"/>
        <v>0</v>
      </c>
      <c r="BD45" s="65">
        <v>0</v>
      </c>
      <c r="BE45" s="44">
        <v>0</v>
      </c>
      <c r="BF45" s="179">
        <f t="shared" si="7"/>
        <v>0</v>
      </c>
      <c r="BG45" s="402">
        <v>0</v>
      </c>
      <c r="BH45" s="403">
        <f t="shared" si="8"/>
        <v>0</v>
      </c>
      <c r="BI45" s="44">
        <v>0</v>
      </c>
      <c r="BJ45" s="179">
        <f t="shared" si="9"/>
        <v>0</v>
      </c>
      <c r="BK45" s="179">
        <f t="shared" si="10"/>
        <v>0</v>
      </c>
      <c r="BL45" s="202"/>
      <c r="BM45" s="203">
        <f t="shared" si="11"/>
        <v>0</v>
      </c>
      <c r="BN45" s="204">
        <f t="shared" si="12"/>
        <v>0</v>
      </c>
      <c r="BO45" s="16">
        <f t="shared" si="13"/>
        <v>84500</v>
      </c>
      <c r="BP45" s="205">
        <f t="shared" si="14"/>
        <v>9295</v>
      </c>
      <c r="BQ45" s="206">
        <f t="shared" si="15"/>
        <v>93795</v>
      </c>
      <c r="BR45" s="55">
        <f t="shared" si="16"/>
        <v>0.81016299137104508</v>
      </c>
      <c r="BS45" s="64">
        <f t="shared" si="17"/>
        <v>0</v>
      </c>
      <c r="BT45" s="53">
        <f t="shared" si="18"/>
        <v>0</v>
      </c>
      <c r="BU45" s="65">
        <f t="shared" si="19"/>
        <v>0</v>
      </c>
      <c r="BV45" s="206">
        <f t="shared" si="20"/>
        <v>84500</v>
      </c>
      <c r="BW45" s="207">
        <f t="shared" si="21"/>
        <v>42.76</v>
      </c>
      <c r="BX45" s="199"/>
      <c r="BY45" s="206">
        <f t="shared" si="22"/>
        <v>93795</v>
      </c>
      <c r="BZ45" s="208" t="s">
        <v>687</v>
      </c>
      <c r="CA45" s="199"/>
      <c r="CB45" s="199"/>
      <c r="CC45" s="200" t="str">
        <f t="shared" si="23"/>
        <v/>
      </c>
      <c r="CD45" s="197"/>
      <c r="CE45" s="197"/>
      <c r="CF45" s="10" t="str">
        <f>IFERROR(INDEX('[4]Lookup_Rem Ranges'!$D:$D,MATCH($CC:$CC,'[4]Lookup_Rem Ranges'!$C:$C,0)),"")</f>
        <v/>
      </c>
      <c r="CG45" s="307"/>
      <c r="CH45" s="307"/>
      <c r="CI45" s="210"/>
      <c r="CJ45" s="122" t="s">
        <v>701</v>
      </c>
      <c r="CK45" s="206">
        <f t="shared" si="24"/>
        <v>0</v>
      </c>
      <c r="CL45" s="206">
        <f t="shared" si="25"/>
        <v>0</v>
      </c>
      <c r="CM45" s="123"/>
      <c r="CN45" s="124">
        <f t="shared" si="26"/>
        <v>0</v>
      </c>
      <c r="CO45" s="124" t="s">
        <v>1376</v>
      </c>
      <c r="CP45" s="125">
        <f t="shared" si="27"/>
        <v>0</v>
      </c>
      <c r="CQ45" s="126">
        <f t="shared" si="28"/>
        <v>0</v>
      </c>
      <c r="CR45" s="127">
        <f t="shared" si="29"/>
        <v>0</v>
      </c>
      <c r="CS45" s="128">
        <f t="shared" si="30"/>
        <v>0</v>
      </c>
      <c r="CT45" s="127">
        <f t="shared" si="31"/>
        <v>0</v>
      </c>
      <c r="CU45" s="128">
        <f t="shared" si="32"/>
        <v>0</v>
      </c>
      <c r="CV45" s="127">
        <f t="shared" si="33"/>
        <v>0</v>
      </c>
      <c r="CW45" s="128">
        <f t="shared" si="34"/>
        <v>0</v>
      </c>
      <c r="CX45" s="127">
        <f t="shared" si="35"/>
        <v>0</v>
      </c>
      <c r="CY45" s="128">
        <f t="shared" si="36"/>
        <v>0</v>
      </c>
      <c r="CZ45" s="127">
        <f>$CR:$CR+$CT:CT+$CV:$CV+$CX:$CX</f>
        <v>0</v>
      </c>
      <c r="DA45" s="127">
        <f t="shared" si="37"/>
        <v>0</v>
      </c>
      <c r="DB45" s="127"/>
      <c r="DC45" s="127">
        <f t="shared" si="38"/>
        <v>0</v>
      </c>
      <c r="DD45" s="128">
        <f t="shared" si="39"/>
        <v>0</v>
      </c>
      <c r="DE45" s="129">
        <f t="shared" si="40"/>
        <v>0</v>
      </c>
      <c r="DF45" s="128">
        <f t="shared" si="41"/>
        <v>0</v>
      </c>
      <c r="DG45" s="129">
        <f t="shared" si="42"/>
        <v>0</v>
      </c>
      <c r="DH45" s="128">
        <f t="shared" si="43"/>
        <v>0</v>
      </c>
      <c r="DI45" s="127">
        <f t="shared" si="44"/>
        <v>0</v>
      </c>
      <c r="DJ45" s="128">
        <f t="shared" si="45"/>
        <v>0</v>
      </c>
      <c r="DK45" s="127">
        <f t="shared" si="46"/>
        <v>0</v>
      </c>
      <c r="DL45" s="128">
        <f t="shared" si="47"/>
        <v>0</v>
      </c>
      <c r="DM45" s="130"/>
      <c r="DN45" s="131"/>
      <c r="DO45" s="131"/>
      <c r="DP45" s="131"/>
      <c r="DQ45" s="131"/>
      <c r="DR45" s="131"/>
      <c r="DS45" s="131"/>
      <c r="DT45" s="131"/>
      <c r="DU45" s="131"/>
      <c r="DV45" s="131"/>
      <c r="DW45" s="131" t="s">
        <v>1379</v>
      </c>
    </row>
    <row r="46" spans="1:127" ht="22.5">
      <c r="A46" s="134"/>
      <c r="B46" s="121" t="s">
        <v>490</v>
      </c>
      <c r="C46" s="121" t="s">
        <v>1155</v>
      </c>
      <c r="D46" s="121">
        <v>18794</v>
      </c>
      <c r="E46" s="192" t="s">
        <v>1143</v>
      </c>
      <c r="F46" s="192" t="s">
        <v>1156</v>
      </c>
      <c r="G46" s="192" t="s">
        <v>537</v>
      </c>
      <c r="H46" s="193" t="s">
        <v>841</v>
      </c>
      <c r="I46" s="192" t="s">
        <v>1157</v>
      </c>
      <c r="J46" s="192" t="s">
        <v>1158</v>
      </c>
      <c r="K46" s="194">
        <v>43696</v>
      </c>
      <c r="L46" s="194"/>
      <c r="M46" s="194">
        <v>44355</v>
      </c>
      <c r="N46" s="195" t="s">
        <v>539</v>
      </c>
      <c r="O46" s="195">
        <v>38</v>
      </c>
      <c r="P46" s="196">
        <f t="shared" si="0"/>
        <v>1</v>
      </c>
      <c r="Q46" s="192" t="s">
        <v>617</v>
      </c>
      <c r="R46" s="192">
        <v>17956</v>
      </c>
      <c r="S46" s="192" t="s">
        <v>837</v>
      </c>
      <c r="T46" s="192" t="s">
        <v>844</v>
      </c>
      <c r="U46" s="192" t="s">
        <v>845</v>
      </c>
      <c r="V46" s="193" t="s">
        <v>543</v>
      </c>
      <c r="W46" s="193" t="s">
        <v>544</v>
      </c>
      <c r="X46" s="193" t="s">
        <v>823</v>
      </c>
      <c r="Y46" s="56" t="s">
        <v>824</v>
      </c>
      <c r="Z46" s="193" t="s">
        <v>837</v>
      </c>
      <c r="AA46" s="192" t="s">
        <v>845</v>
      </c>
      <c r="AB46" s="57" t="s">
        <v>1366</v>
      </c>
      <c r="AC46" s="193" t="s">
        <v>825</v>
      </c>
      <c r="AD46" s="56" t="s">
        <v>826</v>
      </c>
      <c r="AE46" s="10">
        <f>IFERROR(INDEX('[3]Lookup_Rem Ranges'!$D:$D,MATCH($AL:$AL,'[3]Lookup_Rem Ranges'!$C:$C,0)),0)</f>
        <v>114200</v>
      </c>
      <c r="AF46" s="10">
        <f>IFERROR(INDEX('[3]Lookup_Rem Ranges'!$E:$E,MATCH($AL:$AL,'[3]Lookup_Rem Ranges'!$C:$C,0)),0)</f>
        <v>134400</v>
      </c>
      <c r="AG46" s="10">
        <f>IFERROR(INDEX('[3]Lookup_Rem Ranges'!$F:$F,MATCH($AL:$AL,'[3]Lookup_Rem Ranges'!$C:$C,0)),)</f>
        <v>154600</v>
      </c>
      <c r="AH46" s="193" t="s">
        <v>622</v>
      </c>
      <c r="AI46" s="197"/>
      <c r="AJ46" s="198">
        <v>0</v>
      </c>
      <c r="AK46" s="199"/>
      <c r="AL46" s="200" t="str">
        <f t="shared" si="1"/>
        <v>GI6</v>
      </c>
      <c r="AM46" s="200" t="s">
        <v>486</v>
      </c>
      <c r="AN46" s="197">
        <v>6</v>
      </c>
      <c r="AO46" s="199" t="s">
        <v>701</v>
      </c>
      <c r="AP46" s="5">
        <v>101300</v>
      </c>
      <c r="AQ46" s="10">
        <f t="shared" si="2"/>
        <v>101300</v>
      </c>
      <c r="AR46" s="10">
        <f t="shared" si="3"/>
        <v>101300</v>
      </c>
      <c r="AS46" s="53">
        <v>2.5303643724696356E-2</v>
      </c>
      <c r="AT46" s="53">
        <v>0</v>
      </c>
      <c r="AU46" s="201"/>
      <c r="AV46" s="10"/>
      <c r="AW46" s="54">
        <v>0</v>
      </c>
      <c r="AX46" s="10">
        <v>0</v>
      </c>
      <c r="AY46" s="10">
        <v>101300</v>
      </c>
      <c r="AZ46" s="55">
        <f t="shared" si="4"/>
        <v>0.75372023809523814</v>
      </c>
      <c r="BA46" s="37" t="s">
        <v>23</v>
      </c>
      <c r="BB46" s="38">
        <v>3</v>
      </c>
      <c r="BC46" s="53">
        <f t="shared" si="5"/>
        <v>0.12734452122408688</v>
      </c>
      <c r="BD46" s="65">
        <f>ROUND(IF($AY:$AY&lt;$AE:$AE,$AE:$AE-$AY:$AY,0),0)</f>
        <v>12900</v>
      </c>
      <c r="BE46" s="44">
        <v>0</v>
      </c>
      <c r="BF46" s="179">
        <f t="shared" si="7"/>
        <v>0</v>
      </c>
      <c r="BG46" s="402">
        <v>0</v>
      </c>
      <c r="BH46" s="403">
        <f t="shared" si="8"/>
        <v>0</v>
      </c>
      <c r="BI46" s="44">
        <v>0</v>
      </c>
      <c r="BJ46" s="179">
        <f t="shared" si="9"/>
        <v>0</v>
      </c>
      <c r="BK46" s="179">
        <f t="shared" si="10"/>
        <v>0</v>
      </c>
      <c r="BL46" s="202"/>
      <c r="BM46" s="203">
        <f t="shared" si="11"/>
        <v>0.12734452122408688</v>
      </c>
      <c r="BN46" s="204">
        <f t="shared" si="12"/>
        <v>12900</v>
      </c>
      <c r="BO46" s="16">
        <f t="shared" si="13"/>
        <v>114200</v>
      </c>
      <c r="BP46" s="205">
        <f t="shared" si="14"/>
        <v>12562</v>
      </c>
      <c r="BQ46" s="206">
        <f t="shared" si="15"/>
        <v>126762</v>
      </c>
      <c r="BR46" s="55">
        <f t="shared" si="16"/>
        <v>0.84970238095238093</v>
      </c>
      <c r="BS46" s="64">
        <f t="shared" si="17"/>
        <v>2034</v>
      </c>
      <c r="BT46" s="53">
        <f t="shared" si="18"/>
        <v>0.12734452122408688</v>
      </c>
      <c r="BU46" s="65">
        <f t="shared" si="19"/>
        <v>12900</v>
      </c>
      <c r="BV46" s="206">
        <f t="shared" si="20"/>
        <v>114200</v>
      </c>
      <c r="BW46" s="207">
        <f t="shared" si="21"/>
        <v>57.79</v>
      </c>
      <c r="BX46" s="199"/>
      <c r="BY46" s="206">
        <f t="shared" si="22"/>
        <v>126762</v>
      </c>
      <c r="BZ46" s="208" t="s">
        <v>687</v>
      </c>
      <c r="CA46" s="199"/>
      <c r="CB46" s="199"/>
      <c r="CC46" s="200" t="str">
        <f t="shared" si="23"/>
        <v/>
      </c>
      <c r="CD46" s="197"/>
      <c r="CE46" s="197"/>
      <c r="CF46" s="10" t="str">
        <f>IFERROR(INDEX('[4]Lookup_Rem Ranges'!$D:$D,MATCH($CC:$CC,'[4]Lookup_Rem Ranges'!$C:$C,0)),"")</f>
        <v/>
      </c>
      <c r="CG46" s="307"/>
      <c r="CH46" s="307"/>
      <c r="CI46" s="210"/>
      <c r="CJ46" s="122" t="s">
        <v>701</v>
      </c>
      <c r="CK46" s="206">
        <f t="shared" si="24"/>
        <v>0</v>
      </c>
      <c r="CL46" s="206">
        <f t="shared" si="25"/>
        <v>0</v>
      </c>
      <c r="CM46" s="123"/>
      <c r="CN46" s="124">
        <f t="shared" si="26"/>
        <v>0</v>
      </c>
      <c r="CO46" s="124" t="s">
        <v>1374</v>
      </c>
      <c r="CP46" s="125">
        <f t="shared" si="27"/>
        <v>3.2500000000000001E-2</v>
      </c>
      <c r="CQ46" s="126">
        <f t="shared" si="28"/>
        <v>3292</v>
      </c>
      <c r="CR46" s="127">
        <f t="shared" si="29"/>
        <v>0</v>
      </c>
      <c r="CS46" s="128">
        <f t="shared" si="30"/>
        <v>0</v>
      </c>
      <c r="CT46" s="127">
        <f t="shared" si="31"/>
        <v>0</v>
      </c>
      <c r="CU46" s="128">
        <f t="shared" si="32"/>
        <v>0</v>
      </c>
      <c r="CV46" s="127">
        <f t="shared" si="33"/>
        <v>3.2500000000000001E-2</v>
      </c>
      <c r="CW46" s="128">
        <f t="shared" si="34"/>
        <v>3292</v>
      </c>
      <c r="CX46" s="127">
        <f t="shared" si="35"/>
        <v>9.4844521224086875E-2</v>
      </c>
      <c r="CY46" s="128">
        <f t="shared" si="36"/>
        <v>9608</v>
      </c>
      <c r="CZ46" s="127">
        <f>$CR:$CR+$CT:CT+$CV:$CV+$CX:$CX</f>
        <v>0.12734452122408688</v>
      </c>
      <c r="DA46" s="127">
        <f t="shared" si="37"/>
        <v>0</v>
      </c>
      <c r="DB46" s="127"/>
      <c r="DC46" s="127">
        <f t="shared" si="38"/>
        <v>0</v>
      </c>
      <c r="DD46" s="128">
        <f t="shared" si="39"/>
        <v>0</v>
      </c>
      <c r="DE46" s="129">
        <f t="shared" si="40"/>
        <v>0</v>
      </c>
      <c r="DF46" s="128">
        <f t="shared" si="41"/>
        <v>0</v>
      </c>
      <c r="DG46" s="129">
        <f t="shared" si="42"/>
        <v>0</v>
      </c>
      <c r="DH46" s="128">
        <f t="shared" si="43"/>
        <v>0</v>
      </c>
      <c r="DI46" s="127">
        <f t="shared" si="44"/>
        <v>3.2500000000000001E-2</v>
      </c>
      <c r="DJ46" s="128">
        <f t="shared" si="45"/>
        <v>3292</v>
      </c>
      <c r="DK46" s="127">
        <f t="shared" si="46"/>
        <v>9.4844521224086875E-2</v>
      </c>
      <c r="DL46" s="128">
        <f t="shared" si="47"/>
        <v>9608</v>
      </c>
      <c r="DM46" s="130"/>
      <c r="DN46" s="131"/>
      <c r="DO46" s="131"/>
      <c r="DP46" s="131"/>
      <c r="DQ46" s="131"/>
      <c r="DR46" s="131"/>
      <c r="DS46" s="131"/>
      <c r="DT46" s="131"/>
      <c r="DU46" s="131"/>
      <c r="DV46" s="131"/>
      <c r="DW46" s="131" t="s">
        <v>1379</v>
      </c>
    </row>
    <row r="47" spans="1:127" ht="22.5">
      <c r="A47" s="134"/>
      <c r="B47" s="121" t="s">
        <v>490</v>
      </c>
      <c r="C47" s="121" t="s">
        <v>1151</v>
      </c>
      <c r="D47" s="121">
        <v>4212</v>
      </c>
      <c r="E47" s="192" t="s">
        <v>814</v>
      </c>
      <c r="F47" s="192" t="s">
        <v>494</v>
      </c>
      <c r="G47" s="192" t="s">
        <v>537</v>
      </c>
      <c r="H47" s="193" t="s">
        <v>841</v>
      </c>
      <c r="I47" s="192" t="s">
        <v>1046</v>
      </c>
      <c r="J47" s="192" t="s">
        <v>1047</v>
      </c>
      <c r="K47" s="194">
        <v>37858</v>
      </c>
      <c r="L47" s="194"/>
      <c r="M47" s="194">
        <v>44858</v>
      </c>
      <c r="N47" s="195" t="s">
        <v>539</v>
      </c>
      <c r="O47" s="195">
        <v>38</v>
      </c>
      <c r="P47" s="196">
        <f t="shared" si="0"/>
        <v>1</v>
      </c>
      <c r="Q47" s="192" t="s">
        <v>617</v>
      </c>
      <c r="R47" s="192">
        <v>17956</v>
      </c>
      <c r="S47" s="192" t="s">
        <v>837</v>
      </c>
      <c r="T47" s="192" t="s">
        <v>844</v>
      </c>
      <c r="U47" s="192" t="s">
        <v>845</v>
      </c>
      <c r="V47" s="193" t="s">
        <v>543</v>
      </c>
      <c r="W47" s="193" t="s">
        <v>544</v>
      </c>
      <c r="X47" s="193" t="s">
        <v>823</v>
      </c>
      <c r="Y47" s="56" t="s">
        <v>824</v>
      </c>
      <c r="Z47" s="193" t="s">
        <v>837</v>
      </c>
      <c r="AA47" s="192" t="s">
        <v>845</v>
      </c>
      <c r="AB47" s="57" t="s">
        <v>1366</v>
      </c>
      <c r="AC47" s="193" t="s">
        <v>825</v>
      </c>
      <c r="AD47" s="56" t="s">
        <v>826</v>
      </c>
      <c r="AE47" s="10">
        <f>IFERROR(INDEX('[3]Lookup_Rem Ranges'!$D:$D,MATCH($AL:$AL,'[3]Lookup_Rem Ranges'!$C:$C,0)),0)</f>
        <v>114200</v>
      </c>
      <c r="AF47" s="10">
        <f>IFERROR(INDEX('[3]Lookup_Rem Ranges'!$E:$E,MATCH($AL:$AL,'[3]Lookup_Rem Ranges'!$C:$C,0)),0)</f>
        <v>134400</v>
      </c>
      <c r="AG47" s="10">
        <f>IFERROR(INDEX('[3]Lookup_Rem Ranges'!$F:$F,MATCH($AL:$AL,'[3]Lookup_Rem Ranges'!$C:$C,0)),)</f>
        <v>154600</v>
      </c>
      <c r="AH47" s="193" t="s">
        <v>622</v>
      </c>
      <c r="AI47" s="197"/>
      <c r="AJ47" s="198">
        <v>0</v>
      </c>
      <c r="AK47" s="199"/>
      <c r="AL47" s="200" t="str">
        <f t="shared" si="1"/>
        <v>GI6</v>
      </c>
      <c r="AM47" s="200" t="s">
        <v>486</v>
      </c>
      <c r="AN47" s="197">
        <v>6</v>
      </c>
      <c r="AO47" s="199" t="s">
        <v>701</v>
      </c>
      <c r="AP47" s="5">
        <v>102000</v>
      </c>
      <c r="AQ47" s="10">
        <f t="shared" si="2"/>
        <v>102000</v>
      </c>
      <c r="AR47" s="10">
        <f t="shared" si="3"/>
        <v>102000</v>
      </c>
      <c r="AS47" s="53">
        <v>2.085747392815759E-2</v>
      </c>
      <c r="AT47" s="53">
        <v>0</v>
      </c>
      <c r="AU47" s="201"/>
      <c r="AV47" s="10"/>
      <c r="AW47" s="54">
        <v>0</v>
      </c>
      <c r="AX47" s="10">
        <v>0</v>
      </c>
      <c r="AY47" s="10">
        <v>102000</v>
      </c>
      <c r="AZ47" s="55">
        <f t="shared" si="4"/>
        <v>0.7589285714285714</v>
      </c>
      <c r="BA47" s="37" t="s">
        <v>23</v>
      </c>
      <c r="BB47" s="38">
        <v>3</v>
      </c>
      <c r="BC47" s="53">
        <f t="shared" si="5"/>
        <v>0.11960784313725491</v>
      </c>
      <c r="BD47" s="65">
        <f>ROUND(IF($AY:$AY&lt;$AE:$AE,$AE:$AE-$AY:$AY,0),0)</f>
        <v>12200</v>
      </c>
      <c r="BE47" s="44">
        <v>0</v>
      </c>
      <c r="BF47" s="179">
        <f t="shared" si="7"/>
        <v>0</v>
      </c>
      <c r="BG47" s="402">
        <v>0</v>
      </c>
      <c r="BH47" s="403">
        <f t="shared" si="8"/>
        <v>0</v>
      </c>
      <c r="BI47" s="44">
        <v>0</v>
      </c>
      <c r="BJ47" s="179">
        <f t="shared" si="9"/>
        <v>0</v>
      </c>
      <c r="BK47" s="179">
        <f t="shared" si="10"/>
        <v>0</v>
      </c>
      <c r="BL47" s="202"/>
      <c r="BM47" s="203">
        <f t="shared" si="11"/>
        <v>0.11960784313725491</v>
      </c>
      <c r="BN47" s="204">
        <f t="shared" si="12"/>
        <v>12200</v>
      </c>
      <c r="BO47" s="16">
        <f t="shared" si="13"/>
        <v>114200</v>
      </c>
      <c r="BP47" s="205">
        <f t="shared" si="14"/>
        <v>12562</v>
      </c>
      <c r="BQ47" s="206">
        <f t="shared" si="15"/>
        <v>126762</v>
      </c>
      <c r="BR47" s="55">
        <f t="shared" si="16"/>
        <v>0.84970238095238093</v>
      </c>
      <c r="BS47" s="64">
        <f t="shared" si="17"/>
        <v>1924</v>
      </c>
      <c r="BT47" s="53">
        <f t="shared" si="18"/>
        <v>0.11960784313725491</v>
      </c>
      <c r="BU47" s="65">
        <f t="shared" si="19"/>
        <v>12200</v>
      </c>
      <c r="BV47" s="206">
        <f t="shared" si="20"/>
        <v>114200</v>
      </c>
      <c r="BW47" s="207">
        <f t="shared" si="21"/>
        <v>57.79</v>
      </c>
      <c r="BX47" s="199"/>
      <c r="BY47" s="206">
        <f t="shared" si="22"/>
        <v>126762</v>
      </c>
      <c r="BZ47" s="208" t="s">
        <v>687</v>
      </c>
      <c r="CA47" s="199"/>
      <c r="CB47" s="199"/>
      <c r="CC47" s="200" t="str">
        <f t="shared" si="23"/>
        <v/>
      </c>
      <c r="CD47" s="197"/>
      <c r="CE47" s="197"/>
      <c r="CF47" s="10" t="str">
        <f>IFERROR(INDEX('[4]Lookup_Rem Ranges'!$D:$D,MATCH($CC:$CC,'[4]Lookup_Rem Ranges'!$C:$C,0)),"")</f>
        <v/>
      </c>
      <c r="CG47" s="307"/>
      <c r="CH47" s="307"/>
      <c r="CI47" s="210"/>
      <c r="CJ47" s="122" t="s">
        <v>701</v>
      </c>
      <c r="CK47" s="206">
        <f t="shared" si="24"/>
        <v>0</v>
      </c>
      <c r="CL47" s="206">
        <f t="shared" si="25"/>
        <v>0</v>
      </c>
      <c r="CM47" s="123"/>
      <c r="CN47" s="124">
        <f t="shared" si="26"/>
        <v>0</v>
      </c>
      <c r="CO47" s="124" t="s">
        <v>1375</v>
      </c>
      <c r="CP47" s="125">
        <f t="shared" si="27"/>
        <v>3.2500000000000001E-2</v>
      </c>
      <c r="CQ47" s="126">
        <f t="shared" si="28"/>
        <v>3315</v>
      </c>
      <c r="CR47" s="127">
        <f t="shared" si="29"/>
        <v>0</v>
      </c>
      <c r="CS47" s="128">
        <f t="shared" si="30"/>
        <v>0</v>
      </c>
      <c r="CT47" s="127">
        <f t="shared" si="31"/>
        <v>0</v>
      </c>
      <c r="CU47" s="128">
        <f t="shared" si="32"/>
        <v>0</v>
      </c>
      <c r="CV47" s="127">
        <f t="shared" si="33"/>
        <v>3.2500000000000001E-2</v>
      </c>
      <c r="CW47" s="128">
        <f t="shared" si="34"/>
        <v>3315</v>
      </c>
      <c r="CX47" s="127">
        <f t="shared" si="35"/>
        <v>8.7107843137254906E-2</v>
      </c>
      <c r="CY47" s="128">
        <f t="shared" si="36"/>
        <v>8885</v>
      </c>
      <c r="CZ47" s="127">
        <f>$CR:$CR+$CT:CT+$CV:$CV+$CX:$CX</f>
        <v>0.11960784313725491</v>
      </c>
      <c r="DA47" s="127">
        <f t="shared" si="37"/>
        <v>0</v>
      </c>
      <c r="DB47" s="127"/>
      <c r="DC47" s="127">
        <f t="shared" si="38"/>
        <v>0</v>
      </c>
      <c r="DD47" s="128">
        <f t="shared" si="39"/>
        <v>0</v>
      </c>
      <c r="DE47" s="129">
        <f t="shared" si="40"/>
        <v>0</v>
      </c>
      <c r="DF47" s="128">
        <f t="shared" si="41"/>
        <v>0</v>
      </c>
      <c r="DG47" s="129">
        <f t="shared" si="42"/>
        <v>0</v>
      </c>
      <c r="DH47" s="128">
        <f t="shared" si="43"/>
        <v>0</v>
      </c>
      <c r="DI47" s="127">
        <f t="shared" si="44"/>
        <v>3.2500000000000001E-2</v>
      </c>
      <c r="DJ47" s="128">
        <f t="shared" si="45"/>
        <v>3315</v>
      </c>
      <c r="DK47" s="127">
        <f t="shared" si="46"/>
        <v>8.7107843137254906E-2</v>
      </c>
      <c r="DL47" s="128">
        <f t="shared" si="47"/>
        <v>8885</v>
      </c>
      <c r="DM47" s="130"/>
      <c r="DN47" s="131"/>
      <c r="DO47" s="131"/>
      <c r="DP47" s="131"/>
      <c r="DQ47" s="131"/>
      <c r="DR47" s="131"/>
      <c r="DS47" s="131"/>
      <c r="DT47" s="131"/>
      <c r="DU47" s="131"/>
      <c r="DV47" s="131"/>
      <c r="DW47" s="131" t="s">
        <v>1379</v>
      </c>
    </row>
    <row r="48" spans="1:127" ht="33.75">
      <c r="A48" s="134"/>
      <c r="B48" s="121" t="s">
        <v>490</v>
      </c>
      <c r="C48" s="121" t="s">
        <v>1318</v>
      </c>
      <c r="D48" s="121">
        <v>21404</v>
      </c>
      <c r="E48" s="192" t="s">
        <v>805</v>
      </c>
      <c r="F48" s="192" t="s">
        <v>1319</v>
      </c>
      <c r="G48" s="192" t="s">
        <v>538</v>
      </c>
      <c r="H48" s="193" t="s">
        <v>1320</v>
      </c>
      <c r="I48" s="192" t="s">
        <v>1321</v>
      </c>
      <c r="J48" s="192" t="s">
        <v>1322</v>
      </c>
      <c r="K48" s="194">
        <v>44838</v>
      </c>
      <c r="L48" s="194"/>
      <c r="M48" s="194">
        <v>44838</v>
      </c>
      <c r="N48" s="195" t="s">
        <v>539</v>
      </c>
      <c r="O48" s="195">
        <v>38</v>
      </c>
      <c r="P48" s="196">
        <f t="shared" si="0"/>
        <v>1</v>
      </c>
      <c r="Q48" s="192" t="s">
        <v>615</v>
      </c>
      <c r="R48" s="192">
        <v>17956</v>
      </c>
      <c r="S48" s="192" t="s">
        <v>837</v>
      </c>
      <c r="T48" s="192" t="s">
        <v>844</v>
      </c>
      <c r="U48" s="192" t="s">
        <v>845</v>
      </c>
      <c r="V48" s="193" t="s">
        <v>543</v>
      </c>
      <c r="W48" s="193" t="s">
        <v>544</v>
      </c>
      <c r="X48" s="193" t="s">
        <v>823</v>
      </c>
      <c r="Y48" s="56" t="s">
        <v>824</v>
      </c>
      <c r="Z48" s="193" t="s">
        <v>837</v>
      </c>
      <c r="AA48" s="192" t="s">
        <v>845</v>
      </c>
      <c r="AB48" s="57" t="s">
        <v>1366</v>
      </c>
      <c r="AC48" s="193" t="s">
        <v>825</v>
      </c>
      <c r="AD48" s="56" t="s">
        <v>826</v>
      </c>
      <c r="AE48" s="10">
        <f>IFERROR(INDEX('[3]Lookup_Rem Ranges'!$D:$D,MATCH($AL:$AL,'[3]Lookup_Rem Ranges'!$C:$C,0)),0)</f>
        <v>64900</v>
      </c>
      <c r="AF48" s="10">
        <f>IFERROR(INDEX('[3]Lookup_Rem Ranges'!$E:$E,MATCH($AL:$AL,'[3]Lookup_Rem Ranges'!$C:$C,0)),0)</f>
        <v>76300</v>
      </c>
      <c r="AG48" s="10">
        <f>IFERROR(INDEX('[3]Lookup_Rem Ranges'!$F:$F,MATCH($AL:$AL,'[3]Lookup_Rem Ranges'!$C:$C,0)),)</f>
        <v>87700</v>
      </c>
      <c r="AH48" s="193" t="s">
        <v>965</v>
      </c>
      <c r="AI48" s="197"/>
      <c r="AJ48" s="198">
        <v>0</v>
      </c>
      <c r="AK48" s="199"/>
      <c r="AL48" s="200" t="str">
        <f t="shared" si="1"/>
        <v>GI3</v>
      </c>
      <c r="AM48" s="200" t="s">
        <v>486</v>
      </c>
      <c r="AN48" s="197">
        <v>3</v>
      </c>
      <c r="AO48" s="199" t="s">
        <v>827</v>
      </c>
      <c r="AP48" s="5">
        <v>79040</v>
      </c>
      <c r="AQ48" s="10">
        <f t="shared" si="2"/>
        <v>79040</v>
      </c>
      <c r="AR48" s="10">
        <f t="shared" si="3"/>
        <v>0</v>
      </c>
      <c r="AS48" s="53" t="s">
        <v>790</v>
      </c>
      <c r="AT48" s="53">
        <v>0</v>
      </c>
      <c r="AU48" s="201"/>
      <c r="AV48" s="10"/>
      <c r="AW48" s="54">
        <v>0</v>
      </c>
      <c r="AX48" s="10">
        <v>0</v>
      </c>
      <c r="AY48" s="10">
        <v>79040</v>
      </c>
      <c r="AZ48" s="55">
        <f t="shared" si="4"/>
        <v>1.0359108781127129</v>
      </c>
      <c r="BA48" s="37" t="s">
        <v>687</v>
      </c>
      <c r="BB48" s="38">
        <v>3</v>
      </c>
      <c r="BC48" s="53">
        <f t="shared" si="5"/>
        <v>0</v>
      </c>
      <c r="BD48" s="65">
        <f>ROUND(IF($AY:$AY&lt;$AE:$AE,$AE:$AE-$AY:$AY,0),0)</f>
        <v>0</v>
      </c>
      <c r="BE48" s="44">
        <v>0</v>
      </c>
      <c r="BF48" s="179">
        <f t="shared" si="7"/>
        <v>0</v>
      </c>
      <c r="BG48" s="402">
        <v>0</v>
      </c>
      <c r="BH48" s="403">
        <f t="shared" si="8"/>
        <v>0</v>
      </c>
      <c r="BI48" s="44">
        <v>0</v>
      </c>
      <c r="BJ48" s="179">
        <f t="shared" si="9"/>
        <v>0</v>
      </c>
      <c r="BK48" s="179">
        <f t="shared" si="10"/>
        <v>0</v>
      </c>
      <c r="BL48" s="202"/>
      <c r="BM48" s="203">
        <f t="shared" si="11"/>
        <v>0</v>
      </c>
      <c r="BN48" s="204">
        <f t="shared" si="12"/>
        <v>0</v>
      </c>
      <c r="BO48" s="16">
        <f t="shared" si="13"/>
        <v>79040</v>
      </c>
      <c r="BP48" s="205">
        <f t="shared" si="14"/>
        <v>8694</v>
      </c>
      <c r="BQ48" s="206">
        <f t="shared" si="15"/>
        <v>87734</v>
      </c>
      <c r="BR48" s="55">
        <f t="shared" si="16"/>
        <v>1.0359108781127129</v>
      </c>
      <c r="BS48" s="64">
        <f t="shared" si="17"/>
        <v>0</v>
      </c>
      <c r="BT48" s="53">
        <f t="shared" si="18"/>
        <v>0</v>
      </c>
      <c r="BU48" s="65">
        <f t="shared" si="19"/>
        <v>0</v>
      </c>
      <c r="BV48" s="206">
        <f t="shared" si="20"/>
        <v>79040</v>
      </c>
      <c r="BW48" s="207">
        <f t="shared" si="21"/>
        <v>40</v>
      </c>
      <c r="BX48" s="199"/>
      <c r="BY48" s="206">
        <f t="shared" si="22"/>
        <v>87734</v>
      </c>
      <c r="BZ48" s="208" t="s">
        <v>687</v>
      </c>
      <c r="CA48" s="199"/>
      <c r="CB48" s="199"/>
      <c r="CC48" s="200" t="str">
        <f t="shared" si="23"/>
        <v/>
      </c>
      <c r="CD48" s="197"/>
      <c r="CE48" s="197"/>
      <c r="CF48" s="10" t="str">
        <f>IFERROR(INDEX('[4]Lookup_Rem Ranges'!$D:$D,MATCH($CC:$CC,'[4]Lookup_Rem Ranges'!$C:$C,0)),"")</f>
        <v/>
      </c>
      <c r="CG48" s="307"/>
      <c r="CH48" s="307"/>
      <c r="CI48" s="210"/>
      <c r="CJ48" s="122" t="s">
        <v>701</v>
      </c>
      <c r="CK48" s="206">
        <f t="shared" si="24"/>
        <v>0</v>
      </c>
      <c r="CL48" s="206">
        <f t="shared" si="25"/>
        <v>0</v>
      </c>
      <c r="CM48" s="123"/>
      <c r="CN48" s="124">
        <f t="shared" si="26"/>
        <v>0</v>
      </c>
      <c r="CO48" s="124" t="s">
        <v>1376</v>
      </c>
      <c r="CP48" s="125">
        <f t="shared" si="27"/>
        <v>0</v>
      </c>
      <c r="CQ48" s="126">
        <f t="shared" si="28"/>
        <v>0</v>
      </c>
      <c r="CR48" s="127">
        <f t="shared" si="29"/>
        <v>0</v>
      </c>
      <c r="CS48" s="128">
        <f t="shared" si="30"/>
        <v>0</v>
      </c>
      <c r="CT48" s="127">
        <f t="shared" si="31"/>
        <v>0</v>
      </c>
      <c r="CU48" s="128">
        <f t="shared" si="32"/>
        <v>0</v>
      </c>
      <c r="CV48" s="127">
        <f t="shared" si="33"/>
        <v>0</v>
      </c>
      <c r="CW48" s="128">
        <f t="shared" si="34"/>
        <v>0</v>
      </c>
      <c r="CX48" s="127">
        <f t="shared" si="35"/>
        <v>0</v>
      </c>
      <c r="CY48" s="128">
        <f t="shared" si="36"/>
        <v>0</v>
      </c>
      <c r="CZ48" s="127">
        <f>$CR:$CR+$CT:CT+$CV:$CV+$CX:$CX</f>
        <v>0</v>
      </c>
      <c r="DA48" s="127">
        <f t="shared" si="37"/>
        <v>0</v>
      </c>
      <c r="DB48" s="127"/>
      <c r="DC48" s="127">
        <f t="shared" si="38"/>
        <v>0</v>
      </c>
      <c r="DD48" s="128">
        <f t="shared" si="39"/>
        <v>0</v>
      </c>
      <c r="DE48" s="129">
        <f t="shared" si="40"/>
        <v>0</v>
      </c>
      <c r="DF48" s="128">
        <f t="shared" si="41"/>
        <v>0</v>
      </c>
      <c r="DG48" s="129">
        <f t="shared" si="42"/>
        <v>0</v>
      </c>
      <c r="DH48" s="128">
        <f t="shared" si="43"/>
        <v>0</v>
      </c>
      <c r="DI48" s="127">
        <f t="shared" si="44"/>
        <v>0</v>
      </c>
      <c r="DJ48" s="128">
        <f t="shared" si="45"/>
        <v>0</v>
      </c>
      <c r="DK48" s="127">
        <f t="shared" si="46"/>
        <v>0</v>
      </c>
      <c r="DL48" s="128">
        <f t="shared" si="47"/>
        <v>0</v>
      </c>
      <c r="DM48" s="130"/>
      <c r="DN48" s="131"/>
      <c r="DO48" s="131"/>
      <c r="DP48" s="131"/>
      <c r="DQ48" s="131"/>
      <c r="DR48" s="131"/>
      <c r="DS48" s="131"/>
      <c r="DT48" s="131"/>
      <c r="DU48" s="131"/>
      <c r="DV48" s="131"/>
      <c r="DW48" s="131" t="s">
        <v>1380</v>
      </c>
    </row>
    <row r="49" spans="1:127" ht="33.75">
      <c r="A49" s="134"/>
      <c r="B49" s="121" t="s">
        <v>490</v>
      </c>
      <c r="C49" s="121" t="s">
        <v>966</v>
      </c>
      <c r="D49" s="121">
        <v>22015</v>
      </c>
      <c r="E49" s="192" t="s">
        <v>797</v>
      </c>
      <c r="F49" s="192" t="s">
        <v>967</v>
      </c>
      <c r="G49" s="192" t="s">
        <v>538</v>
      </c>
      <c r="H49" s="193" t="s">
        <v>968</v>
      </c>
      <c r="I49" s="192" t="s">
        <v>969</v>
      </c>
      <c r="J49" s="192" t="s">
        <v>970</v>
      </c>
      <c r="K49" s="194">
        <v>45034</v>
      </c>
      <c r="L49" s="194"/>
      <c r="M49" s="194">
        <v>45034</v>
      </c>
      <c r="N49" s="195" t="s">
        <v>539</v>
      </c>
      <c r="O49" s="195">
        <v>38</v>
      </c>
      <c r="P49" s="196">
        <f t="shared" ref="P49:P80" si="49">$O:$O/38</f>
        <v>1</v>
      </c>
      <c r="Q49" s="192" t="s">
        <v>615</v>
      </c>
      <c r="R49" s="192">
        <v>14167</v>
      </c>
      <c r="S49" s="192" t="s">
        <v>971</v>
      </c>
      <c r="T49" s="192" t="s">
        <v>856</v>
      </c>
      <c r="U49" s="192" t="s">
        <v>857</v>
      </c>
      <c r="V49" s="193" t="s">
        <v>543</v>
      </c>
      <c r="W49" s="193" t="s">
        <v>544</v>
      </c>
      <c r="X49" s="193" t="s">
        <v>823</v>
      </c>
      <c r="Y49" s="56" t="s">
        <v>824</v>
      </c>
      <c r="Z49" s="193" t="s">
        <v>837</v>
      </c>
      <c r="AA49" s="192" t="s">
        <v>845</v>
      </c>
      <c r="AB49" s="57" t="s">
        <v>1366</v>
      </c>
      <c r="AC49" s="193" t="s">
        <v>825</v>
      </c>
      <c r="AD49" s="56" t="s">
        <v>826</v>
      </c>
      <c r="AE49" s="10">
        <f>IFERROR(INDEX('[3]Lookup_Rem Ranges'!$D:$D,MATCH($AL:$AL,'[3]Lookup_Rem Ranges'!$C:$C,0)),0)</f>
        <v>64900</v>
      </c>
      <c r="AF49" s="10">
        <f>IFERROR(INDEX('[3]Lookup_Rem Ranges'!$E:$E,MATCH($AL:$AL,'[3]Lookup_Rem Ranges'!$C:$C,0)),0)</f>
        <v>76300</v>
      </c>
      <c r="AG49" s="10">
        <f>IFERROR(INDEX('[3]Lookup_Rem Ranges'!$F:$F,MATCH($AL:$AL,'[3]Lookup_Rem Ranges'!$C:$C,0)),)</f>
        <v>87700</v>
      </c>
      <c r="AH49" s="193" t="s">
        <v>622</v>
      </c>
      <c r="AI49" s="197"/>
      <c r="AJ49" s="198">
        <v>0</v>
      </c>
      <c r="AK49" s="199"/>
      <c r="AL49" s="200" t="str">
        <f t="shared" ref="AL49:AL80" si="50">CONCATENATE(AM49,"",AN49)</f>
        <v>GI3</v>
      </c>
      <c r="AM49" s="200" t="s">
        <v>486</v>
      </c>
      <c r="AN49" s="197">
        <v>3</v>
      </c>
      <c r="AO49" s="199" t="s">
        <v>1358</v>
      </c>
      <c r="AP49" s="5">
        <v>60000</v>
      </c>
      <c r="AQ49" s="10">
        <f t="shared" ref="AQ49:AQ80" si="51">ROUND(IF($P:$P&gt;1,$AP:$AP*1,$AP:$AP*$P:$P),0)</f>
        <v>60000</v>
      </c>
      <c r="AR49" s="10">
        <f t="shared" ref="AR49:AR80" si="52">IF(BA49="Yes",AP49,0)</f>
        <v>60000</v>
      </c>
      <c r="AS49" s="53" t="s">
        <v>790</v>
      </c>
      <c r="AT49" s="53">
        <v>0</v>
      </c>
      <c r="AU49" s="201"/>
      <c r="AV49" s="10"/>
      <c r="AW49" s="54">
        <v>0</v>
      </c>
      <c r="AX49" s="10">
        <v>0</v>
      </c>
      <c r="AY49" s="10">
        <v>60000</v>
      </c>
      <c r="AZ49" s="55">
        <f t="shared" ref="AZ49:AZ80" si="53">IFERROR(($AY:$AY+$AJ:$AJ+$AK:$AK)/$AF:$AF,0)</f>
        <v>0.78636959370904325</v>
      </c>
      <c r="BA49" s="37" t="s">
        <v>23</v>
      </c>
      <c r="BB49" s="38">
        <v>3</v>
      </c>
      <c r="BC49" s="53">
        <f t="shared" ref="BC49:BC80" si="54">IFERROR($BD:$BD/$AY:$AY,0)</f>
        <v>8.1666666666666665E-2</v>
      </c>
      <c r="BD49" s="65">
        <f>ROUND(IF($AY:$AY&lt;$AE:$AE,$AE:$AE-$AY:$AY,0),0)</f>
        <v>4900</v>
      </c>
      <c r="BE49" s="44">
        <v>0</v>
      </c>
      <c r="BF49" s="179">
        <f t="shared" ref="BF49:BF80" si="55">ROUND($AR:$AR*$BE:$BE,0)</f>
        <v>0</v>
      </c>
      <c r="BG49" s="402">
        <v>0</v>
      </c>
      <c r="BH49" s="403">
        <f t="shared" ref="BH49:BH80" si="56">ROUND($AR:$AR*$BG:$BG,0)</f>
        <v>0</v>
      </c>
      <c r="BI49" s="44">
        <v>0</v>
      </c>
      <c r="BJ49" s="179">
        <f t="shared" ref="BJ49:BJ80" si="57">ROUND($AR:$AR*$BI:$BI,0)</f>
        <v>0</v>
      </c>
      <c r="BK49" s="179">
        <f t="shared" ref="BK49:BK80" si="58">ROUND(IF($P:$P&gt;1,$BJ:$BJ*1,$BJ:$BJ*$P:$P),0)</f>
        <v>0</v>
      </c>
      <c r="BL49" s="202"/>
      <c r="BM49" s="203">
        <f t="shared" ref="BM49:BM80" si="59">$BC:$BC+$BE:$BE+$BG:$BG</f>
        <v>8.1666666666666665E-2</v>
      </c>
      <c r="BN49" s="204">
        <f t="shared" ref="BN49:BN80" si="60">$BD:$BD+$BF:$BF+$BH:$BH</f>
        <v>4900</v>
      </c>
      <c r="BO49" s="16">
        <f t="shared" ref="BO49:BO80" si="61">IFERROR(ROUND($AY:$AY+$BN:$BN,0),0)</f>
        <v>64900</v>
      </c>
      <c r="BP49" s="205">
        <f t="shared" ref="BP49:BP80" si="62">ROUND(IF(SUM($BO:$BO&lt;249080),SUM(ROUND($BO:$BO*11%,0)),27398.8),0)</f>
        <v>7139</v>
      </c>
      <c r="BQ49" s="206">
        <f t="shared" ref="BQ49:BQ80" si="63">$BO:$BO+$BP:$BP</f>
        <v>72039</v>
      </c>
      <c r="BR49" s="55">
        <f t="shared" ref="BR49:BR80" si="64">IFERROR(($BO:$BO+$AJ:$AJ+$AK:$AK)/$AF:$AF,0)</f>
        <v>0.85058977719528184</v>
      </c>
      <c r="BS49" s="64">
        <f t="shared" ref="BS49:BS80" si="65">IF($N:$N="CASUAL","TBC",ROUND($BN:$BN/(NETWORKDAYS("01/07/2023","30/06/2024"))*NETWORKDAYS("10/07/2023","04/09/2023"),0)*$P:$P)</f>
        <v>773</v>
      </c>
      <c r="BT49" s="53">
        <f t="shared" ref="BT49:BT80" si="66">$BM49+$BI49</f>
        <v>8.1666666666666665E-2</v>
      </c>
      <c r="BU49" s="65">
        <f t="shared" ref="BU49:BU80" si="67">$BN:$BN+$BJ:$BJ</f>
        <v>4900</v>
      </c>
      <c r="BV49" s="206">
        <f t="shared" ref="BV49:BV80" si="68">$BO:$BO*$P:$P</f>
        <v>64900</v>
      </c>
      <c r="BW49" s="207">
        <f t="shared" ref="BW49:BW80" si="69">ROUND($BO:$BO/1976,2)</f>
        <v>32.840000000000003</v>
      </c>
      <c r="BX49" s="199"/>
      <c r="BY49" s="206">
        <f t="shared" ref="BY49:BY80" si="70">$BQ:$BQ+$BX:$BX</f>
        <v>72039</v>
      </c>
      <c r="BZ49" s="208" t="s">
        <v>687</v>
      </c>
      <c r="CA49" s="199"/>
      <c r="CB49" s="199"/>
      <c r="CC49" s="200" t="str">
        <f t="shared" ref="CC49:CC80" si="71">CONCATENATE(CD49,"",CE49)</f>
        <v/>
      </c>
      <c r="CD49" s="197"/>
      <c r="CE49" s="197"/>
      <c r="CF49" s="10" t="str">
        <f>IFERROR(INDEX('[4]Lookup_Rem Ranges'!$D:$D,MATCH($CC:$CC,'[4]Lookup_Rem Ranges'!$C:$C,0)),"")</f>
        <v/>
      </c>
      <c r="CG49" s="307"/>
      <c r="CH49" s="307"/>
      <c r="CI49" s="210"/>
      <c r="CJ49" s="122" t="s">
        <v>701</v>
      </c>
      <c r="CK49" s="206">
        <f t="shared" ref="CK49:CK80" si="72">IFERROR(ROUND($CI:$CI*$CJ:$CJ,0),0)</f>
        <v>0</v>
      </c>
      <c r="CL49" s="206">
        <f t="shared" ref="CL49:CL80" si="73">$CI:$CI+$CK:$CK</f>
        <v>0</v>
      </c>
      <c r="CM49" s="123"/>
      <c r="CN49" s="124">
        <f t="shared" ref="CN49:CN80" si="74">IF(SUM($CL:$CL&lt;249080),SUM(ROUND($CL:$CL*11%,0)),27398.8)</f>
        <v>0</v>
      </c>
      <c r="CO49" s="124" t="s">
        <v>1376</v>
      </c>
      <c r="CP49" s="125">
        <f t="shared" ref="CP49:CP80" si="75">IF(BA49="Yes",3.25%,0)</f>
        <v>3.2500000000000001E-2</v>
      </c>
      <c r="CQ49" s="126">
        <f t="shared" ref="CQ49:CQ80" si="76">ROUND(AR49*CP49,0)</f>
        <v>1950</v>
      </c>
      <c r="CR49" s="127">
        <f t="shared" ref="CR49:CR80" si="77">IF($AW:$AW&lt;3.25%,$AW:$AW,3.25%)</f>
        <v>0</v>
      </c>
      <c r="CS49" s="128">
        <f t="shared" ref="CS49:CS80" si="78">ROUND($AR:$AR*$CR:$CR,0)</f>
        <v>0</v>
      </c>
      <c r="CT49" s="127">
        <f t="shared" ref="CT49:CT80" si="79">IF($AW:$AW&gt;=3.25%,$AW:$AW-$CR:$CR,0)</f>
        <v>0</v>
      </c>
      <c r="CU49" s="128">
        <f t="shared" ref="CU49:CU80" si="80">ROUND($AR:$AR*$CT:$CT,0)</f>
        <v>0</v>
      </c>
      <c r="CV49" s="127">
        <f t="shared" ref="CV49:CV80" si="81">IF($CR:$CR=3.25%,0,IF($BC:$BC&lt;3.25%,$BC:$BC,IF($BC:$BC&gt;3.25%,3.25%-$CR:$CR,0)))</f>
        <v>3.2500000000000001E-2</v>
      </c>
      <c r="CW49" s="128">
        <f t="shared" ref="CW49:CW80" si="82">IFERROR(ROUND($AY:$AY*$CV:$CV,0),0)</f>
        <v>1950</v>
      </c>
      <c r="CX49" s="127">
        <f t="shared" ref="CX49:CX80" si="83">IF($CV:$CV=0,$BC:$BC,BC:BC-$CV:$CV)</f>
        <v>4.9166666666666664E-2</v>
      </c>
      <c r="CY49" s="128">
        <f t="shared" ref="CY49:CY80" si="84">IFERROR(ROUND($AY:$AY*$CX:$CX,0),0)</f>
        <v>2950</v>
      </c>
      <c r="CZ49" s="127">
        <f>$CR:$CR+$CT:CT+$CV:$CV+$CX:$CX</f>
        <v>8.1666666666666665E-2</v>
      </c>
      <c r="DA49" s="127">
        <f t="shared" ref="DA49:DA80" si="85">(SUM($AW:$AW+$BC:$BC)-$CZ:$CZ)</f>
        <v>0</v>
      </c>
      <c r="DB49" s="127"/>
      <c r="DC49" s="127">
        <f t="shared" ref="DC49:DC80" si="86">$BE:$BE</f>
        <v>0</v>
      </c>
      <c r="DD49" s="128">
        <f t="shared" ref="DD49:DD80" si="87">$BF:$BF</f>
        <v>0</v>
      </c>
      <c r="DE49" s="129">
        <f t="shared" ref="DE49:DE80" si="88">$BI:$BI</f>
        <v>0</v>
      </c>
      <c r="DF49" s="128">
        <f t="shared" ref="DF49:DF80" si="89">$BJ:$BJ</f>
        <v>0</v>
      </c>
      <c r="DG49" s="129">
        <f t="shared" ref="DG49:DG80" si="90">$BG:$BG</f>
        <v>0</v>
      </c>
      <c r="DH49" s="128">
        <f t="shared" ref="DH49:DH80" si="91">IFERROR(ROUND($AP:$AP*$DG:$DG,0),0)</f>
        <v>0</v>
      </c>
      <c r="DI49" s="127">
        <f t="shared" ref="DI49:DI80" si="92">$CR:$CR+$CV:$CV+$DC:$DC+$DE:$DE+$DG:$DG</f>
        <v>3.2500000000000001E-2</v>
      </c>
      <c r="DJ49" s="128">
        <f t="shared" ref="DJ49:DJ80" si="93">$CS:$CS+$CW:$CW+$DD:$DD+$DF:$DF+$DH:$DH</f>
        <v>1950</v>
      </c>
      <c r="DK49" s="127">
        <f t="shared" ref="DK49:DK80" si="94">$CT:$CT+$CX:$CX</f>
        <v>4.9166666666666664E-2</v>
      </c>
      <c r="DL49" s="128">
        <f t="shared" ref="DL49:DL80" si="95">$CU:$CU+$CY:$CY</f>
        <v>2950</v>
      </c>
      <c r="DM49" s="130"/>
      <c r="DN49" s="131"/>
      <c r="DO49" s="131"/>
      <c r="DP49" s="131"/>
      <c r="DQ49" s="131"/>
      <c r="DR49" s="131"/>
      <c r="DS49" s="131"/>
      <c r="DT49" s="131"/>
      <c r="DU49" s="131"/>
      <c r="DV49" s="131"/>
      <c r="DW49" s="131" t="s">
        <v>1380</v>
      </c>
    </row>
    <row r="50" spans="1:127" ht="36">
      <c r="A50" s="134"/>
      <c r="B50" s="121" t="s">
        <v>490</v>
      </c>
      <c r="C50" s="121" t="s">
        <v>1338</v>
      </c>
      <c r="D50" s="121">
        <v>13959</v>
      </c>
      <c r="E50" s="192" t="s">
        <v>1192</v>
      </c>
      <c r="F50" s="192" t="s">
        <v>1339</v>
      </c>
      <c r="G50" s="192" t="s">
        <v>538</v>
      </c>
      <c r="H50" s="193" t="s">
        <v>1330</v>
      </c>
      <c r="I50" s="192" t="s">
        <v>1340</v>
      </c>
      <c r="J50" s="192" t="s">
        <v>1332</v>
      </c>
      <c r="K50" s="194">
        <v>41463</v>
      </c>
      <c r="L50" s="194"/>
      <c r="M50" s="194">
        <v>44746</v>
      </c>
      <c r="N50" s="195" t="s">
        <v>539</v>
      </c>
      <c r="O50" s="195">
        <v>38</v>
      </c>
      <c r="P50" s="196">
        <f t="shared" si="49"/>
        <v>1</v>
      </c>
      <c r="Q50" s="192" t="s">
        <v>615</v>
      </c>
      <c r="R50" s="192">
        <v>15882</v>
      </c>
      <c r="S50" s="192" t="s">
        <v>1341</v>
      </c>
      <c r="T50" s="192" t="s">
        <v>1337</v>
      </c>
      <c r="U50" s="192" t="s">
        <v>1332</v>
      </c>
      <c r="V50" s="193" t="s">
        <v>543</v>
      </c>
      <c r="W50" s="193" t="s">
        <v>544</v>
      </c>
      <c r="X50" s="193" t="s">
        <v>823</v>
      </c>
      <c r="Y50" s="56" t="s">
        <v>824</v>
      </c>
      <c r="Z50" s="193" t="s">
        <v>837</v>
      </c>
      <c r="AA50" s="192" t="s">
        <v>845</v>
      </c>
      <c r="AB50" s="57" t="s">
        <v>1366</v>
      </c>
      <c r="AC50" s="193" t="s">
        <v>825</v>
      </c>
      <c r="AD50" s="56" t="s">
        <v>826</v>
      </c>
      <c r="AE50" s="10">
        <f>IFERROR(INDEX('[3]Lookup_Rem Ranges'!$D:$D,MATCH($AL:$AL,'[3]Lookup_Rem Ranges'!$C:$C,0)),0)</f>
        <v>64900</v>
      </c>
      <c r="AF50" s="10">
        <f>IFERROR(INDEX('[3]Lookup_Rem Ranges'!$E:$E,MATCH($AL:$AL,'[3]Lookup_Rem Ranges'!$C:$C,0)),0)</f>
        <v>76300</v>
      </c>
      <c r="AG50" s="10">
        <f>IFERROR(INDEX('[3]Lookup_Rem Ranges'!$F:$F,MATCH($AL:$AL,'[3]Lookup_Rem Ranges'!$C:$C,0)),)</f>
        <v>87700</v>
      </c>
      <c r="AH50" s="193" t="s">
        <v>622</v>
      </c>
      <c r="AI50" s="197"/>
      <c r="AJ50" s="198">
        <v>0</v>
      </c>
      <c r="AK50" s="199"/>
      <c r="AL50" s="200" t="str">
        <f t="shared" si="50"/>
        <v>GI3</v>
      </c>
      <c r="AM50" s="200" t="s">
        <v>486</v>
      </c>
      <c r="AN50" s="197">
        <v>3</v>
      </c>
      <c r="AO50" s="199" t="s">
        <v>1359</v>
      </c>
      <c r="AP50" s="5">
        <v>61500</v>
      </c>
      <c r="AQ50" s="10">
        <f t="shared" si="51"/>
        <v>61500</v>
      </c>
      <c r="AR50" s="10">
        <f t="shared" si="52"/>
        <v>0</v>
      </c>
      <c r="AS50" s="53">
        <v>1.6666666666666666E-2</v>
      </c>
      <c r="AT50" s="53">
        <v>0</v>
      </c>
      <c r="AU50" s="201"/>
      <c r="AV50" s="10"/>
      <c r="AW50" s="54">
        <v>0</v>
      </c>
      <c r="AX50" s="10">
        <v>0</v>
      </c>
      <c r="AY50" s="10">
        <v>61500</v>
      </c>
      <c r="AZ50" s="55">
        <f t="shared" si="53"/>
        <v>0.80602883355176935</v>
      </c>
      <c r="BA50" s="37" t="s">
        <v>687</v>
      </c>
      <c r="BB50" s="38">
        <v>3</v>
      </c>
      <c r="BC50" s="53">
        <f t="shared" si="54"/>
        <v>0</v>
      </c>
      <c r="BD50" s="65">
        <v>0</v>
      </c>
      <c r="BE50" s="44">
        <v>0</v>
      </c>
      <c r="BF50" s="179">
        <f t="shared" si="55"/>
        <v>0</v>
      </c>
      <c r="BG50" s="402">
        <v>0</v>
      </c>
      <c r="BH50" s="403">
        <f t="shared" si="56"/>
        <v>0</v>
      </c>
      <c r="BI50" s="44">
        <v>0</v>
      </c>
      <c r="BJ50" s="179">
        <f t="shared" si="57"/>
        <v>0</v>
      </c>
      <c r="BK50" s="179">
        <f t="shared" si="58"/>
        <v>0</v>
      </c>
      <c r="BL50" s="202"/>
      <c r="BM50" s="203">
        <f t="shared" si="59"/>
        <v>0</v>
      </c>
      <c r="BN50" s="204">
        <f t="shared" si="60"/>
        <v>0</v>
      </c>
      <c r="BO50" s="16">
        <f t="shared" si="61"/>
        <v>61500</v>
      </c>
      <c r="BP50" s="205">
        <f t="shared" si="62"/>
        <v>6765</v>
      </c>
      <c r="BQ50" s="206">
        <f t="shared" si="63"/>
        <v>68265</v>
      </c>
      <c r="BR50" s="55">
        <f t="shared" si="64"/>
        <v>0.80602883355176935</v>
      </c>
      <c r="BS50" s="64">
        <f t="shared" si="65"/>
        <v>0</v>
      </c>
      <c r="BT50" s="53">
        <f t="shared" si="66"/>
        <v>0</v>
      </c>
      <c r="BU50" s="65">
        <f t="shared" si="67"/>
        <v>0</v>
      </c>
      <c r="BV50" s="206">
        <f t="shared" si="68"/>
        <v>61500</v>
      </c>
      <c r="BW50" s="207">
        <f t="shared" si="69"/>
        <v>31.12</v>
      </c>
      <c r="BX50" s="199"/>
      <c r="BY50" s="206">
        <f t="shared" si="70"/>
        <v>68265</v>
      </c>
      <c r="BZ50" s="208" t="s">
        <v>687</v>
      </c>
      <c r="CA50" s="199"/>
      <c r="CB50" s="199"/>
      <c r="CC50" s="200" t="str">
        <f t="shared" si="71"/>
        <v/>
      </c>
      <c r="CD50" s="197"/>
      <c r="CE50" s="197"/>
      <c r="CF50" s="10" t="str">
        <f>IFERROR(INDEX('[4]Lookup_Rem Ranges'!$D:$D,MATCH($CC:$CC,'[4]Lookup_Rem Ranges'!$C:$C,0)),"")</f>
        <v/>
      </c>
      <c r="CG50" s="307"/>
      <c r="CH50" s="307"/>
      <c r="CI50" s="210"/>
      <c r="CJ50" s="122" t="s">
        <v>701</v>
      </c>
      <c r="CK50" s="206">
        <f t="shared" si="72"/>
        <v>0</v>
      </c>
      <c r="CL50" s="206">
        <f t="shared" si="73"/>
        <v>0</v>
      </c>
      <c r="CM50" s="123"/>
      <c r="CN50" s="124">
        <f t="shared" si="74"/>
        <v>0</v>
      </c>
      <c r="CO50" s="124" t="s">
        <v>1376</v>
      </c>
      <c r="CP50" s="125">
        <f t="shared" si="75"/>
        <v>0</v>
      </c>
      <c r="CQ50" s="126">
        <f t="shared" si="76"/>
        <v>0</v>
      </c>
      <c r="CR50" s="127">
        <f t="shared" si="77"/>
        <v>0</v>
      </c>
      <c r="CS50" s="128">
        <f t="shared" si="78"/>
        <v>0</v>
      </c>
      <c r="CT50" s="127">
        <f t="shared" si="79"/>
        <v>0</v>
      </c>
      <c r="CU50" s="128">
        <f t="shared" si="80"/>
        <v>0</v>
      </c>
      <c r="CV50" s="127">
        <f t="shared" si="81"/>
        <v>0</v>
      </c>
      <c r="CW50" s="128">
        <f t="shared" si="82"/>
        <v>0</v>
      </c>
      <c r="CX50" s="127">
        <f t="shared" si="83"/>
        <v>0</v>
      </c>
      <c r="CY50" s="128">
        <f t="shared" si="84"/>
        <v>0</v>
      </c>
      <c r="CZ50" s="127">
        <f>$CR:$CR+$CT:CT+$CV:$CV+$CX:$CX</f>
        <v>0</v>
      </c>
      <c r="DA50" s="127">
        <f t="shared" si="85"/>
        <v>0</v>
      </c>
      <c r="DB50" s="127"/>
      <c r="DC50" s="127">
        <f t="shared" si="86"/>
        <v>0</v>
      </c>
      <c r="DD50" s="128">
        <f t="shared" si="87"/>
        <v>0</v>
      </c>
      <c r="DE50" s="129">
        <f t="shared" si="88"/>
        <v>0</v>
      </c>
      <c r="DF50" s="128">
        <f t="shared" si="89"/>
        <v>0</v>
      </c>
      <c r="DG50" s="129">
        <f t="shared" si="90"/>
        <v>0</v>
      </c>
      <c r="DH50" s="128">
        <f t="shared" si="91"/>
        <v>0</v>
      </c>
      <c r="DI50" s="127">
        <f t="shared" si="92"/>
        <v>0</v>
      </c>
      <c r="DJ50" s="128">
        <f t="shared" si="93"/>
        <v>0</v>
      </c>
      <c r="DK50" s="127">
        <f t="shared" si="94"/>
        <v>0</v>
      </c>
      <c r="DL50" s="128">
        <f t="shared" si="95"/>
        <v>0</v>
      </c>
      <c r="DM50" s="130"/>
      <c r="DN50" s="131"/>
      <c r="DO50" s="131"/>
      <c r="DP50" s="131"/>
      <c r="DQ50" s="131"/>
      <c r="DR50" s="131"/>
      <c r="DS50" s="131"/>
      <c r="DT50" s="131"/>
      <c r="DU50" s="131"/>
      <c r="DV50" s="131"/>
      <c r="DW50" s="131" t="s">
        <v>1380</v>
      </c>
    </row>
    <row r="51" spans="1:127" ht="36">
      <c r="A51" s="134"/>
      <c r="B51" s="121" t="s">
        <v>490</v>
      </c>
      <c r="C51" s="121" t="s">
        <v>1333</v>
      </c>
      <c r="D51" s="121">
        <v>16745</v>
      </c>
      <c r="E51" s="192" t="s">
        <v>517</v>
      </c>
      <c r="F51" s="192" t="s">
        <v>518</v>
      </c>
      <c r="G51" s="192" t="s">
        <v>538</v>
      </c>
      <c r="H51" s="193" t="s">
        <v>1330</v>
      </c>
      <c r="I51" s="192" t="s">
        <v>1334</v>
      </c>
      <c r="J51" s="192" t="s">
        <v>1332</v>
      </c>
      <c r="K51" s="194">
        <v>42786</v>
      </c>
      <c r="L51" s="194"/>
      <c r="M51" s="194">
        <v>44866</v>
      </c>
      <c r="N51" s="195" t="s">
        <v>539</v>
      </c>
      <c r="O51" s="195">
        <v>38</v>
      </c>
      <c r="P51" s="196">
        <f t="shared" si="49"/>
        <v>1</v>
      </c>
      <c r="Q51" s="192" t="s">
        <v>615</v>
      </c>
      <c r="R51" s="192">
        <v>5140</v>
      </c>
      <c r="S51" s="192" t="s">
        <v>1335</v>
      </c>
      <c r="T51" s="192" t="s">
        <v>849</v>
      </c>
      <c r="U51" s="192" t="s">
        <v>843</v>
      </c>
      <c r="V51" s="193" t="s">
        <v>543</v>
      </c>
      <c r="W51" s="193" t="s">
        <v>544</v>
      </c>
      <c r="X51" s="193" t="s">
        <v>823</v>
      </c>
      <c r="Y51" s="56" t="s">
        <v>824</v>
      </c>
      <c r="Z51" s="193" t="s">
        <v>837</v>
      </c>
      <c r="AA51" s="192" t="s">
        <v>845</v>
      </c>
      <c r="AB51" s="57" t="s">
        <v>1366</v>
      </c>
      <c r="AC51" s="193" t="s">
        <v>825</v>
      </c>
      <c r="AD51" s="56" t="s">
        <v>826</v>
      </c>
      <c r="AE51" s="10">
        <f>IFERROR(INDEX('[3]Lookup_Rem Ranges'!$D:$D,MATCH($AL:$AL,'[3]Lookup_Rem Ranges'!$C:$C,0)),0)</f>
        <v>64900</v>
      </c>
      <c r="AF51" s="10">
        <f>IFERROR(INDEX('[3]Lookup_Rem Ranges'!$E:$E,MATCH($AL:$AL,'[3]Lookup_Rem Ranges'!$C:$C,0)),0)</f>
        <v>76300</v>
      </c>
      <c r="AG51" s="10">
        <f>IFERROR(INDEX('[3]Lookup_Rem Ranges'!$F:$F,MATCH($AL:$AL,'[3]Lookup_Rem Ranges'!$C:$C,0)),)</f>
        <v>87700</v>
      </c>
      <c r="AH51" s="193" t="s">
        <v>622</v>
      </c>
      <c r="AI51" s="197"/>
      <c r="AJ51" s="198">
        <v>0</v>
      </c>
      <c r="AK51" s="199"/>
      <c r="AL51" s="200" t="str">
        <f t="shared" si="50"/>
        <v>GI3</v>
      </c>
      <c r="AM51" s="200" t="s">
        <v>486</v>
      </c>
      <c r="AN51" s="197">
        <v>3</v>
      </c>
      <c r="AO51" s="199" t="s">
        <v>1359</v>
      </c>
      <c r="AP51" s="5">
        <v>60248</v>
      </c>
      <c r="AQ51" s="10">
        <f t="shared" si="51"/>
        <v>60248</v>
      </c>
      <c r="AR51" s="10">
        <f t="shared" si="52"/>
        <v>0</v>
      </c>
      <c r="AS51" s="53">
        <v>3.1135531135531136E-2</v>
      </c>
      <c r="AT51" s="53">
        <v>0</v>
      </c>
      <c r="AU51" s="201"/>
      <c r="AV51" s="10"/>
      <c r="AW51" s="54">
        <v>0</v>
      </c>
      <c r="AX51" s="10">
        <v>0</v>
      </c>
      <c r="AY51" s="10">
        <v>60248</v>
      </c>
      <c r="AZ51" s="55">
        <f t="shared" si="53"/>
        <v>0.7896199213630406</v>
      </c>
      <c r="BA51" s="37" t="s">
        <v>687</v>
      </c>
      <c r="BB51" s="38">
        <v>3</v>
      </c>
      <c r="BC51" s="53">
        <f t="shared" si="54"/>
        <v>0</v>
      </c>
      <c r="BD51" s="65">
        <v>0</v>
      </c>
      <c r="BE51" s="44">
        <v>0</v>
      </c>
      <c r="BF51" s="179">
        <f t="shared" si="55"/>
        <v>0</v>
      </c>
      <c r="BG51" s="402">
        <v>0</v>
      </c>
      <c r="BH51" s="403">
        <f t="shared" si="56"/>
        <v>0</v>
      </c>
      <c r="BI51" s="44">
        <v>0</v>
      </c>
      <c r="BJ51" s="179">
        <f t="shared" si="57"/>
        <v>0</v>
      </c>
      <c r="BK51" s="179">
        <f t="shared" si="58"/>
        <v>0</v>
      </c>
      <c r="BL51" s="202"/>
      <c r="BM51" s="203">
        <f t="shared" si="59"/>
        <v>0</v>
      </c>
      <c r="BN51" s="204">
        <f t="shared" si="60"/>
        <v>0</v>
      </c>
      <c r="BO51" s="16">
        <f t="shared" si="61"/>
        <v>60248</v>
      </c>
      <c r="BP51" s="205">
        <f t="shared" si="62"/>
        <v>6627</v>
      </c>
      <c r="BQ51" s="206">
        <f t="shared" si="63"/>
        <v>66875</v>
      </c>
      <c r="BR51" s="55">
        <f t="shared" si="64"/>
        <v>0.7896199213630406</v>
      </c>
      <c r="BS51" s="64">
        <f t="shared" si="65"/>
        <v>0</v>
      </c>
      <c r="BT51" s="53">
        <f t="shared" si="66"/>
        <v>0</v>
      </c>
      <c r="BU51" s="65">
        <f t="shared" si="67"/>
        <v>0</v>
      </c>
      <c r="BV51" s="206">
        <f t="shared" si="68"/>
        <v>60248</v>
      </c>
      <c r="BW51" s="207">
        <f t="shared" si="69"/>
        <v>30.49</v>
      </c>
      <c r="BX51" s="199"/>
      <c r="BY51" s="206">
        <f t="shared" si="70"/>
        <v>66875</v>
      </c>
      <c r="BZ51" s="208" t="s">
        <v>687</v>
      </c>
      <c r="CA51" s="199"/>
      <c r="CB51" s="199"/>
      <c r="CC51" s="200" t="str">
        <f t="shared" si="71"/>
        <v/>
      </c>
      <c r="CD51" s="197"/>
      <c r="CE51" s="197"/>
      <c r="CF51" s="10" t="str">
        <f>IFERROR(INDEX('[4]Lookup_Rem Ranges'!$D:$D,MATCH($CC:$CC,'[4]Lookup_Rem Ranges'!$C:$C,0)),"")</f>
        <v/>
      </c>
      <c r="CG51" s="307"/>
      <c r="CH51" s="307"/>
      <c r="CI51" s="210"/>
      <c r="CJ51" s="122" t="s">
        <v>701</v>
      </c>
      <c r="CK51" s="206">
        <f t="shared" si="72"/>
        <v>0</v>
      </c>
      <c r="CL51" s="206">
        <f t="shared" si="73"/>
        <v>0</v>
      </c>
      <c r="CM51" s="123"/>
      <c r="CN51" s="124">
        <f t="shared" si="74"/>
        <v>0</v>
      </c>
      <c r="CO51" s="124" t="s">
        <v>1376</v>
      </c>
      <c r="CP51" s="125">
        <f t="shared" si="75"/>
        <v>0</v>
      </c>
      <c r="CQ51" s="126">
        <f t="shared" si="76"/>
        <v>0</v>
      </c>
      <c r="CR51" s="127">
        <f t="shared" si="77"/>
        <v>0</v>
      </c>
      <c r="CS51" s="128">
        <f t="shared" si="78"/>
        <v>0</v>
      </c>
      <c r="CT51" s="127">
        <f t="shared" si="79"/>
        <v>0</v>
      </c>
      <c r="CU51" s="128">
        <f t="shared" si="80"/>
        <v>0</v>
      </c>
      <c r="CV51" s="127">
        <f t="shared" si="81"/>
        <v>0</v>
      </c>
      <c r="CW51" s="128">
        <f t="shared" si="82"/>
        <v>0</v>
      </c>
      <c r="CX51" s="127">
        <f t="shared" si="83"/>
        <v>0</v>
      </c>
      <c r="CY51" s="128">
        <f t="shared" si="84"/>
        <v>0</v>
      </c>
      <c r="CZ51" s="127">
        <f>$CR:$CR+$CT:CT+$CV:$CV+$CX:$CX</f>
        <v>0</v>
      </c>
      <c r="DA51" s="127">
        <f t="shared" si="85"/>
        <v>0</v>
      </c>
      <c r="DB51" s="127"/>
      <c r="DC51" s="127">
        <f t="shared" si="86"/>
        <v>0</v>
      </c>
      <c r="DD51" s="128">
        <f t="shared" si="87"/>
        <v>0</v>
      </c>
      <c r="DE51" s="129">
        <f t="shared" si="88"/>
        <v>0</v>
      </c>
      <c r="DF51" s="128">
        <f t="shared" si="89"/>
        <v>0</v>
      </c>
      <c r="DG51" s="129">
        <f t="shared" si="90"/>
        <v>0</v>
      </c>
      <c r="DH51" s="128">
        <f t="shared" si="91"/>
        <v>0</v>
      </c>
      <c r="DI51" s="127">
        <f t="shared" si="92"/>
        <v>0</v>
      </c>
      <c r="DJ51" s="128">
        <f t="shared" si="93"/>
        <v>0</v>
      </c>
      <c r="DK51" s="127">
        <f t="shared" si="94"/>
        <v>0</v>
      </c>
      <c r="DL51" s="128">
        <f t="shared" si="95"/>
        <v>0</v>
      </c>
      <c r="DM51" s="130"/>
      <c r="DN51" s="131"/>
      <c r="DO51" s="131"/>
      <c r="DP51" s="131"/>
      <c r="DQ51" s="131"/>
      <c r="DR51" s="131"/>
      <c r="DS51" s="131"/>
      <c r="DT51" s="131"/>
      <c r="DU51" s="131"/>
      <c r="DV51" s="131"/>
      <c r="DW51" s="131" t="s">
        <v>1380</v>
      </c>
    </row>
    <row r="52" spans="1:127" ht="33.75">
      <c r="A52" s="134"/>
      <c r="B52" s="121" t="s">
        <v>490</v>
      </c>
      <c r="C52" s="121" t="s">
        <v>1180</v>
      </c>
      <c r="D52" s="121">
        <v>13066</v>
      </c>
      <c r="E52" s="192" t="s">
        <v>1181</v>
      </c>
      <c r="F52" s="192" t="s">
        <v>1182</v>
      </c>
      <c r="G52" s="192" t="s">
        <v>537</v>
      </c>
      <c r="H52" s="193" t="s">
        <v>1183</v>
      </c>
      <c r="I52" s="192" t="s">
        <v>1184</v>
      </c>
      <c r="J52" s="192" t="s">
        <v>1185</v>
      </c>
      <c r="K52" s="194">
        <v>41100</v>
      </c>
      <c r="L52" s="194"/>
      <c r="M52" s="194">
        <v>43890</v>
      </c>
      <c r="N52" s="195" t="s">
        <v>539</v>
      </c>
      <c r="O52" s="195">
        <v>38</v>
      </c>
      <c r="P52" s="196">
        <f t="shared" si="49"/>
        <v>1</v>
      </c>
      <c r="Q52" s="192" t="s">
        <v>617</v>
      </c>
      <c r="R52" s="192">
        <v>19129</v>
      </c>
      <c r="S52" s="192" t="s">
        <v>1186</v>
      </c>
      <c r="T52" s="192" t="s">
        <v>842</v>
      </c>
      <c r="U52" s="192" t="s">
        <v>843</v>
      </c>
      <c r="V52" s="193" t="s">
        <v>543</v>
      </c>
      <c r="W52" s="193" t="s">
        <v>544</v>
      </c>
      <c r="X52" s="193" t="s">
        <v>823</v>
      </c>
      <c r="Y52" s="56" t="s">
        <v>824</v>
      </c>
      <c r="Z52" s="193" t="s">
        <v>837</v>
      </c>
      <c r="AA52" s="192" t="s">
        <v>845</v>
      </c>
      <c r="AB52" s="57" t="s">
        <v>1366</v>
      </c>
      <c r="AC52" s="193" t="s">
        <v>825</v>
      </c>
      <c r="AD52" s="56" t="s">
        <v>826</v>
      </c>
      <c r="AE52" s="10">
        <f>IFERROR(INDEX('[3]Lookup_Rem Ranges'!$D:$D,MATCH($AL:$AL,'[3]Lookup_Rem Ranges'!$C:$C,0)),0)</f>
        <v>73500</v>
      </c>
      <c r="AF52" s="10">
        <f>IFERROR(INDEX('[3]Lookup_Rem Ranges'!$E:$E,MATCH($AL:$AL,'[3]Lookup_Rem Ranges'!$C:$C,0)),0)</f>
        <v>86500</v>
      </c>
      <c r="AG52" s="10">
        <f>IFERROR(INDEX('[3]Lookup_Rem Ranges'!$F:$F,MATCH($AL:$AL,'[3]Lookup_Rem Ranges'!$C:$C,0)),)</f>
        <v>99500</v>
      </c>
      <c r="AH52" s="193" t="s">
        <v>622</v>
      </c>
      <c r="AI52" s="197"/>
      <c r="AJ52" s="198">
        <v>0</v>
      </c>
      <c r="AK52" s="199"/>
      <c r="AL52" s="200" t="str">
        <f t="shared" si="50"/>
        <v>GI4</v>
      </c>
      <c r="AM52" s="200" t="s">
        <v>486</v>
      </c>
      <c r="AN52" s="197">
        <v>4</v>
      </c>
      <c r="AO52" s="199" t="s">
        <v>827</v>
      </c>
      <c r="AP52" s="5">
        <v>77100</v>
      </c>
      <c r="AQ52" s="10">
        <f t="shared" si="51"/>
        <v>77100</v>
      </c>
      <c r="AR52" s="10">
        <f t="shared" si="52"/>
        <v>0</v>
      </c>
      <c r="AS52" s="53">
        <v>2.5265957446808509E-2</v>
      </c>
      <c r="AT52" s="53">
        <v>0</v>
      </c>
      <c r="AU52" s="201"/>
      <c r="AV52" s="10"/>
      <c r="AW52" s="54">
        <v>0</v>
      </c>
      <c r="AX52" s="10">
        <v>0</v>
      </c>
      <c r="AY52" s="10">
        <v>77100</v>
      </c>
      <c r="AZ52" s="55">
        <f t="shared" si="53"/>
        <v>0.89132947976878618</v>
      </c>
      <c r="BA52" s="37" t="s">
        <v>687</v>
      </c>
      <c r="BB52" s="38">
        <v>3</v>
      </c>
      <c r="BC52" s="53">
        <f t="shared" si="54"/>
        <v>0</v>
      </c>
      <c r="BD52" s="65">
        <f>ROUND(IF($AY:$AY&lt;$AE:$AE,$AE:$AE-$AY:$AY,0),0)</f>
        <v>0</v>
      </c>
      <c r="BE52" s="44">
        <v>0</v>
      </c>
      <c r="BF52" s="179">
        <f t="shared" si="55"/>
        <v>0</v>
      </c>
      <c r="BG52" s="402">
        <v>0</v>
      </c>
      <c r="BH52" s="403">
        <f t="shared" si="56"/>
        <v>0</v>
      </c>
      <c r="BI52" s="44">
        <v>0</v>
      </c>
      <c r="BJ52" s="179">
        <f t="shared" si="57"/>
        <v>0</v>
      </c>
      <c r="BK52" s="179">
        <f t="shared" si="58"/>
        <v>0</v>
      </c>
      <c r="BL52" s="202"/>
      <c r="BM52" s="203">
        <f t="shared" si="59"/>
        <v>0</v>
      </c>
      <c r="BN52" s="204">
        <f t="shared" si="60"/>
        <v>0</v>
      </c>
      <c r="BO52" s="16">
        <f t="shared" si="61"/>
        <v>77100</v>
      </c>
      <c r="BP52" s="205">
        <f t="shared" si="62"/>
        <v>8481</v>
      </c>
      <c r="BQ52" s="206">
        <f t="shared" si="63"/>
        <v>85581</v>
      </c>
      <c r="BR52" s="55">
        <f t="shared" si="64"/>
        <v>0.89132947976878618</v>
      </c>
      <c r="BS52" s="64">
        <f t="shared" si="65"/>
        <v>0</v>
      </c>
      <c r="BT52" s="53">
        <f t="shared" si="66"/>
        <v>0</v>
      </c>
      <c r="BU52" s="65">
        <f t="shared" si="67"/>
        <v>0</v>
      </c>
      <c r="BV52" s="206">
        <f t="shared" si="68"/>
        <v>77100</v>
      </c>
      <c r="BW52" s="207">
        <f t="shared" si="69"/>
        <v>39.020000000000003</v>
      </c>
      <c r="BX52" s="199"/>
      <c r="BY52" s="206">
        <f t="shared" si="70"/>
        <v>85581</v>
      </c>
      <c r="BZ52" s="208" t="s">
        <v>687</v>
      </c>
      <c r="CA52" s="199"/>
      <c r="CB52" s="199"/>
      <c r="CC52" s="200" t="str">
        <f t="shared" si="71"/>
        <v/>
      </c>
      <c r="CD52" s="197"/>
      <c r="CE52" s="197"/>
      <c r="CF52" s="10" t="str">
        <f>IFERROR(INDEX('[4]Lookup_Rem Ranges'!$D:$D,MATCH($CC:$CC,'[4]Lookup_Rem Ranges'!$C:$C,0)),"")</f>
        <v/>
      </c>
      <c r="CG52" s="307"/>
      <c r="CH52" s="307"/>
      <c r="CI52" s="210"/>
      <c r="CJ52" s="122" t="s">
        <v>701</v>
      </c>
      <c r="CK52" s="206">
        <f t="shared" si="72"/>
        <v>0</v>
      </c>
      <c r="CL52" s="206">
        <f t="shared" si="73"/>
        <v>0</v>
      </c>
      <c r="CM52" s="123"/>
      <c r="CN52" s="124">
        <f t="shared" si="74"/>
        <v>0</v>
      </c>
      <c r="CO52" s="124" t="s">
        <v>1376</v>
      </c>
      <c r="CP52" s="125">
        <f t="shared" si="75"/>
        <v>0</v>
      </c>
      <c r="CQ52" s="126">
        <f t="shared" si="76"/>
        <v>0</v>
      </c>
      <c r="CR52" s="127">
        <f t="shared" si="77"/>
        <v>0</v>
      </c>
      <c r="CS52" s="128">
        <f t="shared" si="78"/>
        <v>0</v>
      </c>
      <c r="CT52" s="127">
        <f t="shared" si="79"/>
        <v>0</v>
      </c>
      <c r="CU52" s="128">
        <f t="shared" si="80"/>
        <v>0</v>
      </c>
      <c r="CV52" s="127">
        <f t="shared" si="81"/>
        <v>0</v>
      </c>
      <c r="CW52" s="128">
        <f t="shared" si="82"/>
        <v>0</v>
      </c>
      <c r="CX52" s="127">
        <f t="shared" si="83"/>
        <v>0</v>
      </c>
      <c r="CY52" s="128">
        <f t="shared" si="84"/>
        <v>0</v>
      </c>
      <c r="CZ52" s="127">
        <f>$CR:$CR+$CT:CT+$CV:$CV+$CX:$CX</f>
        <v>0</v>
      </c>
      <c r="DA52" s="127">
        <f t="shared" si="85"/>
        <v>0</v>
      </c>
      <c r="DB52" s="127"/>
      <c r="DC52" s="127">
        <f t="shared" si="86"/>
        <v>0</v>
      </c>
      <c r="DD52" s="128">
        <f t="shared" si="87"/>
        <v>0</v>
      </c>
      <c r="DE52" s="129">
        <f t="shared" si="88"/>
        <v>0</v>
      </c>
      <c r="DF52" s="128">
        <f t="shared" si="89"/>
        <v>0</v>
      </c>
      <c r="DG52" s="129">
        <f t="shared" si="90"/>
        <v>0</v>
      </c>
      <c r="DH52" s="128">
        <f t="shared" si="91"/>
        <v>0</v>
      </c>
      <c r="DI52" s="127">
        <f t="shared" si="92"/>
        <v>0</v>
      </c>
      <c r="DJ52" s="128">
        <f t="shared" si="93"/>
        <v>0</v>
      </c>
      <c r="DK52" s="127">
        <f t="shared" si="94"/>
        <v>0</v>
      </c>
      <c r="DL52" s="128">
        <f t="shared" si="95"/>
        <v>0</v>
      </c>
      <c r="DM52" s="130"/>
      <c r="DN52" s="131"/>
      <c r="DO52" s="131"/>
      <c r="DP52" s="131"/>
      <c r="DQ52" s="131"/>
      <c r="DR52" s="131"/>
      <c r="DS52" s="131"/>
      <c r="DT52" s="131"/>
      <c r="DU52" s="131"/>
      <c r="DV52" s="131"/>
      <c r="DW52" s="131" t="s">
        <v>1380</v>
      </c>
    </row>
    <row r="53" spans="1:127" ht="36">
      <c r="A53" s="134"/>
      <c r="B53" s="121" t="s">
        <v>490</v>
      </c>
      <c r="C53" s="121" t="s">
        <v>1251</v>
      </c>
      <c r="D53" s="121">
        <v>5079</v>
      </c>
      <c r="E53" s="192" t="s">
        <v>1252</v>
      </c>
      <c r="F53" s="192" t="s">
        <v>1253</v>
      </c>
      <c r="G53" s="192" t="s">
        <v>538</v>
      </c>
      <c r="H53" s="193" t="s">
        <v>1254</v>
      </c>
      <c r="I53" s="192" t="s">
        <v>1255</v>
      </c>
      <c r="J53" s="192" t="s">
        <v>1256</v>
      </c>
      <c r="K53" s="194">
        <v>37379</v>
      </c>
      <c r="L53" s="194"/>
      <c r="M53" s="194">
        <v>44796</v>
      </c>
      <c r="N53" s="195" t="s">
        <v>539</v>
      </c>
      <c r="O53" s="195">
        <v>38</v>
      </c>
      <c r="P53" s="196">
        <f t="shared" si="49"/>
        <v>1</v>
      </c>
      <c r="Q53" s="192" t="s">
        <v>1257</v>
      </c>
      <c r="R53" s="192">
        <v>5088</v>
      </c>
      <c r="S53" s="192" t="s">
        <v>1258</v>
      </c>
      <c r="T53" s="192" t="s">
        <v>1148</v>
      </c>
      <c r="U53" s="192" t="s">
        <v>1149</v>
      </c>
      <c r="V53" s="193" t="s">
        <v>543</v>
      </c>
      <c r="W53" s="193" t="s">
        <v>544</v>
      </c>
      <c r="X53" s="193" t="s">
        <v>823</v>
      </c>
      <c r="Y53" s="56" t="s">
        <v>824</v>
      </c>
      <c r="Z53" s="193" t="s">
        <v>837</v>
      </c>
      <c r="AA53" s="192" t="s">
        <v>845</v>
      </c>
      <c r="AB53" s="57" t="s">
        <v>1366</v>
      </c>
      <c r="AC53" s="193" t="s">
        <v>825</v>
      </c>
      <c r="AD53" s="56" t="s">
        <v>826</v>
      </c>
      <c r="AE53" s="10">
        <f>IFERROR(INDEX('[3]Lookup_Rem Ranges'!$D:$D,MATCH($AL:$AL,'[3]Lookup_Rem Ranges'!$C:$C,0)),0)</f>
        <v>50400</v>
      </c>
      <c r="AF53" s="10">
        <f>IFERROR(INDEX('[3]Lookup_Rem Ranges'!$E:$E,MATCH($AL:$AL,'[3]Lookup_Rem Ranges'!$C:$C,0)),0)</f>
        <v>59300</v>
      </c>
      <c r="AG53" s="10">
        <f>IFERROR(INDEX('[3]Lookup_Rem Ranges'!$F:$F,MATCH($AL:$AL,'[3]Lookup_Rem Ranges'!$C:$C,0)),)</f>
        <v>68200</v>
      </c>
      <c r="AH53" s="193" t="s">
        <v>965</v>
      </c>
      <c r="AI53" s="197"/>
      <c r="AJ53" s="198">
        <v>0</v>
      </c>
      <c r="AK53" s="199"/>
      <c r="AL53" s="200" t="str">
        <f t="shared" si="50"/>
        <v>GI1</v>
      </c>
      <c r="AM53" s="200" t="s">
        <v>486</v>
      </c>
      <c r="AN53" s="197">
        <v>1</v>
      </c>
      <c r="AO53" s="199" t="s">
        <v>1359</v>
      </c>
      <c r="AP53" s="5">
        <v>49900</v>
      </c>
      <c r="AQ53" s="10">
        <f t="shared" si="51"/>
        <v>49900</v>
      </c>
      <c r="AR53" s="10">
        <f t="shared" si="52"/>
        <v>0</v>
      </c>
      <c r="AS53" s="53">
        <v>7.3118279569892475E-2</v>
      </c>
      <c r="AT53" s="53">
        <v>0</v>
      </c>
      <c r="AU53" s="201"/>
      <c r="AV53" s="10"/>
      <c r="AW53" s="54">
        <v>0</v>
      </c>
      <c r="AX53" s="10">
        <v>0</v>
      </c>
      <c r="AY53" s="10">
        <v>49900</v>
      </c>
      <c r="AZ53" s="55">
        <f t="shared" si="53"/>
        <v>0.84148397976391232</v>
      </c>
      <c r="BA53" s="37" t="s">
        <v>687</v>
      </c>
      <c r="BB53" s="38">
        <v>3</v>
      </c>
      <c r="BC53" s="53">
        <f t="shared" si="54"/>
        <v>0</v>
      </c>
      <c r="BD53" s="65">
        <v>0</v>
      </c>
      <c r="BE53" s="44">
        <v>0</v>
      </c>
      <c r="BF53" s="179">
        <f t="shared" si="55"/>
        <v>0</v>
      </c>
      <c r="BG53" s="402">
        <v>0</v>
      </c>
      <c r="BH53" s="403">
        <f t="shared" si="56"/>
        <v>0</v>
      </c>
      <c r="BI53" s="44">
        <v>0</v>
      </c>
      <c r="BJ53" s="179">
        <f t="shared" si="57"/>
        <v>0</v>
      </c>
      <c r="BK53" s="179">
        <f t="shared" si="58"/>
        <v>0</v>
      </c>
      <c r="BL53" s="202"/>
      <c r="BM53" s="203">
        <f t="shared" si="59"/>
        <v>0</v>
      </c>
      <c r="BN53" s="204">
        <f t="shared" si="60"/>
        <v>0</v>
      </c>
      <c r="BO53" s="16">
        <f t="shared" si="61"/>
        <v>49900</v>
      </c>
      <c r="BP53" s="205">
        <f t="shared" si="62"/>
        <v>5489</v>
      </c>
      <c r="BQ53" s="206">
        <f t="shared" si="63"/>
        <v>55389</v>
      </c>
      <c r="BR53" s="55">
        <f t="shared" si="64"/>
        <v>0.84148397976391232</v>
      </c>
      <c r="BS53" s="64">
        <f t="shared" si="65"/>
        <v>0</v>
      </c>
      <c r="BT53" s="53">
        <f t="shared" si="66"/>
        <v>0</v>
      </c>
      <c r="BU53" s="65">
        <f t="shared" si="67"/>
        <v>0</v>
      </c>
      <c r="BV53" s="206">
        <f t="shared" si="68"/>
        <v>49900</v>
      </c>
      <c r="BW53" s="207">
        <f t="shared" si="69"/>
        <v>25.25</v>
      </c>
      <c r="BX53" s="199"/>
      <c r="BY53" s="206">
        <f t="shared" si="70"/>
        <v>55389</v>
      </c>
      <c r="BZ53" s="208" t="s">
        <v>687</v>
      </c>
      <c r="CA53" s="199"/>
      <c r="CB53" s="199"/>
      <c r="CC53" s="200" t="str">
        <f t="shared" si="71"/>
        <v/>
      </c>
      <c r="CD53" s="197"/>
      <c r="CE53" s="197"/>
      <c r="CF53" s="10" t="str">
        <f>IFERROR(INDEX('[4]Lookup_Rem Ranges'!$D:$D,MATCH($CC:$CC,'[4]Lookup_Rem Ranges'!$C:$C,0)),"")</f>
        <v/>
      </c>
      <c r="CG53" s="307"/>
      <c r="CH53" s="307"/>
      <c r="CI53" s="210"/>
      <c r="CJ53" s="122" t="s">
        <v>701</v>
      </c>
      <c r="CK53" s="206">
        <f t="shared" si="72"/>
        <v>0</v>
      </c>
      <c r="CL53" s="206">
        <f t="shared" si="73"/>
        <v>0</v>
      </c>
      <c r="CM53" s="123"/>
      <c r="CN53" s="124">
        <f t="shared" si="74"/>
        <v>0</v>
      </c>
      <c r="CO53" s="124" t="s">
        <v>1376</v>
      </c>
      <c r="CP53" s="125">
        <f t="shared" si="75"/>
        <v>0</v>
      </c>
      <c r="CQ53" s="126">
        <f t="shared" si="76"/>
        <v>0</v>
      </c>
      <c r="CR53" s="127">
        <f t="shared" si="77"/>
        <v>0</v>
      </c>
      <c r="CS53" s="128">
        <f t="shared" si="78"/>
        <v>0</v>
      </c>
      <c r="CT53" s="127">
        <f t="shared" si="79"/>
        <v>0</v>
      </c>
      <c r="CU53" s="128">
        <f t="shared" si="80"/>
        <v>0</v>
      </c>
      <c r="CV53" s="127">
        <f t="shared" si="81"/>
        <v>0</v>
      </c>
      <c r="CW53" s="128">
        <f t="shared" si="82"/>
        <v>0</v>
      </c>
      <c r="CX53" s="127">
        <f t="shared" si="83"/>
        <v>0</v>
      </c>
      <c r="CY53" s="128">
        <f t="shared" si="84"/>
        <v>0</v>
      </c>
      <c r="CZ53" s="127">
        <f>$CR:$CR+$CT:CT+$CV:$CV+$CX:$CX</f>
        <v>0</v>
      </c>
      <c r="DA53" s="127">
        <f t="shared" si="85"/>
        <v>0</v>
      </c>
      <c r="DB53" s="127"/>
      <c r="DC53" s="127">
        <f t="shared" si="86"/>
        <v>0</v>
      </c>
      <c r="DD53" s="128">
        <f t="shared" si="87"/>
        <v>0</v>
      </c>
      <c r="DE53" s="129">
        <f t="shared" si="88"/>
        <v>0</v>
      </c>
      <c r="DF53" s="128">
        <f t="shared" si="89"/>
        <v>0</v>
      </c>
      <c r="DG53" s="129">
        <f t="shared" si="90"/>
        <v>0</v>
      </c>
      <c r="DH53" s="128">
        <f t="shared" si="91"/>
        <v>0</v>
      </c>
      <c r="DI53" s="127">
        <f t="shared" si="92"/>
        <v>0</v>
      </c>
      <c r="DJ53" s="128">
        <f t="shared" si="93"/>
        <v>0</v>
      </c>
      <c r="DK53" s="127">
        <f t="shared" si="94"/>
        <v>0</v>
      </c>
      <c r="DL53" s="128">
        <f t="shared" si="95"/>
        <v>0</v>
      </c>
      <c r="DM53" s="130"/>
      <c r="DN53" s="131"/>
      <c r="DO53" s="131"/>
      <c r="DP53" s="131"/>
      <c r="DQ53" s="131"/>
      <c r="DR53" s="131"/>
      <c r="DS53" s="131"/>
      <c r="DT53" s="131"/>
      <c r="DU53" s="131"/>
      <c r="DV53" s="131"/>
      <c r="DW53" s="131" t="s">
        <v>1380</v>
      </c>
    </row>
    <row r="54" spans="1:127" ht="36">
      <c r="A54" s="134"/>
      <c r="B54" s="121" t="s">
        <v>490</v>
      </c>
      <c r="C54" s="121" t="s">
        <v>1351</v>
      </c>
      <c r="D54" s="121">
        <v>21455</v>
      </c>
      <c r="E54" s="192" t="s">
        <v>1352</v>
      </c>
      <c r="F54" s="192" t="s">
        <v>1353</v>
      </c>
      <c r="G54" s="192" t="s">
        <v>538</v>
      </c>
      <c r="H54" s="193" t="s">
        <v>1354</v>
      </c>
      <c r="I54" s="192" t="s">
        <v>1355</v>
      </c>
      <c r="J54" s="192" t="s">
        <v>1356</v>
      </c>
      <c r="K54" s="194">
        <v>44866</v>
      </c>
      <c r="L54" s="194"/>
      <c r="M54" s="194">
        <v>44866</v>
      </c>
      <c r="N54" s="195" t="s">
        <v>539</v>
      </c>
      <c r="O54" s="195">
        <v>38</v>
      </c>
      <c r="P54" s="196">
        <f t="shared" si="49"/>
        <v>1</v>
      </c>
      <c r="Q54" s="192" t="s">
        <v>553</v>
      </c>
      <c r="R54" s="192">
        <v>18750</v>
      </c>
      <c r="S54" s="192" t="s">
        <v>1357</v>
      </c>
      <c r="T54" s="192" t="s">
        <v>1269</v>
      </c>
      <c r="U54" s="192" t="s">
        <v>1270</v>
      </c>
      <c r="V54" s="193" t="s">
        <v>543</v>
      </c>
      <c r="W54" s="193" t="s">
        <v>544</v>
      </c>
      <c r="X54" s="193" t="s">
        <v>823</v>
      </c>
      <c r="Y54" s="56" t="s">
        <v>824</v>
      </c>
      <c r="Z54" s="193" t="s">
        <v>837</v>
      </c>
      <c r="AA54" s="192" t="s">
        <v>845</v>
      </c>
      <c r="AB54" s="57" t="s">
        <v>1366</v>
      </c>
      <c r="AC54" s="193" t="s">
        <v>825</v>
      </c>
      <c r="AD54" s="56" t="s">
        <v>826</v>
      </c>
      <c r="AE54" s="10">
        <f>IFERROR(INDEX('[3]Lookup_Rem Ranges'!$D:$D,MATCH($AL:$AL,'[3]Lookup_Rem Ranges'!$C:$C,0)),0)</f>
        <v>73500</v>
      </c>
      <c r="AF54" s="10">
        <f>IFERROR(INDEX('[3]Lookup_Rem Ranges'!$E:$E,MATCH($AL:$AL,'[3]Lookup_Rem Ranges'!$C:$C,0)),0)</f>
        <v>86500</v>
      </c>
      <c r="AG54" s="10">
        <f>IFERROR(INDEX('[3]Lookup_Rem Ranges'!$F:$F,MATCH($AL:$AL,'[3]Lookup_Rem Ranges'!$C:$C,0)),)</f>
        <v>99500</v>
      </c>
      <c r="AH54" s="193" t="s">
        <v>622</v>
      </c>
      <c r="AI54" s="197"/>
      <c r="AJ54" s="198">
        <v>0</v>
      </c>
      <c r="AK54" s="199"/>
      <c r="AL54" s="200" t="str">
        <f t="shared" si="50"/>
        <v>GI4</v>
      </c>
      <c r="AM54" s="200" t="s">
        <v>486</v>
      </c>
      <c r="AN54" s="197">
        <v>4</v>
      </c>
      <c r="AO54" s="199" t="s">
        <v>1359</v>
      </c>
      <c r="AP54" s="5">
        <v>62000</v>
      </c>
      <c r="AQ54" s="10">
        <f t="shared" si="51"/>
        <v>62000</v>
      </c>
      <c r="AR54" s="10">
        <f t="shared" si="52"/>
        <v>0</v>
      </c>
      <c r="AS54" s="53" t="s">
        <v>790</v>
      </c>
      <c r="AT54" s="53">
        <v>0</v>
      </c>
      <c r="AU54" s="201"/>
      <c r="AV54" s="10"/>
      <c r="AW54" s="54">
        <v>0</v>
      </c>
      <c r="AX54" s="10">
        <v>0</v>
      </c>
      <c r="AY54" s="10">
        <v>62000</v>
      </c>
      <c r="AZ54" s="55">
        <f t="shared" si="53"/>
        <v>0.7167630057803468</v>
      </c>
      <c r="BA54" s="37" t="s">
        <v>687</v>
      </c>
      <c r="BB54" s="38">
        <v>3</v>
      </c>
      <c r="BC54" s="53">
        <f t="shared" si="54"/>
        <v>0</v>
      </c>
      <c r="BD54" s="65">
        <v>0</v>
      </c>
      <c r="BE54" s="44">
        <v>0</v>
      </c>
      <c r="BF54" s="179">
        <f t="shared" si="55"/>
        <v>0</v>
      </c>
      <c r="BG54" s="402">
        <v>0</v>
      </c>
      <c r="BH54" s="403">
        <f t="shared" si="56"/>
        <v>0</v>
      </c>
      <c r="BI54" s="44">
        <v>0</v>
      </c>
      <c r="BJ54" s="179">
        <f t="shared" si="57"/>
        <v>0</v>
      </c>
      <c r="BK54" s="179">
        <f t="shared" si="58"/>
        <v>0</v>
      </c>
      <c r="BL54" s="202"/>
      <c r="BM54" s="203">
        <f t="shared" si="59"/>
        <v>0</v>
      </c>
      <c r="BN54" s="204">
        <f t="shared" si="60"/>
        <v>0</v>
      </c>
      <c r="BO54" s="16">
        <f t="shared" si="61"/>
        <v>62000</v>
      </c>
      <c r="BP54" s="205">
        <f t="shared" si="62"/>
        <v>6820</v>
      </c>
      <c r="BQ54" s="206">
        <f t="shared" si="63"/>
        <v>68820</v>
      </c>
      <c r="BR54" s="55">
        <f t="shared" si="64"/>
        <v>0.7167630057803468</v>
      </c>
      <c r="BS54" s="64">
        <f t="shared" si="65"/>
        <v>0</v>
      </c>
      <c r="BT54" s="53">
        <f t="shared" si="66"/>
        <v>0</v>
      </c>
      <c r="BU54" s="65">
        <f t="shared" si="67"/>
        <v>0</v>
      </c>
      <c r="BV54" s="206">
        <f t="shared" si="68"/>
        <v>62000</v>
      </c>
      <c r="BW54" s="207">
        <f t="shared" si="69"/>
        <v>31.38</v>
      </c>
      <c r="BX54" s="199"/>
      <c r="BY54" s="206">
        <f t="shared" si="70"/>
        <v>68820</v>
      </c>
      <c r="BZ54" s="208" t="s">
        <v>687</v>
      </c>
      <c r="CA54" s="199"/>
      <c r="CB54" s="199"/>
      <c r="CC54" s="200" t="str">
        <f t="shared" si="71"/>
        <v/>
      </c>
      <c r="CD54" s="197"/>
      <c r="CE54" s="197"/>
      <c r="CF54" s="10" t="str">
        <f>IFERROR(INDEX('[4]Lookup_Rem Ranges'!$D:$D,MATCH($CC:$CC,'[4]Lookup_Rem Ranges'!$C:$C,0)),"")</f>
        <v/>
      </c>
      <c r="CG54" s="307"/>
      <c r="CH54" s="307"/>
      <c r="CI54" s="210"/>
      <c r="CJ54" s="122" t="s">
        <v>701</v>
      </c>
      <c r="CK54" s="206">
        <f t="shared" si="72"/>
        <v>0</v>
      </c>
      <c r="CL54" s="206">
        <f t="shared" si="73"/>
        <v>0</v>
      </c>
      <c r="CM54" s="123"/>
      <c r="CN54" s="124">
        <f t="shared" si="74"/>
        <v>0</v>
      </c>
      <c r="CO54" s="124" t="s">
        <v>1376</v>
      </c>
      <c r="CP54" s="125">
        <f t="shared" si="75"/>
        <v>0</v>
      </c>
      <c r="CQ54" s="126">
        <f t="shared" si="76"/>
        <v>0</v>
      </c>
      <c r="CR54" s="127">
        <f t="shared" si="77"/>
        <v>0</v>
      </c>
      <c r="CS54" s="128">
        <f t="shared" si="78"/>
        <v>0</v>
      </c>
      <c r="CT54" s="127">
        <f t="shared" si="79"/>
        <v>0</v>
      </c>
      <c r="CU54" s="128">
        <f t="shared" si="80"/>
        <v>0</v>
      </c>
      <c r="CV54" s="127">
        <f t="shared" si="81"/>
        <v>0</v>
      </c>
      <c r="CW54" s="128">
        <f t="shared" si="82"/>
        <v>0</v>
      </c>
      <c r="CX54" s="127">
        <f t="shared" si="83"/>
        <v>0</v>
      </c>
      <c r="CY54" s="128">
        <f t="shared" si="84"/>
        <v>0</v>
      </c>
      <c r="CZ54" s="127">
        <f>$CR:$CR+$CT:CT+$CV:$CV+$CX:$CX</f>
        <v>0</v>
      </c>
      <c r="DA54" s="127">
        <f t="shared" si="85"/>
        <v>0</v>
      </c>
      <c r="DB54" s="127"/>
      <c r="DC54" s="127">
        <f t="shared" si="86"/>
        <v>0</v>
      </c>
      <c r="DD54" s="128">
        <f t="shared" si="87"/>
        <v>0</v>
      </c>
      <c r="DE54" s="129">
        <f t="shared" si="88"/>
        <v>0</v>
      </c>
      <c r="DF54" s="128">
        <f t="shared" si="89"/>
        <v>0</v>
      </c>
      <c r="DG54" s="129">
        <f t="shared" si="90"/>
        <v>0</v>
      </c>
      <c r="DH54" s="128">
        <f t="shared" si="91"/>
        <v>0</v>
      </c>
      <c r="DI54" s="127">
        <f t="shared" si="92"/>
        <v>0</v>
      </c>
      <c r="DJ54" s="128">
        <f t="shared" si="93"/>
        <v>0</v>
      </c>
      <c r="DK54" s="127">
        <f t="shared" si="94"/>
        <v>0</v>
      </c>
      <c r="DL54" s="128">
        <f t="shared" si="95"/>
        <v>0</v>
      </c>
      <c r="DM54" s="130"/>
      <c r="DN54" s="131"/>
      <c r="DO54" s="131"/>
      <c r="DP54" s="131"/>
      <c r="DQ54" s="131"/>
      <c r="DR54" s="131"/>
      <c r="DS54" s="131"/>
      <c r="DT54" s="131"/>
      <c r="DU54" s="131"/>
      <c r="DV54" s="131"/>
      <c r="DW54" s="131" t="s">
        <v>1380</v>
      </c>
    </row>
    <row r="55" spans="1:127" ht="33.75">
      <c r="A55" s="134"/>
      <c r="B55" s="121" t="s">
        <v>490</v>
      </c>
      <c r="C55" s="121" t="s">
        <v>828</v>
      </c>
      <c r="D55" s="121">
        <v>17756</v>
      </c>
      <c r="E55" s="192" t="s">
        <v>829</v>
      </c>
      <c r="F55" s="192" t="s">
        <v>830</v>
      </c>
      <c r="G55" s="192" t="s">
        <v>538</v>
      </c>
      <c r="H55" s="193" t="s">
        <v>831</v>
      </c>
      <c r="I55" s="192" t="s">
        <v>832</v>
      </c>
      <c r="J55" s="192" t="s">
        <v>833</v>
      </c>
      <c r="K55" s="194">
        <v>43234</v>
      </c>
      <c r="L55" s="194"/>
      <c r="M55" s="194">
        <v>44840</v>
      </c>
      <c r="N55" s="195" t="s">
        <v>539</v>
      </c>
      <c r="O55" s="195">
        <v>38</v>
      </c>
      <c r="P55" s="196">
        <f t="shared" si="49"/>
        <v>1</v>
      </c>
      <c r="Q55" s="192" t="s">
        <v>613</v>
      </c>
      <c r="R55" s="192">
        <v>18243</v>
      </c>
      <c r="S55" s="192" t="s">
        <v>834</v>
      </c>
      <c r="T55" s="192" t="s">
        <v>835</v>
      </c>
      <c r="U55" s="192" t="s">
        <v>836</v>
      </c>
      <c r="V55" s="193" t="s">
        <v>543</v>
      </c>
      <c r="W55" s="193" t="s">
        <v>544</v>
      </c>
      <c r="X55" s="193" t="s">
        <v>823</v>
      </c>
      <c r="Y55" s="52" t="s">
        <v>824</v>
      </c>
      <c r="Z55" s="193" t="s">
        <v>837</v>
      </c>
      <c r="AA55" s="192" t="s">
        <v>845</v>
      </c>
      <c r="AB55" s="57" t="s">
        <v>1366</v>
      </c>
      <c r="AC55" s="193" t="s">
        <v>825</v>
      </c>
      <c r="AD55" s="52" t="s">
        <v>826</v>
      </c>
      <c r="AE55" s="10">
        <f>IFERROR(INDEX('[3]Lookup_Rem Ranges'!$D:$D,MATCH($AL:$AL,'[3]Lookup_Rem Ranges'!$C:$C,0)),0)</f>
        <v>73500</v>
      </c>
      <c r="AF55" s="10">
        <f>IFERROR(INDEX('[3]Lookup_Rem Ranges'!$E:$E,MATCH($AL:$AL,'[3]Lookup_Rem Ranges'!$C:$C,0)),0)</f>
        <v>86500</v>
      </c>
      <c r="AG55" s="10">
        <f>IFERROR(INDEX('[3]Lookup_Rem Ranges'!$F:$F,MATCH($AL:$AL,'[3]Lookup_Rem Ranges'!$C:$C,0)),)</f>
        <v>99500</v>
      </c>
      <c r="AH55" s="193" t="s">
        <v>622</v>
      </c>
      <c r="AI55" s="197"/>
      <c r="AJ55" s="198">
        <v>0</v>
      </c>
      <c r="AK55" s="199"/>
      <c r="AL55" s="200" t="str">
        <f t="shared" si="50"/>
        <v>GI4</v>
      </c>
      <c r="AM55" s="200" t="s">
        <v>486</v>
      </c>
      <c r="AN55" s="197">
        <v>4</v>
      </c>
      <c r="AO55" s="199" t="s">
        <v>701</v>
      </c>
      <c r="AP55" s="5">
        <v>82000</v>
      </c>
      <c r="AQ55" s="10">
        <f t="shared" si="51"/>
        <v>82000</v>
      </c>
      <c r="AR55" s="10">
        <f t="shared" si="52"/>
        <v>82000</v>
      </c>
      <c r="AS55" s="53">
        <v>0.02</v>
      </c>
      <c r="AT55" s="53">
        <v>0</v>
      </c>
      <c r="AU55" s="201"/>
      <c r="AV55" s="10"/>
      <c r="AW55" s="54">
        <v>0</v>
      </c>
      <c r="AX55" s="10">
        <v>0</v>
      </c>
      <c r="AY55" s="10">
        <v>82000</v>
      </c>
      <c r="AZ55" s="55">
        <f t="shared" si="53"/>
        <v>0.94797687861271673</v>
      </c>
      <c r="BA55" s="37" t="s">
        <v>23</v>
      </c>
      <c r="BB55" s="38">
        <v>3</v>
      </c>
      <c r="BC55" s="53">
        <f t="shared" si="54"/>
        <v>0</v>
      </c>
      <c r="BD55" s="65">
        <f t="shared" ref="BD55:BD86" si="96">ROUND(IF($AY:$AY&lt;$AE:$AE,$AE:$AE-$AY:$AY,0),0)</f>
        <v>0</v>
      </c>
      <c r="BE55" s="44">
        <v>3.2500000000000001E-2</v>
      </c>
      <c r="BF55" s="179">
        <f t="shared" si="55"/>
        <v>2665</v>
      </c>
      <c r="BG55" s="402">
        <v>0</v>
      </c>
      <c r="BH55" s="403">
        <f t="shared" si="56"/>
        <v>0</v>
      </c>
      <c r="BI55" s="44">
        <v>0</v>
      </c>
      <c r="BJ55" s="179">
        <f t="shared" si="57"/>
        <v>0</v>
      </c>
      <c r="BK55" s="179">
        <f t="shared" si="58"/>
        <v>0</v>
      </c>
      <c r="BL55" s="202"/>
      <c r="BM55" s="203">
        <f t="shared" si="59"/>
        <v>3.2500000000000001E-2</v>
      </c>
      <c r="BN55" s="204">
        <f t="shared" si="60"/>
        <v>2665</v>
      </c>
      <c r="BO55" s="16">
        <f t="shared" si="61"/>
        <v>84665</v>
      </c>
      <c r="BP55" s="205">
        <f t="shared" si="62"/>
        <v>9313</v>
      </c>
      <c r="BQ55" s="206">
        <f t="shared" si="63"/>
        <v>93978</v>
      </c>
      <c r="BR55" s="55">
        <f t="shared" si="64"/>
        <v>0.97878612716763003</v>
      </c>
      <c r="BS55" s="64">
        <f t="shared" si="65"/>
        <v>420</v>
      </c>
      <c r="BT55" s="53">
        <f t="shared" si="66"/>
        <v>3.2500000000000001E-2</v>
      </c>
      <c r="BU55" s="65">
        <f t="shared" si="67"/>
        <v>2665</v>
      </c>
      <c r="BV55" s="206">
        <f t="shared" si="68"/>
        <v>84665</v>
      </c>
      <c r="BW55" s="207">
        <f t="shared" si="69"/>
        <v>42.85</v>
      </c>
      <c r="BX55" s="199"/>
      <c r="BY55" s="206">
        <f t="shared" si="70"/>
        <v>93978</v>
      </c>
      <c r="BZ55" s="208" t="s">
        <v>687</v>
      </c>
      <c r="CA55" s="199"/>
      <c r="CB55" s="199"/>
      <c r="CC55" s="200" t="str">
        <f t="shared" si="71"/>
        <v/>
      </c>
      <c r="CD55" s="197"/>
      <c r="CE55" s="197"/>
      <c r="CF55" s="10" t="str">
        <f>IFERROR(INDEX('[4]Lookup_Rem Ranges'!$D:$D,MATCH($CC:$CC,'[4]Lookup_Rem Ranges'!$C:$C,0)),"")</f>
        <v/>
      </c>
      <c r="CG55" s="306"/>
      <c r="CH55" s="306"/>
      <c r="CI55" s="209"/>
      <c r="CJ55" s="122" t="s">
        <v>701</v>
      </c>
      <c r="CK55" s="206">
        <f t="shared" si="72"/>
        <v>0</v>
      </c>
      <c r="CL55" s="206">
        <f t="shared" si="73"/>
        <v>0</v>
      </c>
      <c r="CM55" s="123"/>
      <c r="CN55" s="124">
        <f t="shared" si="74"/>
        <v>0</v>
      </c>
      <c r="CO55" s="124" t="s">
        <v>1376</v>
      </c>
      <c r="CP55" s="125">
        <f t="shared" si="75"/>
        <v>3.2500000000000001E-2</v>
      </c>
      <c r="CQ55" s="126">
        <f t="shared" si="76"/>
        <v>2665</v>
      </c>
      <c r="CR55" s="127">
        <f t="shared" si="77"/>
        <v>0</v>
      </c>
      <c r="CS55" s="128">
        <f t="shared" si="78"/>
        <v>0</v>
      </c>
      <c r="CT55" s="127">
        <f t="shared" si="79"/>
        <v>0</v>
      </c>
      <c r="CU55" s="128">
        <f t="shared" si="80"/>
        <v>0</v>
      </c>
      <c r="CV55" s="127">
        <f t="shared" si="81"/>
        <v>0</v>
      </c>
      <c r="CW55" s="128">
        <f t="shared" si="82"/>
        <v>0</v>
      </c>
      <c r="CX55" s="127">
        <f t="shared" si="83"/>
        <v>0</v>
      </c>
      <c r="CY55" s="128">
        <f t="shared" si="84"/>
        <v>0</v>
      </c>
      <c r="CZ55" s="127">
        <f>$CR:$CR+$CT:CT+$CV:$CV+$CX:$CX</f>
        <v>0</v>
      </c>
      <c r="DA55" s="127">
        <f t="shared" si="85"/>
        <v>0</v>
      </c>
      <c r="DB55" s="127"/>
      <c r="DC55" s="127">
        <f t="shared" si="86"/>
        <v>3.2500000000000001E-2</v>
      </c>
      <c r="DD55" s="128">
        <f t="shared" si="87"/>
        <v>2665</v>
      </c>
      <c r="DE55" s="129">
        <f t="shared" si="88"/>
        <v>0</v>
      </c>
      <c r="DF55" s="128">
        <f t="shared" si="89"/>
        <v>0</v>
      </c>
      <c r="DG55" s="129">
        <f t="shared" si="90"/>
        <v>0</v>
      </c>
      <c r="DH55" s="128">
        <f t="shared" si="91"/>
        <v>0</v>
      </c>
      <c r="DI55" s="127">
        <f t="shared" si="92"/>
        <v>3.2500000000000001E-2</v>
      </c>
      <c r="DJ55" s="128">
        <f t="shared" si="93"/>
        <v>2665</v>
      </c>
      <c r="DK55" s="127">
        <f t="shared" si="94"/>
        <v>0</v>
      </c>
      <c r="DL55" s="128">
        <f t="shared" si="95"/>
        <v>0</v>
      </c>
      <c r="DM55" s="130"/>
      <c r="DN55" s="131"/>
      <c r="DO55" s="131"/>
      <c r="DP55" s="131"/>
      <c r="DQ55" s="131"/>
      <c r="DR55" s="131"/>
      <c r="DS55" s="131"/>
      <c r="DT55" s="131"/>
      <c r="DU55" s="131"/>
      <c r="DV55" s="131"/>
      <c r="DW55" s="131" t="s">
        <v>1380</v>
      </c>
    </row>
    <row r="56" spans="1:127" ht="33.75">
      <c r="A56" s="134"/>
      <c r="B56" s="121" t="s">
        <v>490</v>
      </c>
      <c r="C56" s="121" t="s">
        <v>1086</v>
      </c>
      <c r="D56" s="121">
        <v>16358</v>
      </c>
      <c r="E56" s="192" t="s">
        <v>1087</v>
      </c>
      <c r="F56" s="192" t="s">
        <v>1088</v>
      </c>
      <c r="G56" s="192" t="s">
        <v>537</v>
      </c>
      <c r="H56" s="193" t="s">
        <v>1075</v>
      </c>
      <c r="I56" s="192" t="s">
        <v>1089</v>
      </c>
      <c r="J56" s="192" t="s">
        <v>1077</v>
      </c>
      <c r="K56" s="194">
        <v>42604</v>
      </c>
      <c r="L56" s="194"/>
      <c r="M56" s="194">
        <v>44634</v>
      </c>
      <c r="N56" s="195" t="s">
        <v>539</v>
      </c>
      <c r="O56" s="195">
        <v>38</v>
      </c>
      <c r="P56" s="196">
        <f t="shared" si="49"/>
        <v>1</v>
      </c>
      <c r="Q56" s="192" t="s">
        <v>617</v>
      </c>
      <c r="R56" s="192">
        <v>20790</v>
      </c>
      <c r="S56" s="192" t="s">
        <v>1084</v>
      </c>
      <c r="T56" s="192" t="s">
        <v>1085</v>
      </c>
      <c r="U56" s="192" t="s">
        <v>1080</v>
      </c>
      <c r="V56" s="193" t="s">
        <v>543</v>
      </c>
      <c r="W56" s="193" t="s">
        <v>545</v>
      </c>
      <c r="X56" s="193" t="s">
        <v>823</v>
      </c>
      <c r="Y56" s="56" t="s">
        <v>824</v>
      </c>
      <c r="Z56" s="193" t="s">
        <v>821</v>
      </c>
      <c r="AA56" s="193" t="s">
        <v>1072</v>
      </c>
      <c r="AB56" s="57" t="s">
        <v>1367</v>
      </c>
      <c r="AC56" s="193" t="s">
        <v>825</v>
      </c>
      <c r="AD56" s="56" t="s">
        <v>826</v>
      </c>
      <c r="AE56" s="10">
        <f>IFERROR(INDEX('[3]Lookup_Rem Ranges'!$D:$D,MATCH($AL:$AL,'[3]Lookup_Rem Ranges'!$C:$C,0)),0)</f>
        <v>83400</v>
      </c>
      <c r="AF56" s="10">
        <f>IFERROR(INDEX('[3]Lookup_Rem Ranges'!$E:$E,MATCH($AL:$AL,'[3]Lookup_Rem Ranges'!$C:$C,0)),0)</f>
        <v>98100</v>
      </c>
      <c r="AG56" s="10">
        <f>IFERROR(INDEX('[3]Lookup_Rem Ranges'!$F:$F,MATCH($AL:$AL,'[3]Lookup_Rem Ranges'!$C:$C,0)),)</f>
        <v>112800</v>
      </c>
      <c r="AH56" s="193" t="s">
        <v>622</v>
      </c>
      <c r="AI56" s="197"/>
      <c r="AJ56" s="198">
        <v>0</v>
      </c>
      <c r="AK56" s="199"/>
      <c r="AL56" s="200" t="str">
        <f t="shared" si="50"/>
        <v>CASS5</v>
      </c>
      <c r="AM56" s="200" t="s">
        <v>487</v>
      </c>
      <c r="AN56" s="197">
        <v>5</v>
      </c>
      <c r="AO56" s="199" t="s">
        <v>827</v>
      </c>
      <c r="AP56" s="5">
        <v>113300</v>
      </c>
      <c r="AQ56" s="10">
        <f t="shared" si="51"/>
        <v>113300</v>
      </c>
      <c r="AR56" s="10">
        <f t="shared" si="52"/>
        <v>0</v>
      </c>
      <c r="AS56" s="53">
        <v>4.8103607770582792E-2</v>
      </c>
      <c r="AT56" s="53">
        <v>0</v>
      </c>
      <c r="AU56" s="201"/>
      <c r="AV56" s="10"/>
      <c r="AW56" s="54">
        <v>0</v>
      </c>
      <c r="AX56" s="10">
        <v>0</v>
      </c>
      <c r="AY56" s="10">
        <v>113300</v>
      </c>
      <c r="AZ56" s="55">
        <f t="shared" si="53"/>
        <v>1.1549439347604484</v>
      </c>
      <c r="BA56" s="37" t="s">
        <v>687</v>
      </c>
      <c r="BB56" s="38">
        <v>3</v>
      </c>
      <c r="BC56" s="53">
        <f t="shared" si="54"/>
        <v>0</v>
      </c>
      <c r="BD56" s="65">
        <f t="shared" si="96"/>
        <v>0</v>
      </c>
      <c r="BE56" s="44">
        <v>0</v>
      </c>
      <c r="BF56" s="179">
        <f t="shared" si="55"/>
        <v>0</v>
      </c>
      <c r="BG56" s="402">
        <v>0</v>
      </c>
      <c r="BH56" s="403">
        <f t="shared" si="56"/>
        <v>0</v>
      </c>
      <c r="BI56" s="44">
        <v>0</v>
      </c>
      <c r="BJ56" s="179">
        <f t="shared" si="57"/>
        <v>0</v>
      </c>
      <c r="BK56" s="179">
        <f t="shared" si="58"/>
        <v>0</v>
      </c>
      <c r="BL56" s="202"/>
      <c r="BM56" s="203">
        <f t="shared" si="59"/>
        <v>0</v>
      </c>
      <c r="BN56" s="204">
        <f t="shared" si="60"/>
        <v>0</v>
      </c>
      <c r="BO56" s="16">
        <f t="shared" si="61"/>
        <v>113300</v>
      </c>
      <c r="BP56" s="205">
        <f t="shared" si="62"/>
        <v>12463</v>
      </c>
      <c r="BQ56" s="206">
        <f t="shared" si="63"/>
        <v>125763</v>
      </c>
      <c r="BR56" s="55">
        <f t="shared" si="64"/>
        <v>1.1549439347604484</v>
      </c>
      <c r="BS56" s="64">
        <f t="shared" si="65"/>
        <v>0</v>
      </c>
      <c r="BT56" s="53">
        <f t="shared" si="66"/>
        <v>0</v>
      </c>
      <c r="BU56" s="65">
        <f t="shared" si="67"/>
        <v>0</v>
      </c>
      <c r="BV56" s="206">
        <f t="shared" si="68"/>
        <v>113300</v>
      </c>
      <c r="BW56" s="207">
        <f t="shared" si="69"/>
        <v>57.34</v>
      </c>
      <c r="BX56" s="199"/>
      <c r="BY56" s="206">
        <f t="shared" si="70"/>
        <v>125763</v>
      </c>
      <c r="BZ56" s="208" t="s">
        <v>687</v>
      </c>
      <c r="CA56" s="199"/>
      <c r="CB56" s="199"/>
      <c r="CC56" s="200" t="str">
        <f t="shared" si="71"/>
        <v/>
      </c>
      <c r="CD56" s="197"/>
      <c r="CE56" s="197"/>
      <c r="CF56" s="10" t="str">
        <f>IFERROR(INDEX('[4]Lookup_Rem Ranges'!$D:$D,MATCH($CC:$CC,'[4]Lookup_Rem Ranges'!$C:$C,0)),"")</f>
        <v/>
      </c>
      <c r="CG56" s="307"/>
      <c r="CH56" s="307"/>
      <c r="CI56" s="210"/>
      <c r="CJ56" s="122" t="s">
        <v>701</v>
      </c>
      <c r="CK56" s="206">
        <f t="shared" si="72"/>
        <v>0</v>
      </c>
      <c r="CL56" s="206">
        <f t="shared" si="73"/>
        <v>0</v>
      </c>
      <c r="CM56" s="123"/>
      <c r="CN56" s="124">
        <f t="shared" si="74"/>
        <v>0</v>
      </c>
      <c r="CO56" s="124" t="s">
        <v>1376</v>
      </c>
      <c r="CP56" s="125">
        <f t="shared" si="75"/>
        <v>0</v>
      </c>
      <c r="CQ56" s="126">
        <f t="shared" si="76"/>
        <v>0</v>
      </c>
      <c r="CR56" s="127">
        <f t="shared" si="77"/>
        <v>0</v>
      </c>
      <c r="CS56" s="128">
        <f t="shared" si="78"/>
        <v>0</v>
      </c>
      <c r="CT56" s="127">
        <f t="shared" si="79"/>
        <v>0</v>
      </c>
      <c r="CU56" s="128">
        <f t="shared" si="80"/>
        <v>0</v>
      </c>
      <c r="CV56" s="127">
        <f t="shared" si="81"/>
        <v>0</v>
      </c>
      <c r="CW56" s="128">
        <f t="shared" si="82"/>
        <v>0</v>
      </c>
      <c r="CX56" s="127">
        <f t="shared" si="83"/>
        <v>0</v>
      </c>
      <c r="CY56" s="128">
        <f t="shared" si="84"/>
        <v>0</v>
      </c>
      <c r="CZ56" s="127">
        <f>$CR:$CR+$CT:CT+$CV:$CV+$CX:$CX</f>
        <v>0</v>
      </c>
      <c r="DA56" s="127">
        <f t="shared" si="85"/>
        <v>0</v>
      </c>
      <c r="DB56" s="127"/>
      <c r="DC56" s="127">
        <f t="shared" si="86"/>
        <v>0</v>
      </c>
      <c r="DD56" s="128">
        <f t="shared" si="87"/>
        <v>0</v>
      </c>
      <c r="DE56" s="129">
        <f t="shared" si="88"/>
        <v>0</v>
      </c>
      <c r="DF56" s="128">
        <f t="shared" si="89"/>
        <v>0</v>
      </c>
      <c r="DG56" s="129">
        <f t="shared" si="90"/>
        <v>0</v>
      </c>
      <c r="DH56" s="128">
        <f t="shared" si="91"/>
        <v>0</v>
      </c>
      <c r="DI56" s="127">
        <f t="shared" si="92"/>
        <v>0</v>
      </c>
      <c r="DJ56" s="128">
        <f t="shared" si="93"/>
        <v>0</v>
      </c>
      <c r="DK56" s="127">
        <f t="shared" si="94"/>
        <v>0</v>
      </c>
      <c r="DL56" s="128">
        <f t="shared" si="95"/>
        <v>0</v>
      </c>
      <c r="DM56" s="130"/>
      <c r="DN56" s="131"/>
      <c r="DO56" s="131"/>
      <c r="DP56" s="131"/>
      <c r="DQ56" s="131"/>
      <c r="DR56" s="131"/>
      <c r="DS56" s="131"/>
      <c r="DT56" s="131"/>
      <c r="DU56" s="131"/>
      <c r="DV56" s="131"/>
      <c r="DW56" s="131" t="s">
        <v>1380</v>
      </c>
    </row>
    <row r="57" spans="1:127" ht="33.75">
      <c r="A57" s="134"/>
      <c r="B57" s="121" t="s">
        <v>490</v>
      </c>
      <c r="C57" s="121" t="s">
        <v>1092</v>
      </c>
      <c r="D57" s="121">
        <v>15307</v>
      </c>
      <c r="E57" s="192" t="s">
        <v>793</v>
      </c>
      <c r="F57" s="192" t="s">
        <v>1093</v>
      </c>
      <c r="G57" s="192" t="s">
        <v>537</v>
      </c>
      <c r="H57" s="193" t="s">
        <v>1075</v>
      </c>
      <c r="I57" s="192" t="s">
        <v>1091</v>
      </c>
      <c r="J57" s="192" t="s">
        <v>1077</v>
      </c>
      <c r="K57" s="194">
        <v>42149</v>
      </c>
      <c r="L57" s="194"/>
      <c r="M57" s="194">
        <v>44606</v>
      </c>
      <c r="N57" s="195" t="s">
        <v>539</v>
      </c>
      <c r="O57" s="195">
        <v>38</v>
      </c>
      <c r="P57" s="196">
        <f t="shared" si="49"/>
        <v>1</v>
      </c>
      <c r="Q57" s="192" t="s">
        <v>617</v>
      </c>
      <c r="R57" s="192">
        <v>20790</v>
      </c>
      <c r="S57" s="192" t="s">
        <v>1084</v>
      </c>
      <c r="T57" s="192" t="s">
        <v>1085</v>
      </c>
      <c r="U57" s="192" t="s">
        <v>1080</v>
      </c>
      <c r="V57" s="193" t="s">
        <v>543</v>
      </c>
      <c r="W57" s="193" t="s">
        <v>545</v>
      </c>
      <c r="X57" s="193" t="s">
        <v>823</v>
      </c>
      <c r="Y57" s="56" t="s">
        <v>824</v>
      </c>
      <c r="Z57" s="193" t="s">
        <v>821</v>
      </c>
      <c r="AA57" s="193" t="s">
        <v>1072</v>
      </c>
      <c r="AB57" s="57" t="s">
        <v>1367</v>
      </c>
      <c r="AC57" s="193" t="s">
        <v>825</v>
      </c>
      <c r="AD57" s="56" t="s">
        <v>826</v>
      </c>
      <c r="AE57" s="10">
        <f>IFERROR(INDEX('[3]Lookup_Rem Ranges'!$D:$D,MATCH($AL:$AL,'[3]Lookup_Rem Ranges'!$C:$C,0)),0)</f>
        <v>83400</v>
      </c>
      <c r="AF57" s="10">
        <f>IFERROR(INDEX('[3]Lookup_Rem Ranges'!$E:$E,MATCH($AL:$AL,'[3]Lookup_Rem Ranges'!$C:$C,0)),0)</f>
        <v>98100</v>
      </c>
      <c r="AG57" s="10">
        <f>IFERROR(INDEX('[3]Lookup_Rem Ranges'!$F:$F,MATCH($AL:$AL,'[3]Lookup_Rem Ranges'!$C:$C,0)),)</f>
        <v>112800</v>
      </c>
      <c r="AH57" s="193" t="s">
        <v>622</v>
      </c>
      <c r="AI57" s="197"/>
      <c r="AJ57" s="198">
        <v>0</v>
      </c>
      <c r="AK57" s="199"/>
      <c r="AL57" s="200" t="str">
        <f t="shared" si="50"/>
        <v>CASS5</v>
      </c>
      <c r="AM57" s="200" t="s">
        <v>487</v>
      </c>
      <c r="AN57" s="197">
        <v>5</v>
      </c>
      <c r="AO57" s="199" t="s">
        <v>827</v>
      </c>
      <c r="AP57" s="5">
        <v>113300</v>
      </c>
      <c r="AQ57" s="10">
        <f t="shared" si="51"/>
        <v>113300</v>
      </c>
      <c r="AR57" s="10">
        <f t="shared" si="52"/>
        <v>0</v>
      </c>
      <c r="AS57" s="53">
        <v>4.8103607770582792E-2</v>
      </c>
      <c r="AT57" s="53">
        <v>0</v>
      </c>
      <c r="AU57" s="201"/>
      <c r="AV57" s="10"/>
      <c r="AW57" s="54">
        <v>0</v>
      </c>
      <c r="AX57" s="10">
        <v>0</v>
      </c>
      <c r="AY57" s="10">
        <v>113300</v>
      </c>
      <c r="AZ57" s="55">
        <f t="shared" si="53"/>
        <v>1.1549439347604484</v>
      </c>
      <c r="BA57" s="37" t="s">
        <v>687</v>
      </c>
      <c r="BB57" s="38">
        <v>3</v>
      </c>
      <c r="BC57" s="53">
        <f t="shared" si="54"/>
        <v>0</v>
      </c>
      <c r="BD57" s="65">
        <f t="shared" si="96"/>
        <v>0</v>
      </c>
      <c r="BE57" s="44">
        <v>0</v>
      </c>
      <c r="BF57" s="179">
        <f t="shared" si="55"/>
        <v>0</v>
      </c>
      <c r="BG57" s="402">
        <v>0</v>
      </c>
      <c r="BH57" s="403">
        <f t="shared" si="56"/>
        <v>0</v>
      </c>
      <c r="BI57" s="44">
        <v>0</v>
      </c>
      <c r="BJ57" s="179">
        <f t="shared" si="57"/>
        <v>0</v>
      </c>
      <c r="BK57" s="179">
        <f t="shared" si="58"/>
        <v>0</v>
      </c>
      <c r="BL57" s="202"/>
      <c r="BM57" s="203">
        <f t="shared" si="59"/>
        <v>0</v>
      </c>
      <c r="BN57" s="204">
        <f t="shared" si="60"/>
        <v>0</v>
      </c>
      <c r="BO57" s="16">
        <f t="shared" si="61"/>
        <v>113300</v>
      </c>
      <c r="BP57" s="205">
        <f t="shared" si="62"/>
        <v>12463</v>
      </c>
      <c r="BQ57" s="206">
        <f t="shared" si="63"/>
        <v>125763</v>
      </c>
      <c r="BR57" s="55">
        <f t="shared" si="64"/>
        <v>1.1549439347604484</v>
      </c>
      <c r="BS57" s="64">
        <f t="shared" si="65"/>
        <v>0</v>
      </c>
      <c r="BT57" s="53">
        <f t="shared" si="66"/>
        <v>0</v>
      </c>
      <c r="BU57" s="65">
        <f t="shared" si="67"/>
        <v>0</v>
      </c>
      <c r="BV57" s="206">
        <f t="shared" si="68"/>
        <v>113300</v>
      </c>
      <c r="BW57" s="207">
        <f t="shared" si="69"/>
        <v>57.34</v>
      </c>
      <c r="BX57" s="199"/>
      <c r="BY57" s="206">
        <f t="shared" si="70"/>
        <v>125763</v>
      </c>
      <c r="BZ57" s="208" t="s">
        <v>687</v>
      </c>
      <c r="CA57" s="199"/>
      <c r="CB57" s="199"/>
      <c r="CC57" s="200" t="str">
        <f t="shared" si="71"/>
        <v/>
      </c>
      <c r="CD57" s="197"/>
      <c r="CE57" s="197"/>
      <c r="CF57" s="10" t="str">
        <f>IFERROR(INDEX('[4]Lookup_Rem Ranges'!$D:$D,MATCH($CC:$CC,'[4]Lookup_Rem Ranges'!$C:$C,0)),"")</f>
        <v/>
      </c>
      <c r="CG57" s="307"/>
      <c r="CH57" s="307"/>
      <c r="CI57" s="210"/>
      <c r="CJ57" s="122" t="s">
        <v>701</v>
      </c>
      <c r="CK57" s="206">
        <f t="shared" si="72"/>
        <v>0</v>
      </c>
      <c r="CL57" s="206">
        <f t="shared" si="73"/>
        <v>0</v>
      </c>
      <c r="CM57" s="123"/>
      <c r="CN57" s="124">
        <f t="shared" si="74"/>
        <v>0</v>
      </c>
      <c r="CO57" s="124" t="s">
        <v>1376</v>
      </c>
      <c r="CP57" s="125">
        <f t="shared" si="75"/>
        <v>0</v>
      </c>
      <c r="CQ57" s="126">
        <f t="shared" si="76"/>
        <v>0</v>
      </c>
      <c r="CR57" s="127">
        <f t="shared" si="77"/>
        <v>0</v>
      </c>
      <c r="CS57" s="128">
        <f t="shared" si="78"/>
        <v>0</v>
      </c>
      <c r="CT57" s="127">
        <f t="shared" si="79"/>
        <v>0</v>
      </c>
      <c r="CU57" s="128">
        <f t="shared" si="80"/>
        <v>0</v>
      </c>
      <c r="CV57" s="127">
        <f t="shared" si="81"/>
        <v>0</v>
      </c>
      <c r="CW57" s="128">
        <f t="shared" si="82"/>
        <v>0</v>
      </c>
      <c r="CX57" s="127">
        <f t="shared" si="83"/>
        <v>0</v>
      </c>
      <c r="CY57" s="128">
        <f t="shared" si="84"/>
        <v>0</v>
      </c>
      <c r="CZ57" s="127">
        <f>$CR:$CR+$CT:CT+$CV:$CV+$CX:$CX</f>
        <v>0</v>
      </c>
      <c r="DA57" s="127">
        <f t="shared" si="85"/>
        <v>0</v>
      </c>
      <c r="DB57" s="127"/>
      <c r="DC57" s="127">
        <f t="shared" si="86"/>
        <v>0</v>
      </c>
      <c r="DD57" s="128">
        <f t="shared" si="87"/>
        <v>0</v>
      </c>
      <c r="DE57" s="129">
        <f t="shared" si="88"/>
        <v>0</v>
      </c>
      <c r="DF57" s="128">
        <f t="shared" si="89"/>
        <v>0</v>
      </c>
      <c r="DG57" s="129">
        <f t="shared" si="90"/>
        <v>0</v>
      </c>
      <c r="DH57" s="128">
        <f t="shared" si="91"/>
        <v>0</v>
      </c>
      <c r="DI57" s="127">
        <f t="shared" si="92"/>
        <v>0</v>
      </c>
      <c r="DJ57" s="128">
        <f t="shared" si="93"/>
        <v>0</v>
      </c>
      <c r="DK57" s="127">
        <f t="shared" si="94"/>
        <v>0</v>
      </c>
      <c r="DL57" s="128">
        <f t="shared" si="95"/>
        <v>0</v>
      </c>
      <c r="DM57" s="130"/>
      <c r="DN57" s="131"/>
      <c r="DO57" s="131"/>
      <c r="DP57" s="131"/>
      <c r="DQ57" s="131"/>
      <c r="DR57" s="131"/>
      <c r="DS57" s="131"/>
      <c r="DT57" s="131"/>
      <c r="DU57" s="131"/>
      <c r="DV57" s="131"/>
      <c r="DW57" s="131" t="s">
        <v>1380</v>
      </c>
    </row>
    <row r="58" spans="1:127" ht="22.5">
      <c r="A58" s="134"/>
      <c r="B58" s="121" t="s">
        <v>490</v>
      </c>
      <c r="C58" s="121" t="s">
        <v>1097</v>
      </c>
      <c r="D58" s="121">
        <v>18659</v>
      </c>
      <c r="E58" s="192" t="s">
        <v>803</v>
      </c>
      <c r="F58" s="192" t="s">
        <v>520</v>
      </c>
      <c r="G58" s="192" t="s">
        <v>537</v>
      </c>
      <c r="H58" s="193" t="s">
        <v>1075</v>
      </c>
      <c r="I58" s="192" t="s">
        <v>1091</v>
      </c>
      <c r="J58" s="192" t="s">
        <v>1077</v>
      </c>
      <c r="K58" s="194">
        <v>43647</v>
      </c>
      <c r="L58" s="194"/>
      <c r="M58" s="194">
        <v>44606</v>
      </c>
      <c r="N58" s="195" t="s">
        <v>539</v>
      </c>
      <c r="O58" s="195">
        <v>38</v>
      </c>
      <c r="P58" s="196">
        <f t="shared" si="49"/>
        <v>1</v>
      </c>
      <c r="Q58" s="192" t="s">
        <v>617</v>
      </c>
      <c r="R58" s="192">
        <v>20790</v>
      </c>
      <c r="S58" s="192" t="s">
        <v>1084</v>
      </c>
      <c r="T58" s="192" t="s">
        <v>1085</v>
      </c>
      <c r="U58" s="192" t="s">
        <v>1080</v>
      </c>
      <c r="V58" s="193" t="s">
        <v>543</v>
      </c>
      <c r="W58" s="193" t="s">
        <v>545</v>
      </c>
      <c r="X58" s="193" t="s">
        <v>823</v>
      </c>
      <c r="Y58" s="56" t="s">
        <v>824</v>
      </c>
      <c r="Z58" s="193" t="s">
        <v>821</v>
      </c>
      <c r="AA58" s="193" t="s">
        <v>1072</v>
      </c>
      <c r="AB58" s="57" t="s">
        <v>1367</v>
      </c>
      <c r="AC58" s="193" t="s">
        <v>825</v>
      </c>
      <c r="AD58" s="56" t="s">
        <v>826</v>
      </c>
      <c r="AE58" s="10">
        <f>IFERROR(INDEX('[3]Lookup_Rem Ranges'!$D:$D,MATCH($AL:$AL,'[3]Lookup_Rem Ranges'!$C:$C,0)),0)</f>
        <v>83400</v>
      </c>
      <c r="AF58" s="10">
        <f>IFERROR(INDEX('[3]Lookup_Rem Ranges'!$E:$E,MATCH($AL:$AL,'[3]Lookup_Rem Ranges'!$C:$C,0)),0)</f>
        <v>98100</v>
      </c>
      <c r="AG58" s="10">
        <f>IFERROR(INDEX('[3]Lookup_Rem Ranges'!$F:$F,MATCH($AL:$AL,'[3]Lookup_Rem Ranges'!$C:$C,0)),)</f>
        <v>112800</v>
      </c>
      <c r="AH58" s="193" t="s">
        <v>622</v>
      </c>
      <c r="AI58" s="197"/>
      <c r="AJ58" s="198">
        <v>0</v>
      </c>
      <c r="AK58" s="199"/>
      <c r="AL58" s="200" t="str">
        <f t="shared" si="50"/>
        <v>CASS5</v>
      </c>
      <c r="AM58" s="200" t="s">
        <v>487</v>
      </c>
      <c r="AN58" s="197">
        <v>5</v>
      </c>
      <c r="AO58" s="199" t="s">
        <v>827</v>
      </c>
      <c r="AP58" s="5">
        <v>113300</v>
      </c>
      <c r="AQ58" s="10">
        <f t="shared" si="51"/>
        <v>113300</v>
      </c>
      <c r="AR58" s="10">
        <f t="shared" si="52"/>
        <v>0</v>
      </c>
      <c r="AS58" s="53">
        <v>6.8867924528301885E-2</v>
      </c>
      <c r="AT58" s="53">
        <v>0</v>
      </c>
      <c r="AU58" s="201"/>
      <c r="AV58" s="10"/>
      <c r="AW58" s="54">
        <v>0</v>
      </c>
      <c r="AX58" s="10">
        <v>0</v>
      </c>
      <c r="AY58" s="10">
        <v>113300</v>
      </c>
      <c r="AZ58" s="55">
        <f t="shared" si="53"/>
        <v>1.1549439347604484</v>
      </c>
      <c r="BA58" s="37" t="s">
        <v>687</v>
      </c>
      <c r="BB58" s="38">
        <v>3</v>
      </c>
      <c r="BC58" s="53">
        <f t="shared" si="54"/>
        <v>0</v>
      </c>
      <c r="BD58" s="65">
        <f t="shared" si="96"/>
        <v>0</v>
      </c>
      <c r="BE58" s="44">
        <v>0</v>
      </c>
      <c r="BF58" s="179">
        <f t="shared" si="55"/>
        <v>0</v>
      </c>
      <c r="BG58" s="402">
        <v>0</v>
      </c>
      <c r="BH58" s="403">
        <f t="shared" si="56"/>
        <v>0</v>
      </c>
      <c r="BI58" s="44">
        <v>0</v>
      </c>
      <c r="BJ58" s="179">
        <f t="shared" si="57"/>
        <v>0</v>
      </c>
      <c r="BK58" s="179">
        <f t="shared" si="58"/>
        <v>0</v>
      </c>
      <c r="BL58" s="202"/>
      <c r="BM58" s="203">
        <f t="shared" si="59"/>
        <v>0</v>
      </c>
      <c r="BN58" s="204">
        <f t="shared" si="60"/>
        <v>0</v>
      </c>
      <c r="BO58" s="16">
        <f t="shared" si="61"/>
        <v>113300</v>
      </c>
      <c r="BP58" s="205">
        <f t="shared" si="62"/>
        <v>12463</v>
      </c>
      <c r="BQ58" s="206">
        <f t="shared" si="63"/>
        <v>125763</v>
      </c>
      <c r="BR58" s="55">
        <f t="shared" si="64"/>
        <v>1.1549439347604484</v>
      </c>
      <c r="BS58" s="64">
        <f t="shared" si="65"/>
        <v>0</v>
      </c>
      <c r="BT58" s="53">
        <f t="shared" si="66"/>
        <v>0</v>
      </c>
      <c r="BU58" s="65">
        <f t="shared" si="67"/>
        <v>0</v>
      </c>
      <c r="BV58" s="206">
        <f t="shared" si="68"/>
        <v>113300</v>
      </c>
      <c r="BW58" s="207">
        <f t="shared" si="69"/>
        <v>57.34</v>
      </c>
      <c r="BX58" s="199"/>
      <c r="BY58" s="206">
        <f t="shared" si="70"/>
        <v>125763</v>
      </c>
      <c r="BZ58" s="208" t="s">
        <v>687</v>
      </c>
      <c r="CA58" s="199"/>
      <c r="CB58" s="199"/>
      <c r="CC58" s="200" t="str">
        <f t="shared" si="71"/>
        <v/>
      </c>
      <c r="CD58" s="197"/>
      <c r="CE58" s="197"/>
      <c r="CF58" s="10" t="str">
        <f>IFERROR(INDEX('[4]Lookup_Rem Ranges'!$D:$D,MATCH($CC:$CC,'[4]Lookup_Rem Ranges'!$C:$C,0)),"")</f>
        <v/>
      </c>
      <c r="CG58" s="307"/>
      <c r="CH58" s="307"/>
      <c r="CI58" s="210"/>
      <c r="CJ58" s="122" t="s">
        <v>701</v>
      </c>
      <c r="CK58" s="206">
        <f t="shared" si="72"/>
        <v>0</v>
      </c>
      <c r="CL58" s="206">
        <f t="shared" si="73"/>
        <v>0</v>
      </c>
      <c r="CM58" s="123"/>
      <c r="CN58" s="124">
        <f t="shared" si="74"/>
        <v>0</v>
      </c>
      <c r="CO58" s="124" t="s">
        <v>1374</v>
      </c>
      <c r="CP58" s="125">
        <f t="shared" si="75"/>
        <v>0</v>
      </c>
      <c r="CQ58" s="126">
        <f t="shared" si="76"/>
        <v>0</v>
      </c>
      <c r="CR58" s="127">
        <f t="shared" si="77"/>
        <v>0</v>
      </c>
      <c r="CS58" s="128">
        <f t="shared" si="78"/>
        <v>0</v>
      </c>
      <c r="CT58" s="127">
        <f t="shared" si="79"/>
        <v>0</v>
      </c>
      <c r="CU58" s="128">
        <f t="shared" si="80"/>
        <v>0</v>
      </c>
      <c r="CV58" s="127">
        <f t="shared" si="81"/>
        <v>0</v>
      </c>
      <c r="CW58" s="128">
        <f t="shared" si="82"/>
        <v>0</v>
      </c>
      <c r="CX58" s="127">
        <f t="shared" si="83"/>
        <v>0</v>
      </c>
      <c r="CY58" s="128">
        <f t="shared" si="84"/>
        <v>0</v>
      </c>
      <c r="CZ58" s="127">
        <f>$CR:$CR+$CT:CT+$CV:$CV+$CX:$CX</f>
        <v>0</v>
      </c>
      <c r="DA58" s="127">
        <f t="shared" si="85"/>
        <v>0</v>
      </c>
      <c r="DB58" s="127"/>
      <c r="DC58" s="127">
        <f t="shared" si="86"/>
        <v>0</v>
      </c>
      <c r="DD58" s="128">
        <f t="shared" si="87"/>
        <v>0</v>
      </c>
      <c r="DE58" s="129">
        <f t="shared" si="88"/>
        <v>0</v>
      </c>
      <c r="DF58" s="128">
        <f t="shared" si="89"/>
        <v>0</v>
      </c>
      <c r="DG58" s="129">
        <f t="shared" si="90"/>
        <v>0</v>
      </c>
      <c r="DH58" s="128">
        <f t="shared" si="91"/>
        <v>0</v>
      </c>
      <c r="DI58" s="127">
        <f t="shared" si="92"/>
        <v>0</v>
      </c>
      <c r="DJ58" s="128">
        <f t="shared" si="93"/>
        <v>0</v>
      </c>
      <c r="DK58" s="127">
        <f t="shared" si="94"/>
        <v>0</v>
      </c>
      <c r="DL58" s="128">
        <f t="shared" si="95"/>
        <v>0</v>
      </c>
      <c r="DM58" s="130"/>
      <c r="DN58" s="131"/>
      <c r="DO58" s="131"/>
      <c r="DP58" s="131"/>
      <c r="DQ58" s="131"/>
      <c r="DR58" s="131"/>
      <c r="DS58" s="131"/>
      <c r="DT58" s="131"/>
      <c r="DU58" s="131"/>
      <c r="DV58" s="131"/>
      <c r="DW58" s="131" t="s">
        <v>1380</v>
      </c>
    </row>
    <row r="59" spans="1:127" ht="22.5">
      <c r="A59" s="134"/>
      <c r="B59" s="121" t="s">
        <v>490</v>
      </c>
      <c r="C59" s="121" t="s">
        <v>1081</v>
      </c>
      <c r="D59" s="121">
        <v>21083</v>
      </c>
      <c r="E59" s="192" t="s">
        <v>799</v>
      </c>
      <c r="F59" s="192" t="s">
        <v>1082</v>
      </c>
      <c r="G59" s="192" t="s">
        <v>537</v>
      </c>
      <c r="H59" s="193" t="s">
        <v>1075</v>
      </c>
      <c r="I59" s="192" t="s">
        <v>1083</v>
      </c>
      <c r="J59" s="192" t="s">
        <v>1077</v>
      </c>
      <c r="K59" s="194">
        <v>44739</v>
      </c>
      <c r="L59" s="194"/>
      <c r="M59" s="194">
        <v>44739</v>
      </c>
      <c r="N59" s="195" t="s">
        <v>539</v>
      </c>
      <c r="O59" s="195">
        <v>38</v>
      </c>
      <c r="P59" s="196">
        <f t="shared" si="49"/>
        <v>1</v>
      </c>
      <c r="Q59" s="192" t="s">
        <v>617</v>
      </c>
      <c r="R59" s="192">
        <v>20790</v>
      </c>
      <c r="S59" s="192" t="s">
        <v>1084</v>
      </c>
      <c r="T59" s="192" t="s">
        <v>1085</v>
      </c>
      <c r="U59" s="192" t="s">
        <v>1080</v>
      </c>
      <c r="V59" s="193" t="s">
        <v>543</v>
      </c>
      <c r="W59" s="193" t="s">
        <v>545</v>
      </c>
      <c r="X59" s="193" t="s">
        <v>823</v>
      </c>
      <c r="Y59" s="56" t="s">
        <v>824</v>
      </c>
      <c r="Z59" s="193" t="s">
        <v>821</v>
      </c>
      <c r="AA59" s="193" t="s">
        <v>1072</v>
      </c>
      <c r="AB59" s="57" t="s">
        <v>1367</v>
      </c>
      <c r="AC59" s="193" t="s">
        <v>825</v>
      </c>
      <c r="AD59" s="56" t="s">
        <v>826</v>
      </c>
      <c r="AE59" s="10">
        <f>IFERROR(INDEX('[3]Lookup_Rem Ranges'!$D:$D,MATCH($AL:$AL,'[3]Lookup_Rem Ranges'!$C:$C,0)),0)</f>
        <v>83400</v>
      </c>
      <c r="AF59" s="10">
        <f>IFERROR(INDEX('[3]Lookup_Rem Ranges'!$E:$E,MATCH($AL:$AL,'[3]Lookup_Rem Ranges'!$C:$C,0)),0)</f>
        <v>98100</v>
      </c>
      <c r="AG59" s="10">
        <f>IFERROR(INDEX('[3]Lookup_Rem Ranges'!$F:$F,MATCH($AL:$AL,'[3]Lookup_Rem Ranges'!$C:$C,0)),)</f>
        <v>112800</v>
      </c>
      <c r="AH59" s="193" t="s">
        <v>622</v>
      </c>
      <c r="AI59" s="197"/>
      <c r="AJ59" s="198">
        <v>0</v>
      </c>
      <c r="AK59" s="199"/>
      <c r="AL59" s="200" t="str">
        <f t="shared" si="50"/>
        <v>CASS5</v>
      </c>
      <c r="AM59" s="200" t="s">
        <v>487</v>
      </c>
      <c r="AN59" s="197">
        <v>5</v>
      </c>
      <c r="AO59" s="199" t="s">
        <v>827</v>
      </c>
      <c r="AP59" s="5">
        <v>106000</v>
      </c>
      <c r="AQ59" s="10">
        <f t="shared" si="51"/>
        <v>106000</v>
      </c>
      <c r="AR59" s="10">
        <f t="shared" si="52"/>
        <v>0</v>
      </c>
      <c r="AS59" s="53" t="s">
        <v>790</v>
      </c>
      <c r="AT59" s="53">
        <v>0</v>
      </c>
      <c r="AU59" s="201"/>
      <c r="AV59" s="10"/>
      <c r="AW59" s="54">
        <v>0</v>
      </c>
      <c r="AX59" s="10">
        <v>0</v>
      </c>
      <c r="AY59" s="10">
        <v>106000</v>
      </c>
      <c r="AZ59" s="55">
        <f t="shared" si="53"/>
        <v>1.0805300713557595</v>
      </c>
      <c r="BA59" s="37" t="s">
        <v>687</v>
      </c>
      <c r="BB59" s="38">
        <v>3</v>
      </c>
      <c r="BC59" s="53">
        <f t="shared" si="54"/>
        <v>0</v>
      </c>
      <c r="BD59" s="65">
        <f t="shared" si="96"/>
        <v>0</v>
      </c>
      <c r="BE59" s="44">
        <v>0</v>
      </c>
      <c r="BF59" s="179">
        <f t="shared" si="55"/>
        <v>0</v>
      </c>
      <c r="BG59" s="402">
        <v>0</v>
      </c>
      <c r="BH59" s="403">
        <f t="shared" si="56"/>
        <v>0</v>
      </c>
      <c r="BI59" s="44">
        <v>0</v>
      </c>
      <c r="BJ59" s="179">
        <f t="shared" si="57"/>
        <v>0</v>
      </c>
      <c r="BK59" s="179">
        <f t="shared" si="58"/>
        <v>0</v>
      </c>
      <c r="BL59" s="202"/>
      <c r="BM59" s="203">
        <f t="shared" si="59"/>
        <v>0</v>
      </c>
      <c r="BN59" s="204">
        <f t="shared" si="60"/>
        <v>0</v>
      </c>
      <c r="BO59" s="16">
        <f t="shared" si="61"/>
        <v>106000</v>
      </c>
      <c r="BP59" s="205">
        <f t="shared" si="62"/>
        <v>11660</v>
      </c>
      <c r="BQ59" s="206">
        <f t="shared" si="63"/>
        <v>117660</v>
      </c>
      <c r="BR59" s="55">
        <f t="shared" si="64"/>
        <v>1.0805300713557595</v>
      </c>
      <c r="BS59" s="64">
        <f t="shared" si="65"/>
        <v>0</v>
      </c>
      <c r="BT59" s="53">
        <f t="shared" si="66"/>
        <v>0</v>
      </c>
      <c r="BU59" s="65">
        <f t="shared" si="67"/>
        <v>0</v>
      </c>
      <c r="BV59" s="206">
        <f t="shared" si="68"/>
        <v>106000</v>
      </c>
      <c r="BW59" s="207">
        <f t="shared" si="69"/>
        <v>53.64</v>
      </c>
      <c r="BX59" s="199"/>
      <c r="BY59" s="206">
        <f t="shared" si="70"/>
        <v>117660</v>
      </c>
      <c r="BZ59" s="208" t="s">
        <v>687</v>
      </c>
      <c r="CA59" s="199"/>
      <c r="CB59" s="199"/>
      <c r="CC59" s="200" t="str">
        <f t="shared" si="71"/>
        <v/>
      </c>
      <c r="CD59" s="197"/>
      <c r="CE59" s="197"/>
      <c r="CF59" s="10" t="str">
        <f>IFERROR(INDEX('[4]Lookup_Rem Ranges'!$D:$D,MATCH($CC:$CC,'[4]Lookup_Rem Ranges'!$C:$C,0)),"")</f>
        <v/>
      </c>
      <c r="CG59" s="307"/>
      <c r="CH59" s="307"/>
      <c r="CI59" s="210"/>
      <c r="CJ59" s="122" t="s">
        <v>701</v>
      </c>
      <c r="CK59" s="206">
        <f t="shared" si="72"/>
        <v>0</v>
      </c>
      <c r="CL59" s="206">
        <f t="shared" si="73"/>
        <v>0</v>
      </c>
      <c r="CM59" s="123"/>
      <c r="CN59" s="124">
        <f t="shared" si="74"/>
        <v>0</v>
      </c>
      <c r="CO59" s="124" t="s">
        <v>1375</v>
      </c>
      <c r="CP59" s="125">
        <f t="shared" si="75"/>
        <v>0</v>
      </c>
      <c r="CQ59" s="126">
        <f t="shared" si="76"/>
        <v>0</v>
      </c>
      <c r="CR59" s="127">
        <f t="shared" si="77"/>
        <v>0</v>
      </c>
      <c r="CS59" s="128">
        <f t="shared" si="78"/>
        <v>0</v>
      </c>
      <c r="CT59" s="127">
        <f t="shared" si="79"/>
        <v>0</v>
      </c>
      <c r="CU59" s="128">
        <f t="shared" si="80"/>
        <v>0</v>
      </c>
      <c r="CV59" s="127">
        <f t="shared" si="81"/>
        <v>0</v>
      </c>
      <c r="CW59" s="128">
        <f t="shared" si="82"/>
        <v>0</v>
      </c>
      <c r="CX59" s="127">
        <f t="shared" si="83"/>
        <v>0</v>
      </c>
      <c r="CY59" s="128">
        <f t="shared" si="84"/>
        <v>0</v>
      </c>
      <c r="CZ59" s="127">
        <f>$CR:$CR+$CT:CT+$CV:$CV+$CX:$CX</f>
        <v>0</v>
      </c>
      <c r="DA59" s="127">
        <f t="shared" si="85"/>
        <v>0</v>
      </c>
      <c r="DB59" s="127"/>
      <c r="DC59" s="127">
        <f t="shared" si="86"/>
        <v>0</v>
      </c>
      <c r="DD59" s="128">
        <f t="shared" si="87"/>
        <v>0</v>
      </c>
      <c r="DE59" s="129">
        <f t="shared" si="88"/>
        <v>0</v>
      </c>
      <c r="DF59" s="128">
        <f t="shared" si="89"/>
        <v>0</v>
      </c>
      <c r="DG59" s="129">
        <f t="shared" si="90"/>
        <v>0</v>
      </c>
      <c r="DH59" s="128">
        <f t="shared" si="91"/>
        <v>0</v>
      </c>
      <c r="DI59" s="127">
        <f t="shared" si="92"/>
        <v>0</v>
      </c>
      <c r="DJ59" s="128">
        <f t="shared" si="93"/>
        <v>0</v>
      </c>
      <c r="DK59" s="127">
        <f t="shared" si="94"/>
        <v>0</v>
      </c>
      <c r="DL59" s="128">
        <f t="shared" si="95"/>
        <v>0</v>
      </c>
      <c r="DM59" s="130"/>
      <c r="DN59" s="131"/>
      <c r="DO59" s="131"/>
      <c r="DP59" s="131"/>
      <c r="DQ59" s="131"/>
      <c r="DR59" s="131"/>
      <c r="DS59" s="131"/>
      <c r="DT59" s="131"/>
      <c r="DU59" s="131"/>
      <c r="DV59" s="131"/>
      <c r="DW59" s="131" t="s">
        <v>1380</v>
      </c>
    </row>
    <row r="60" spans="1:127" ht="33.75">
      <c r="A60" s="134"/>
      <c r="B60" s="121" t="s">
        <v>490</v>
      </c>
      <c r="C60" s="121" t="s">
        <v>1116</v>
      </c>
      <c r="D60" s="121">
        <v>14381</v>
      </c>
      <c r="E60" s="192" t="s">
        <v>510</v>
      </c>
      <c r="F60" s="192" t="s">
        <v>1117</v>
      </c>
      <c r="G60" s="192" t="s">
        <v>538</v>
      </c>
      <c r="H60" s="193" t="s">
        <v>1113</v>
      </c>
      <c r="I60" s="192" t="s">
        <v>1118</v>
      </c>
      <c r="J60" s="192" t="s">
        <v>1115</v>
      </c>
      <c r="K60" s="194">
        <v>41680</v>
      </c>
      <c r="L60" s="194"/>
      <c r="M60" s="194">
        <v>44606</v>
      </c>
      <c r="N60" s="195" t="s">
        <v>539</v>
      </c>
      <c r="O60" s="195">
        <v>38</v>
      </c>
      <c r="P60" s="196">
        <f t="shared" si="49"/>
        <v>1</v>
      </c>
      <c r="Q60" s="192" t="s">
        <v>613</v>
      </c>
      <c r="R60" s="192">
        <v>20790</v>
      </c>
      <c r="S60" s="192" t="s">
        <v>1084</v>
      </c>
      <c r="T60" s="192" t="s">
        <v>1085</v>
      </c>
      <c r="U60" s="192" t="s">
        <v>1080</v>
      </c>
      <c r="V60" s="193" t="s">
        <v>543</v>
      </c>
      <c r="W60" s="193" t="s">
        <v>545</v>
      </c>
      <c r="X60" s="193" t="s">
        <v>823</v>
      </c>
      <c r="Y60" s="56" t="s">
        <v>824</v>
      </c>
      <c r="Z60" s="193" t="s">
        <v>821</v>
      </c>
      <c r="AA60" s="193" t="s">
        <v>1072</v>
      </c>
      <c r="AB60" s="57" t="s">
        <v>1367</v>
      </c>
      <c r="AC60" s="193" t="s">
        <v>825</v>
      </c>
      <c r="AD60" s="56" t="s">
        <v>826</v>
      </c>
      <c r="AE60" s="10">
        <f>IFERROR(INDEX('[3]Lookup_Rem Ranges'!$D:$D,MATCH($AL:$AL,'[3]Lookup_Rem Ranges'!$C:$C,0)),0)</f>
        <v>83400</v>
      </c>
      <c r="AF60" s="10">
        <f>IFERROR(INDEX('[3]Lookup_Rem Ranges'!$E:$E,MATCH($AL:$AL,'[3]Lookup_Rem Ranges'!$C:$C,0)),0)</f>
        <v>98100</v>
      </c>
      <c r="AG60" s="10">
        <f>IFERROR(INDEX('[3]Lookup_Rem Ranges'!$F:$F,MATCH($AL:$AL,'[3]Lookup_Rem Ranges'!$C:$C,0)),)</f>
        <v>112800</v>
      </c>
      <c r="AH60" s="193" t="s">
        <v>622</v>
      </c>
      <c r="AI60" s="197"/>
      <c r="AJ60" s="198">
        <v>0</v>
      </c>
      <c r="AK60" s="199"/>
      <c r="AL60" s="200" t="str">
        <f t="shared" si="50"/>
        <v>CASS5</v>
      </c>
      <c r="AM60" s="200" t="s">
        <v>487</v>
      </c>
      <c r="AN60" s="197">
        <v>5</v>
      </c>
      <c r="AO60" s="199" t="s">
        <v>827</v>
      </c>
      <c r="AP60" s="5">
        <v>105000</v>
      </c>
      <c r="AQ60" s="10">
        <f t="shared" si="51"/>
        <v>105000</v>
      </c>
      <c r="AR60" s="10">
        <f t="shared" si="52"/>
        <v>0</v>
      </c>
      <c r="AS60" s="53">
        <v>9.261186264308012E-2</v>
      </c>
      <c r="AT60" s="53">
        <v>0</v>
      </c>
      <c r="AU60" s="201"/>
      <c r="AV60" s="10"/>
      <c r="AW60" s="54">
        <v>0</v>
      </c>
      <c r="AX60" s="10">
        <v>0</v>
      </c>
      <c r="AY60" s="10">
        <v>105000</v>
      </c>
      <c r="AZ60" s="55">
        <f t="shared" si="53"/>
        <v>1.070336391437309</v>
      </c>
      <c r="BA60" s="37" t="s">
        <v>687</v>
      </c>
      <c r="BB60" s="38">
        <v>3</v>
      </c>
      <c r="BC60" s="53">
        <f t="shared" si="54"/>
        <v>0</v>
      </c>
      <c r="BD60" s="65">
        <f t="shared" si="96"/>
        <v>0</v>
      </c>
      <c r="BE60" s="44">
        <v>0</v>
      </c>
      <c r="BF60" s="179">
        <f t="shared" si="55"/>
        <v>0</v>
      </c>
      <c r="BG60" s="402">
        <v>0</v>
      </c>
      <c r="BH60" s="403">
        <f t="shared" si="56"/>
        <v>0</v>
      </c>
      <c r="BI60" s="44">
        <v>0</v>
      </c>
      <c r="BJ60" s="179">
        <f t="shared" si="57"/>
        <v>0</v>
      </c>
      <c r="BK60" s="179">
        <f t="shared" si="58"/>
        <v>0</v>
      </c>
      <c r="BL60" s="202"/>
      <c r="BM60" s="203">
        <f t="shared" si="59"/>
        <v>0</v>
      </c>
      <c r="BN60" s="204">
        <f t="shared" si="60"/>
        <v>0</v>
      </c>
      <c r="BO60" s="16">
        <f t="shared" si="61"/>
        <v>105000</v>
      </c>
      <c r="BP60" s="205">
        <f t="shared" si="62"/>
        <v>11550</v>
      </c>
      <c r="BQ60" s="206">
        <f t="shared" si="63"/>
        <v>116550</v>
      </c>
      <c r="BR60" s="55">
        <f t="shared" si="64"/>
        <v>1.070336391437309</v>
      </c>
      <c r="BS60" s="64">
        <f t="shared" si="65"/>
        <v>0</v>
      </c>
      <c r="BT60" s="53">
        <f t="shared" si="66"/>
        <v>0</v>
      </c>
      <c r="BU60" s="65">
        <f t="shared" si="67"/>
        <v>0</v>
      </c>
      <c r="BV60" s="206">
        <f t="shared" si="68"/>
        <v>105000</v>
      </c>
      <c r="BW60" s="207">
        <f t="shared" si="69"/>
        <v>53.14</v>
      </c>
      <c r="BX60" s="199"/>
      <c r="BY60" s="206">
        <f t="shared" si="70"/>
        <v>116550</v>
      </c>
      <c r="BZ60" s="208" t="s">
        <v>687</v>
      </c>
      <c r="CA60" s="199"/>
      <c r="CB60" s="199"/>
      <c r="CC60" s="200" t="str">
        <f t="shared" si="71"/>
        <v/>
      </c>
      <c r="CD60" s="197"/>
      <c r="CE60" s="197"/>
      <c r="CF60" s="10" t="str">
        <f>IFERROR(INDEX('[4]Lookup_Rem Ranges'!$D:$D,MATCH($CC:$CC,'[4]Lookup_Rem Ranges'!$C:$C,0)),"")</f>
        <v/>
      </c>
      <c r="CG60" s="307"/>
      <c r="CH60" s="307"/>
      <c r="CI60" s="210"/>
      <c r="CJ60" s="122" t="s">
        <v>701</v>
      </c>
      <c r="CK60" s="206">
        <f t="shared" si="72"/>
        <v>0</v>
      </c>
      <c r="CL60" s="206">
        <f t="shared" si="73"/>
        <v>0</v>
      </c>
      <c r="CM60" s="123"/>
      <c r="CN60" s="124">
        <f t="shared" si="74"/>
        <v>0</v>
      </c>
      <c r="CO60" s="124" t="s">
        <v>1376</v>
      </c>
      <c r="CP60" s="125">
        <f t="shared" si="75"/>
        <v>0</v>
      </c>
      <c r="CQ60" s="126">
        <f t="shared" si="76"/>
        <v>0</v>
      </c>
      <c r="CR60" s="127">
        <f t="shared" si="77"/>
        <v>0</v>
      </c>
      <c r="CS60" s="128">
        <f t="shared" si="78"/>
        <v>0</v>
      </c>
      <c r="CT60" s="127">
        <f t="shared" si="79"/>
        <v>0</v>
      </c>
      <c r="CU60" s="128">
        <f t="shared" si="80"/>
        <v>0</v>
      </c>
      <c r="CV60" s="127">
        <f t="shared" si="81"/>
        <v>0</v>
      </c>
      <c r="CW60" s="128">
        <f t="shared" si="82"/>
        <v>0</v>
      </c>
      <c r="CX60" s="127">
        <f t="shared" si="83"/>
        <v>0</v>
      </c>
      <c r="CY60" s="128">
        <f t="shared" si="84"/>
        <v>0</v>
      </c>
      <c r="CZ60" s="127">
        <f>$CR:$CR+$CT:CT+$CV:$CV+$CX:$CX</f>
        <v>0</v>
      </c>
      <c r="DA60" s="127">
        <f t="shared" si="85"/>
        <v>0</v>
      </c>
      <c r="DB60" s="127"/>
      <c r="DC60" s="127">
        <f t="shared" si="86"/>
        <v>0</v>
      </c>
      <c r="DD60" s="128">
        <f t="shared" si="87"/>
        <v>0</v>
      </c>
      <c r="DE60" s="129">
        <f t="shared" si="88"/>
        <v>0</v>
      </c>
      <c r="DF60" s="128">
        <f t="shared" si="89"/>
        <v>0</v>
      </c>
      <c r="DG60" s="129">
        <f t="shared" si="90"/>
        <v>0</v>
      </c>
      <c r="DH60" s="128">
        <f t="shared" si="91"/>
        <v>0</v>
      </c>
      <c r="DI60" s="127">
        <f t="shared" si="92"/>
        <v>0</v>
      </c>
      <c r="DJ60" s="128">
        <f t="shared" si="93"/>
        <v>0</v>
      </c>
      <c r="DK60" s="127">
        <f t="shared" si="94"/>
        <v>0</v>
      </c>
      <c r="DL60" s="128">
        <f t="shared" si="95"/>
        <v>0</v>
      </c>
      <c r="DM60" s="130"/>
      <c r="DN60" s="131"/>
      <c r="DO60" s="131"/>
      <c r="DP60" s="131"/>
      <c r="DQ60" s="131"/>
      <c r="DR60" s="131"/>
      <c r="DS60" s="131"/>
      <c r="DT60" s="131"/>
      <c r="DU60" s="131"/>
      <c r="DV60" s="131"/>
      <c r="DW60" s="131" t="s">
        <v>1380</v>
      </c>
    </row>
    <row r="61" spans="1:127" ht="33.75">
      <c r="A61" s="134"/>
      <c r="B61" s="121" t="s">
        <v>490</v>
      </c>
      <c r="C61" s="121" t="s">
        <v>1090</v>
      </c>
      <c r="D61" s="121">
        <v>15418</v>
      </c>
      <c r="E61" s="192" t="s">
        <v>513</v>
      </c>
      <c r="F61" s="192" t="s">
        <v>807</v>
      </c>
      <c r="G61" s="192" t="s">
        <v>537</v>
      </c>
      <c r="H61" s="193" t="s">
        <v>1075</v>
      </c>
      <c r="I61" s="192" t="s">
        <v>1091</v>
      </c>
      <c r="J61" s="192" t="s">
        <v>1077</v>
      </c>
      <c r="K61" s="194">
        <v>42193</v>
      </c>
      <c r="L61" s="194"/>
      <c r="M61" s="194">
        <v>44634</v>
      </c>
      <c r="N61" s="195" t="s">
        <v>539</v>
      </c>
      <c r="O61" s="195">
        <v>38</v>
      </c>
      <c r="P61" s="196">
        <f t="shared" si="49"/>
        <v>1</v>
      </c>
      <c r="Q61" s="192" t="s">
        <v>617</v>
      </c>
      <c r="R61" s="192">
        <v>20790</v>
      </c>
      <c r="S61" s="192" t="s">
        <v>1084</v>
      </c>
      <c r="T61" s="192" t="s">
        <v>1085</v>
      </c>
      <c r="U61" s="192" t="s">
        <v>1080</v>
      </c>
      <c r="V61" s="193" t="s">
        <v>543</v>
      </c>
      <c r="W61" s="193" t="s">
        <v>545</v>
      </c>
      <c r="X61" s="193" t="s">
        <v>823</v>
      </c>
      <c r="Y61" s="56" t="s">
        <v>824</v>
      </c>
      <c r="Z61" s="193" t="s">
        <v>821</v>
      </c>
      <c r="AA61" s="193" t="s">
        <v>1072</v>
      </c>
      <c r="AB61" s="57" t="s">
        <v>1367</v>
      </c>
      <c r="AC61" s="193" t="s">
        <v>825</v>
      </c>
      <c r="AD61" s="56" t="s">
        <v>826</v>
      </c>
      <c r="AE61" s="10">
        <f>IFERROR(INDEX('[3]Lookup_Rem Ranges'!$D:$D,MATCH($AL:$AL,'[3]Lookup_Rem Ranges'!$C:$C,0)),0)</f>
        <v>83400</v>
      </c>
      <c r="AF61" s="10">
        <f>IFERROR(INDEX('[3]Lookup_Rem Ranges'!$E:$E,MATCH($AL:$AL,'[3]Lookup_Rem Ranges'!$C:$C,0)),0)</f>
        <v>98100</v>
      </c>
      <c r="AG61" s="10">
        <f>IFERROR(INDEX('[3]Lookup_Rem Ranges'!$F:$F,MATCH($AL:$AL,'[3]Lookup_Rem Ranges'!$C:$C,0)),)</f>
        <v>112800</v>
      </c>
      <c r="AH61" s="193" t="s">
        <v>622</v>
      </c>
      <c r="AI61" s="197"/>
      <c r="AJ61" s="198">
        <v>0</v>
      </c>
      <c r="AK61" s="199"/>
      <c r="AL61" s="200" t="str">
        <f t="shared" si="50"/>
        <v>CASS5</v>
      </c>
      <c r="AM61" s="200" t="s">
        <v>487</v>
      </c>
      <c r="AN61" s="197">
        <v>5</v>
      </c>
      <c r="AO61" s="199" t="s">
        <v>827</v>
      </c>
      <c r="AP61" s="5">
        <v>113300</v>
      </c>
      <c r="AQ61" s="10">
        <f t="shared" si="51"/>
        <v>113300</v>
      </c>
      <c r="AR61" s="10">
        <f t="shared" si="52"/>
        <v>0</v>
      </c>
      <c r="AS61" s="53">
        <v>4.8103607770582792E-2</v>
      </c>
      <c r="AT61" s="53">
        <v>0</v>
      </c>
      <c r="AU61" s="201"/>
      <c r="AV61" s="10"/>
      <c r="AW61" s="54">
        <v>0</v>
      </c>
      <c r="AX61" s="10">
        <v>0</v>
      </c>
      <c r="AY61" s="10">
        <v>113300</v>
      </c>
      <c r="AZ61" s="55">
        <f t="shared" si="53"/>
        <v>1.1549439347604484</v>
      </c>
      <c r="BA61" s="37" t="s">
        <v>687</v>
      </c>
      <c r="BB61" s="38">
        <v>3</v>
      </c>
      <c r="BC61" s="53">
        <f t="shared" si="54"/>
        <v>0</v>
      </c>
      <c r="BD61" s="65">
        <f t="shared" si="96"/>
        <v>0</v>
      </c>
      <c r="BE61" s="44">
        <v>0</v>
      </c>
      <c r="BF61" s="179">
        <f t="shared" si="55"/>
        <v>0</v>
      </c>
      <c r="BG61" s="402">
        <v>0</v>
      </c>
      <c r="BH61" s="403">
        <f t="shared" si="56"/>
        <v>0</v>
      </c>
      <c r="BI61" s="44">
        <v>0</v>
      </c>
      <c r="BJ61" s="179">
        <f t="shared" si="57"/>
        <v>0</v>
      </c>
      <c r="BK61" s="179">
        <f t="shared" si="58"/>
        <v>0</v>
      </c>
      <c r="BL61" s="202"/>
      <c r="BM61" s="203">
        <f t="shared" si="59"/>
        <v>0</v>
      </c>
      <c r="BN61" s="204">
        <f t="shared" si="60"/>
        <v>0</v>
      </c>
      <c r="BO61" s="16">
        <f t="shared" si="61"/>
        <v>113300</v>
      </c>
      <c r="BP61" s="205">
        <f t="shared" si="62"/>
        <v>12463</v>
      </c>
      <c r="BQ61" s="206">
        <f t="shared" si="63"/>
        <v>125763</v>
      </c>
      <c r="BR61" s="55">
        <f t="shared" si="64"/>
        <v>1.1549439347604484</v>
      </c>
      <c r="BS61" s="64">
        <f t="shared" si="65"/>
        <v>0</v>
      </c>
      <c r="BT61" s="53">
        <f t="shared" si="66"/>
        <v>0</v>
      </c>
      <c r="BU61" s="65">
        <f t="shared" si="67"/>
        <v>0</v>
      </c>
      <c r="BV61" s="206">
        <f t="shared" si="68"/>
        <v>113300</v>
      </c>
      <c r="BW61" s="207">
        <f t="shared" si="69"/>
        <v>57.34</v>
      </c>
      <c r="BX61" s="199"/>
      <c r="BY61" s="206">
        <f t="shared" si="70"/>
        <v>125763</v>
      </c>
      <c r="BZ61" s="208" t="s">
        <v>687</v>
      </c>
      <c r="CA61" s="199"/>
      <c r="CB61" s="199"/>
      <c r="CC61" s="200" t="str">
        <f t="shared" si="71"/>
        <v/>
      </c>
      <c r="CD61" s="197"/>
      <c r="CE61" s="197"/>
      <c r="CF61" s="10" t="str">
        <f>IFERROR(INDEX('[4]Lookup_Rem Ranges'!$D:$D,MATCH($CC:$CC,'[4]Lookup_Rem Ranges'!$C:$C,0)),"")</f>
        <v/>
      </c>
      <c r="CG61" s="307"/>
      <c r="CH61" s="307"/>
      <c r="CI61" s="210"/>
      <c r="CJ61" s="122" t="s">
        <v>701</v>
      </c>
      <c r="CK61" s="206">
        <f t="shared" si="72"/>
        <v>0</v>
      </c>
      <c r="CL61" s="206">
        <f t="shared" si="73"/>
        <v>0</v>
      </c>
      <c r="CM61" s="123"/>
      <c r="CN61" s="124">
        <f t="shared" si="74"/>
        <v>0</v>
      </c>
      <c r="CO61" s="124" t="s">
        <v>1376</v>
      </c>
      <c r="CP61" s="125">
        <f t="shared" si="75"/>
        <v>0</v>
      </c>
      <c r="CQ61" s="126">
        <f t="shared" si="76"/>
        <v>0</v>
      </c>
      <c r="CR61" s="127">
        <f t="shared" si="77"/>
        <v>0</v>
      </c>
      <c r="CS61" s="128">
        <f t="shared" si="78"/>
        <v>0</v>
      </c>
      <c r="CT61" s="127">
        <f t="shared" si="79"/>
        <v>0</v>
      </c>
      <c r="CU61" s="128">
        <f t="shared" si="80"/>
        <v>0</v>
      </c>
      <c r="CV61" s="127">
        <f t="shared" si="81"/>
        <v>0</v>
      </c>
      <c r="CW61" s="128">
        <f t="shared" si="82"/>
        <v>0</v>
      </c>
      <c r="CX61" s="127">
        <f t="shared" si="83"/>
        <v>0</v>
      </c>
      <c r="CY61" s="128">
        <f t="shared" si="84"/>
        <v>0</v>
      </c>
      <c r="CZ61" s="127">
        <f>$CR:$CR+$CT:CT+$CV:$CV+$CX:$CX</f>
        <v>0</v>
      </c>
      <c r="DA61" s="127">
        <f t="shared" si="85"/>
        <v>0</v>
      </c>
      <c r="DB61" s="127"/>
      <c r="DC61" s="127">
        <f t="shared" si="86"/>
        <v>0</v>
      </c>
      <c r="DD61" s="128">
        <f t="shared" si="87"/>
        <v>0</v>
      </c>
      <c r="DE61" s="129">
        <f t="shared" si="88"/>
        <v>0</v>
      </c>
      <c r="DF61" s="128">
        <f t="shared" si="89"/>
        <v>0</v>
      </c>
      <c r="DG61" s="129">
        <f t="shared" si="90"/>
        <v>0</v>
      </c>
      <c r="DH61" s="128">
        <f t="shared" si="91"/>
        <v>0</v>
      </c>
      <c r="DI61" s="127">
        <f t="shared" si="92"/>
        <v>0</v>
      </c>
      <c r="DJ61" s="128">
        <f t="shared" si="93"/>
        <v>0</v>
      </c>
      <c r="DK61" s="127">
        <f t="shared" si="94"/>
        <v>0</v>
      </c>
      <c r="DL61" s="128">
        <f t="shared" si="95"/>
        <v>0</v>
      </c>
      <c r="DM61" s="130"/>
      <c r="DN61" s="131"/>
      <c r="DO61" s="131"/>
      <c r="DP61" s="131"/>
      <c r="DQ61" s="131"/>
      <c r="DR61" s="131"/>
      <c r="DS61" s="131"/>
      <c r="DT61" s="131"/>
      <c r="DU61" s="131"/>
      <c r="DV61" s="131"/>
      <c r="DW61" s="131" t="s">
        <v>1380</v>
      </c>
    </row>
    <row r="62" spans="1:127" ht="33.75">
      <c r="A62" s="134"/>
      <c r="B62" s="121" t="s">
        <v>490</v>
      </c>
      <c r="C62" s="121" t="s">
        <v>815</v>
      </c>
      <c r="D62" s="121">
        <v>17258</v>
      </c>
      <c r="E62" s="192" t="s">
        <v>816</v>
      </c>
      <c r="F62" s="192" t="s">
        <v>817</v>
      </c>
      <c r="G62" s="192" t="s">
        <v>537</v>
      </c>
      <c r="H62" s="193" t="s">
        <v>818</v>
      </c>
      <c r="I62" s="192" t="s">
        <v>819</v>
      </c>
      <c r="J62" s="192" t="s">
        <v>820</v>
      </c>
      <c r="K62" s="194">
        <v>43017</v>
      </c>
      <c r="L62" s="194"/>
      <c r="M62" s="194">
        <v>44166</v>
      </c>
      <c r="N62" s="195" t="s">
        <v>539</v>
      </c>
      <c r="O62" s="195">
        <v>38</v>
      </c>
      <c r="P62" s="196">
        <f t="shared" si="49"/>
        <v>1</v>
      </c>
      <c r="Q62" s="192" t="s">
        <v>795</v>
      </c>
      <c r="R62" s="192">
        <v>8939</v>
      </c>
      <c r="S62" s="192" t="s">
        <v>821</v>
      </c>
      <c r="T62" s="192" t="s">
        <v>822</v>
      </c>
      <c r="U62" s="192" t="s">
        <v>801</v>
      </c>
      <c r="V62" s="193" t="s">
        <v>543</v>
      </c>
      <c r="W62" s="193" t="s">
        <v>545</v>
      </c>
      <c r="X62" s="193" t="s">
        <v>823</v>
      </c>
      <c r="Y62" s="52" t="s">
        <v>824</v>
      </c>
      <c r="Z62" s="193" t="s">
        <v>821</v>
      </c>
      <c r="AA62" s="193" t="s">
        <v>1072</v>
      </c>
      <c r="AB62" s="57" t="s">
        <v>1367</v>
      </c>
      <c r="AC62" s="193" t="s">
        <v>825</v>
      </c>
      <c r="AD62" s="52" t="s">
        <v>826</v>
      </c>
      <c r="AE62" s="10">
        <f>IFERROR(INDEX('[3]Lookup_Rem Ranges'!$D:$D,MATCH($AL:$AL,'[3]Lookup_Rem Ranges'!$C:$C,0)),0)</f>
        <v>83400</v>
      </c>
      <c r="AF62" s="10">
        <f>IFERROR(INDEX('[3]Lookup_Rem Ranges'!$E:$E,MATCH($AL:$AL,'[3]Lookup_Rem Ranges'!$C:$C,0)),0)</f>
        <v>98100</v>
      </c>
      <c r="AG62" s="10">
        <f>IFERROR(INDEX('[3]Lookup_Rem Ranges'!$F:$F,MATCH($AL:$AL,'[3]Lookup_Rem Ranges'!$C:$C,0)),)</f>
        <v>112800</v>
      </c>
      <c r="AH62" s="193" t="s">
        <v>622</v>
      </c>
      <c r="AI62" s="197"/>
      <c r="AJ62" s="198">
        <v>0</v>
      </c>
      <c r="AK62" s="199"/>
      <c r="AL62" s="200" t="str">
        <f t="shared" si="50"/>
        <v>CASS5</v>
      </c>
      <c r="AM62" s="200" t="s">
        <v>487</v>
      </c>
      <c r="AN62" s="197">
        <v>5</v>
      </c>
      <c r="AO62" s="199" t="s">
        <v>827</v>
      </c>
      <c r="AP62" s="5">
        <v>107000</v>
      </c>
      <c r="AQ62" s="10">
        <f t="shared" si="51"/>
        <v>107000</v>
      </c>
      <c r="AR62" s="10">
        <f t="shared" si="52"/>
        <v>0</v>
      </c>
      <c r="AS62" s="53">
        <v>6.8931068931068928E-2</v>
      </c>
      <c r="AT62" s="53">
        <v>0</v>
      </c>
      <c r="AU62" s="201"/>
      <c r="AV62" s="10"/>
      <c r="AW62" s="54">
        <v>0</v>
      </c>
      <c r="AX62" s="10">
        <v>0</v>
      </c>
      <c r="AY62" s="10">
        <v>107000</v>
      </c>
      <c r="AZ62" s="55">
        <f t="shared" si="53"/>
        <v>1.0907237512742101</v>
      </c>
      <c r="BA62" s="37" t="s">
        <v>687</v>
      </c>
      <c r="BB62" s="38">
        <v>3</v>
      </c>
      <c r="BC62" s="53">
        <f t="shared" si="54"/>
        <v>0</v>
      </c>
      <c r="BD62" s="65">
        <f t="shared" si="96"/>
        <v>0</v>
      </c>
      <c r="BE62" s="44">
        <v>0</v>
      </c>
      <c r="BF62" s="179">
        <f t="shared" si="55"/>
        <v>0</v>
      </c>
      <c r="BG62" s="402">
        <v>0</v>
      </c>
      <c r="BH62" s="403">
        <f t="shared" si="56"/>
        <v>0</v>
      </c>
      <c r="BI62" s="44">
        <v>0</v>
      </c>
      <c r="BJ62" s="179">
        <f t="shared" si="57"/>
        <v>0</v>
      </c>
      <c r="BK62" s="179">
        <f t="shared" si="58"/>
        <v>0</v>
      </c>
      <c r="BL62" s="202"/>
      <c r="BM62" s="203">
        <f t="shared" si="59"/>
        <v>0</v>
      </c>
      <c r="BN62" s="204">
        <f t="shared" si="60"/>
        <v>0</v>
      </c>
      <c r="BO62" s="16">
        <f t="shared" si="61"/>
        <v>107000</v>
      </c>
      <c r="BP62" s="205">
        <f t="shared" si="62"/>
        <v>11770</v>
      </c>
      <c r="BQ62" s="206">
        <f t="shared" si="63"/>
        <v>118770</v>
      </c>
      <c r="BR62" s="55">
        <f t="shared" si="64"/>
        <v>1.0907237512742101</v>
      </c>
      <c r="BS62" s="64">
        <f t="shared" si="65"/>
        <v>0</v>
      </c>
      <c r="BT62" s="53">
        <f t="shared" si="66"/>
        <v>0</v>
      </c>
      <c r="BU62" s="65">
        <f t="shared" si="67"/>
        <v>0</v>
      </c>
      <c r="BV62" s="206">
        <f t="shared" si="68"/>
        <v>107000</v>
      </c>
      <c r="BW62" s="207">
        <f t="shared" si="69"/>
        <v>54.15</v>
      </c>
      <c r="BX62" s="199"/>
      <c r="BY62" s="206">
        <f t="shared" si="70"/>
        <v>118770</v>
      </c>
      <c r="BZ62" s="208" t="s">
        <v>687</v>
      </c>
      <c r="CA62" s="199"/>
      <c r="CB62" s="199"/>
      <c r="CC62" s="200" t="str">
        <f t="shared" si="71"/>
        <v/>
      </c>
      <c r="CD62" s="197"/>
      <c r="CE62" s="197"/>
      <c r="CF62" s="10" t="str">
        <f>IFERROR(INDEX('[4]Lookup_Rem Ranges'!$D:$D,MATCH($CC:$CC,'[4]Lookup_Rem Ranges'!$C:$C,0)),"")</f>
        <v/>
      </c>
      <c r="CG62" s="306"/>
      <c r="CH62" s="306"/>
      <c r="CI62" s="209"/>
      <c r="CJ62" s="122" t="s">
        <v>701</v>
      </c>
      <c r="CK62" s="206">
        <f t="shared" si="72"/>
        <v>0</v>
      </c>
      <c r="CL62" s="206">
        <f t="shared" si="73"/>
        <v>0</v>
      </c>
      <c r="CM62" s="123"/>
      <c r="CN62" s="124">
        <f t="shared" si="74"/>
        <v>0</v>
      </c>
      <c r="CO62" s="124" t="s">
        <v>1376</v>
      </c>
      <c r="CP62" s="125">
        <f t="shared" si="75"/>
        <v>0</v>
      </c>
      <c r="CQ62" s="126">
        <f t="shared" si="76"/>
        <v>0</v>
      </c>
      <c r="CR62" s="127">
        <f t="shared" si="77"/>
        <v>0</v>
      </c>
      <c r="CS62" s="128">
        <f t="shared" si="78"/>
        <v>0</v>
      </c>
      <c r="CT62" s="127">
        <f t="shared" si="79"/>
        <v>0</v>
      </c>
      <c r="CU62" s="128">
        <f t="shared" si="80"/>
        <v>0</v>
      </c>
      <c r="CV62" s="127">
        <f t="shared" si="81"/>
        <v>0</v>
      </c>
      <c r="CW62" s="128">
        <f t="shared" si="82"/>
        <v>0</v>
      </c>
      <c r="CX62" s="127">
        <f t="shared" si="83"/>
        <v>0</v>
      </c>
      <c r="CY62" s="128">
        <f t="shared" si="84"/>
        <v>0</v>
      </c>
      <c r="CZ62" s="127">
        <f>$CR:$CR+$CT:CT+$CV:$CV+$CX:$CX</f>
        <v>0</v>
      </c>
      <c r="DA62" s="127">
        <f t="shared" si="85"/>
        <v>0</v>
      </c>
      <c r="DB62" s="127"/>
      <c r="DC62" s="127">
        <f t="shared" si="86"/>
        <v>0</v>
      </c>
      <c r="DD62" s="128">
        <f t="shared" si="87"/>
        <v>0</v>
      </c>
      <c r="DE62" s="129">
        <f t="shared" si="88"/>
        <v>0</v>
      </c>
      <c r="DF62" s="128">
        <f t="shared" si="89"/>
        <v>0</v>
      </c>
      <c r="DG62" s="129">
        <f t="shared" si="90"/>
        <v>0</v>
      </c>
      <c r="DH62" s="128">
        <f t="shared" si="91"/>
        <v>0</v>
      </c>
      <c r="DI62" s="127">
        <f t="shared" si="92"/>
        <v>0</v>
      </c>
      <c r="DJ62" s="128">
        <f t="shared" si="93"/>
        <v>0</v>
      </c>
      <c r="DK62" s="127">
        <f t="shared" si="94"/>
        <v>0</v>
      </c>
      <c r="DL62" s="128">
        <f t="shared" si="95"/>
        <v>0</v>
      </c>
      <c r="DM62" s="130"/>
      <c r="DN62" s="131"/>
      <c r="DO62" s="131"/>
      <c r="DP62" s="131"/>
      <c r="DQ62" s="131"/>
      <c r="DR62" s="131"/>
      <c r="DS62" s="131"/>
      <c r="DT62" s="131"/>
      <c r="DU62" s="131"/>
      <c r="DV62" s="131"/>
      <c r="DW62" s="131" t="s">
        <v>1380</v>
      </c>
    </row>
    <row r="63" spans="1:127" ht="33.75">
      <c r="A63" s="134"/>
      <c r="B63" s="121" t="s">
        <v>490</v>
      </c>
      <c r="C63" s="121" t="s">
        <v>1032</v>
      </c>
      <c r="D63" s="121">
        <v>21671</v>
      </c>
      <c r="E63" s="192" t="s">
        <v>1033</v>
      </c>
      <c r="F63" s="192" t="s">
        <v>1034</v>
      </c>
      <c r="G63" s="192" t="s">
        <v>538</v>
      </c>
      <c r="H63" s="193" t="s">
        <v>1035</v>
      </c>
      <c r="I63" s="192" t="s">
        <v>1036</v>
      </c>
      <c r="J63" s="192" t="s">
        <v>1037</v>
      </c>
      <c r="K63" s="194">
        <v>44936</v>
      </c>
      <c r="L63" s="194">
        <v>45107</v>
      </c>
      <c r="M63" s="194">
        <v>45029</v>
      </c>
      <c r="N63" s="195" t="s">
        <v>539</v>
      </c>
      <c r="O63" s="195">
        <v>38</v>
      </c>
      <c r="P63" s="196">
        <f t="shared" si="49"/>
        <v>1</v>
      </c>
      <c r="Q63" s="192" t="s">
        <v>795</v>
      </c>
      <c r="R63" s="192">
        <v>8939</v>
      </c>
      <c r="S63" s="192" t="s">
        <v>821</v>
      </c>
      <c r="T63" s="192" t="s">
        <v>822</v>
      </c>
      <c r="U63" s="192" t="s">
        <v>947</v>
      </c>
      <c r="V63" s="193" t="s">
        <v>543</v>
      </c>
      <c r="W63" s="193" t="s">
        <v>545</v>
      </c>
      <c r="X63" s="193" t="s">
        <v>823</v>
      </c>
      <c r="Y63" s="56" t="s">
        <v>824</v>
      </c>
      <c r="Z63" s="193" t="s">
        <v>821</v>
      </c>
      <c r="AA63" s="193" t="s">
        <v>1072</v>
      </c>
      <c r="AB63" s="57" t="s">
        <v>1367</v>
      </c>
      <c r="AC63" s="193" t="s">
        <v>825</v>
      </c>
      <c r="AD63" s="56" t="s">
        <v>826</v>
      </c>
      <c r="AE63" s="10">
        <f>IFERROR(INDEX('[3]Lookup_Rem Ranges'!$D:$D,MATCH($AL:$AL,'[3]Lookup_Rem Ranges'!$C:$C,0)),0)</f>
        <v>83400</v>
      </c>
      <c r="AF63" s="10">
        <f>IFERROR(INDEX('[3]Lookup_Rem Ranges'!$E:$E,MATCH($AL:$AL,'[3]Lookup_Rem Ranges'!$C:$C,0)),0)</f>
        <v>98100</v>
      </c>
      <c r="AG63" s="10">
        <f>IFERROR(INDEX('[3]Lookup_Rem Ranges'!$F:$F,MATCH($AL:$AL,'[3]Lookup_Rem Ranges'!$C:$C,0)),)</f>
        <v>112800</v>
      </c>
      <c r="AH63" s="193" t="s">
        <v>622</v>
      </c>
      <c r="AI63" s="197"/>
      <c r="AJ63" s="198">
        <v>0</v>
      </c>
      <c r="AK63" s="199"/>
      <c r="AL63" s="200" t="str">
        <f t="shared" si="50"/>
        <v>CASS5</v>
      </c>
      <c r="AM63" s="200" t="s">
        <v>487</v>
      </c>
      <c r="AN63" s="197">
        <v>5</v>
      </c>
      <c r="AO63" s="199" t="s">
        <v>827</v>
      </c>
      <c r="AP63" s="5">
        <v>107000</v>
      </c>
      <c r="AQ63" s="10">
        <f t="shared" si="51"/>
        <v>107000</v>
      </c>
      <c r="AR63" s="10">
        <f t="shared" si="52"/>
        <v>0</v>
      </c>
      <c r="AS63" s="53" t="s">
        <v>790</v>
      </c>
      <c r="AT63" s="53">
        <v>0</v>
      </c>
      <c r="AU63" s="201"/>
      <c r="AV63" s="10"/>
      <c r="AW63" s="54">
        <v>0</v>
      </c>
      <c r="AX63" s="10">
        <v>0</v>
      </c>
      <c r="AY63" s="10">
        <v>107000</v>
      </c>
      <c r="AZ63" s="55">
        <f t="shared" si="53"/>
        <v>1.0907237512742101</v>
      </c>
      <c r="BA63" s="37" t="s">
        <v>687</v>
      </c>
      <c r="BB63" s="38">
        <v>3</v>
      </c>
      <c r="BC63" s="53">
        <f t="shared" si="54"/>
        <v>0</v>
      </c>
      <c r="BD63" s="65">
        <f t="shared" si="96"/>
        <v>0</v>
      </c>
      <c r="BE63" s="44">
        <v>0</v>
      </c>
      <c r="BF63" s="179">
        <f t="shared" si="55"/>
        <v>0</v>
      </c>
      <c r="BG63" s="402">
        <v>0</v>
      </c>
      <c r="BH63" s="403">
        <f t="shared" si="56"/>
        <v>0</v>
      </c>
      <c r="BI63" s="44">
        <v>0</v>
      </c>
      <c r="BJ63" s="179">
        <f t="shared" si="57"/>
        <v>0</v>
      </c>
      <c r="BK63" s="179">
        <f t="shared" si="58"/>
        <v>0</v>
      </c>
      <c r="BL63" s="202"/>
      <c r="BM63" s="203">
        <f t="shared" si="59"/>
        <v>0</v>
      </c>
      <c r="BN63" s="204">
        <f t="shared" si="60"/>
        <v>0</v>
      </c>
      <c r="BO63" s="16">
        <f t="shared" si="61"/>
        <v>107000</v>
      </c>
      <c r="BP63" s="205">
        <f t="shared" si="62"/>
        <v>11770</v>
      </c>
      <c r="BQ63" s="206">
        <f t="shared" si="63"/>
        <v>118770</v>
      </c>
      <c r="BR63" s="55">
        <f t="shared" si="64"/>
        <v>1.0907237512742101</v>
      </c>
      <c r="BS63" s="64">
        <f t="shared" si="65"/>
        <v>0</v>
      </c>
      <c r="BT63" s="53">
        <f t="shared" si="66"/>
        <v>0</v>
      </c>
      <c r="BU63" s="65">
        <f t="shared" si="67"/>
        <v>0</v>
      </c>
      <c r="BV63" s="206">
        <f t="shared" si="68"/>
        <v>107000</v>
      </c>
      <c r="BW63" s="207">
        <f t="shared" si="69"/>
        <v>54.15</v>
      </c>
      <c r="BX63" s="199"/>
      <c r="BY63" s="206">
        <f t="shared" si="70"/>
        <v>118770</v>
      </c>
      <c r="BZ63" s="208" t="s">
        <v>687</v>
      </c>
      <c r="CA63" s="199"/>
      <c r="CB63" s="199"/>
      <c r="CC63" s="200" t="str">
        <f t="shared" si="71"/>
        <v/>
      </c>
      <c r="CD63" s="197"/>
      <c r="CE63" s="197"/>
      <c r="CF63" s="10" t="str">
        <f>IFERROR(INDEX('[4]Lookup_Rem Ranges'!$D:$D,MATCH($CC:$CC,'[4]Lookup_Rem Ranges'!$C:$C,0)),"")</f>
        <v/>
      </c>
      <c r="CG63" s="307"/>
      <c r="CH63" s="307"/>
      <c r="CI63" s="210"/>
      <c r="CJ63" s="122" t="s">
        <v>701</v>
      </c>
      <c r="CK63" s="206">
        <f t="shared" si="72"/>
        <v>0</v>
      </c>
      <c r="CL63" s="206">
        <f t="shared" si="73"/>
        <v>0</v>
      </c>
      <c r="CM63" s="123"/>
      <c r="CN63" s="124">
        <f t="shared" si="74"/>
        <v>0</v>
      </c>
      <c r="CO63" s="124" t="s">
        <v>1376</v>
      </c>
      <c r="CP63" s="125">
        <f t="shared" si="75"/>
        <v>0</v>
      </c>
      <c r="CQ63" s="126">
        <f t="shared" si="76"/>
        <v>0</v>
      </c>
      <c r="CR63" s="127">
        <f t="shared" si="77"/>
        <v>0</v>
      </c>
      <c r="CS63" s="128">
        <f t="shared" si="78"/>
        <v>0</v>
      </c>
      <c r="CT63" s="127">
        <f t="shared" si="79"/>
        <v>0</v>
      </c>
      <c r="CU63" s="128">
        <f t="shared" si="80"/>
        <v>0</v>
      </c>
      <c r="CV63" s="127">
        <f t="shared" si="81"/>
        <v>0</v>
      </c>
      <c r="CW63" s="128">
        <f t="shared" si="82"/>
        <v>0</v>
      </c>
      <c r="CX63" s="127">
        <f t="shared" si="83"/>
        <v>0</v>
      </c>
      <c r="CY63" s="128">
        <f t="shared" si="84"/>
        <v>0</v>
      </c>
      <c r="CZ63" s="127">
        <f>$CR:$CR+$CT:CT+$CV:$CV+$CX:$CX</f>
        <v>0</v>
      </c>
      <c r="DA63" s="127">
        <f t="shared" si="85"/>
        <v>0</v>
      </c>
      <c r="DB63" s="127"/>
      <c r="DC63" s="127">
        <f t="shared" si="86"/>
        <v>0</v>
      </c>
      <c r="DD63" s="128">
        <f t="shared" si="87"/>
        <v>0</v>
      </c>
      <c r="DE63" s="129">
        <f t="shared" si="88"/>
        <v>0</v>
      </c>
      <c r="DF63" s="128">
        <f t="shared" si="89"/>
        <v>0</v>
      </c>
      <c r="DG63" s="129">
        <f t="shared" si="90"/>
        <v>0</v>
      </c>
      <c r="DH63" s="128">
        <f t="shared" si="91"/>
        <v>0</v>
      </c>
      <c r="DI63" s="127">
        <f t="shared" si="92"/>
        <v>0</v>
      </c>
      <c r="DJ63" s="128">
        <f t="shared" si="93"/>
        <v>0</v>
      </c>
      <c r="DK63" s="127">
        <f t="shared" si="94"/>
        <v>0</v>
      </c>
      <c r="DL63" s="128">
        <f t="shared" si="95"/>
        <v>0</v>
      </c>
      <c r="DM63" s="130"/>
      <c r="DN63" s="131"/>
      <c r="DO63" s="131"/>
      <c r="DP63" s="131"/>
      <c r="DQ63" s="131"/>
      <c r="DR63" s="131"/>
      <c r="DS63" s="131"/>
      <c r="DT63" s="131"/>
      <c r="DU63" s="131"/>
      <c r="DV63" s="131"/>
      <c r="DW63" s="131" t="s">
        <v>1380</v>
      </c>
    </row>
    <row r="64" spans="1:127" ht="33.75">
      <c r="A64" s="134"/>
      <c r="B64" s="121" t="s">
        <v>490</v>
      </c>
      <c r="C64" s="121" t="s">
        <v>1012</v>
      </c>
      <c r="D64" s="121">
        <v>17292</v>
      </c>
      <c r="E64" s="192" t="s">
        <v>1003</v>
      </c>
      <c r="F64" s="192" t="s">
        <v>1013</v>
      </c>
      <c r="G64" s="192" t="s">
        <v>538</v>
      </c>
      <c r="H64" s="193" t="s">
        <v>1014</v>
      </c>
      <c r="I64" s="192" t="s">
        <v>945</v>
      </c>
      <c r="J64" s="192" t="s">
        <v>946</v>
      </c>
      <c r="K64" s="194">
        <v>43014</v>
      </c>
      <c r="L64" s="194"/>
      <c r="M64" s="194">
        <v>44805</v>
      </c>
      <c r="N64" s="195" t="s">
        <v>539</v>
      </c>
      <c r="O64" s="195">
        <v>38</v>
      </c>
      <c r="P64" s="196">
        <f t="shared" si="49"/>
        <v>1</v>
      </c>
      <c r="Q64" s="192" t="s">
        <v>614</v>
      </c>
      <c r="R64" s="192">
        <v>8939</v>
      </c>
      <c r="S64" s="192" t="s">
        <v>821</v>
      </c>
      <c r="T64" s="192" t="s">
        <v>822</v>
      </c>
      <c r="U64" s="192" t="s">
        <v>801</v>
      </c>
      <c r="V64" s="193" t="s">
        <v>543</v>
      </c>
      <c r="W64" s="193" t="s">
        <v>545</v>
      </c>
      <c r="X64" s="193" t="s">
        <v>823</v>
      </c>
      <c r="Y64" s="56" t="s">
        <v>824</v>
      </c>
      <c r="Z64" s="193" t="s">
        <v>821</v>
      </c>
      <c r="AA64" s="193" t="s">
        <v>1072</v>
      </c>
      <c r="AB64" s="57" t="s">
        <v>1367</v>
      </c>
      <c r="AC64" s="193" t="s">
        <v>825</v>
      </c>
      <c r="AD64" s="56" t="s">
        <v>826</v>
      </c>
      <c r="AE64" s="10">
        <f>IFERROR(INDEX('[3]Lookup_Rem Ranges'!$D:$D,MATCH($AL:$AL,'[3]Lookup_Rem Ranges'!$C:$C,0)),0)</f>
        <v>105500</v>
      </c>
      <c r="AF64" s="10">
        <f>IFERROR(INDEX('[3]Lookup_Rem Ranges'!$E:$E,MATCH($AL:$AL,'[3]Lookup_Rem Ranges'!$C:$C,0)),0)</f>
        <v>124100</v>
      </c>
      <c r="AG64" s="10">
        <f>IFERROR(INDEX('[3]Lookup_Rem Ranges'!$F:$F,MATCH($AL:$AL,'[3]Lookup_Rem Ranges'!$C:$C,0)),)</f>
        <v>142700</v>
      </c>
      <c r="AH64" s="193" t="s">
        <v>622</v>
      </c>
      <c r="AI64" s="197"/>
      <c r="AJ64" s="198">
        <v>0</v>
      </c>
      <c r="AK64" s="199"/>
      <c r="AL64" s="200" t="str">
        <f t="shared" si="50"/>
        <v>CASS6</v>
      </c>
      <c r="AM64" s="200" t="s">
        <v>487</v>
      </c>
      <c r="AN64" s="197">
        <v>6</v>
      </c>
      <c r="AO64" s="199" t="s">
        <v>701</v>
      </c>
      <c r="AP64" s="5">
        <v>136600</v>
      </c>
      <c r="AQ64" s="10">
        <f t="shared" si="51"/>
        <v>136600</v>
      </c>
      <c r="AR64" s="10">
        <f t="shared" si="52"/>
        <v>136600</v>
      </c>
      <c r="AS64" s="53">
        <v>3.0165912518853696E-2</v>
      </c>
      <c r="AT64" s="53">
        <v>0</v>
      </c>
      <c r="AU64" s="201"/>
      <c r="AV64" s="10"/>
      <c r="AW64" s="54">
        <v>0</v>
      </c>
      <c r="AX64" s="10">
        <v>0</v>
      </c>
      <c r="AY64" s="10">
        <v>136600</v>
      </c>
      <c r="AZ64" s="55">
        <f t="shared" si="53"/>
        <v>1.1007252215954875</v>
      </c>
      <c r="BA64" s="37" t="s">
        <v>23</v>
      </c>
      <c r="BB64" s="38">
        <v>4</v>
      </c>
      <c r="BC64" s="53">
        <f t="shared" si="54"/>
        <v>0</v>
      </c>
      <c r="BD64" s="65">
        <f t="shared" si="96"/>
        <v>0</v>
      </c>
      <c r="BE64" s="44">
        <v>3.2500000000000001E-2</v>
      </c>
      <c r="BF64" s="179">
        <f t="shared" si="55"/>
        <v>4440</v>
      </c>
      <c r="BG64" s="402">
        <v>0</v>
      </c>
      <c r="BH64" s="403">
        <f t="shared" si="56"/>
        <v>0</v>
      </c>
      <c r="BI64" s="44">
        <v>0</v>
      </c>
      <c r="BJ64" s="179">
        <f t="shared" si="57"/>
        <v>0</v>
      </c>
      <c r="BK64" s="179">
        <f t="shared" si="58"/>
        <v>0</v>
      </c>
      <c r="BL64" s="202"/>
      <c r="BM64" s="203">
        <f t="shared" si="59"/>
        <v>3.2500000000000001E-2</v>
      </c>
      <c r="BN64" s="204">
        <f t="shared" si="60"/>
        <v>4440</v>
      </c>
      <c r="BO64" s="16">
        <f t="shared" si="61"/>
        <v>141040</v>
      </c>
      <c r="BP64" s="205">
        <f t="shared" si="62"/>
        <v>15514</v>
      </c>
      <c r="BQ64" s="206">
        <f t="shared" si="63"/>
        <v>156554</v>
      </c>
      <c r="BR64" s="55">
        <f t="shared" si="64"/>
        <v>1.1365028203062046</v>
      </c>
      <c r="BS64" s="64">
        <f t="shared" si="65"/>
        <v>700</v>
      </c>
      <c r="BT64" s="53">
        <f t="shared" si="66"/>
        <v>3.2500000000000001E-2</v>
      </c>
      <c r="BU64" s="65">
        <f t="shared" si="67"/>
        <v>4440</v>
      </c>
      <c r="BV64" s="206">
        <f t="shared" si="68"/>
        <v>141040</v>
      </c>
      <c r="BW64" s="207">
        <f t="shared" si="69"/>
        <v>71.38</v>
      </c>
      <c r="BX64" s="199"/>
      <c r="BY64" s="206">
        <f t="shared" si="70"/>
        <v>156554</v>
      </c>
      <c r="BZ64" s="208" t="s">
        <v>687</v>
      </c>
      <c r="CA64" s="199"/>
      <c r="CB64" s="199"/>
      <c r="CC64" s="200" t="str">
        <f t="shared" si="71"/>
        <v/>
      </c>
      <c r="CD64" s="197"/>
      <c r="CE64" s="197"/>
      <c r="CF64" s="10" t="str">
        <f>IFERROR(INDEX('[4]Lookup_Rem Ranges'!$D:$D,MATCH($CC:$CC,'[4]Lookup_Rem Ranges'!$C:$C,0)),"")</f>
        <v/>
      </c>
      <c r="CG64" s="307"/>
      <c r="CH64" s="307"/>
      <c r="CI64" s="210"/>
      <c r="CJ64" s="122" t="s">
        <v>701</v>
      </c>
      <c r="CK64" s="206">
        <f t="shared" si="72"/>
        <v>0</v>
      </c>
      <c r="CL64" s="206">
        <f t="shared" si="73"/>
        <v>0</v>
      </c>
      <c r="CM64" s="123"/>
      <c r="CN64" s="124">
        <f t="shared" si="74"/>
        <v>0</v>
      </c>
      <c r="CO64" s="124" t="s">
        <v>1376</v>
      </c>
      <c r="CP64" s="125">
        <f t="shared" si="75"/>
        <v>3.2500000000000001E-2</v>
      </c>
      <c r="CQ64" s="126">
        <f t="shared" si="76"/>
        <v>4440</v>
      </c>
      <c r="CR64" s="127">
        <f t="shared" si="77"/>
        <v>0</v>
      </c>
      <c r="CS64" s="128">
        <f t="shared" si="78"/>
        <v>0</v>
      </c>
      <c r="CT64" s="127">
        <f t="shared" si="79"/>
        <v>0</v>
      </c>
      <c r="CU64" s="128">
        <f t="shared" si="80"/>
        <v>0</v>
      </c>
      <c r="CV64" s="127">
        <f t="shared" si="81"/>
        <v>0</v>
      </c>
      <c r="CW64" s="128">
        <f t="shared" si="82"/>
        <v>0</v>
      </c>
      <c r="CX64" s="127">
        <f t="shared" si="83"/>
        <v>0</v>
      </c>
      <c r="CY64" s="128">
        <f t="shared" si="84"/>
        <v>0</v>
      </c>
      <c r="CZ64" s="127">
        <f>$CR:$CR+$CT:CT+$CV:$CV+$CX:$CX</f>
        <v>0</v>
      </c>
      <c r="DA64" s="127">
        <f t="shared" si="85"/>
        <v>0</v>
      </c>
      <c r="DB64" s="127"/>
      <c r="DC64" s="127">
        <f t="shared" si="86"/>
        <v>3.2500000000000001E-2</v>
      </c>
      <c r="DD64" s="128">
        <f t="shared" si="87"/>
        <v>4440</v>
      </c>
      <c r="DE64" s="129">
        <f t="shared" si="88"/>
        <v>0</v>
      </c>
      <c r="DF64" s="128">
        <f t="shared" si="89"/>
        <v>0</v>
      </c>
      <c r="DG64" s="129">
        <f t="shared" si="90"/>
        <v>0</v>
      </c>
      <c r="DH64" s="128">
        <f t="shared" si="91"/>
        <v>0</v>
      </c>
      <c r="DI64" s="127">
        <f t="shared" si="92"/>
        <v>3.2500000000000001E-2</v>
      </c>
      <c r="DJ64" s="128">
        <f t="shared" si="93"/>
        <v>4440</v>
      </c>
      <c r="DK64" s="127">
        <f t="shared" si="94"/>
        <v>0</v>
      </c>
      <c r="DL64" s="128">
        <f t="shared" si="95"/>
        <v>0</v>
      </c>
      <c r="DM64" s="130"/>
      <c r="DN64" s="131"/>
      <c r="DO64" s="131"/>
      <c r="DP64" s="131"/>
      <c r="DQ64" s="131"/>
      <c r="DR64" s="131"/>
      <c r="DS64" s="131"/>
      <c r="DT64" s="131"/>
      <c r="DU64" s="131"/>
      <c r="DV64" s="131"/>
      <c r="DW64" s="131" t="s">
        <v>1380</v>
      </c>
    </row>
    <row r="65" spans="1:127" ht="33.75">
      <c r="A65" s="134"/>
      <c r="B65" s="121" t="s">
        <v>490</v>
      </c>
      <c r="C65" s="121" t="s">
        <v>1020</v>
      </c>
      <c r="D65" s="121">
        <v>18816</v>
      </c>
      <c r="E65" s="192" t="s">
        <v>910</v>
      </c>
      <c r="F65" s="192" t="s">
        <v>1021</v>
      </c>
      <c r="G65" s="192" t="s">
        <v>538</v>
      </c>
      <c r="H65" s="193" t="s">
        <v>1022</v>
      </c>
      <c r="I65" s="192" t="s">
        <v>1023</v>
      </c>
      <c r="J65" s="192" t="s">
        <v>1024</v>
      </c>
      <c r="K65" s="194">
        <v>41204</v>
      </c>
      <c r="L65" s="194"/>
      <c r="M65" s="194">
        <v>43696</v>
      </c>
      <c r="N65" s="195" t="s">
        <v>539</v>
      </c>
      <c r="O65" s="195">
        <v>38</v>
      </c>
      <c r="P65" s="196">
        <f t="shared" si="49"/>
        <v>1</v>
      </c>
      <c r="Q65" s="192" t="s">
        <v>617</v>
      </c>
      <c r="R65" s="192">
        <v>8939</v>
      </c>
      <c r="S65" s="192" t="s">
        <v>821</v>
      </c>
      <c r="T65" s="192" t="s">
        <v>822</v>
      </c>
      <c r="U65" s="192" t="s">
        <v>801</v>
      </c>
      <c r="V65" s="193" t="s">
        <v>543</v>
      </c>
      <c r="W65" s="193" t="s">
        <v>545</v>
      </c>
      <c r="X65" s="193" t="s">
        <v>823</v>
      </c>
      <c r="Y65" s="56" t="s">
        <v>824</v>
      </c>
      <c r="Z65" s="193" t="s">
        <v>821</v>
      </c>
      <c r="AA65" s="193" t="s">
        <v>1072</v>
      </c>
      <c r="AB65" s="57" t="s">
        <v>1367</v>
      </c>
      <c r="AC65" s="193" t="s">
        <v>825</v>
      </c>
      <c r="AD65" s="56" t="s">
        <v>826</v>
      </c>
      <c r="AE65" s="10">
        <f>IFERROR(INDEX('[3]Lookup_Rem Ranges'!$D:$D,MATCH($AL:$AL,'[3]Lookup_Rem Ranges'!$C:$C,0)),0)</f>
        <v>105500</v>
      </c>
      <c r="AF65" s="10">
        <f>IFERROR(INDEX('[3]Lookup_Rem Ranges'!$E:$E,MATCH($AL:$AL,'[3]Lookup_Rem Ranges'!$C:$C,0)),0)</f>
        <v>124100</v>
      </c>
      <c r="AG65" s="10">
        <f>IFERROR(INDEX('[3]Lookup_Rem Ranges'!$F:$F,MATCH($AL:$AL,'[3]Lookup_Rem Ranges'!$C:$C,0)),)</f>
        <v>142700</v>
      </c>
      <c r="AH65" s="193" t="s">
        <v>622</v>
      </c>
      <c r="AI65" s="197"/>
      <c r="AJ65" s="198">
        <v>0</v>
      </c>
      <c r="AK65" s="199"/>
      <c r="AL65" s="200" t="str">
        <f t="shared" si="50"/>
        <v>CASS6</v>
      </c>
      <c r="AM65" s="200" t="s">
        <v>487</v>
      </c>
      <c r="AN65" s="197">
        <v>6</v>
      </c>
      <c r="AO65" s="199" t="s">
        <v>701</v>
      </c>
      <c r="AP65" s="5">
        <v>146300</v>
      </c>
      <c r="AQ65" s="10">
        <f t="shared" si="51"/>
        <v>146300</v>
      </c>
      <c r="AR65" s="10">
        <f t="shared" si="52"/>
        <v>146300</v>
      </c>
      <c r="AS65" s="53">
        <v>2.0223152022315203E-2</v>
      </c>
      <c r="AT65" s="53">
        <v>0</v>
      </c>
      <c r="AU65" s="201"/>
      <c r="AV65" s="10"/>
      <c r="AW65" s="54">
        <v>0</v>
      </c>
      <c r="AX65" s="10">
        <v>0</v>
      </c>
      <c r="AY65" s="10">
        <v>146300</v>
      </c>
      <c r="AZ65" s="55">
        <f t="shared" si="53"/>
        <v>1.1788879935535859</v>
      </c>
      <c r="BA65" s="37" t="s">
        <v>23</v>
      </c>
      <c r="BB65" s="38">
        <v>3</v>
      </c>
      <c r="BC65" s="53">
        <f t="shared" si="54"/>
        <v>0</v>
      </c>
      <c r="BD65" s="65">
        <f t="shared" si="96"/>
        <v>0</v>
      </c>
      <c r="BE65" s="44">
        <v>0</v>
      </c>
      <c r="BF65" s="179">
        <f t="shared" si="55"/>
        <v>0</v>
      </c>
      <c r="BG65" s="402">
        <v>0</v>
      </c>
      <c r="BH65" s="403">
        <f t="shared" si="56"/>
        <v>0</v>
      </c>
      <c r="BI65" s="44">
        <v>3.2500000000000001E-2</v>
      </c>
      <c r="BJ65" s="179">
        <f t="shared" si="57"/>
        <v>4755</v>
      </c>
      <c r="BK65" s="179">
        <f t="shared" si="58"/>
        <v>4755</v>
      </c>
      <c r="BL65" s="202"/>
      <c r="BM65" s="203">
        <f t="shared" si="59"/>
        <v>0</v>
      </c>
      <c r="BN65" s="204">
        <f t="shared" si="60"/>
        <v>0</v>
      </c>
      <c r="BO65" s="16">
        <f t="shared" si="61"/>
        <v>146300</v>
      </c>
      <c r="BP65" s="205">
        <f t="shared" si="62"/>
        <v>16093</v>
      </c>
      <c r="BQ65" s="206">
        <f t="shared" si="63"/>
        <v>162393</v>
      </c>
      <c r="BR65" s="55">
        <f t="shared" si="64"/>
        <v>1.1788879935535859</v>
      </c>
      <c r="BS65" s="64">
        <f t="shared" si="65"/>
        <v>0</v>
      </c>
      <c r="BT65" s="53">
        <f t="shared" si="66"/>
        <v>3.2500000000000001E-2</v>
      </c>
      <c r="BU65" s="65">
        <f t="shared" si="67"/>
        <v>4755</v>
      </c>
      <c r="BV65" s="206">
        <f t="shared" si="68"/>
        <v>146300</v>
      </c>
      <c r="BW65" s="207">
        <f t="shared" si="69"/>
        <v>74.040000000000006</v>
      </c>
      <c r="BX65" s="199"/>
      <c r="BY65" s="206">
        <f t="shared" si="70"/>
        <v>162393</v>
      </c>
      <c r="BZ65" s="208" t="s">
        <v>687</v>
      </c>
      <c r="CA65" s="199"/>
      <c r="CB65" s="199"/>
      <c r="CC65" s="200" t="str">
        <f t="shared" si="71"/>
        <v/>
      </c>
      <c r="CD65" s="197"/>
      <c r="CE65" s="197"/>
      <c r="CF65" s="10" t="str">
        <f>IFERROR(INDEX('[4]Lookup_Rem Ranges'!$D:$D,MATCH($CC:$CC,'[4]Lookup_Rem Ranges'!$C:$C,0)),"")</f>
        <v/>
      </c>
      <c r="CG65" s="307"/>
      <c r="CH65" s="307"/>
      <c r="CI65" s="210"/>
      <c r="CJ65" s="122" t="s">
        <v>701</v>
      </c>
      <c r="CK65" s="206">
        <f t="shared" si="72"/>
        <v>0</v>
      </c>
      <c r="CL65" s="206">
        <f t="shared" si="73"/>
        <v>0</v>
      </c>
      <c r="CM65" s="123"/>
      <c r="CN65" s="124">
        <f t="shared" si="74"/>
        <v>0</v>
      </c>
      <c r="CO65" s="124" t="s">
        <v>1376</v>
      </c>
      <c r="CP65" s="125">
        <f t="shared" si="75"/>
        <v>3.2500000000000001E-2</v>
      </c>
      <c r="CQ65" s="126">
        <f t="shared" si="76"/>
        <v>4755</v>
      </c>
      <c r="CR65" s="127">
        <f t="shared" si="77"/>
        <v>0</v>
      </c>
      <c r="CS65" s="128">
        <f t="shared" si="78"/>
        <v>0</v>
      </c>
      <c r="CT65" s="127">
        <f t="shared" si="79"/>
        <v>0</v>
      </c>
      <c r="CU65" s="128">
        <f t="shared" si="80"/>
        <v>0</v>
      </c>
      <c r="CV65" s="127">
        <f t="shared" si="81"/>
        <v>0</v>
      </c>
      <c r="CW65" s="128">
        <f t="shared" si="82"/>
        <v>0</v>
      </c>
      <c r="CX65" s="127">
        <f t="shared" si="83"/>
        <v>0</v>
      </c>
      <c r="CY65" s="128">
        <f t="shared" si="84"/>
        <v>0</v>
      </c>
      <c r="CZ65" s="127">
        <f>$CR:$CR+$CT:CT+$CV:$CV+$CX:$CX</f>
        <v>0</v>
      </c>
      <c r="DA65" s="127">
        <f t="shared" si="85"/>
        <v>0</v>
      </c>
      <c r="DB65" s="127"/>
      <c r="DC65" s="127">
        <f t="shared" si="86"/>
        <v>0</v>
      </c>
      <c r="DD65" s="128">
        <f t="shared" si="87"/>
        <v>0</v>
      </c>
      <c r="DE65" s="129">
        <f t="shared" si="88"/>
        <v>3.2500000000000001E-2</v>
      </c>
      <c r="DF65" s="128">
        <f t="shared" si="89"/>
        <v>4755</v>
      </c>
      <c r="DG65" s="129">
        <f t="shared" si="90"/>
        <v>0</v>
      </c>
      <c r="DH65" s="128">
        <f t="shared" si="91"/>
        <v>0</v>
      </c>
      <c r="DI65" s="127">
        <f t="shared" si="92"/>
        <v>3.2500000000000001E-2</v>
      </c>
      <c r="DJ65" s="128">
        <f t="shared" si="93"/>
        <v>4755</v>
      </c>
      <c r="DK65" s="127">
        <f t="shared" si="94"/>
        <v>0</v>
      </c>
      <c r="DL65" s="128">
        <f t="shared" si="95"/>
        <v>0</v>
      </c>
      <c r="DM65" s="130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 t="s">
        <v>1380</v>
      </c>
    </row>
    <row r="66" spans="1:127" ht="33.75">
      <c r="A66" s="134"/>
      <c r="B66" s="121" t="s">
        <v>490</v>
      </c>
      <c r="C66" s="121" t="s">
        <v>1099</v>
      </c>
      <c r="D66" s="121">
        <v>20760</v>
      </c>
      <c r="E66" s="192" t="s">
        <v>1100</v>
      </c>
      <c r="F66" s="192" t="s">
        <v>1101</v>
      </c>
      <c r="G66" s="192" t="s">
        <v>537</v>
      </c>
      <c r="H66" s="193" t="s">
        <v>1098</v>
      </c>
      <c r="I66" s="192" t="s">
        <v>1079</v>
      </c>
      <c r="J66" s="192" t="s">
        <v>1080</v>
      </c>
      <c r="K66" s="194">
        <v>44592</v>
      </c>
      <c r="L66" s="194"/>
      <c r="M66" s="194">
        <v>44592</v>
      </c>
      <c r="N66" s="195" t="s">
        <v>539</v>
      </c>
      <c r="O66" s="195">
        <v>38</v>
      </c>
      <c r="P66" s="196">
        <f t="shared" si="49"/>
        <v>1</v>
      </c>
      <c r="Q66" s="192" t="s">
        <v>617</v>
      </c>
      <c r="R66" s="192">
        <v>8939</v>
      </c>
      <c r="S66" s="192" t="s">
        <v>821</v>
      </c>
      <c r="T66" s="192" t="s">
        <v>822</v>
      </c>
      <c r="U66" s="192" t="s">
        <v>947</v>
      </c>
      <c r="V66" s="193" t="s">
        <v>543</v>
      </c>
      <c r="W66" s="193" t="s">
        <v>545</v>
      </c>
      <c r="X66" s="193" t="s">
        <v>823</v>
      </c>
      <c r="Y66" s="56" t="s">
        <v>824</v>
      </c>
      <c r="Z66" s="193" t="s">
        <v>821</v>
      </c>
      <c r="AA66" s="193" t="s">
        <v>1072</v>
      </c>
      <c r="AB66" s="57" t="s">
        <v>1367</v>
      </c>
      <c r="AC66" s="193" t="s">
        <v>825</v>
      </c>
      <c r="AD66" s="56" t="s">
        <v>826</v>
      </c>
      <c r="AE66" s="10">
        <f>IFERROR(INDEX('[3]Lookup_Rem Ranges'!$D:$D,MATCH($AL:$AL,'[3]Lookup_Rem Ranges'!$C:$C,0)),0)</f>
        <v>105500</v>
      </c>
      <c r="AF66" s="10">
        <f>IFERROR(INDEX('[3]Lookup_Rem Ranges'!$E:$E,MATCH($AL:$AL,'[3]Lookup_Rem Ranges'!$C:$C,0)),0)</f>
        <v>124100</v>
      </c>
      <c r="AG66" s="10">
        <f>IFERROR(INDEX('[3]Lookup_Rem Ranges'!$F:$F,MATCH($AL:$AL,'[3]Lookup_Rem Ranges'!$C:$C,0)),)</f>
        <v>142700</v>
      </c>
      <c r="AH66" s="193" t="s">
        <v>622</v>
      </c>
      <c r="AI66" s="197"/>
      <c r="AJ66" s="198">
        <v>0</v>
      </c>
      <c r="AK66" s="199"/>
      <c r="AL66" s="200" t="str">
        <f t="shared" si="50"/>
        <v>CASS6</v>
      </c>
      <c r="AM66" s="200" t="s">
        <v>487</v>
      </c>
      <c r="AN66" s="197">
        <v>6</v>
      </c>
      <c r="AO66" s="199" t="s">
        <v>827</v>
      </c>
      <c r="AP66" s="5">
        <v>124700</v>
      </c>
      <c r="AQ66" s="10">
        <f t="shared" si="51"/>
        <v>124700</v>
      </c>
      <c r="AR66" s="10">
        <f t="shared" si="52"/>
        <v>0</v>
      </c>
      <c r="AS66" s="53">
        <v>3.9166666666666669E-2</v>
      </c>
      <c r="AT66" s="53">
        <v>0</v>
      </c>
      <c r="AU66" s="201"/>
      <c r="AV66" s="10"/>
      <c r="AW66" s="54">
        <v>0</v>
      </c>
      <c r="AX66" s="10">
        <v>0</v>
      </c>
      <c r="AY66" s="10">
        <v>124700</v>
      </c>
      <c r="AZ66" s="55">
        <f t="shared" si="53"/>
        <v>1.0048348106365834</v>
      </c>
      <c r="BA66" s="37" t="s">
        <v>687</v>
      </c>
      <c r="BB66" s="38">
        <v>2</v>
      </c>
      <c r="BC66" s="53">
        <f t="shared" si="54"/>
        <v>0</v>
      </c>
      <c r="BD66" s="65">
        <f t="shared" si="96"/>
        <v>0</v>
      </c>
      <c r="BE66" s="44">
        <v>0</v>
      </c>
      <c r="BF66" s="179">
        <f t="shared" si="55"/>
        <v>0</v>
      </c>
      <c r="BG66" s="402">
        <v>0</v>
      </c>
      <c r="BH66" s="403">
        <f t="shared" si="56"/>
        <v>0</v>
      </c>
      <c r="BI66" s="44">
        <v>0</v>
      </c>
      <c r="BJ66" s="179">
        <f t="shared" si="57"/>
        <v>0</v>
      </c>
      <c r="BK66" s="179">
        <f t="shared" si="58"/>
        <v>0</v>
      </c>
      <c r="BL66" s="202"/>
      <c r="BM66" s="203">
        <f t="shared" si="59"/>
        <v>0</v>
      </c>
      <c r="BN66" s="204">
        <f t="shared" si="60"/>
        <v>0</v>
      </c>
      <c r="BO66" s="16">
        <f t="shared" si="61"/>
        <v>124700</v>
      </c>
      <c r="BP66" s="205">
        <f t="shared" si="62"/>
        <v>13717</v>
      </c>
      <c r="BQ66" s="206">
        <f t="shared" si="63"/>
        <v>138417</v>
      </c>
      <c r="BR66" s="55">
        <f t="shared" si="64"/>
        <v>1.0048348106365834</v>
      </c>
      <c r="BS66" s="64">
        <f t="shared" si="65"/>
        <v>0</v>
      </c>
      <c r="BT66" s="53">
        <f t="shared" si="66"/>
        <v>0</v>
      </c>
      <c r="BU66" s="65">
        <f t="shared" si="67"/>
        <v>0</v>
      </c>
      <c r="BV66" s="206">
        <f t="shared" si="68"/>
        <v>124700</v>
      </c>
      <c r="BW66" s="207">
        <f t="shared" si="69"/>
        <v>63.11</v>
      </c>
      <c r="BX66" s="199"/>
      <c r="BY66" s="206">
        <f t="shared" si="70"/>
        <v>138417</v>
      </c>
      <c r="BZ66" s="208" t="s">
        <v>687</v>
      </c>
      <c r="CA66" s="199"/>
      <c r="CB66" s="199"/>
      <c r="CC66" s="200" t="str">
        <f t="shared" si="71"/>
        <v/>
      </c>
      <c r="CD66" s="197"/>
      <c r="CE66" s="197"/>
      <c r="CF66" s="10" t="str">
        <f>IFERROR(INDEX('[4]Lookup_Rem Ranges'!$D:$D,MATCH($CC:$CC,'[4]Lookup_Rem Ranges'!$C:$C,0)),"")</f>
        <v/>
      </c>
      <c r="CG66" s="307"/>
      <c r="CH66" s="307"/>
      <c r="CI66" s="210"/>
      <c r="CJ66" s="122" t="s">
        <v>701</v>
      </c>
      <c r="CK66" s="206">
        <f t="shared" si="72"/>
        <v>0</v>
      </c>
      <c r="CL66" s="206">
        <f t="shared" si="73"/>
        <v>0</v>
      </c>
      <c r="CM66" s="123"/>
      <c r="CN66" s="124">
        <f t="shared" si="74"/>
        <v>0</v>
      </c>
      <c r="CO66" s="124" t="s">
        <v>1376</v>
      </c>
      <c r="CP66" s="125">
        <f t="shared" si="75"/>
        <v>0</v>
      </c>
      <c r="CQ66" s="126">
        <f t="shared" si="76"/>
        <v>0</v>
      </c>
      <c r="CR66" s="127">
        <f t="shared" si="77"/>
        <v>0</v>
      </c>
      <c r="CS66" s="128">
        <f t="shared" si="78"/>
        <v>0</v>
      </c>
      <c r="CT66" s="127">
        <f t="shared" si="79"/>
        <v>0</v>
      </c>
      <c r="CU66" s="128">
        <f t="shared" si="80"/>
        <v>0</v>
      </c>
      <c r="CV66" s="127">
        <f t="shared" si="81"/>
        <v>0</v>
      </c>
      <c r="CW66" s="128">
        <f t="shared" si="82"/>
        <v>0</v>
      </c>
      <c r="CX66" s="127">
        <f t="shared" si="83"/>
        <v>0</v>
      </c>
      <c r="CY66" s="128">
        <f t="shared" si="84"/>
        <v>0</v>
      </c>
      <c r="CZ66" s="127">
        <f>$CR:$CR+$CT:CT+$CV:$CV+$CX:$CX</f>
        <v>0</v>
      </c>
      <c r="DA66" s="127">
        <f t="shared" si="85"/>
        <v>0</v>
      </c>
      <c r="DB66" s="127"/>
      <c r="DC66" s="127">
        <f t="shared" si="86"/>
        <v>0</v>
      </c>
      <c r="DD66" s="128">
        <f t="shared" si="87"/>
        <v>0</v>
      </c>
      <c r="DE66" s="129">
        <f t="shared" si="88"/>
        <v>0</v>
      </c>
      <c r="DF66" s="128">
        <f t="shared" si="89"/>
        <v>0</v>
      </c>
      <c r="DG66" s="129">
        <f t="shared" si="90"/>
        <v>0</v>
      </c>
      <c r="DH66" s="128">
        <f t="shared" si="91"/>
        <v>0</v>
      </c>
      <c r="DI66" s="127">
        <f t="shared" si="92"/>
        <v>0</v>
      </c>
      <c r="DJ66" s="128">
        <f t="shared" si="93"/>
        <v>0</v>
      </c>
      <c r="DK66" s="127">
        <f t="shared" si="94"/>
        <v>0</v>
      </c>
      <c r="DL66" s="128">
        <f t="shared" si="95"/>
        <v>0</v>
      </c>
      <c r="DM66" s="130"/>
      <c r="DN66" s="131"/>
      <c r="DO66" s="131"/>
      <c r="DP66" s="131"/>
      <c r="DQ66" s="131"/>
      <c r="DR66" s="131"/>
      <c r="DS66" s="131"/>
      <c r="DT66" s="131"/>
      <c r="DU66" s="131"/>
      <c r="DV66" s="131"/>
      <c r="DW66" s="131" t="s">
        <v>1380</v>
      </c>
    </row>
    <row r="67" spans="1:127" ht="24">
      <c r="A67" s="134"/>
      <c r="B67" s="121" t="s">
        <v>490</v>
      </c>
      <c r="C67" s="121" t="s">
        <v>1167</v>
      </c>
      <c r="D67" s="121">
        <v>15317</v>
      </c>
      <c r="E67" s="192" t="s">
        <v>1168</v>
      </c>
      <c r="F67" s="192" t="s">
        <v>1169</v>
      </c>
      <c r="G67" s="192" t="s">
        <v>537</v>
      </c>
      <c r="H67" s="193" t="s">
        <v>1170</v>
      </c>
      <c r="I67" s="192" t="s">
        <v>1171</v>
      </c>
      <c r="J67" s="192" t="s">
        <v>1172</v>
      </c>
      <c r="K67" s="194">
        <v>42156</v>
      </c>
      <c r="L67" s="194"/>
      <c r="M67" s="194">
        <v>44743</v>
      </c>
      <c r="N67" s="195" t="s">
        <v>539</v>
      </c>
      <c r="O67" s="195">
        <v>38</v>
      </c>
      <c r="P67" s="196">
        <f t="shared" si="49"/>
        <v>1</v>
      </c>
      <c r="Q67" s="192" t="s">
        <v>614</v>
      </c>
      <c r="R67" s="192">
        <v>8939</v>
      </c>
      <c r="S67" s="192" t="s">
        <v>821</v>
      </c>
      <c r="T67" s="192" t="s">
        <v>822</v>
      </c>
      <c r="U67" s="192" t="s">
        <v>801</v>
      </c>
      <c r="V67" s="193" t="s">
        <v>543</v>
      </c>
      <c r="W67" s="193" t="s">
        <v>545</v>
      </c>
      <c r="X67" s="193" t="s">
        <v>823</v>
      </c>
      <c r="Y67" s="56" t="s">
        <v>824</v>
      </c>
      <c r="Z67" s="193" t="s">
        <v>821</v>
      </c>
      <c r="AA67" s="193" t="s">
        <v>1072</v>
      </c>
      <c r="AB67" s="57" t="s">
        <v>1367</v>
      </c>
      <c r="AC67" s="193" t="s">
        <v>825</v>
      </c>
      <c r="AD67" s="56" t="s">
        <v>826</v>
      </c>
      <c r="AE67" s="10">
        <f>IFERROR(INDEX('[3]Lookup_Rem Ranges'!$D:$D,MATCH($AL:$AL,'[3]Lookup_Rem Ranges'!$C:$C,0)),0)</f>
        <v>105500</v>
      </c>
      <c r="AF67" s="10">
        <f>IFERROR(INDEX('[3]Lookup_Rem Ranges'!$E:$E,MATCH($AL:$AL,'[3]Lookup_Rem Ranges'!$C:$C,0)),0)</f>
        <v>124100</v>
      </c>
      <c r="AG67" s="10">
        <f>IFERROR(INDEX('[3]Lookup_Rem Ranges'!$F:$F,MATCH($AL:$AL,'[3]Lookup_Rem Ranges'!$C:$C,0)),)</f>
        <v>142700</v>
      </c>
      <c r="AH67" s="193" t="s">
        <v>622</v>
      </c>
      <c r="AI67" s="197"/>
      <c r="AJ67" s="198">
        <v>0</v>
      </c>
      <c r="AK67" s="199"/>
      <c r="AL67" s="200" t="str">
        <f t="shared" si="50"/>
        <v>CASS6</v>
      </c>
      <c r="AM67" s="200" t="s">
        <v>487</v>
      </c>
      <c r="AN67" s="197">
        <v>6</v>
      </c>
      <c r="AO67" s="199" t="s">
        <v>701</v>
      </c>
      <c r="AP67" s="5">
        <v>124400</v>
      </c>
      <c r="AQ67" s="10">
        <f t="shared" si="51"/>
        <v>124400</v>
      </c>
      <c r="AR67" s="10">
        <f t="shared" si="52"/>
        <v>124400</v>
      </c>
      <c r="AS67" s="53">
        <v>4.5650301464254951E-2</v>
      </c>
      <c r="AT67" s="53">
        <v>0</v>
      </c>
      <c r="AU67" s="201"/>
      <c r="AV67" s="10"/>
      <c r="AW67" s="54">
        <v>0</v>
      </c>
      <c r="AX67" s="10">
        <v>0</v>
      </c>
      <c r="AY67" s="10">
        <v>124400</v>
      </c>
      <c r="AZ67" s="55">
        <f t="shared" si="53"/>
        <v>1.0024174053182917</v>
      </c>
      <c r="BA67" s="37" t="s">
        <v>23</v>
      </c>
      <c r="BB67" s="38">
        <v>4</v>
      </c>
      <c r="BC67" s="53">
        <f t="shared" si="54"/>
        <v>0</v>
      </c>
      <c r="BD67" s="65">
        <f t="shared" si="96"/>
        <v>0</v>
      </c>
      <c r="BE67" s="44">
        <v>3.2500000000000001E-2</v>
      </c>
      <c r="BF67" s="179">
        <f t="shared" si="55"/>
        <v>4043</v>
      </c>
      <c r="BG67" s="402">
        <v>0</v>
      </c>
      <c r="BH67" s="403">
        <f t="shared" si="56"/>
        <v>0</v>
      </c>
      <c r="BI67" s="44">
        <v>0</v>
      </c>
      <c r="BJ67" s="179">
        <f t="shared" si="57"/>
        <v>0</v>
      </c>
      <c r="BK67" s="179">
        <f t="shared" si="58"/>
        <v>0</v>
      </c>
      <c r="BL67" s="202"/>
      <c r="BM67" s="203">
        <f t="shared" si="59"/>
        <v>3.2500000000000001E-2</v>
      </c>
      <c r="BN67" s="204">
        <f t="shared" si="60"/>
        <v>4043</v>
      </c>
      <c r="BO67" s="16">
        <f t="shared" si="61"/>
        <v>128443</v>
      </c>
      <c r="BP67" s="205">
        <f t="shared" si="62"/>
        <v>14129</v>
      </c>
      <c r="BQ67" s="206">
        <f t="shared" si="63"/>
        <v>142572</v>
      </c>
      <c r="BR67" s="55">
        <f t="shared" si="64"/>
        <v>1.0349959709911363</v>
      </c>
      <c r="BS67" s="64">
        <f t="shared" si="65"/>
        <v>638</v>
      </c>
      <c r="BT67" s="53">
        <f t="shared" si="66"/>
        <v>3.2500000000000001E-2</v>
      </c>
      <c r="BU67" s="65">
        <f t="shared" si="67"/>
        <v>4043</v>
      </c>
      <c r="BV67" s="206">
        <f t="shared" si="68"/>
        <v>128443</v>
      </c>
      <c r="BW67" s="207">
        <f t="shared" si="69"/>
        <v>65</v>
      </c>
      <c r="BX67" s="199"/>
      <c r="BY67" s="206">
        <f t="shared" si="70"/>
        <v>142572</v>
      </c>
      <c r="BZ67" s="208" t="s">
        <v>687</v>
      </c>
      <c r="CA67" s="199"/>
      <c r="CB67" s="199"/>
      <c r="CC67" s="200" t="str">
        <f t="shared" si="71"/>
        <v/>
      </c>
      <c r="CD67" s="197"/>
      <c r="CE67" s="197"/>
      <c r="CF67" s="10" t="str">
        <f>IFERROR(INDEX('[4]Lookup_Rem Ranges'!$D:$D,MATCH($CC:$CC,'[4]Lookup_Rem Ranges'!$C:$C,0)),"")</f>
        <v/>
      </c>
      <c r="CG67" s="307"/>
      <c r="CH67" s="307"/>
      <c r="CI67" s="210"/>
      <c r="CJ67" s="122" t="s">
        <v>701</v>
      </c>
      <c r="CK67" s="206">
        <f t="shared" si="72"/>
        <v>0</v>
      </c>
      <c r="CL67" s="206">
        <f t="shared" si="73"/>
        <v>0</v>
      </c>
      <c r="CM67" s="123"/>
      <c r="CN67" s="124">
        <f t="shared" si="74"/>
        <v>0</v>
      </c>
      <c r="CO67" s="124" t="s">
        <v>1374</v>
      </c>
      <c r="CP67" s="125">
        <f t="shared" si="75"/>
        <v>3.2500000000000001E-2</v>
      </c>
      <c r="CQ67" s="126">
        <f t="shared" si="76"/>
        <v>4043</v>
      </c>
      <c r="CR67" s="127">
        <f t="shared" si="77"/>
        <v>0</v>
      </c>
      <c r="CS67" s="128">
        <f t="shared" si="78"/>
        <v>0</v>
      </c>
      <c r="CT67" s="127">
        <f t="shared" si="79"/>
        <v>0</v>
      </c>
      <c r="CU67" s="128">
        <f t="shared" si="80"/>
        <v>0</v>
      </c>
      <c r="CV67" s="127">
        <f t="shared" si="81"/>
        <v>0</v>
      </c>
      <c r="CW67" s="128">
        <f t="shared" si="82"/>
        <v>0</v>
      </c>
      <c r="CX67" s="127">
        <f t="shared" si="83"/>
        <v>0</v>
      </c>
      <c r="CY67" s="128">
        <f t="shared" si="84"/>
        <v>0</v>
      </c>
      <c r="CZ67" s="127">
        <f>$CR:$CR+$CT:CT+$CV:$CV+$CX:$CX</f>
        <v>0</v>
      </c>
      <c r="DA67" s="127">
        <f t="shared" si="85"/>
        <v>0</v>
      </c>
      <c r="DB67" s="127"/>
      <c r="DC67" s="127">
        <f t="shared" si="86"/>
        <v>3.2500000000000001E-2</v>
      </c>
      <c r="DD67" s="128">
        <f t="shared" si="87"/>
        <v>4043</v>
      </c>
      <c r="DE67" s="129">
        <f t="shared" si="88"/>
        <v>0</v>
      </c>
      <c r="DF67" s="128">
        <f t="shared" si="89"/>
        <v>0</v>
      </c>
      <c r="DG67" s="129">
        <f t="shared" si="90"/>
        <v>0</v>
      </c>
      <c r="DH67" s="128">
        <f t="shared" si="91"/>
        <v>0</v>
      </c>
      <c r="DI67" s="127">
        <f t="shared" si="92"/>
        <v>3.2500000000000001E-2</v>
      </c>
      <c r="DJ67" s="128">
        <f t="shared" si="93"/>
        <v>4043</v>
      </c>
      <c r="DK67" s="127">
        <f t="shared" si="94"/>
        <v>0</v>
      </c>
      <c r="DL67" s="128">
        <f t="shared" si="95"/>
        <v>0</v>
      </c>
      <c r="DM67" s="130"/>
      <c r="DN67" s="131"/>
      <c r="DO67" s="131"/>
      <c r="DP67" s="131"/>
      <c r="DQ67" s="131"/>
      <c r="DR67" s="131"/>
      <c r="DS67" s="131"/>
      <c r="DT67" s="131"/>
      <c r="DU67" s="131"/>
      <c r="DV67" s="131"/>
      <c r="DW67" s="131" t="s">
        <v>1380</v>
      </c>
    </row>
    <row r="68" spans="1:127" ht="22.5">
      <c r="A68" s="134"/>
      <c r="B68" s="121" t="s">
        <v>490</v>
      </c>
      <c r="C68" s="121" t="s">
        <v>1102</v>
      </c>
      <c r="D68" s="121">
        <v>20790</v>
      </c>
      <c r="E68" s="192" t="s">
        <v>909</v>
      </c>
      <c r="F68" s="192" t="s">
        <v>1103</v>
      </c>
      <c r="G68" s="192" t="s">
        <v>537</v>
      </c>
      <c r="H68" s="193" t="s">
        <v>1098</v>
      </c>
      <c r="I68" s="192" t="s">
        <v>1085</v>
      </c>
      <c r="J68" s="192" t="s">
        <v>1080</v>
      </c>
      <c r="K68" s="194">
        <v>44606</v>
      </c>
      <c r="L68" s="194"/>
      <c r="M68" s="194">
        <v>44606</v>
      </c>
      <c r="N68" s="195" t="s">
        <v>539</v>
      </c>
      <c r="O68" s="195">
        <v>38</v>
      </c>
      <c r="P68" s="196">
        <f t="shared" si="49"/>
        <v>1</v>
      </c>
      <c r="Q68" s="192" t="s">
        <v>617</v>
      </c>
      <c r="R68" s="192">
        <v>8939</v>
      </c>
      <c r="S68" s="192" t="s">
        <v>821</v>
      </c>
      <c r="T68" s="192" t="s">
        <v>822</v>
      </c>
      <c r="U68" s="192" t="s">
        <v>947</v>
      </c>
      <c r="V68" s="193" t="s">
        <v>543</v>
      </c>
      <c r="W68" s="193" t="s">
        <v>545</v>
      </c>
      <c r="X68" s="193" t="s">
        <v>823</v>
      </c>
      <c r="Y68" s="56" t="s">
        <v>824</v>
      </c>
      <c r="Z68" s="193" t="s">
        <v>821</v>
      </c>
      <c r="AA68" s="193" t="s">
        <v>1072</v>
      </c>
      <c r="AB68" s="57" t="s">
        <v>1367</v>
      </c>
      <c r="AC68" s="193" t="s">
        <v>825</v>
      </c>
      <c r="AD68" s="56" t="s">
        <v>826</v>
      </c>
      <c r="AE68" s="10">
        <f>IFERROR(INDEX('[3]Lookup_Rem Ranges'!$D:$D,MATCH($AL:$AL,'[3]Lookup_Rem Ranges'!$C:$C,0)),0)</f>
        <v>105500</v>
      </c>
      <c r="AF68" s="10">
        <f>IFERROR(INDEX('[3]Lookup_Rem Ranges'!$E:$E,MATCH($AL:$AL,'[3]Lookup_Rem Ranges'!$C:$C,0)),0)</f>
        <v>124100</v>
      </c>
      <c r="AG68" s="10">
        <f>IFERROR(INDEX('[3]Lookup_Rem Ranges'!$F:$F,MATCH($AL:$AL,'[3]Lookup_Rem Ranges'!$C:$C,0)),)</f>
        <v>142700</v>
      </c>
      <c r="AH68" s="193" t="s">
        <v>622</v>
      </c>
      <c r="AI68" s="197"/>
      <c r="AJ68" s="198">
        <v>0</v>
      </c>
      <c r="AK68" s="199"/>
      <c r="AL68" s="200" t="str">
        <f t="shared" si="50"/>
        <v>CASS6</v>
      </c>
      <c r="AM68" s="200" t="s">
        <v>487</v>
      </c>
      <c r="AN68" s="197">
        <v>6</v>
      </c>
      <c r="AO68" s="199" t="s">
        <v>827</v>
      </c>
      <c r="AP68" s="5">
        <v>124700</v>
      </c>
      <c r="AQ68" s="10">
        <f t="shared" si="51"/>
        <v>124700</v>
      </c>
      <c r="AR68" s="10">
        <f t="shared" si="52"/>
        <v>0</v>
      </c>
      <c r="AS68" s="53">
        <v>3.9166666666666669E-2</v>
      </c>
      <c r="AT68" s="53">
        <v>0</v>
      </c>
      <c r="AU68" s="201"/>
      <c r="AV68" s="10"/>
      <c r="AW68" s="54">
        <v>0</v>
      </c>
      <c r="AX68" s="10">
        <v>0</v>
      </c>
      <c r="AY68" s="10">
        <v>124700</v>
      </c>
      <c r="AZ68" s="55">
        <f t="shared" si="53"/>
        <v>1.0048348106365834</v>
      </c>
      <c r="BA68" s="37" t="s">
        <v>687</v>
      </c>
      <c r="BB68" s="38">
        <v>2</v>
      </c>
      <c r="BC68" s="53">
        <f t="shared" si="54"/>
        <v>0</v>
      </c>
      <c r="BD68" s="65">
        <f t="shared" si="96"/>
        <v>0</v>
      </c>
      <c r="BE68" s="44">
        <v>0</v>
      </c>
      <c r="BF68" s="179">
        <f t="shared" si="55"/>
        <v>0</v>
      </c>
      <c r="BG68" s="402">
        <v>0</v>
      </c>
      <c r="BH68" s="403">
        <f t="shared" si="56"/>
        <v>0</v>
      </c>
      <c r="BI68" s="44">
        <v>0</v>
      </c>
      <c r="BJ68" s="179">
        <f t="shared" si="57"/>
        <v>0</v>
      </c>
      <c r="BK68" s="179">
        <f t="shared" si="58"/>
        <v>0</v>
      </c>
      <c r="BL68" s="202"/>
      <c r="BM68" s="203">
        <f t="shared" si="59"/>
        <v>0</v>
      </c>
      <c r="BN68" s="204">
        <f t="shared" si="60"/>
        <v>0</v>
      </c>
      <c r="BO68" s="16">
        <f t="shared" si="61"/>
        <v>124700</v>
      </c>
      <c r="BP68" s="205">
        <f t="shared" si="62"/>
        <v>13717</v>
      </c>
      <c r="BQ68" s="206">
        <f t="shared" si="63"/>
        <v>138417</v>
      </c>
      <c r="BR68" s="55">
        <f t="shared" si="64"/>
        <v>1.0048348106365834</v>
      </c>
      <c r="BS68" s="64">
        <f t="shared" si="65"/>
        <v>0</v>
      </c>
      <c r="BT68" s="53">
        <f t="shared" si="66"/>
        <v>0</v>
      </c>
      <c r="BU68" s="65">
        <f t="shared" si="67"/>
        <v>0</v>
      </c>
      <c r="BV68" s="206">
        <f t="shared" si="68"/>
        <v>124700</v>
      </c>
      <c r="BW68" s="207">
        <f t="shared" si="69"/>
        <v>63.11</v>
      </c>
      <c r="BX68" s="199"/>
      <c r="BY68" s="206">
        <f t="shared" si="70"/>
        <v>138417</v>
      </c>
      <c r="BZ68" s="208" t="s">
        <v>687</v>
      </c>
      <c r="CA68" s="199"/>
      <c r="CB68" s="199"/>
      <c r="CC68" s="200" t="str">
        <f t="shared" si="71"/>
        <v/>
      </c>
      <c r="CD68" s="197"/>
      <c r="CE68" s="197"/>
      <c r="CF68" s="10" t="str">
        <f>IFERROR(INDEX('[4]Lookup_Rem Ranges'!$D:$D,MATCH($CC:$CC,'[4]Lookup_Rem Ranges'!$C:$C,0)),"")</f>
        <v/>
      </c>
      <c r="CG68" s="307"/>
      <c r="CH68" s="307"/>
      <c r="CI68" s="210"/>
      <c r="CJ68" s="122" t="s">
        <v>701</v>
      </c>
      <c r="CK68" s="206">
        <f t="shared" si="72"/>
        <v>0</v>
      </c>
      <c r="CL68" s="206">
        <f t="shared" si="73"/>
        <v>0</v>
      </c>
      <c r="CM68" s="123"/>
      <c r="CN68" s="124">
        <f t="shared" si="74"/>
        <v>0</v>
      </c>
      <c r="CO68" s="124" t="s">
        <v>1375</v>
      </c>
      <c r="CP68" s="125">
        <f t="shared" si="75"/>
        <v>0</v>
      </c>
      <c r="CQ68" s="126">
        <f t="shared" si="76"/>
        <v>0</v>
      </c>
      <c r="CR68" s="127">
        <f t="shared" si="77"/>
        <v>0</v>
      </c>
      <c r="CS68" s="128">
        <f t="shared" si="78"/>
        <v>0</v>
      </c>
      <c r="CT68" s="127">
        <f t="shared" si="79"/>
        <v>0</v>
      </c>
      <c r="CU68" s="128">
        <f t="shared" si="80"/>
        <v>0</v>
      </c>
      <c r="CV68" s="127">
        <f t="shared" si="81"/>
        <v>0</v>
      </c>
      <c r="CW68" s="128">
        <f t="shared" si="82"/>
        <v>0</v>
      </c>
      <c r="CX68" s="127">
        <f t="shared" si="83"/>
        <v>0</v>
      </c>
      <c r="CY68" s="128">
        <f t="shared" si="84"/>
        <v>0</v>
      </c>
      <c r="CZ68" s="127">
        <f>$CR:$CR+$CT:CT+$CV:$CV+$CX:$CX</f>
        <v>0</v>
      </c>
      <c r="DA68" s="127">
        <f t="shared" si="85"/>
        <v>0</v>
      </c>
      <c r="DB68" s="127"/>
      <c r="DC68" s="127">
        <f t="shared" si="86"/>
        <v>0</v>
      </c>
      <c r="DD68" s="128">
        <f t="shared" si="87"/>
        <v>0</v>
      </c>
      <c r="DE68" s="129">
        <f t="shared" si="88"/>
        <v>0</v>
      </c>
      <c r="DF68" s="128">
        <f t="shared" si="89"/>
        <v>0</v>
      </c>
      <c r="DG68" s="129">
        <f t="shared" si="90"/>
        <v>0</v>
      </c>
      <c r="DH68" s="128">
        <f t="shared" si="91"/>
        <v>0</v>
      </c>
      <c r="DI68" s="127">
        <f t="shared" si="92"/>
        <v>0</v>
      </c>
      <c r="DJ68" s="128">
        <f t="shared" si="93"/>
        <v>0</v>
      </c>
      <c r="DK68" s="127">
        <f t="shared" si="94"/>
        <v>0</v>
      </c>
      <c r="DL68" s="128">
        <f t="shared" si="95"/>
        <v>0</v>
      </c>
      <c r="DM68" s="130"/>
      <c r="DN68" s="131"/>
      <c r="DO68" s="131"/>
      <c r="DP68" s="131"/>
      <c r="DQ68" s="131"/>
      <c r="DR68" s="131"/>
      <c r="DS68" s="131"/>
      <c r="DT68" s="131"/>
      <c r="DU68" s="131"/>
      <c r="DV68" s="131"/>
      <c r="DW68" s="131" t="s">
        <v>1380</v>
      </c>
    </row>
    <row r="69" spans="1:127" ht="33.75">
      <c r="A69" s="134"/>
      <c r="B69" s="121" t="s">
        <v>490</v>
      </c>
      <c r="C69" s="121" t="s">
        <v>904</v>
      </c>
      <c r="D69" s="121">
        <v>10317</v>
      </c>
      <c r="E69" s="192" t="s">
        <v>493</v>
      </c>
      <c r="F69" s="192" t="s">
        <v>905</v>
      </c>
      <c r="G69" s="192" t="s">
        <v>537</v>
      </c>
      <c r="H69" s="193" t="s">
        <v>906</v>
      </c>
      <c r="I69" s="192" t="s">
        <v>907</v>
      </c>
      <c r="J69" s="192" t="s">
        <v>908</v>
      </c>
      <c r="K69" s="194">
        <v>40127</v>
      </c>
      <c r="L69" s="194"/>
      <c r="M69" s="194">
        <v>44662</v>
      </c>
      <c r="N69" s="195" t="s">
        <v>539</v>
      </c>
      <c r="O69" s="195">
        <v>38</v>
      </c>
      <c r="P69" s="196">
        <f t="shared" si="49"/>
        <v>1</v>
      </c>
      <c r="Q69" s="192" t="s">
        <v>614</v>
      </c>
      <c r="R69" s="192">
        <v>8939</v>
      </c>
      <c r="S69" s="192" t="s">
        <v>821</v>
      </c>
      <c r="T69" s="192" t="s">
        <v>822</v>
      </c>
      <c r="U69" s="192" t="s">
        <v>801</v>
      </c>
      <c r="V69" s="193" t="s">
        <v>543</v>
      </c>
      <c r="W69" s="193" t="s">
        <v>545</v>
      </c>
      <c r="X69" s="193" t="s">
        <v>823</v>
      </c>
      <c r="Y69" s="56" t="s">
        <v>824</v>
      </c>
      <c r="Z69" s="193" t="s">
        <v>821</v>
      </c>
      <c r="AA69" s="193" t="s">
        <v>1072</v>
      </c>
      <c r="AB69" s="57" t="s">
        <v>1367</v>
      </c>
      <c r="AC69" s="193" t="s">
        <v>825</v>
      </c>
      <c r="AD69" s="56" t="s">
        <v>826</v>
      </c>
      <c r="AE69" s="10">
        <f>IFERROR(INDEX('[3]Lookup_Rem Ranges'!$D:$D,MATCH($AL:$AL,'[3]Lookup_Rem Ranges'!$C:$C,0)),0)</f>
        <v>133400</v>
      </c>
      <c r="AF69" s="10">
        <f>IFERROR(INDEX('[3]Lookup_Rem Ranges'!$E:$E,MATCH($AL:$AL,'[3]Lookup_Rem Ranges'!$C:$C,0)),0)</f>
        <v>156900</v>
      </c>
      <c r="AG69" s="10">
        <f>IFERROR(INDEX('[3]Lookup_Rem Ranges'!$F:$F,MATCH($AL:$AL,'[3]Lookup_Rem Ranges'!$C:$C,0)),)</f>
        <v>180400</v>
      </c>
      <c r="AH69" s="193" t="s">
        <v>622</v>
      </c>
      <c r="AI69" s="197"/>
      <c r="AJ69" s="198">
        <v>0</v>
      </c>
      <c r="AK69" s="199"/>
      <c r="AL69" s="200" t="str">
        <f t="shared" si="50"/>
        <v>CASS7</v>
      </c>
      <c r="AM69" s="200" t="s">
        <v>487</v>
      </c>
      <c r="AN69" s="197">
        <v>7</v>
      </c>
      <c r="AO69" s="199" t="s">
        <v>701</v>
      </c>
      <c r="AP69" s="5">
        <v>126500</v>
      </c>
      <c r="AQ69" s="10">
        <f t="shared" si="51"/>
        <v>126500</v>
      </c>
      <c r="AR69" s="10">
        <f t="shared" si="52"/>
        <v>126500</v>
      </c>
      <c r="AS69" s="53">
        <v>2.0161290322580645E-2</v>
      </c>
      <c r="AT69" s="53">
        <v>0</v>
      </c>
      <c r="AU69" s="201"/>
      <c r="AV69" s="10"/>
      <c r="AW69" s="54">
        <v>0</v>
      </c>
      <c r="AX69" s="10">
        <v>0</v>
      </c>
      <c r="AY69" s="10">
        <v>126500</v>
      </c>
      <c r="AZ69" s="55">
        <f t="shared" si="53"/>
        <v>0.80624601657106432</v>
      </c>
      <c r="BA69" s="37" t="s">
        <v>23</v>
      </c>
      <c r="BB69" s="38">
        <v>4</v>
      </c>
      <c r="BC69" s="53">
        <f t="shared" si="54"/>
        <v>5.4545454545454543E-2</v>
      </c>
      <c r="BD69" s="65">
        <f t="shared" si="96"/>
        <v>6900</v>
      </c>
      <c r="BE69" s="44">
        <v>0</v>
      </c>
      <c r="BF69" s="179">
        <f t="shared" si="55"/>
        <v>0</v>
      </c>
      <c r="BG69" s="402">
        <v>0</v>
      </c>
      <c r="BH69" s="403">
        <f t="shared" si="56"/>
        <v>0</v>
      </c>
      <c r="BI69" s="44">
        <v>0</v>
      </c>
      <c r="BJ69" s="179">
        <f t="shared" si="57"/>
        <v>0</v>
      </c>
      <c r="BK69" s="179">
        <f t="shared" si="58"/>
        <v>0</v>
      </c>
      <c r="BL69" s="202"/>
      <c r="BM69" s="203">
        <f t="shared" si="59"/>
        <v>5.4545454545454543E-2</v>
      </c>
      <c r="BN69" s="204">
        <f t="shared" si="60"/>
        <v>6900</v>
      </c>
      <c r="BO69" s="16">
        <f t="shared" si="61"/>
        <v>133400</v>
      </c>
      <c r="BP69" s="205">
        <f t="shared" si="62"/>
        <v>14674</v>
      </c>
      <c r="BQ69" s="206">
        <f t="shared" si="63"/>
        <v>148074</v>
      </c>
      <c r="BR69" s="55">
        <f t="shared" si="64"/>
        <v>0.85022307202039515</v>
      </c>
      <c r="BS69" s="64">
        <f t="shared" si="65"/>
        <v>1088</v>
      </c>
      <c r="BT69" s="53">
        <f t="shared" si="66"/>
        <v>5.4545454545454543E-2</v>
      </c>
      <c r="BU69" s="65">
        <f t="shared" si="67"/>
        <v>6900</v>
      </c>
      <c r="BV69" s="206">
        <f t="shared" si="68"/>
        <v>133400</v>
      </c>
      <c r="BW69" s="207">
        <f t="shared" si="69"/>
        <v>67.510000000000005</v>
      </c>
      <c r="BX69" s="199"/>
      <c r="BY69" s="206">
        <f t="shared" si="70"/>
        <v>148074</v>
      </c>
      <c r="BZ69" s="208" t="s">
        <v>687</v>
      </c>
      <c r="CA69" s="199"/>
      <c r="CB69" s="199"/>
      <c r="CC69" s="200" t="str">
        <f t="shared" si="71"/>
        <v/>
      </c>
      <c r="CD69" s="197"/>
      <c r="CE69" s="197"/>
      <c r="CF69" s="10" t="str">
        <f>IFERROR(INDEX('[4]Lookup_Rem Ranges'!$D:$D,MATCH($CC:$CC,'[4]Lookup_Rem Ranges'!$C:$C,0)),"")</f>
        <v/>
      </c>
      <c r="CG69" s="307"/>
      <c r="CH69" s="307"/>
      <c r="CI69" s="210"/>
      <c r="CJ69" s="122" t="s">
        <v>701</v>
      </c>
      <c r="CK69" s="206">
        <f t="shared" si="72"/>
        <v>0</v>
      </c>
      <c r="CL69" s="206">
        <f t="shared" si="73"/>
        <v>0</v>
      </c>
      <c r="CM69" s="123"/>
      <c r="CN69" s="124">
        <f t="shared" si="74"/>
        <v>0</v>
      </c>
      <c r="CO69" s="124" t="s">
        <v>1376</v>
      </c>
      <c r="CP69" s="125">
        <f t="shared" si="75"/>
        <v>3.2500000000000001E-2</v>
      </c>
      <c r="CQ69" s="126">
        <f t="shared" si="76"/>
        <v>4111</v>
      </c>
      <c r="CR69" s="127">
        <f t="shared" si="77"/>
        <v>0</v>
      </c>
      <c r="CS69" s="128">
        <f t="shared" si="78"/>
        <v>0</v>
      </c>
      <c r="CT69" s="127">
        <f t="shared" si="79"/>
        <v>0</v>
      </c>
      <c r="CU69" s="128">
        <f t="shared" si="80"/>
        <v>0</v>
      </c>
      <c r="CV69" s="127">
        <f t="shared" si="81"/>
        <v>3.2500000000000001E-2</v>
      </c>
      <c r="CW69" s="128">
        <f t="shared" si="82"/>
        <v>4111</v>
      </c>
      <c r="CX69" s="127">
        <f t="shared" si="83"/>
        <v>2.2045454545454542E-2</v>
      </c>
      <c r="CY69" s="128">
        <f t="shared" si="84"/>
        <v>2789</v>
      </c>
      <c r="CZ69" s="127">
        <f>$CR:$CR+$CT:CT+$CV:$CV+$CX:$CX</f>
        <v>5.4545454545454543E-2</v>
      </c>
      <c r="DA69" s="127">
        <f t="shared" si="85"/>
        <v>0</v>
      </c>
      <c r="DB69" s="127"/>
      <c r="DC69" s="127">
        <f t="shared" si="86"/>
        <v>0</v>
      </c>
      <c r="DD69" s="128">
        <f t="shared" si="87"/>
        <v>0</v>
      </c>
      <c r="DE69" s="129">
        <f t="shared" si="88"/>
        <v>0</v>
      </c>
      <c r="DF69" s="128">
        <f t="shared" si="89"/>
        <v>0</v>
      </c>
      <c r="DG69" s="129">
        <f t="shared" si="90"/>
        <v>0</v>
      </c>
      <c r="DH69" s="128">
        <f t="shared" si="91"/>
        <v>0</v>
      </c>
      <c r="DI69" s="127">
        <f t="shared" si="92"/>
        <v>3.2500000000000001E-2</v>
      </c>
      <c r="DJ69" s="128">
        <f t="shared" si="93"/>
        <v>4111</v>
      </c>
      <c r="DK69" s="127">
        <f t="shared" si="94"/>
        <v>2.2045454545454542E-2</v>
      </c>
      <c r="DL69" s="128">
        <f t="shared" si="95"/>
        <v>2789</v>
      </c>
      <c r="DM69" s="130"/>
      <c r="DN69" s="131"/>
      <c r="DO69" s="131"/>
      <c r="DP69" s="131"/>
      <c r="DQ69" s="131"/>
      <c r="DR69" s="131"/>
      <c r="DS69" s="131"/>
      <c r="DT69" s="131"/>
      <c r="DU69" s="131"/>
      <c r="DV69" s="131"/>
      <c r="DW69" s="131" t="s">
        <v>1380</v>
      </c>
    </row>
    <row r="70" spans="1:127" ht="22.5">
      <c r="A70" s="134"/>
      <c r="B70" s="121" t="s">
        <v>490</v>
      </c>
      <c r="C70" s="121" t="s">
        <v>1073</v>
      </c>
      <c r="D70" s="121">
        <v>20095</v>
      </c>
      <c r="E70" s="192" t="s">
        <v>1074</v>
      </c>
      <c r="F70" s="192" t="s">
        <v>812</v>
      </c>
      <c r="G70" s="192" t="s">
        <v>537</v>
      </c>
      <c r="H70" s="193" t="s">
        <v>1075</v>
      </c>
      <c r="I70" s="192" t="s">
        <v>1076</v>
      </c>
      <c r="J70" s="192" t="s">
        <v>1077</v>
      </c>
      <c r="K70" s="194">
        <v>43787</v>
      </c>
      <c r="L70" s="194"/>
      <c r="M70" s="194">
        <v>44930</v>
      </c>
      <c r="N70" s="195" t="s">
        <v>539</v>
      </c>
      <c r="O70" s="195">
        <v>38</v>
      </c>
      <c r="P70" s="196">
        <f t="shared" si="49"/>
        <v>1</v>
      </c>
      <c r="Q70" s="192" t="s">
        <v>617</v>
      </c>
      <c r="R70" s="192">
        <v>20760</v>
      </c>
      <c r="S70" s="192" t="s">
        <v>1078</v>
      </c>
      <c r="T70" s="192" t="s">
        <v>1079</v>
      </c>
      <c r="U70" s="192" t="s">
        <v>1080</v>
      </c>
      <c r="V70" s="193" t="s">
        <v>543</v>
      </c>
      <c r="W70" s="193" t="s">
        <v>545</v>
      </c>
      <c r="X70" s="193" t="s">
        <v>823</v>
      </c>
      <c r="Y70" s="56" t="s">
        <v>824</v>
      </c>
      <c r="Z70" s="193" t="s">
        <v>821</v>
      </c>
      <c r="AA70" s="193" t="s">
        <v>1072</v>
      </c>
      <c r="AB70" s="57" t="s">
        <v>1367</v>
      </c>
      <c r="AC70" s="193" t="s">
        <v>825</v>
      </c>
      <c r="AD70" s="56" t="s">
        <v>826</v>
      </c>
      <c r="AE70" s="10">
        <f>IFERROR(INDEX('[3]Lookup_Rem Ranges'!$D:$D,MATCH($AL:$AL,'[3]Lookup_Rem Ranges'!$C:$C,0)),0)</f>
        <v>83400</v>
      </c>
      <c r="AF70" s="10">
        <f>IFERROR(INDEX('[3]Lookup_Rem Ranges'!$E:$E,MATCH($AL:$AL,'[3]Lookup_Rem Ranges'!$C:$C,0)),0)</f>
        <v>98100</v>
      </c>
      <c r="AG70" s="10">
        <f>IFERROR(INDEX('[3]Lookup_Rem Ranges'!$F:$F,MATCH($AL:$AL,'[3]Lookup_Rem Ranges'!$C:$C,0)),)</f>
        <v>112800</v>
      </c>
      <c r="AH70" s="193" t="s">
        <v>622</v>
      </c>
      <c r="AI70" s="197"/>
      <c r="AJ70" s="198">
        <v>0</v>
      </c>
      <c r="AK70" s="199"/>
      <c r="AL70" s="200" t="str">
        <f t="shared" si="50"/>
        <v>CASS5</v>
      </c>
      <c r="AM70" s="200" t="s">
        <v>487</v>
      </c>
      <c r="AN70" s="197">
        <v>5</v>
      </c>
      <c r="AO70" s="199" t="s">
        <v>827</v>
      </c>
      <c r="AP70" s="5">
        <v>106000</v>
      </c>
      <c r="AQ70" s="10">
        <f t="shared" si="51"/>
        <v>106000</v>
      </c>
      <c r="AR70" s="10">
        <f t="shared" si="52"/>
        <v>0</v>
      </c>
      <c r="AS70" s="53">
        <v>5.6468172484599587E-2</v>
      </c>
      <c r="AT70" s="53">
        <v>0</v>
      </c>
      <c r="AU70" s="201"/>
      <c r="AV70" s="10"/>
      <c r="AW70" s="54">
        <v>0</v>
      </c>
      <c r="AX70" s="10">
        <v>0</v>
      </c>
      <c r="AY70" s="10">
        <v>106000</v>
      </c>
      <c r="AZ70" s="55">
        <f t="shared" si="53"/>
        <v>1.0805300713557595</v>
      </c>
      <c r="BA70" s="37" t="s">
        <v>687</v>
      </c>
      <c r="BB70" s="38">
        <v>3</v>
      </c>
      <c r="BC70" s="53">
        <f t="shared" si="54"/>
        <v>0</v>
      </c>
      <c r="BD70" s="65">
        <f t="shared" si="96"/>
        <v>0</v>
      </c>
      <c r="BE70" s="44">
        <v>0</v>
      </c>
      <c r="BF70" s="179">
        <f t="shared" si="55"/>
        <v>0</v>
      </c>
      <c r="BG70" s="402">
        <v>0</v>
      </c>
      <c r="BH70" s="403">
        <f t="shared" si="56"/>
        <v>0</v>
      </c>
      <c r="BI70" s="44">
        <v>0</v>
      </c>
      <c r="BJ70" s="179">
        <f t="shared" si="57"/>
        <v>0</v>
      </c>
      <c r="BK70" s="179">
        <f t="shared" si="58"/>
        <v>0</v>
      </c>
      <c r="BL70" s="202"/>
      <c r="BM70" s="203">
        <f t="shared" si="59"/>
        <v>0</v>
      </c>
      <c r="BN70" s="204">
        <f t="shared" si="60"/>
        <v>0</v>
      </c>
      <c r="BO70" s="16">
        <f t="shared" si="61"/>
        <v>106000</v>
      </c>
      <c r="BP70" s="205">
        <f t="shared" si="62"/>
        <v>11660</v>
      </c>
      <c r="BQ70" s="206">
        <f t="shared" si="63"/>
        <v>117660</v>
      </c>
      <c r="BR70" s="55">
        <f t="shared" si="64"/>
        <v>1.0805300713557595</v>
      </c>
      <c r="BS70" s="64">
        <f t="shared" si="65"/>
        <v>0</v>
      </c>
      <c r="BT70" s="53">
        <f t="shared" si="66"/>
        <v>0</v>
      </c>
      <c r="BU70" s="65">
        <f t="shared" si="67"/>
        <v>0</v>
      </c>
      <c r="BV70" s="206">
        <f t="shared" si="68"/>
        <v>106000</v>
      </c>
      <c r="BW70" s="207">
        <f t="shared" si="69"/>
        <v>53.64</v>
      </c>
      <c r="BX70" s="199"/>
      <c r="BY70" s="206">
        <f t="shared" si="70"/>
        <v>117660</v>
      </c>
      <c r="BZ70" s="208" t="s">
        <v>687</v>
      </c>
      <c r="CA70" s="199"/>
      <c r="CB70" s="199"/>
      <c r="CC70" s="200" t="str">
        <f t="shared" si="71"/>
        <v/>
      </c>
      <c r="CD70" s="197"/>
      <c r="CE70" s="197"/>
      <c r="CF70" s="10" t="str">
        <f>IFERROR(INDEX('[4]Lookup_Rem Ranges'!$D:$D,MATCH($CC:$CC,'[4]Lookup_Rem Ranges'!$C:$C,0)),"")</f>
        <v/>
      </c>
      <c r="CG70" s="307"/>
      <c r="CH70" s="307"/>
      <c r="CI70" s="210"/>
      <c r="CJ70" s="122" t="s">
        <v>701</v>
      </c>
      <c r="CK70" s="206">
        <f t="shared" si="72"/>
        <v>0</v>
      </c>
      <c r="CL70" s="206">
        <f t="shared" si="73"/>
        <v>0</v>
      </c>
      <c r="CM70" s="123"/>
      <c r="CN70" s="124">
        <f t="shared" si="74"/>
        <v>0</v>
      </c>
      <c r="CO70" s="124" t="s">
        <v>1374</v>
      </c>
      <c r="CP70" s="125">
        <f t="shared" si="75"/>
        <v>0</v>
      </c>
      <c r="CQ70" s="126">
        <f t="shared" si="76"/>
        <v>0</v>
      </c>
      <c r="CR70" s="127">
        <f t="shared" si="77"/>
        <v>0</v>
      </c>
      <c r="CS70" s="128">
        <f t="shared" si="78"/>
        <v>0</v>
      </c>
      <c r="CT70" s="127">
        <f t="shared" si="79"/>
        <v>0</v>
      </c>
      <c r="CU70" s="128">
        <f t="shared" si="80"/>
        <v>0</v>
      </c>
      <c r="CV70" s="127">
        <f t="shared" si="81"/>
        <v>0</v>
      </c>
      <c r="CW70" s="128">
        <f t="shared" si="82"/>
        <v>0</v>
      </c>
      <c r="CX70" s="127">
        <f t="shared" si="83"/>
        <v>0</v>
      </c>
      <c r="CY70" s="128">
        <f t="shared" si="84"/>
        <v>0</v>
      </c>
      <c r="CZ70" s="127">
        <f>$CR:$CR+$CT:CT+$CV:$CV+$CX:$CX</f>
        <v>0</v>
      </c>
      <c r="DA70" s="127">
        <f t="shared" si="85"/>
        <v>0</v>
      </c>
      <c r="DB70" s="127"/>
      <c r="DC70" s="127">
        <f t="shared" si="86"/>
        <v>0</v>
      </c>
      <c r="DD70" s="128">
        <f t="shared" si="87"/>
        <v>0</v>
      </c>
      <c r="DE70" s="129">
        <f t="shared" si="88"/>
        <v>0</v>
      </c>
      <c r="DF70" s="128">
        <f t="shared" si="89"/>
        <v>0</v>
      </c>
      <c r="DG70" s="129">
        <f t="shared" si="90"/>
        <v>0</v>
      </c>
      <c r="DH70" s="128">
        <f t="shared" si="91"/>
        <v>0</v>
      </c>
      <c r="DI70" s="127">
        <f t="shared" si="92"/>
        <v>0</v>
      </c>
      <c r="DJ70" s="128">
        <f t="shared" si="93"/>
        <v>0</v>
      </c>
      <c r="DK70" s="127">
        <f t="shared" si="94"/>
        <v>0</v>
      </c>
      <c r="DL70" s="128">
        <f t="shared" si="95"/>
        <v>0</v>
      </c>
      <c r="DM70" s="130"/>
      <c r="DN70" s="131"/>
      <c r="DO70" s="131"/>
      <c r="DP70" s="131"/>
      <c r="DQ70" s="131"/>
      <c r="DR70" s="131"/>
      <c r="DS70" s="131"/>
      <c r="DT70" s="131"/>
      <c r="DU70" s="131"/>
      <c r="DV70" s="131"/>
      <c r="DW70" s="131" t="s">
        <v>1380</v>
      </c>
    </row>
    <row r="71" spans="1:127" ht="24">
      <c r="A71" s="134"/>
      <c r="B71" s="121" t="s">
        <v>490</v>
      </c>
      <c r="C71" s="121" t="s">
        <v>1112</v>
      </c>
      <c r="D71" s="121">
        <v>4754</v>
      </c>
      <c r="E71" s="192" t="s">
        <v>495</v>
      </c>
      <c r="F71" s="192" t="s">
        <v>496</v>
      </c>
      <c r="G71" s="192" t="s">
        <v>537</v>
      </c>
      <c r="H71" s="193" t="s">
        <v>1113</v>
      </c>
      <c r="I71" s="192" t="s">
        <v>1114</v>
      </c>
      <c r="J71" s="192" t="s">
        <v>1115</v>
      </c>
      <c r="K71" s="194">
        <v>38183</v>
      </c>
      <c r="L71" s="194"/>
      <c r="M71" s="194">
        <v>44592</v>
      </c>
      <c r="N71" s="195" t="s">
        <v>539</v>
      </c>
      <c r="O71" s="195">
        <v>38</v>
      </c>
      <c r="P71" s="196">
        <f t="shared" si="49"/>
        <v>1</v>
      </c>
      <c r="Q71" s="192" t="s">
        <v>613</v>
      </c>
      <c r="R71" s="192">
        <v>20760</v>
      </c>
      <c r="S71" s="192" t="s">
        <v>1078</v>
      </c>
      <c r="T71" s="192" t="s">
        <v>1079</v>
      </c>
      <c r="U71" s="192" t="s">
        <v>1080</v>
      </c>
      <c r="V71" s="193" t="s">
        <v>543</v>
      </c>
      <c r="W71" s="193" t="s">
        <v>545</v>
      </c>
      <c r="X71" s="193" t="s">
        <v>823</v>
      </c>
      <c r="Y71" s="56" t="s">
        <v>824</v>
      </c>
      <c r="Z71" s="193" t="s">
        <v>821</v>
      </c>
      <c r="AA71" s="193" t="s">
        <v>1072</v>
      </c>
      <c r="AB71" s="57" t="s">
        <v>1367</v>
      </c>
      <c r="AC71" s="193" t="s">
        <v>825</v>
      </c>
      <c r="AD71" s="56" t="s">
        <v>826</v>
      </c>
      <c r="AE71" s="10">
        <f>IFERROR(INDEX('[3]Lookup_Rem Ranges'!$D:$D,MATCH($AL:$AL,'[3]Lookup_Rem Ranges'!$C:$C,0)),0)</f>
        <v>83400</v>
      </c>
      <c r="AF71" s="10">
        <f>IFERROR(INDEX('[3]Lookup_Rem Ranges'!$E:$E,MATCH($AL:$AL,'[3]Lookup_Rem Ranges'!$C:$C,0)),0)</f>
        <v>98100</v>
      </c>
      <c r="AG71" s="10">
        <f>IFERROR(INDEX('[3]Lookup_Rem Ranges'!$F:$F,MATCH($AL:$AL,'[3]Lookup_Rem Ranges'!$C:$C,0)),)</f>
        <v>112800</v>
      </c>
      <c r="AH71" s="193" t="s">
        <v>622</v>
      </c>
      <c r="AI71" s="197"/>
      <c r="AJ71" s="198">
        <v>0</v>
      </c>
      <c r="AK71" s="199"/>
      <c r="AL71" s="200" t="str">
        <f t="shared" si="50"/>
        <v>CASS5</v>
      </c>
      <c r="AM71" s="200" t="s">
        <v>487</v>
      </c>
      <c r="AN71" s="197">
        <v>5</v>
      </c>
      <c r="AO71" s="199" t="s">
        <v>827</v>
      </c>
      <c r="AP71" s="5">
        <v>105000</v>
      </c>
      <c r="AQ71" s="10">
        <f t="shared" si="51"/>
        <v>105000</v>
      </c>
      <c r="AR71" s="10">
        <f t="shared" si="52"/>
        <v>0</v>
      </c>
      <c r="AS71" s="53">
        <v>9.4890510948905105E-2</v>
      </c>
      <c r="AT71" s="53">
        <v>0</v>
      </c>
      <c r="AU71" s="201"/>
      <c r="AV71" s="10"/>
      <c r="AW71" s="54">
        <v>0</v>
      </c>
      <c r="AX71" s="10">
        <v>0</v>
      </c>
      <c r="AY71" s="10">
        <v>105000</v>
      </c>
      <c r="AZ71" s="55">
        <f t="shared" si="53"/>
        <v>1.070336391437309</v>
      </c>
      <c r="BA71" s="37" t="s">
        <v>687</v>
      </c>
      <c r="BB71" s="38">
        <v>3</v>
      </c>
      <c r="BC71" s="53">
        <f t="shared" si="54"/>
        <v>0</v>
      </c>
      <c r="BD71" s="65">
        <f t="shared" si="96"/>
        <v>0</v>
      </c>
      <c r="BE71" s="44">
        <v>0</v>
      </c>
      <c r="BF71" s="179">
        <f t="shared" si="55"/>
        <v>0</v>
      </c>
      <c r="BG71" s="402">
        <v>0</v>
      </c>
      <c r="BH71" s="403">
        <f t="shared" si="56"/>
        <v>0</v>
      </c>
      <c r="BI71" s="44">
        <v>0</v>
      </c>
      <c r="BJ71" s="179">
        <f t="shared" si="57"/>
        <v>0</v>
      </c>
      <c r="BK71" s="179">
        <f t="shared" si="58"/>
        <v>0</v>
      </c>
      <c r="BL71" s="202"/>
      <c r="BM71" s="203">
        <f t="shared" si="59"/>
        <v>0</v>
      </c>
      <c r="BN71" s="204">
        <f t="shared" si="60"/>
        <v>0</v>
      </c>
      <c r="BO71" s="16">
        <f t="shared" si="61"/>
        <v>105000</v>
      </c>
      <c r="BP71" s="205">
        <f t="shared" si="62"/>
        <v>11550</v>
      </c>
      <c r="BQ71" s="206">
        <f t="shared" si="63"/>
        <v>116550</v>
      </c>
      <c r="BR71" s="55">
        <f t="shared" si="64"/>
        <v>1.070336391437309</v>
      </c>
      <c r="BS71" s="64">
        <f t="shared" si="65"/>
        <v>0</v>
      </c>
      <c r="BT71" s="53">
        <f t="shared" si="66"/>
        <v>0</v>
      </c>
      <c r="BU71" s="65">
        <f t="shared" si="67"/>
        <v>0</v>
      </c>
      <c r="BV71" s="206">
        <f t="shared" si="68"/>
        <v>105000</v>
      </c>
      <c r="BW71" s="207">
        <f t="shared" si="69"/>
        <v>53.14</v>
      </c>
      <c r="BX71" s="199"/>
      <c r="BY71" s="206">
        <f t="shared" si="70"/>
        <v>116550</v>
      </c>
      <c r="BZ71" s="208" t="s">
        <v>687</v>
      </c>
      <c r="CA71" s="199"/>
      <c r="CB71" s="199"/>
      <c r="CC71" s="200" t="str">
        <f t="shared" si="71"/>
        <v/>
      </c>
      <c r="CD71" s="197"/>
      <c r="CE71" s="197"/>
      <c r="CF71" s="10" t="str">
        <f>IFERROR(INDEX('[4]Lookup_Rem Ranges'!$D:$D,MATCH($CC:$CC,'[4]Lookup_Rem Ranges'!$C:$C,0)),"")</f>
        <v/>
      </c>
      <c r="CG71" s="307"/>
      <c r="CH71" s="307"/>
      <c r="CI71" s="210"/>
      <c r="CJ71" s="122" t="s">
        <v>701</v>
      </c>
      <c r="CK71" s="206">
        <f t="shared" si="72"/>
        <v>0</v>
      </c>
      <c r="CL71" s="206">
        <f t="shared" si="73"/>
        <v>0</v>
      </c>
      <c r="CM71" s="123"/>
      <c r="CN71" s="124">
        <f t="shared" si="74"/>
        <v>0</v>
      </c>
      <c r="CO71" s="124" t="s">
        <v>1375</v>
      </c>
      <c r="CP71" s="125">
        <f t="shared" si="75"/>
        <v>0</v>
      </c>
      <c r="CQ71" s="126">
        <f t="shared" si="76"/>
        <v>0</v>
      </c>
      <c r="CR71" s="127">
        <f t="shared" si="77"/>
        <v>0</v>
      </c>
      <c r="CS71" s="128">
        <f t="shared" si="78"/>
        <v>0</v>
      </c>
      <c r="CT71" s="127">
        <f t="shared" si="79"/>
        <v>0</v>
      </c>
      <c r="CU71" s="128">
        <f t="shared" si="80"/>
        <v>0</v>
      </c>
      <c r="CV71" s="127">
        <f t="shared" si="81"/>
        <v>0</v>
      </c>
      <c r="CW71" s="128">
        <f t="shared" si="82"/>
        <v>0</v>
      </c>
      <c r="CX71" s="127">
        <f t="shared" si="83"/>
        <v>0</v>
      </c>
      <c r="CY71" s="128">
        <f t="shared" si="84"/>
        <v>0</v>
      </c>
      <c r="CZ71" s="127">
        <f>$CR:$CR+$CT:CT+$CV:$CV+$CX:$CX</f>
        <v>0</v>
      </c>
      <c r="DA71" s="127">
        <f t="shared" si="85"/>
        <v>0</v>
      </c>
      <c r="DB71" s="127"/>
      <c r="DC71" s="127">
        <f t="shared" si="86"/>
        <v>0</v>
      </c>
      <c r="DD71" s="128">
        <f t="shared" si="87"/>
        <v>0</v>
      </c>
      <c r="DE71" s="129">
        <f t="shared" si="88"/>
        <v>0</v>
      </c>
      <c r="DF71" s="128">
        <f t="shared" si="89"/>
        <v>0</v>
      </c>
      <c r="DG71" s="129">
        <f t="shared" si="90"/>
        <v>0</v>
      </c>
      <c r="DH71" s="128">
        <f t="shared" si="91"/>
        <v>0</v>
      </c>
      <c r="DI71" s="127">
        <f t="shared" si="92"/>
        <v>0</v>
      </c>
      <c r="DJ71" s="128">
        <f t="shared" si="93"/>
        <v>0</v>
      </c>
      <c r="DK71" s="127">
        <f t="shared" si="94"/>
        <v>0</v>
      </c>
      <c r="DL71" s="128">
        <f t="shared" si="95"/>
        <v>0</v>
      </c>
      <c r="DM71" s="130"/>
      <c r="DN71" s="131"/>
      <c r="DO71" s="131"/>
      <c r="DP71" s="131"/>
      <c r="DQ71" s="131"/>
      <c r="DR71" s="131"/>
      <c r="DS71" s="131"/>
      <c r="DT71" s="131"/>
      <c r="DU71" s="131"/>
      <c r="DV71" s="131"/>
      <c r="DW71" s="131" t="s">
        <v>1380</v>
      </c>
    </row>
    <row r="72" spans="1:127" ht="33.75">
      <c r="A72" s="134"/>
      <c r="B72" s="121" t="s">
        <v>490</v>
      </c>
      <c r="C72" s="121" t="s">
        <v>1094</v>
      </c>
      <c r="D72" s="121">
        <v>22197</v>
      </c>
      <c r="E72" s="192" t="s">
        <v>523</v>
      </c>
      <c r="F72" s="192" t="s">
        <v>1038</v>
      </c>
      <c r="G72" s="192" t="s">
        <v>537</v>
      </c>
      <c r="H72" s="193" t="s">
        <v>1075</v>
      </c>
      <c r="I72" s="192" t="s">
        <v>1095</v>
      </c>
      <c r="J72" s="192" t="s">
        <v>1077</v>
      </c>
      <c r="K72" s="194">
        <v>45103</v>
      </c>
      <c r="L72" s="194">
        <v>45195</v>
      </c>
      <c r="M72" s="194">
        <v>45103</v>
      </c>
      <c r="N72" s="195" t="s">
        <v>540</v>
      </c>
      <c r="O72" s="195">
        <v>22</v>
      </c>
      <c r="P72" s="196">
        <f t="shared" si="49"/>
        <v>0.57894736842105265</v>
      </c>
      <c r="Q72" s="192"/>
      <c r="R72" s="192">
        <v>20760</v>
      </c>
      <c r="S72" s="192" t="s">
        <v>1078</v>
      </c>
      <c r="T72" s="192" t="s">
        <v>1079</v>
      </c>
      <c r="U72" s="192" t="s">
        <v>1080</v>
      </c>
      <c r="V72" s="193" t="s">
        <v>543</v>
      </c>
      <c r="W72" s="193" t="s">
        <v>545</v>
      </c>
      <c r="X72" s="193" t="s">
        <v>823</v>
      </c>
      <c r="Y72" s="56" t="s">
        <v>824</v>
      </c>
      <c r="Z72" s="193" t="s">
        <v>821</v>
      </c>
      <c r="AA72" s="193" t="s">
        <v>1072</v>
      </c>
      <c r="AB72" s="57" t="s">
        <v>1367</v>
      </c>
      <c r="AC72" s="193" t="s">
        <v>825</v>
      </c>
      <c r="AD72" s="56" t="s">
        <v>826</v>
      </c>
      <c r="AE72" s="10">
        <f>IFERROR(INDEX('[3]Lookup_Rem Ranges'!$D:$D,MATCH($AL:$AL,'[3]Lookup_Rem Ranges'!$C:$C,0)),0)</f>
        <v>83400</v>
      </c>
      <c r="AF72" s="10">
        <f>IFERROR(INDEX('[3]Lookup_Rem Ranges'!$E:$E,MATCH($AL:$AL,'[3]Lookup_Rem Ranges'!$C:$C,0)),0)</f>
        <v>98100</v>
      </c>
      <c r="AG72" s="10">
        <f>IFERROR(INDEX('[3]Lookup_Rem Ranges'!$F:$F,MATCH($AL:$AL,'[3]Lookup_Rem Ranges'!$C:$C,0)),)</f>
        <v>112800</v>
      </c>
      <c r="AH72" s="193" t="s">
        <v>627</v>
      </c>
      <c r="AI72" s="197"/>
      <c r="AJ72" s="198">
        <v>0</v>
      </c>
      <c r="AK72" s="199"/>
      <c r="AL72" s="200" t="str">
        <f t="shared" si="50"/>
        <v>CASS5</v>
      </c>
      <c r="AM72" s="200" t="s">
        <v>487</v>
      </c>
      <c r="AN72" s="197">
        <v>5</v>
      </c>
      <c r="AO72" s="199" t="s">
        <v>1096</v>
      </c>
      <c r="AP72" s="5">
        <v>106000</v>
      </c>
      <c r="AQ72" s="10">
        <f t="shared" si="51"/>
        <v>61368</v>
      </c>
      <c r="AR72" s="10">
        <f t="shared" si="52"/>
        <v>0</v>
      </c>
      <c r="AS72" s="53">
        <v>4.8103607770582792E-2</v>
      </c>
      <c r="AT72" s="53">
        <v>0</v>
      </c>
      <c r="AU72" s="201"/>
      <c r="AV72" s="10"/>
      <c r="AW72" s="54">
        <v>0</v>
      </c>
      <c r="AX72" s="10">
        <v>0</v>
      </c>
      <c r="AY72" s="10">
        <v>106000</v>
      </c>
      <c r="AZ72" s="55">
        <f t="shared" si="53"/>
        <v>1.0805300713557595</v>
      </c>
      <c r="BA72" s="37" t="s">
        <v>687</v>
      </c>
      <c r="BB72" s="38">
        <v>3</v>
      </c>
      <c r="BC72" s="53">
        <f t="shared" si="54"/>
        <v>0</v>
      </c>
      <c r="BD72" s="65">
        <f t="shared" si="96"/>
        <v>0</v>
      </c>
      <c r="BE72" s="44">
        <v>0</v>
      </c>
      <c r="BF72" s="179">
        <f t="shared" si="55"/>
        <v>0</v>
      </c>
      <c r="BG72" s="402">
        <v>0</v>
      </c>
      <c r="BH72" s="403">
        <f t="shared" si="56"/>
        <v>0</v>
      </c>
      <c r="BI72" s="44">
        <v>0</v>
      </c>
      <c r="BJ72" s="179">
        <f t="shared" si="57"/>
        <v>0</v>
      </c>
      <c r="BK72" s="179">
        <f t="shared" si="58"/>
        <v>0</v>
      </c>
      <c r="BL72" s="202"/>
      <c r="BM72" s="203">
        <f t="shared" si="59"/>
        <v>0</v>
      </c>
      <c r="BN72" s="204">
        <f t="shared" si="60"/>
        <v>0</v>
      </c>
      <c r="BO72" s="16">
        <f t="shared" si="61"/>
        <v>106000</v>
      </c>
      <c r="BP72" s="205">
        <f t="shared" si="62"/>
        <v>11660</v>
      </c>
      <c r="BQ72" s="206">
        <f t="shared" si="63"/>
        <v>117660</v>
      </c>
      <c r="BR72" s="55">
        <f t="shared" si="64"/>
        <v>1.0805300713557595</v>
      </c>
      <c r="BS72" s="64">
        <f t="shared" si="65"/>
        <v>0</v>
      </c>
      <c r="BT72" s="53">
        <f t="shared" si="66"/>
        <v>0</v>
      </c>
      <c r="BU72" s="65">
        <f t="shared" si="67"/>
        <v>0</v>
      </c>
      <c r="BV72" s="206">
        <f t="shared" si="68"/>
        <v>61368.42105263158</v>
      </c>
      <c r="BW72" s="207">
        <f t="shared" si="69"/>
        <v>53.64</v>
      </c>
      <c r="BX72" s="199"/>
      <c r="BY72" s="206">
        <f t="shared" si="70"/>
        <v>117660</v>
      </c>
      <c r="BZ72" s="208" t="s">
        <v>687</v>
      </c>
      <c r="CA72" s="199"/>
      <c r="CB72" s="199"/>
      <c r="CC72" s="200" t="str">
        <f t="shared" si="71"/>
        <v/>
      </c>
      <c r="CD72" s="197"/>
      <c r="CE72" s="197"/>
      <c r="CF72" s="10" t="str">
        <f>IFERROR(INDEX('[4]Lookup_Rem Ranges'!$D:$D,MATCH($CC:$CC,'[4]Lookup_Rem Ranges'!$C:$C,0)),"")</f>
        <v/>
      </c>
      <c r="CG72" s="307"/>
      <c r="CH72" s="307"/>
      <c r="CI72" s="210"/>
      <c r="CJ72" s="122" t="s">
        <v>701</v>
      </c>
      <c r="CK72" s="206">
        <f t="shared" si="72"/>
        <v>0</v>
      </c>
      <c r="CL72" s="206">
        <f t="shared" si="73"/>
        <v>0</v>
      </c>
      <c r="CM72" s="123"/>
      <c r="CN72" s="124">
        <f t="shared" si="74"/>
        <v>0</v>
      </c>
      <c r="CO72" s="124" t="s">
        <v>1376</v>
      </c>
      <c r="CP72" s="125">
        <f t="shared" si="75"/>
        <v>0</v>
      </c>
      <c r="CQ72" s="126">
        <f t="shared" si="76"/>
        <v>0</v>
      </c>
      <c r="CR72" s="127">
        <f t="shared" si="77"/>
        <v>0</v>
      </c>
      <c r="CS72" s="128">
        <f t="shared" si="78"/>
        <v>0</v>
      </c>
      <c r="CT72" s="127">
        <f t="shared" si="79"/>
        <v>0</v>
      </c>
      <c r="CU72" s="128">
        <f t="shared" si="80"/>
        <v>0</v>
      </c>
      <c r="CV72" s="127">
        <f t="shared" si="81"/>
        <v>0</v>
      </c>
      <c r="CW72" s="128">
        <f t="shared" si="82"/>
        <v>0</v>
      </c>
      <c r="CX72" s="127">
        <f t="shared" si="83"/>
        <v>0</v>
      </c>
      <c r="CY72" s="128">
        <f t="shared" si="84"/>
        <v>0</v>
      </c>
      <c r="CZ72" s="127">
        <f>$CR:$CR+$CT:CT+$CV:$CV+$CX:$CX</f>
        <v>0</v>
      </c>
      <c r="DA72" s="127">
        <f t="shared" si="85"/>
        <v>0</v>
      </c>
      <c r="DB72" s="127"/>
      <c r="DC72" s="127">
        <f t="shared" si="86"/>
        <v>0</v>
      </c>
      <c r="DD72" s="128">
        <f t="shared" si="87"/>
        <v>0</v>
      </c>
      <c r="DE72" s="129">
        <f t="shared" si="88"/>
        <v>0</v>
      </c>
      <c r="DF72" s="128">
        <f t="shared" si="89"/>
        <v>0</v>
      </c>
      <c r="DG72" s="129">
        <f t="shared" si="90"/>
        <v>0</v>
      </c>
      <c r="DH72" s="128">
        <f t="shared" si="91"/>
        <v>0</v>
      </c>
      <c r="DI72" s="127">
        <f t="shared" si="92"/>
        <v>0</v>
      </c>
      <c r="DJ72" s="128">
        <f t="shared" si="93"/>
        <v>0</v>
      </c>
      <c r="DK72" s="127">
        <f t="shared" si="94"/>
        <v>0</v>
      </c>
      <c r="DL72" s="128">
        <f t="shared" si="95"/>
        <v>0</v>
      </c>
      <c r="DM72" s="130"/>
      <c r="DN72" s="131"/>
      <c r="DO72" s="131"/>
      <c r="DP72" s="131"/>
      <c r="DQ72" s="131"/>
      <c r="DR72" s="131"/>
      <c r="DS72" s="131"/>
      <c r="DT72" s="131"/>
      <c r="DU72" s="131"/>
      <c r="DV72" s="131"/>
      <c r="DW72" s="131" t="s">
        <v>1380</v>
      </c>
    </row>
    <row r="73" spans="1:127" ht="33.75">
      <c r="A73" s="134"/>
      <c r="B73" s="121" t="s">
        <v>490</v>
      </c>
      <c r="C73" s="121" t="s">
        <v>1119</v>
      </c>
      <c r="D73" s="121">
        <v>15179</v>
      </c>
      <c r="E73" s="192" t="s">
        <v>1120</v>
      </c>
      <c r="F73" s="192" t="s">
        <v>512</v>
      </c>
      <c r="G73" s="192" t="s">
        <v>538</v>
      </c>
      <c r="H73" s="193" t="s">
        <v>1121</v>
      </c>
      <c r="I73" s="192" t="s">
        <v>1122</v>
      </c>
      <c r="J73" s="192" t="s">
        <v>1123</v>
      </c>
      <c r="K73" s="194">
        <v>42074</v>
      </c>
      <c r="L73" s="194"/>
      <c r="M73" s="194">
        <v>44166</v>
      </c>
      <c r="N73" s="195" t="s">
        <v>539</v>
      </c>
      <c r="O73" s="195">
        <v>38</v>
      </c>
      <c r="P73" s="196">
        <f t="shared" si="49"/>
        <v>1</v>
      </c>
      <c r="Q73" s="192" t="s">
        <v>613</v>
      </c>
      <c r="R73" s="192">
        <v>10317</v>
      </c>
      <c r="S73" s="192" t="s">
        <v>1124</v>
      </c>
      <c r="T73" s="192" t="s">
        <v>907</v>
      </c>
      <c r="U73" s="192" t="s">
        <v>908</v>
      </c>
      <c r="V73" s="193" t="s">
        <v>543</v>
      </c>
      <c r="W73" s="193" t="s">
        <v>545</v>
      </c>
      <c r="X73" s="193" t="s">
        <v>823</v>
      </c>
      <c r="Y73" s="56" t="s">
        <v>824</v>
      </c>
      <c r="Z73" s="193" t="s">
        <v>821</v>
      </c>
      <c r="AA73" s="193" t="s">
        <v>1072</v>
      </c>
      <c r="AB73" s="57" t="s">
        <v>1367</v>
      </c>
      <c r="AC73" s="193" t="s">
        <v>825</v>
      </c>
      <c r="AD73" s="56" t="s">
        <v>826</v>
      </c>
      <c r="AE73" s="10">
        <f>IFERROR(INDEX('[3]Lookup_Rem Ranges'!$D:$D,MATCH($AL:$AL,'[3]Lookup_Rem Ranges'!$C:$C,0)),0)</f>
        <v>83400</v>
      </c>
      <c r="AF73" s="10">
        <f>IFERROR(INDEX('[3]Lookup_Rem Ranges'!$E:$E,MATCH($AL:$AL,'[3]Lookup_Rem Ranges'!$C:$C,0)),0)</f>
        <v>98100</v>
      </c>
      <c r="AG73" s="10">
        <f>IFERROR(INDEX('[3]Lookup_Rem Ranges'!$F:$F,MATCH($AL:$AL,'[3]Lookup_Rem Ranges'!$C:$C,0)),)</f>
        <v>112800</v>
      </c>
      <c r="AH73" s="193" t="s">
        <v>622</v>
      </c>
      <c r="AI73" s="197"/>
      <c r="AJ73" s="198">
        <v>0</v>
      </c>
      <c r="AK73" s="199"/>
      <c r="AL73" s="200" t="str">
        <f t="shared" si="50"/>
        <v>CASS5</v>
      </c>
      <c r="AM73" s="200" t="s">
        <v>487</v>
      </c>
      <c r="AN73" s="197">
        <v>5</v>
      </c>
      <c r="AO73" s="199" t="s">
        <v>701</v>
      </c>
      <c r="AP73" s="5">
        <v>115400</v>
      </c>
      <c r="AQ73" s="10">
        <f t="shared" si="51"/>
        <v>115400</v>
      </c>
      <c r="AR73" s="10">
        <f t="shared" si="52"/>
        <v>115400</v>
      </c>
      <c r="AS73" s="53">
        <v>6.7530064754856609E-2</v>
      </c>
      <c r="AT73" s="53">
        <v>0</v>
      </c>
      <c r="AU73" s="201"/>
      <c r="AV73" s="10"/>
      <c r="AW73" s="54">
        <v>0</v>
      </c>
      <c r="AX73" s="10">
        <v>0</v>
      </c>
      <c r="AY73" s="10">
        <v>115400</v>
      </c>
      <c r="AZ73" s="55">
        <f t="shared" si="53"/>
        <v>1.1763506625891946</v>
      </c>
      <c r="BA73" s="37" t="s">
        <v>23</v>
      </c>
      <c r="BB73" s="38">
        <v>3</v>
      </c>
      <c r="BC73" s="53">
        <f t="shared" si="54"/>
        <v>0</v>
      </c>
      <c r="BD73" s="65">
        <f t="shared" si="96"/>
        <v>0</v>
      </c>
      <c r="BE73" s="44">
        <v>0</v>
      </c>
      <c r="BF73" s="179">
        <f t="shared" si="55"/>
        <v>0</v>
      </c>
      <c r="BG73" s="402">
        <v>0</v>
      </c>
      <c r="BH73" s="403">
        <f t="shared" si="56"/>
        <v>0</v>
      </c>
      <c r="BI73" s="44">
        <v>3.2500000000000001E-2</v>
      </c>
      <c r="BJ73" s="179">
        <f t="shared" si="57"/>
        <v>3751</v>
      </c>
      <c r="BK73" s="179">
        <f t="shared" si="58"/>
        <v>3751</v>
      </c>
      <c r="BL73" s="202"/>
      <c r="BM73" s="203">
        <f t="shared" si="59"/>
        <v>0</v>
      </c>
      <c r="BN73" s="204">
        <f t="shared" si="60"/>
        <v>0</v>
      </c>
      <c r="BO73" s="16">
        <f t="shared" si="61"/>
        <v>115400</v>
      </c>
      <c r="BP73" s="205">
        <f t="shared" si="62"/>
        <v>12694</v>
      </c>
      <c r="BQ73" s="206">
        <f t="shared" si="63"/>
        <v>128094</v>
      </c>
      <c r="BR73" s="55">
        <f t="shared" si="64"/>
        <v>1.1763506625891946</v>
      </c>
      <c r="BS73" s="64">
        <f t="shared" si="65"/>
        <v>0</v>
      </c>
      <c r="BT73" s="53">
        <f t="shared" si="66"/>
        <v>3.2500000000000001E-2</v>
      </c>
      <c r="BU73" s="65">
        <f t="shared" si="67"/>
        <v>3751</v>
      </c>
      <c r="BV73" s="206">
        <f t="shared" si="68"/>
        <v>115400</v>
      </c>
      <c r="BW73" s="207">
        <f t="shared" si="69"/>
        <v>58.4</v>
      </c>
      <c r="BX73" s="199"/>
      <c r="BY73" s="206">
        <f t="shared" si="70"/>
        <v>128094</v>
      </c>
      <c r="BZ73" s="208" t="s">
        <v>687</v>
      </c>
      <c r="CA73" s="199"/>
      <c r="CB73" s="199"/>
      <c r="CC73" s="200" t="str">
        <f t="shared" si="71"/>
        <v/>
      </c>
      <c r="CD73" s="197"/>
      <c r="CE73" s="197"/>
      <c r="CF73" s="10" t="str">
        <f>IFERROR(INDEX('[4]Lookup_Rem Ranges'!$D:$D,MATCH($CC:$CC,'[4]Lookup_Rem Ranges'!$C:$C,0)),"")</f>
        <v/>
      </c>
      <c r="CG73" s="307"/>
      <c r="CH73" s="307"/>
      <c r="CI73" s="210"/>
      <c r="CJ73" s="122" t="s">
        <v>701</v>
      </c>
      <c r="CK73" s="206">
        <f t="shared" si="72"/>
        <v>0</v>
      </c>
      <c r="CL73" s="206">
        <f t="shared" si="73"/>
        <v>0</v>
      </c>
      <c r="CM73" s="123"/>
      <c r="CN73" s="124">
        <f t="shared" si="74"/>
        <v>0</v>
      </c>
      <c r="CO73" s="124" t="s">
        <v>1376</v>
      </c>
      <c r="CP73" s="125">
        <f t="shared" si="75"/>
        <v>3.2500000000000001E-2</v>
      </c>
      <c r="CQ73" s="126">
        <f t="shared" si="76"/>
        <v>3751</v>
      </c>
      <c r="CR73" s="127">
        <f t="shared" si="77"/>
        <v>0</v>
      </c>
      <c r="CS73" s="128">
        <f t="shared" si="78"/>
        <v>0</v>
      </c>
      <c r="CT73" s="127">
        <f t="shared" si="79"/>
        <v>0</v>
      </c>
      <c r="CU73" s="128">
        <f t="shared" si="80"/>
        <v>0</v>
      </c>
      <c r="CV73" s="127">
        <f t="shared" si="81"/>
        <v>0</v>
      </c>
      <c r="CW73" s="128">
        <f t="shared" si="82"/>
        <v>0</v>
      </c>
      <c r="CX73" s="127">
        <f t="shared" si="83"/>
        <v>0</v>
      </c>
      <c r="CY73" s="128">
        <f t="shared" si="84"/>
        <v>0</v>
      </c>
      <c r="CZ73" s="127">
        <f>$CR:$CR+$CT:CT+$CV:$CV+$CX:$CX</f>
        <v>0</v>
      </c>
      <c r="DA73" s="127">
        <f t="shared" si="85"/>
        <v>0</v>
      </c>
      <c r="DB73" s="127"/>
      <c r="DC73" s="127">
        <f t="shared" si="86"/>
        <v>0</v>
      </c>
      <c r="DD73" s="128">
        <f t="shared" si="87"/>
        <v>0</v>
      </c>
      <c r="DE73" s="129">
        <f t="shared" si="88"/>
        <v>3.2500000000000001E-2</v>
      </c>
      <c r="DF73" s="128">
        <f t="shared" si="89"/>
        <v>3751</v>
      </c>
      <c r="DG73" s="129">
        <f t="shared" si="90"/>
        <v>0</v>
      </c>
      <c r="DH73" s="128">
        <f t="shared" si="91"/>
        <v>0</v>
      </c>
      <c r="DI73" s="127">
        <f t="shared" si="92"/>
        <v>3.2500000000000001E-2</v>
      </c>
      <c r="DJ73" s="128">
        <f t="shared" si="93"/>
        <v>3751</v>
      </c>
      <c r="DK73" s="127">
        <f t="shared" si="94"/>
        <v>0</v>
      </c>
      <c r="DL73" s="128">
        <f t="shared" si="95"/>
        <v>0</v>
      </c>
      <c r="DM73" s="130"/>
      <c r="DN73" s="131"/>
      <c r="DO73" s="131"/>
      <c r="DP73" s="131"/>
      <c r="DQ73" s="131"/>
      <c r="DR73" s="131"/>
      <c r="DS73" s="131"/>
      <c r="DT73" s="131"/>
      <c r="DU73" s="131"/>
      <c r="DV73" s="131"/>
      <c r="DW73" s="131" t="s">
        <v>1380</v>
      </c>
    </row>
    <row r="74" spans="1:127" ht="33.75">
      <c r="A74" s="134"/>
      <c r="B74" s="121" t="s">
        <v>490</v>
      </c>
      <c r="C74" s="121" t="s">
        <v>1125</v>
      </c>
      <c r="D74" s="121">
        <v>14380</v>
      </c>
      <c r="E74" s="192" t="s">
        <v>1126</v>
      </c>
      <c r="F74" s="192" t="s">
        <v>509</v>
      </c>
      <c r="G74" s="192" t="s">
        <v>538</v>
      </c>
      <c r="H74" s="193" t="s">
        <v>1127</v>
      </c>
      <c r="I74" s="192" t="s">
        <v>1128</v>
      </c>
      <c r="J74" s="192" t="s">
        <v>1129</v>
      </c>
      <c r="K74" s="194">
        <v>41673</v>
      </c>
      <c r="L74" s="194"/>
      <c r="M74" s="194">
        <v>44642</v>
      </c>
      <c r="N74" s="195" t="s">
        <v>539</v>
      </c>
      <c r="O74" s="195">
        <v>38</v>
      </c>
      <c r="P74" s="196">
        <f t="shared" si="49"/>
        <v>1</v>
      </c>
      <c r="Q74" s="192" t="s">
        <v>617</v>
      </c>
      <c r="R74" s="192">
        <v>10317</v>
      </c>
      <c r="S74" s="192" t="s">
        <v>1124</v>
      </c>
      <c r="T74" s="192" t="s">
        <v>907</v>
      </c>
      <c r="U74" s="192" t="s">
        <v>908</v>
      </c>
      <c r="V74" s="193" t="s">
        <v>543</v>
      </c>
      <c r="W74" s="193" t="s">
        <v>545</v>
      </c>
      <c r="X74" s="193" t="s">
        <v>823</v>
      </c>
      <c r="Y74" s="56" t="s">
        <v>824</v>
      </c>
      <c r="Z74" s="193" t="s">
        <v>821</v>
      </c>
      <c r="AA74" s="193" t="s">
        <v>1072</v>
      </c>
      <c r="AB74" s="57" t="s">
        <v>1367</v>
      </c>
      <c r="AC74" s="193" t="s">
        <v>825</v>
      </c>
      <c r="AD74" s="56" t="s">
        <v>826</v>
      </c>
      <c r="AE74" s="10">
        <f>IFERROR(INDEX('[3]Lookup_Rem Ranges'!$D:$D,MATCH($AL:$AL,'[3]Lookup_Rem Ranges'!$C:$C,0)),0)</f>
        <v>83400</v>
      </c>
      <c r="AF74" s="10">
        <f>IFERROR(INDEX('[3]Lookup_Rem Ranges'!$E:$E,MATCH($AL:$AL,'[3]Lookup_Rem Ranges'!$C:$C,0)),0)</f>
        <v>98100</v>
      </c>
      <c r="AG74" s="10">
        <f>IFERROR(INDEX('[3]Lookup_Rem Ranges'!$F:$F,MATCH($AL:$AL,'[3]Lookup_Rem Ranges'!$C:$C,0)),)</f>
        <v>112800</v>
      </c>
      <c r="AH74" s="193" t="s">
        <v>622</v>
      </c>
      <c r="AI74" s="197"/>
      <c r="AJ74" s="198">
        <v>0</v>
      </c>
      <c r="AK74" s="199"/>
      <c r="AL74" s="200" t="str">
        <f t="shared" si="50"/>
        <v>CASS5</v>
      </c>
      <c r="AM74" s="200" t="s">
        <v>487</v>
      </c>
      <c r="AN74" s="197">
        <v>5</v>
      </c>
      <c r="AO74" s="199" t="s">
        <v>701</v>
      </c>
      <c r="AP74" s="5">
        <v>111200</v>
      </c>
      <c r="AQ74" s="10">
        <f t="shared" si="51"/>
        <v>111200</v>
      </c>
      <c r="AR74" s="10">
        <f t="shared" si="52"/>
        <v>111200</v>
      </c>
      <c r="AS74" s="53">
        <v>6.8203650336215171E-2</v>
      </c>
      <c r="AT74" s="53">
        <v>0</v>
      </c>
      <c r="AU74" s="201"/>
      <c r="AV74" s="10"/>
      <c r="AW74" s="54">
        <v>0</v>
      </c>
      <c r="AX74" s="10">
        <v>0</v>
      </c>
      <c r="AY74" s="10">
        <v>111200</v>
      </c>
      <c r="AZ74" s="55">
        <f t="shared" si="53"/>
        <v>1.1335372069317022</v>
      </c>
      <c r="BA74" s="37" t="s">
        <v>23</v>
      </c>
      <c r="BB74" s="38">
        <v>3</v>
      </c>
      <c r="BC74" s="53">
        <f t="shared" si="54"/>
        <v>0</v>
      </c>
      <c r="BD74" s="65">
        <f t="shared" si="96"/>
        <v>0</v>
      </c>
      <c r="BE74" s="44">
        <v>3.2500000000000001E-2</v>
      </c>
      <c r="BF74" s="179">
        <f t="shared" si="55"/>
        <v>3614</v>
      </c>
      <c r="BG74" s="402">
        <v>0</v>
      </c>
      <c r="BH74" s="403">
        <f t="shared" si="56"/>
        <v>0</v>
      </c>
      <c r="BI74" s="44">
        <v>0</v>
      </c>
      <c r="BJ74" s="179">
        <f t="shared" si="57"/>
        <v>0</v>
      </c>
      <c r="BK74" s="179">
        <f t="shared" si="58"/>
        <v>0</v>
      </c>
      <c r="BL74" s="202"/>
      <c r="BM74" s="203">
        <f t="shared" si="59"/>
        <v>3.2500000000000001E-2</v>
      </c>
      <c r="BN74" s="204">
        <f t="shared" si="60"/>
        <v>3614</v>
      </c>
      <c r="BO74" s="16">
        <f t="shared" si="61"/>
        <v>114814</v>
      </c>
      <c r="BP74" s="205">
        <f t="shared" si="62"/>
        <v>12630</v>
      </c>
      <c r="BQ74" s="206">
        <f t="shared" si="63"/>
        <v>127444</v>
      </c>
      <c r="BR74" s="55">
        <f t="shared" si="64"/>
        <v>1.1703771661569826</v>
      </c>
      <c r="BS74" s="64">
        <f t="shared" si="65"/>
        <v>570</v>
      </c>
      <c r="BT74" s="53">
        <f t="shared" si="66"/>
        <v>3.2500000000000001E-2</v>
      </c>
      <c r="BU74" s="65">
        <f t="shared" si="67"/>
        <v>3614</v>
      </c>
      <c r="BV74" s="206">
        <f t="shared" si="68"/>
        <v>114814</v>
      </c>
      <c r="BW74" s="207">
        <f t="shared" si="69"/>
        <v>58.1</v>
      </c>
      <c r="BX74" s="199"/>
      <c r="BY74" s="206">
        <f t="shared" si="70"/>
        <v>127444</v>
      </c>
      <c r="BZ74" s="208" t="s">
        <v>687</v>
      </c>
      <c r="CA74" s="199"/>
      <c r="CB74" s="199"/>
      <c r="CC74" s="200" t="str">
        <f t="shared" si="71"/>
        <v/>
      </c>
      <c r="CD74" s="197"/>
      <c r="CE74" s="197"/>
      <c r="CF74" s="10" t="str">
        <f>IFERROR(INDEX('[4]Lookup_Rem Ranges'!$D:$D,MATCH($CC:$CC,'[4]Lookup_Rem Ranges'!$C:$C,0)),"")</f>
        <v/>
      </c>
      <c r="CG74" s="307"/>
      <c r="CH74" s="307"/>
      <c r="CI74" s="210"/>
      <c r="CJ74" s="122" t="s">
        <v>701</v>
      </c>
      <c r="CK74" s="206">
        <f t="shared" si="72"/>
        <v>0</v>
      </c>
      <c r="CL74" s="206">
        <f t="shared" si="73"/>
        <v>0</v>
      </c>
      <c r="CM74" s="123"/>
      <c r="CN74" s="124">
        <f t="shared" si="74"/>
        <v>0</v>
      </c>
      <c r="CO74" s="124" t="s">
        <v>1376</v>
      </c>
      <c r="CP74" s="125">
        <f t="shared" si="75"/>
        <v>3.2500000000000001E-2</v>
      </c>
      <c r="CQ74" s="126">
        <f t="shared" si="76"/>
        <v>3614</v>
      </c>
      <c r="CR74" s="127">
        <f t="shared" si="77"/>
        <v>0</v>
      </c>
      <c r="CS74" s="128">
        <f t="shared" si="78"/>
        <v>0</v>
      </c>
      <c r="CT74" s="127">
        <f t="shared" si="79"/>
        <v>0</v>
      </c>
      <c r="CU74" s="128">
        <f t="shared" si="80"/>
        <v>0</v>
      </c>
      <c r="CV74" s="127">
        <f t="shared" si="81"/>
        <v>0</v>
      </c>
      <c r="CW74" s="128">
        <f t="shared" si="82"/>
        <v>0</v>
      </c>
      <c r="CX74" s="127">
        <f t="shared" si="83"/>
        <v>0</v>
      </c>
      <c r="CY74" s="128">
        <f t="shared" si="84"/>
        <v>0</v>
      </c>
      <c r="CZ74" s="127">
        <f>$CR:$CR+$CT:CT+$CV:$CV+$CX:$CX</f>
        <v>0</v>
      </c>
      <c r="DA74" s="127">
        <f t="shared" si="85"/>
        <v>0</v>
      </c>
      <c r="DB74" s="127"/>
      <c r="DC74" s="127">
        <f t="shared" si="86"/>
        <v>3.2500000000000001E-2</v>
      </c>
      <c r="DD74" s="128">
        <f t="shared" si="87"/>
        <v>3614</v>
      </c>
      <c r="DE74" s="129">
        <f t="shared" si="88"/>
        <v>0</v>
      </c>
      <c r="DF74" s="128">
        <f t="shared" si="89"/>
        <v>0</v>
      </c>
      <c r="DG74" s="129">
        <f t="shared" si="90"/>
        <v>0</v>
      </c>
      <c r="DH74" s="128">
        <f t="shared" si="91"/>
        <v>0</v>
      </c>
      <c r="DI74" s="127">
        <f t="shared" si="92"/>
        <v>3.2500000000000001E-2</v>
      </c>
      <c r="DJ74" s="128">
        <f t="shared" si="93"/>
        <v>3614</v>
      </c>
      <c r="DK74" s="127">
        <f t="shared" si="94"/>
        <v>0</v>
      </c>
      <c r="DL74" s="128">
        <f t="shared" si="95"/>
        <v>0</v>
      </c>
      <c r="DM74" s="130"/>
      <c r="DN74" s="131"/>
      <c r="DO74" s="131"/>
      <c r="DP74" s="131"/>
      <c r="DQ74" s="131"/>
      <c r="DR74" s="131"/>
      <c r="DS74" s="131"/>
      <c r="DT74" s="131"/>
      <c r="DU74" s="131"/>
      <c r="DV74" s="131"/>
      <c r="DW74" s="131" t="s">
        <v>1380</v>
      </c>
    </row>
    <row r="75" spans="1:127" ht="33.75">
      <c r="A75" s="134"/>
      <c r="B75" s="121" t="s">
        <v>490</v>
      </c>
      <c r="C75" s="121" t="s">
        <v>939</v>
      </c>
      <c r="D75" s="121">
        <v>17552</v>
      </c>
      <c r="E75" s="192" t="s">
        <v>804</v>
      </c>
      <c r="F75" s="192" t="s">
        <v>940</v>
      </c>
      <c r="G75" s="192" t="s">
        <v>537</v>
      </c>
      <c r="H75" s="193" t="s">
        <v>941</v>
      </c>
      <c r="I75" s="192" t="s">
        <v>942</v>
      </c>
      <c r="J75" s="192" t="s">
        <v>943</v>
      </c>
      <c r="K75" s="194">
        <v>43152</v>
      </c>
      <c r="L75" s="194"/>
      <c r="M75" s="194">
        <v>44874</v>
      </c>
      <c r="N75" s="195" t="s">
        <v>539</v>
      </c>
      <c r="O75" s="195">
        <v>38</v>
      </c>
      <c r="P75" s="196">
        <f t="shared" si="49"/>
        <v>1</v>
      </c>
      <c r="Q75" s="192" t="s">
        <v>613</v>
      </c>
      <c r="R75" s="192">
        <v>17292</v>
      </c>
      <c r="S75" s="192" t="s">
        <v>944</v>
      </c>
      <c r="T75" s="192" t="s">
        <v>945</v>
      </c>
      <c r="U75" s="192" t="s">
        <v>946</v>
      </c>
      <c r="V75" s="193" t="s">
        <v>543</v>
      </c>
      <c r="W75" s="193" t="s">
        <v>545</v>
      </c>
      <c r="X75" s="193" t="s">
        <v>823</v>
      </c>
      <c r="Y75" s="56" t="s">
        <v>824</v>
      </c>
      <c r="Z75" s="193" t="s">
        <v>821</v>
      </c>
      <c r="AA75" s="193" t="s">
        <v>1072</v>
      </c>
      <c r="AB75" s="57" t="s">
        <v>1367</v>
      </c>
      <c r="AC75" s="193" t="s">
        <v>825</v>
      </c>
      <c r="AD75" s="56" t="s">
        <v>826</v>
      </c>
      <c r="AE75" s="10">
        <f>IFERROR(INDEX('[3]Lookup_Rem Ranges'!$D:$D,MATCH($AL:$AL,'[3]Lookup_Rem Ranges'!$C:$C,0)),0)</f>
        <v>83400</v>
      </c>
      <c r="AF75" s="10">
        <f>IFERROR(INDEX('[3]Lookup_Rem Ranges'!$E:$E,MATCH($AL:$AL,'[3]Lookup_Rem Ranges'!$C:$C,0)),0)</f>
        <v>98100</v>
      </c>
      <c r="AG75" s="10">
        <f>IFERROR(INDEX('[3]Lookup_Rem Ranges'!$F:$F,MATCH($AL:$AL,'[3]Lookup_Rem Ranges'!$C:$C,0)),)</f>
        <v>112800</v>
      </c>
      <c r="AH75" s="193" t="s">
        <v>622</v>
      </c>
      <c r="AI75" s="197"/>
      <c r="AJ75" s="198">
        <v>0</v>
      </c>
      <c r="AK75" s="199"/>
      <c r="AL75" s="200" t="str">
        <f t="shared" si="50"/>
        <v>CASS5</v>
      </c>
      <c r="AM75" s="200" t="s">
        <v>487</v>
      </c>
      <c r="AN75" s="197">
        <v>5</v>
      </c>
      <c r="AO75" s="199" t="s">
        <v>701</v>
      </c>
      <c r="AP75" s="5">
        <v>106100</v>
      </c>
      <c r="AQ75" s="10">
        <f t="shared" si="51"/>
        <v>106100</v>
      </c>
      <c r="AR75" s="10">
        <f t="shared" si="52"/>
        <v>106100</v>
      </c>
      <c r="AS75" s="53">
        <v>3.0097087378640777E-2</v>
      </c>
      <c r="AT75" s="53">
        <v>0</v>
      </c>
      <c r="AU75" s="201"/>
      <c r="AV75" s="10"/>
      <c r="AW75" s="54">
        <v>0</v>
      </c>
      <c r="AX75" s="10">
        <v>0</v>
      </c>
      <c r="AY75" s="10">
        <v>106100</v>
      </c>
      <c r="AZ75" s="55">
        <f t="shared" si="53"/>
        <v>1.0815494393476044</v>
      </c>
      <c r="BA75" s="37" t="s">
        <v>23</v>
      </c>
      <c r="BB75" s="38">
        <v>3</v>
      </c>
      <c r="BC75" s="53">
        <f t="shared" si="54"/>
        <v>0</v>
      </c>
      <c r="BD75" s="65">
        <f t="shared" si="96"/>
        <v>0</v>
      </c>
      <c r="BE75" s="44">
        <v>3.2500000000000001E-2</v>
      </c>
      <c r="BF75" s="179">
        <f t="shared" si="55"/>
        <v>3448</v>
      </c>
      <c r="BG75" s="402">
        <v>0</v>
      </c>
      <c r="BH75" s="403">
        <f t="shared" si="56"/>
        <v>0</v>
      </c>
      <c r="BI75" s="44">
        <v>0</v>
      </c>
      <c r="BJ75" s="179">
        <f t="shared" si="57"/>
        <v>0</v>
      </c>
      <c r="BK75" s="179">
        <f t="shared" si="58"/>
        <v>0</v>
      </c>
      <c r="BL75" s="202"/>
      <c r="BM75" s="203">
        <f t="shared" si="59"/>
        <v>3.2500000000000001E-2</v>
      </c>
      <c r="BN75" s="204">
        <f t="shared" si="60"/>
        <v>3448</v>
      </c>
      <c r="BO75" s="16">
        <f t="shared" si="61"/>
        <v>109548</v>
      </c>
      <c r="BP75" s="205">
        <f t="shared" si="62"/>
        <v>12050</v>
      </c>
      <c r="BQ75" s="206">
        <f t="shared" si="63"/>
        <v>121598</v>
      </c>
      <c r="BR75" s="55">
        <f t="shared" si="64"/>
        <v>1.1166972477064221</v>
      </c>
      <c r="BS75" s="64">
        <f t="shared" si="65"/>
        <v>544</v>
      </c>
      <c r="BT75" s="53">
        <f t="shared" si="66"/>
        <v>3.2500000000000001E-2</v>
      </c>
      <c r="BU75" s="65">
        <f t="shared" si="67"/>
        <v>3448</v>
      </c>
      <c r="BV75" s="206">
        <f t="shared" si="68"/>
        <v>109548</v>
      </c>
      <c r="BW75" s="207">
        <f t="shared" si="69"/>
        <v>55.44</v>
      </c>
      <c r="BX75" s="199"/>
      <c r="BY75" s="206">
        <f t="shared" si="70"/>
        <v>121598</v>
      </c>
      <c r="BZ75" s="208" t="s">
        <v>687</v>
      </c>
      <c r="CA75" s="199"/>
      <c r="CB75" s="199"/>
      <c r="CC75" s="200" t="str">
        <f t="shared" si="71"/>
        <v/>
      </c>
      <c r="CD75" s="197"/>
      <c r="CE75" s="197"/>
      <c r="CF75" s="10" t="str">
        <f>IFERROR(INDEX('[4]Lookup_Rem Ranges'!$D:$D,MATCH($CC:$CC,'[4]Lookup_Rem Ranges'!$C:$C,0)),"")</f>
        <v/>
      </c>
      <c r="CG75" s="307"/>
      <c r="CH75" s="307"/>
      <c r="CI75" s="210"/>
      <c r="CJ75" s="122" t="s">
        <v>701</v>
      </c>
      <c r="CK75" s="206">
        <f t="shared" si="72"/>
        <v>0</v>
      </c>
      <c r="CL75" s="206">
        <f t="shared" si="73"/>
        <v>0</v>
      </c>
      <c r="CM75" s="123"/>
      <c r="CN75" s="124">
        <f t="shared" si="74"/>
        <v>0</v>
      </c>
      <c r="CO75" s="124" t="s">
        <v>1376</v>
      </c>
      <c r="CP75" s="125">
        <f t="shared" si="75"/>
        <v>3.2500000000000001E-2</v>
      </c>
      <c r="CQ75" s="126">
        <f t="shared" si="76"/>
        <v>3448</v>
      </c>
      <c r="CR75" s="127">
        <f t="shared" si="77"/>
        <v>0</v>
      </c>
      <c r="CS75" s="128">
        <f t="shared" si="78"/>
        <v>0</v>
      </c>
      <c r="CT75" s="127">
        <f t="shared" si="79"/>
        <v>0</v>
      </c>
      <c r="CU75" s="128">
        <f t="shared" si="80"/>
        <v>0</v>
      </c>
      <c r="CV75" s="127">
        <f t="shared" si="81"/>
        <v>0</v>
      </c>
      <c r="CW75" s="128">
        <f t="shared" si="82"/>
        <v>0</v>
      </c>
      <c r="CX75" s="127">
        <f t="shared" si="83"/>
        <v>0</v>
      </c>
      <c r="CY75" s="128">
        <f t="shared" si="84"/>
        <v>0</v>
      </c>
      <c r="CZ75" s="127">
        <f>$CR:$CR+$CT:CT+$CV:$CV+$CX:$CX</f>
        <v>0</v>
      </c>
      <c r="DA75" s="127">
        <f t="shared" si="85"/>
        <v>0</v>
      </c>
      <c r="DB75" s="127"/>
      <c r="DC75" s="127">
        <f t="shared" si="86"/>
        <v>3.2500000000000001E-2</v>
      </c>
      <c r="DD75" s="128">
        <f t="shared" si="87"/>
        <v>3448</v>
      </c>
      <c r="DE75" s="129">
        <f t="shared" si="88"/>
        <v>0</v>
      </c>
      <c r="DF75" s="128">
        <f t="shared" si="89"/>
        <v>0</v>
      </c>
      <c r="DG75" s="129">
        <f t="shared" si="90"/>
        <v>0</v>
      </c>
      <c r="DH75" s="128">
        <f t="shared" si="91"/>
        <v>0</v>
      </c>
      <c r="DI75" s="127">
        <f t="shared" si="92"/>
        <v>3.2500000000000001E-2</v>
      </c>
      <c r="DJ75" s="128">
        <f t="shared" si="93"/>
        <v>3448</v>
      </c>
      <c r="DK75" s="127">
        <f t="shared" si="94"/>
        <v>0</v>
      </c>
      <c r="DL75" s="128">
        <f t="shared" si="95"/>
        <v>0</v>
      </c>
      <c r="DM75" s="130"/>
      <c r="DN75" s="131"/>
      <c r="DO75" s="131"/>
      <c r="DP75" s="131"/>
      <c r="DQ75" s="131"/>
      <c r="DR75" s="131"/>
      <c r="DS75" s="131"/>
      <c r="DT75" s="131"/>
      <c r="DU75" s="131"/>
      <c r="DV75" s="131"/>
      <c r="DW75" s="131" t="s">
        <v>1380</v>
      </c>
    </row>
    <row r="76" spans="1:127" ht="33.75">
      <c r="A76" s="134"/>
      <c r="B76" s="121" t="s">
        <v>490</v>
      </c>
      <c r="C76" s="121" t="s">
        <v>983</v>
      </c>
      <c r="D76" s="121">
        <v>15380</v>
      </c>
      <c r="E76" s="192" t="s">
        <v>984</v>
      </c>
      <c r="F76" s="192" t="s">
        <v>985</v>
      </c>
      <c r="G76" s="192" t="s">
        <v>537</v>
      </c>
      <c r="H76" s="193" t="s">
        <v>986</v>
      </c>
      <c r="I76" s="192" t="s">
        <v>987</v>
      </c>
      <c r="J76" s="192" t="s">
        <v>988</v>
      </c>
      <c r="K76" s="194">
        <v>38761</v>
      </c>
      <c r="L76" s="194"/>
      <c r="M76" s="194">
        <v>44874</v>
      </c>
      <c r="N76" s="195" t="s">
        <v>539</v>
      </c>
      <c r="O76" s="195">
        <v>38</v>
      </c>
      <c r="P76" s="196">
        <f t="shared" si="49"/>
        <v>1</v>
      </c>
      <c r="Q76" s="192" t="s">
        <v>613</v>
      </c>
      <c r="R76" s="192">
        <v>17292</v>
      </c>
      <c r="S76" s="192" t="s">
        <v>944</v>
      </c>
      <c r="T76" s="192" t="s">
        <v>945</v>
      </c>
      <c r="U76" s="192" t="s">
        <v>946</v>
      </c>
      <c r="V76" s="193" t="s">
        <v>543</v>
      </c>
      <c r="W76" s="193" t="s">
        <v>545</v>
      </c>
      <c r="X76" s="193" t="s">
        <v>823</v>
      </c>
      <c r="Y76" s="56" t="s">
        <v>824</v>
      </c>
      <c r="Z76" s="193" t="s">
        <v>821</v>
      </c>
      <c r="AA76" s="193" t="s">
        <v>1072</v>
      </c>
      <c r="AB76" s="57" t="s">
        <v>1367</v>
      </c>
      <c r="AC76" s="193" t="s">
        <v>825</v>
      </c>
      <c r="AD76" s="56" t="s">
        <v>826</v>
      </c>
      <c r="AE76" s="10">
        <f>IFERROR(INDEX('[3]Lookup_Rem Ranges'!$D:$D,MATCH($AL:$AL,'[3]Lookup_Rem Ranges'!$C:$C,0)),0)</f>
        <v>88700</v>
      </c>
      <c r="AF76" s="10">
        <f>IFERROR(INDEX('[3]Lookup_Rem Ranges'!$E:$E,MATCH($AL:$AL,'[3]Lookup_Rem Ranges'!$C:$C,0)),0)</f>
        <v>104300</v>
      </c>
      <c r="AG76" s="10">
        <f>IFERROR(INDEX('[3]Lookup_Rem Ranges'!$F:$F,MATCH($AL:$AL,'[3]Lookup_Rem Ranges'!$C:$C,0)),)</f>
        <v>119900</v>
      </c>
      <c r="AH76" s="193" t="s">
        <v>622</v>
      </c>
      <c r="AI76" s="197"/>
      <c r="AJ76" s="198">
        <v>0</v>
      </c>
      <c r="AK76" s="199"/>
      <c r="AL76" s="200" t="str">
        <f t="shared" si="50"/>
        <v>GI5</v>
      </c>
      <c r="AM76" s="200" t="s">
        <v>486</v>
      </c>
      <c r="AN76" s="197">
        <v>5</v>
      </c>
      <c r="AO76" s="199" t="s">
        <v>701</v>
      </c>
      <c r="AP76" s="5">
        <v>93100</v>
      </c>
      <c r="AQ76" s="10">
        <f t="shared" si="51"/>
        <v>93100</v>
      </c>
      <c r="AR76" s="10">
        <f t="shared" si="52"/>
        <v>93100</v>
      </c>
      <c r="AS76" s="53">
        <v>2.0833333333333332E-2</v>
      </c>
      <c r="AT76" s="53">
        <v>0</v>
      </c>
      <c r="AU76" s="201"/>
      <c r="AV76" s="10"/>
      <c r="AW76" s="54">
        <v>0</v>
      </c>
      <c r="AX76" s="10">
        <v>0</v>
      </c>
      <c r="AY76" s="10">
        <v>93100</v>
      </c>
      <c r="AZ76" s="55">
        <f t="shared" si="53"/>
        <v>0.89261744966442957</v>
      </c>
      <c r="BA76" s="37" t="s">
        <v>23</v>
      </c>
      <c r="BB76" s="38">
        <v>3</v>
      </c>
      <c r="BC76" s="53">
        <f t="shared" si="54"/>
        <v>0</v>
      </c>
      <c r="BD76" s="65">
        <f t="shared" si="96"/>
        <v>0</v>
      </c>
      <c r="BE76" s="44">
        <v>3.2500000000000001E-2</v>
      </c>
      <c r="BF76" s="179">
        <f t="shared" si="55"/>
        <v>3026</v>
      </c>
      <c r="BG76" s="402">
        <v>0</v>
      </c>
      <c r="BH76" s="403">
        <f t="shared" si="56"/>
        <v>0</v>
      </c>
      <c r="BI76" s="44">
        <v>0</v>
      </c>
      <c r="BJ76" s="179">
        <f t="shared" si="57"/>
        <v>0</v>
      </c>
      <c r="BK76" s="179">
        <f t="shared" si="58"/>
        <v>0</v>
      </c>
      <c r="BL76" s="202"/>
      <c r="BM76" s="203">
        <f t="shared" si="59"/>
        <v>3.2500000000000001E-2</v>
      </c>
      <c r="BN76" s="204">
        <f t="shared" si="60"/>
        <v>3026</v>
      </c>
      <c r="BO76" s="16">
        <f t="shared" si="61"/>
        <v>96126</v>
      </c>
      <c r="BP76" s="205">
        <f t="shared" si="62"/>
        <v>10574</v>
      </c>
      <c r="BQ76" s="206">
        <f t="shared" si="63"/>
        <v>106700</v>
      </c>
      <c r="BR76" s="55">
        <f t="shared" si="64"/>
        <v>0.92162991371045067</v>
      </c>
      <c r="BS76" s="64">
        <f t="shared" si="65"/>
        <v>477</v>
      </c>
      <c r="BT76" s="53">
        <f t="shared" si="66"/>
        <v>3.2500000000000001E-2</v>
      </c>
      <c r="BU76" s="65">
        <f t="shared" si="67"/>
        <v>3026</v>
      </c>
      <c r="BV76" s="206">
        <f t="shared" si="68"/>
        <v>96126</v>
      </c>
      <c r="BW76" s="207">
        <f t="shared" si="69"/>
        <v>48.65</v>
      </c>
      <c r="BX76" s="199"/>
      <c r="BY76" s="206">
        <f t="shared" si="70"/>
        <v>106700</v>
      </c>
      <c r="BZ76" s="208" t="s">
        <v>687</v>
      </c>
      <c r="CA76" s="199"/>
      <c r="CB76" s="199"/>
      <c r="CC76" s="200" t="str">
        <f t="shared" si="71"/>
        <v/>
      </c>
      <c r="CD76" s="197"/>
      <c r="CE76" s="197"/>
      <c r="CF76" s="10" t="str">
        <f>IFERROR(INDEX('[4]Lookup_Rem Ranges'!$D:$D,MATCH($CC:$CC,'[4]Lookup_Rem Ranges'!$C:$C,0)),"")</f>
        <v/>
      </c>
      <c r="CG76" s="307"/>
      <c r="CH76" s="307"/>
      <c r="CI76" s="210"/>
      <c r="CJ76" s="122" t="s">
        <v>701</v>
      </c>
      <c r="CK76" s="206">
        <f t="shared" si="72"/>
        <v>0</v>
      </c>
      <c r="CL76" s="206">
        <f t="shared" si="73"/>
        <v>0</v>
      </c>
      <c r="CM76" s="123"/>
      <c r="CN76" s="124">
        <f t="shared" si="74"/>
        <v>0</v>
      </c>
      <c r="CO76" s="124" t="s">
        <v>1376</v>
      </c>
      <c r="CP76" s="125">
        <f t="shared" si="75"/>
        <v>3.2500000000000001E-2</v>
      </c>
      <c r="CQ76" s="126">
        <f t="shared" si="76"/>
        <v>3026</v>
      </c>
      <c r="CR76" s="127">
        <f t="shared" si="77"/>
        <v>0</v>
      </c>
      <c r="CS76" s="128">
        <f t="shared" si="78"/>
        <v>0</v>
      </c>
      <c r="CT76" s="127">
        <f t="shared" si="79"/>
        <v>0</v>
      </c>
      <c r="CU76" s="128">
        <f t="shared" si="80"/>
        <v>0</v>
      </c>
      <c r="CV76" s="127">
        <f t="shared" si="81"/>
        <v>0</v>
      </c>
      <c r="CW76" s="128">
        <f t="shared" si="82"/>
        <v>0</v>
      </c>
      <c r="CX76" s="127">
        <f t="shared" si="83"/>
        <v>0</v>
      </c>
      <c r="CY76" s="128">
        <f t="shared" si="84"/>
        <v>0</v>
      </c>
      <c r="CZ76" s="127">
        <f>$CR:$CR+$CT:CT+$CV:$CV+$CX:$CX</f>
        <v>0</v>
      </c>
      <c r="DA76" s="127">
        <f t="shared" si="85"/>
        <v>0</v>
      </c>
      <c r="DB76" s="127"/>
      <c r="DC76" s="127">
        <f t="shared" si="86"/>
        <v>3.2500000000000001E-2</v>
      </c>
      <c r="DD76" s="128">
        <f t="shared" si="87"/>
        <v>3026</v>
      </c>
      <c r="DE76" s="129">
        <f t="shared" si="88"/>
        <v>0</v>
      </c>
      <c r="DF76" s="128">
        <f t="shared" si="89"/>
        <v>0</v>
      </c>
      <c r="DG76" s="129">
        <f t="shared" si="90"/>
        <v>0</v>
      </c>
      <c r="DH76" s="128">
        <f t="shared" si="91"/>
        <v>0</v>
      </c>
      <c r="DI76" s="127">
        <f t="shared" si="92"/>
        <v>3.2500000000000001E-2</v>
      </c>
      <c r="DJ76" s="128">
        <f t="shared" si="93"/>
        <v>3026</v>
      </c>
      <c r="DK76" s="127">
        <f t="shared" si="94"/>
        <v>0</v>
      </c>
      <c r="DL76" s="128">
        <f t="shared" si="95"/>
        <v>0</v>
      </c>
      <c r="DM76" s="130"/>
      <c r="DN76" s="131"/>
      <c r="DO76" s="131"/>
      <c r="DP76" s="131"/>
      <c r="DQ76" s="131"/>
      <c r="DR76" s="131"/>
      <c r="DS76" s="131"/>
      <c r="DT76" s="131"/>
      <c r="DU76" s="131"/>
      <c r="DV76" s="131"/>
      <c r="DW76" s="131" t="s">
        <v>1380</v>
      </c>
    </row>
    <row r="77" spans="1:127" ht="33.75">
      <c r="A77" s="134"/>
      <c r="B77" s="121" t="s">
        <v>490</v>
      </c>
      <c r="C77" s="121" t="s">
        <v>992</v>
      </c>
      <c r="D77" s="121">
        <v>17469</v>
      </c>
      <c r="E77" s="192" t="s">
        <v>516</v>
      </c>
      <c r="F77" s="192" t="s">
        <v>794</v>
      </c>
      <c r="G77" s="192" t="s">
        <v>538</v>
      </c>
      <c r="H77" s="193" t="s">
        <v>993</v>
      </c>
      <c r="I77" s="192" t="s">
        <v>994</v>
      </c>
      <c r="J77" s="192" t="s">
        <v>995</v>
      </c>
      <c r="K77" s="194">
        <v>43108</v>
      </c>
      <c r="L77" s="194"/>
      <c r="M77" s="194">
        <v>44874</v>
      </c>
      <c r="N77" s="195" t="s">
        <v>539</v>
      </c>
      <c r="O77" s="195">
        <v>38</v>
      </c>
      <c r="P77" s="196">
        <f t="shared" si="49"/>
        <v>1</v>
      </c>
      <c r="Q77" s="192" t="s">
        <v>613</v>
      </c>
      <c r="R77" s="192">
        <v>17292</v>
      </c>
      <c r="S77" s="192" t="s">
        <v>944</v>
      </c>
      <c r="T77" s="192" t="s">
        <v>945</v>
      </c>
      <c r="U77" s="192" t="s">
        <v>946</v>
      </c>
      <c r="V77" s="193" t="s">
        <v>543</v>
      </c>
      <c r="W77" s="193" t="s">
        <v>545</v>
      </c>
      <c r="X77" s="193" t="s">
        <v>823</v>
      </c>
      <c r="Y77" s="56" t="s">
        <v>824</v>
      </c>
      <c r="Z77" s="193" t="s">
        <v>821</v>
      </c>
      <c r="AA77" s="193" t="s">
        <v>1072</v>
      </c>
      <c r="AB77" s="57" t="s">
        <v>1367</v>
      </c>
      <c r="AC77" s="193" t="s">
        <v>825</v>
      </c>
      <c r="AD77" s="56" t="s">
        <v>826</v>
      </c>
      <c r="AE77" s="10">
        <f>IFERROR(INDEX('[3]Lookup_Rem Ranges'!$D:$D,MATCH($AL:$AL,'[3]Lookup_Rem Ranges'!$C:$C,0)),0)</f>
        <v>83400</v>
      </c>
      <c r="AF77" s="10">
        <f>IFERROR(INDEX('[3]Lookup_Rem Ranges'!$E:$E,MATCH($AL:$AL,'[3]Lookup_Rem Ranges'!$C:$C,0)),0)</f>
        <v>98100</v>
      </c>
      <c r="AG77" s="10">
        <f>IFERROR(INDEX('[3]Lookup_Rem Ranges'!$F:$F,MATCH($AL:$AL,'[3]Lookup_Rem Ranges'!$C:$C,0)),)</f>
        <v>112800</v>
      </c>
      <c r="AH77" s="193" t="s">
        <v>622</v>
      </c>
      <c r="AI77" s="197"/>
      <c r="AJ77" s="198">
        <v>0</v>
      </c>
      <c r="AK77" s="199"/>
      <c r="AL77" s="200" t="str">
        <f t="shared" si="50"/>
        <v>CASS5</v>
      </c>
      <c r="AM77" s="200" t="s">
        <v>487</v>
      </c>
      <c r="AN77" s="197">
        <v>5</v>
      </c>
      <c r="AO77" s="199" t="s">
        <v>701</v>
      </c>
      <c r="AP77" s="5">
        <v>102900</v>
      </c>
      <c r="AQ77" s="10">
        <f t="shared" si="51"/>
        <v>102900</v>
      </c>
      <c r="AR77" s="10">
        <f t="shared" si="52"/>
        <v>102900</v>
      </c>
      <c r="AS77" s="53">
        <v>2.0833333333333332E-2</v>
      </c>
      <c r="AT77" s="53">
        <v>0</v>
      </c>
      <c r="AU77" s="201"/>
      <c r="AV77" s="10"/>
      <c r="AW77" s="54">
        <v>0</v>
      </c>
      <c r="AX77" s="10">
        <v>0</v>
      </c>
      <c r="AY77" s="10">
        <v>102900</v>
      </c>
      <c r="AZ77" s="55">
        <f t="shared" si="53"/>
        <v>1.0489296636085628</v>
      </c>
      <c r="BA77" s="37" t="s">
        <v>23</v>
      </c>
      <c r="BB77" s="38">
        <v>3</v>
      </c>
      <c r="BC77" s="53">
        <f t="shared" si="54"/>
        <v>0</v>
      </c>
      <c r="BD77" s="65">
        <f t="shared" si="96"/>
        <v>0</v>
      </c>
      <c r="BE77" s="44">
        <v>3.2500000000000001E-2</v>
      </c>
      <c r="BF77" s="179">
        <f t="shared" si="55"/>
        <v>3344</v>
      </c>
      <c r="BG77" s="402">
        <v>0</v>
      </c>
      <c r="BH77" s="403">
        <f t="shared" si="56"/>
        <v>0</v>
      </c>
      <c r="BI77" s="44">
        <v>0</v>
      </c>
      <c r="BJ77" s="179">
        <f t="shared" si="57"/>
        <v>0</v>
      </c>
      <c r="BK77" s="179">
        <f t="shared" si="58"/>
        <v>0</v>
      </c>
      <c r="BL77" s="202"/>
      <c r="BM77" s="203">
        <f t="shared" si="59"/>
        <v>3.2500000000000001E-2</v>
      </c>
      <c r="BN77" s="204">
        <f t="shared" si="60"/>
        <v>3344</v>
      </c>
      <c r="BO77" s="16">
        <f t="shared" si="61"/>
        <v>106244</v>
      </c>
      <c r="BP77" s="205">
        <f t="shared" si="62"/>
        <v>11687</v>
      </c>
      <c r="BQ77" s="206">
        <f t="shared" si="63"/>
        <v>117931</v>
      </c>
      <c r="BR77" s="55">
        <f t="shared" si="64"/>
        <v>1.0830173292558614</v>
      </c>
      <c r="BS77" s="64">
        <f t="shared" si="65"/>
        <v>527</v>
      </c>
      <c r="BT77" s="53">
        <f t="shared" si="66"/>
        <v>3.2500000000000001E-2</v>
      </c>
      <c r="BU77" s="65">
        <f t="shared" si="67"/>
        <v>3344</v>
      </c>
      <c r="BV77" s="206">
        <f t="shared" si="68"/>
        <v>106244</v>
      </c>
      <c r="BW77" s="207">
        <f t="shared" si="69"/>
        <v>53.77</v>
      </c>
      <c r="BX77" s="199"/>
      <c r="BY77" s="206">
        <f t="shared" si="70"/>
        <v>117931</v>
      </c>
      <c r="BZ77" s="208" t="s">
        <v>687</v>
      </c>
      <c r="CA77" s="199"/>
      <c r="CB77" s="199"/>
      <c r="CC77" s="200" t="str">
        <f t="shared" si="71"/>
        <v/>
      </c>
      <c r="CD77" s="197"/>
      <c r="CE77" s="197"/>
      <c r="CF77" s="10" t="str">
        <f>IFERROR(INDEX('[4]Lookup_Rem Ranges'!$D:$D,MATCH($CC:$CC,'[4]Lookup_Rem Ranges'!$C:$C,0)),"")</f>
        <v/>
      </c>
      <c r="CG77" s="307"/>
      <c r="CH77" s="307"/>
      <c r="CI77" s="210"/>
      <c r="CJ77" s="122" t="s">
        <v>701</v>
      </c>
      <c r="CK77" s="206">
        <f t="shared" si="72"/>
        <v>0</v>
      </c>
      <c r="CL77" s="206">
        <f t="shared" si="73"/>
        <v>0</v>
      </c>
      <c r="CM77" s="123"/>
      <c r="CN77" s="124">
        <f t="shared" si="74"/>
        <v>0</v>
      </c>
      <c r="CO77" s="124" t="s">
        <v>1376</v>
      </c>
      <c r="CP77" s="125">
        <f t="shared" si="75"/>
        <v>3.2500000000000001E-2</v>
      </c>
      <c r="CQ77" s="126">
        <f t="shared" si="76"/>
        <v>3344</v>
      </c>
      <c r="CR77" s="127">
        <f t="shared" si="77"/>
        <v>0</v>
      </c>
      <c r="CS77" s="128">
        <f t="shared" si="78"/>
        <v>0</v>
      </c>
      <c r="CT77" s="127">
        <f t="shared" si="79"/>
        <v>0</v>
      </c>
      <c r="CU77" s="128">
        <f t="shared" si="80"/>
        <v>0</v>
      </c>
      <c r="CV77" s="127">
        <f t="shared" si="81"/>
        <v>0</v>
      </c>
      <c r="CW77" s="128">
        <f t="shared" si="82"/>
        <v>0</v>
      </c>
      <c r="CX77" s="127">
        <f t="shared" si="83"/>
        <v>0</v>
      </c>
      <c r="CY77" s="128">
        <f t="shared" si="84"/>
        <v>0</v>
      </c>
      <c r="CZ77" s="127">
        <f>$CR:$CR+$CT:CT+$CV:$CV+$CX:$CX</f>
        <v>0</v>
      </c>
      <c r="DA77" s="127">
        <f t="shared" si="85"/>
        <v>0</v>
      </c>
      <c r="DB77" s="127"/>
      <c r="DC77" s="127">
        <f t="shared" si="86"/>
        <v>3.2500000000000001E-2</v>
      </c>
      <c r="DD77" s="128">
        <f t="shared" si="87"/>
        <v>3344</v>
      </c>
      <c r="DE77" s="129">
        <f t="shared" si="88"/>
        <v>0</v>
      </c>
      <c r="DF77" s="128">
        <f t="shared" si="89"/>
        <v>0</v>
      </c>
      <c r="DG77" s="129">
        <f t="shared" si="90"/>
        <v>0</v>
      </c>
      <c r="DH77" s="128">
        <f t="shared" si="91"/>
        <v>0</v>
      </c>
      <c r="DI77" s="127">
        <f t="shared" si="92"/>
        <v>3.2500000000000001E-2</v>
      </c>
      <c r="DJ77" s="128">
        <f t="shared" si="93"/>
        <v>3344</v>
      </c>
      <c r="DK77" s="127">
        <f t="shared" si="94"/>
        <v>0</v>
      </c>
      <c r="DL77" s="128">
        <f t="shared" si="95"/>
        <v>0</v>
      </c>
      <c r="DM77" s="130"/>
      <c r="DN77" s="131"/>
      <c r="DO77" s="131"/>
      <c r="DP77" s="131"/>
      <c r="DQ77" s="131"/>
      <c r="DR77" s="131"/>
      <c r="DS77" s="131"/>
      <c r="DT77" s="131"/>
      <c r="DU77" s="131"/>
      <c r="DV77" s="131"/>
      <c r="DW77" s="131" t="s">
        <v>1380</v>
      </c>
    </row>
    <row r="78" spans="1:127" ht="24">
      <c r="A78" s="134"/>
      <c r="B78" s="121" t="s">
        <v>490</v>
      </c>
      <c r="C78" s="121" t="s">
        <v>1205</v>
      </c>
      <c r="D78" s="121">
        <v>16654</v>
      </c>
      <c r="E78" s="192" t="s">
        <v>1025</v>
      </c>
      <c r="F78" s="192" t="s">
        <v>1206</v>
      </c>
      <c r="G78" s="192" t="s">
        <v>537</v>
      </c>
      <c r="H78" s="193" t="s">
        <v>1197</v>
      </c>
      <c r="I78" s="192" t="s">
        <v>1207</v>
      </c>
      <c r="J78" s="192" t="s">
        <v>980</v>
      </c>
      <c r="K78" s="194">
        <v>42738</v>
      </c>
      <c r="L78" s="194">
        <v>45838</v>
      </c>
      <c r="M78" s="194">
        <v>42738</v>
      </c>
      <c r="N78" s="195" t="s">
        <v>540</v>
      </c>
      <c r="O78" s="195">
        <v>30</v>
      </c>
      <c r="P78" s="196">
        <f t="shared" si="49"/>
        <v>0.78947368421052633</v>
      </c>
      <c r="Q78" s="192" t="s">
        <v>617</v>
      </c>
      <c r="R78" s="192">
        <v>18908</v>
      </c>
      <c r="S78" s="192" t="s">
        <v>1198</v>
      </c>
      <c r="T78" s="192" t="s">
        <v>1199</v>
      </c>
      <c r="U78" s="192" t="s">
        <v>1200</v>
      </c>
      <c r="V78" s="193" t="s">
        <v>543</v>
      </c>
      <c r="W78" s="193" t="s">
        <v>566</v>
      </c>
      <c r="X78" s="193" t="s">
        <v>823</v>
      </c>
      <c r="Y78" s="56" t="s">
        <v>824</v>
      </c>
      <c r="Z78" s="193" t="s">
        <v>981</v>
      </c>
      <c r="AA78" s="193" t="s">
        <v>932</v>
      </c>
      <c r="AB78" s="57" t="s">
        <v>1368</v>
      </c>
      <c r="AC78" s="193" t="s">
        <v>825</v>
      </c>
      <c r="AD78" s="56" t="s">
        <v>826</v>
      </c>
      <c r="AE78" s="10">
        <f>IFERROR(INDEX('[3]Lookup_Rem Ranges'!$D:$D,MATCH($AL:$AL,'[3]Lookup_Rem Ranges'!$C:$C,0)),0)</f>
        <v>105500</v>
      </c>
      <c r="AF78" s="10">
        <f>IFERROR(INDEX('[3]Lookup_Rem Ranges'!$E:$E,MATCH($AL:$AL,'[3]Lookup_Rem Ranges'!$C:$C,0)),0)</f>
        <v>124100</v>
      </c>
      <c r="AG78" s="10">
        <f>IFERROR(INDEX('[3]Lookup_Rem Ranges'!$F:$F,MATCH($AL:$AL,'[3]Lookup_Rem Ranges'!$C:$C,0)),)</f>
        <v>142700</v>
      </c>
      <c r="AH78" s="193" t="s">
        <v>622</v>
      </c>
      <c r="AI78" s="197"/>
      <c r="AJ78" s="198">
        <v>0</v>
      </c>
      <c r="AK78" s="199"/>
      <c r="AL78" s="200" t="str">
        <f t="shared" si="50"/>
        <v>CASS6</v>
      </c>
      <c r="AM78" s="200" t="s">
        <v>487</v>
      </c>
      <c r="AN78" s="197">
        <v>6</v>
      </c>
      <c r="AO78" s="199" t="s">
        <v>1144</v>
      </c>
      <c r="AP78" s="5">
        <v>107100</v>
      </c>
      <c r="AQ78" s="10">
        <f t="shared" si="51"/>
        <v>84553</v>
      </c>
      <c r="AR78" s="10">
        <f t="shared" si="52"/>
        <v>107100</v>
      </c>
      <c r="AS78" s="53" t="s">
        <v>790</v>
      </c>
      <c r="AT78" s="53">
        <v>0</v>
      </c>
      <c r="AU78" s="201"/>
      <c r="AV78" s="10"/>
      <c r="AW78" s="54">
        <v>0</v>
      </c>
      <c r="AX78" s="10">
        <v>0</v>
      </c>
      <c r="AY78" s="10">
        <v>107100</v>
      </c>
      <c r="AZ78" s="55">
        <f t="shared" si="53"/>
        <v>0.86301369863013699</v>
      </c>
      <c r="BA78" s="37" t="s">
        <v>23</v>
      </c>
      <c r="BB78" s="38">
        <v>3</v>
      </c>
      <c r="BC78" s="53">
        <f t="shared" si="54"/>
        <v>0</v>
      </c>
      <c r="BD78" s="65">
        <f t="shared" si="96"/>
        <v>0</v>
      </c>
      <c r="BE78" s="44">
        <v>3.2500000000000001E-2</v>
      </c>
      <c r="BF78" s="179">
        <f t="shared" si="55"/>
        <v>3481</v>
      </c>
      <c r="BG78" s="402">
        <v>0</v>
      </c>
      <c r="BH78" s="403">
        <f t="shared" si="56"/>
        <v>0</v>
      </c>
      <c r="BI78" s="44">
        <v>0</v>
      </c>
      <c r="BJ78" s="179">
        <f t="shared" si="57"/>
        <v>0</v>
      </c>
      <c r="BK78" s="179">
        <f t="shared" si="58"/>
        <v>0</v>
      </c>
      <c r="BL78" s="202"/>
      <c r="BM78" s="203">
        <f t="shared" si="59"/>
        <v>3.2500000000000001E-2</v>
      </c>
      <c r="BN78" s="204">
        <f t="shared" si="60"/>
        <v>3481</v>
      </c>
      <c r="BO78" s="16">
        <f t="shared" si="61"/>
        <v>110581</v>
      </c>
      <c r="BP78" s="205">
        <f t="shared" si="62"/>
        <v>12164</v>
      </c>
      <c r="BQ78" s="206">
        <f t="shared" si="63"/>
        <v>122745</v>
      </c>
      <c r="BR78" s="55">
        <f t="shared" si="64"/>
        <v>0.8910636583400483</v>
      </c>
      <c r="BS78" s="64">
        <f t="shared" si="65"/>
        <v>433.42105263157896</v>
      </c>
      <c r="BT78" s="53">
        <f t="shared" si="66"/>
        <v>3.2500000000000001E-2</v>
      </c>
      <c r="BU78" s="65">
        <f t="shared" si="67"/>
        <v>3481</v>
      </c>
      <c r="BV78" s="206">
        <f t="shared" si="68"/>
        <v>87300.789473684214</v>
      </c>
      <c r="BW78" s="207">
        <f t="shared" si="69"/>
        <v>55.96</v>
      </c>
      <c r="BX78" s="199"/>
      <c r="BY78" s="206">
        <f t="shared" si="70"/>
        <v>122745</v>
      </c>
      <c r="BZ78" s="208" t="s">
        <v>687</v>
      </c>
      <c r="CA78" s="199"/>
      <c r="CB78" s="199"/>
      <c r="CC78" s="200" t="str">
        <f t="shared" si="71"/>
        <v/>
      </c>
      <c r="CD78" s="197"/>
      <c r="CE78" s="197"/>
      <c r="CF78" s="10" t="str">
        <f>IFERROR(INDEX('[4]Lookup_Rem Ranges'!$D:$D,MATCH($CC:$CC,'[4]Lookup_Rem Ranges'!$C:$C,0)),"")</f>
        <v/>
      </c>
      <c r="CG78" s="307"/>
      <c r="CH78" s="307"/>
      <c r="CI78" s="210"/>
      <c r="CJ78" s="122" t="s">
        <v>701</v>
      </c>
      <c r="CK78" s="206">
        <f t="shared" si="72"/>
        <v>0</v>
      </c>
      <c r="CL78" s="206">
        <f t="shared" si="73"/>
        <v>0</v>
      </c>
      <c r="CM78" s="123"/>
      <c r="CN78" s="124">
        <f t="shared" si="74"/>
        <v>0</v>
      </c>
      <c r="CO78" s="124" t="s">
        <v>1374</v>
      </c>
      <c r="CP78" s="125">
        <f t="shared" si="75"/>
        <v>3.2500000000000001E-2</v>
      </c>
      <c r="CQ78" s="126">
        <f t="shared" si="76"/>
        <v>3481</v>
      </c>
      <c r="CR78" s="127">
        <f t="shared" si="77"/>
        <v>0</v>
      </c>
      <c r="CS78" s="128">
        <f t="shared" si="78"/>
        <v>0</v>
      </c>
      <c r="CT78" s="127">
        <f t="shared" si="79"/>
        <v>0</v>
      </c>
      <c r="CU78" s="128">
        <f t="shared" si="80"/>
        <v>0</v>
      </c>
      <c r="CV78" s="127">
        <f t="shared" si="81"/>
        <v>0</v>
      </c>
      <c r="CW78" s="128">
        <f t="shared" si="82"/>
        <v>0</v>
      </c>
      <c r="CX78" s="127">
        <f t="shared" si="83"/>
        <v>0</v>
      </c>
      <c r="CY78" s="128">
        <f t="shared" si="84"/>
        <v>0</v>
      </c>
      <c r="CZ78" s="127">
        <f>$CR:$CR+$CT:CT+$CV:$CV+$CX:$CX</f>
        <v>0</v>
      </c>
      <c r="DA78" s="127">
        <f t="shared" si="85"/>
        <v>0</v>
      </c>
      <c r="DB78" s="127"/>
      <c r="DC78" s="127">
        <f t="shared" si="86"/>
        <v>3.2500000000000001E-2</v>
      </c>
      <c r="DD78" s="128">
        <f t="shared" si="87"/>
        <v>3481</v>
      </c>
      <c r="DE78" s="129">
        <f t="shared" si="88"/>
        <v>0</v>
      </c>
      <c r="DF78" s="128">
        <f t="shared" si="89"/>
        <v>0</v>
      </c>
      <c r="DG78" s="129">
        <f t="shared" si="90"/>
        <v>0</v>
      </c>
      <c r="DH78" s="128">
        <f t="shared" si="91"/>
        <v>0</v>
      </c>
      <c r="DI78" s="127">
        <f t="shared" si="92"/>
        <v>3.2500000000000001E-2</v>
      </c>
      <c r="DJ78" s="128">
        <f t="shared" si="93"/>
        <v>3481</v>
      </c>
      <c r="DK78" s="127">
        <f t="shared" si="94"/>
        <v>0</v>
      </c>
      <c r="DL78" s="128">
        <f t="shared" si="95"/>
        <v>0</v>
      </c>
      <c r="DM78" s="130"/>
      <c r="DN78" s="131"/>
      <c r="DO78" s="131"/>
      <c r="DP78" s="131"/>
      <c r="DQ78" s="131"/>
      <c r="DR78" s="131"/>
      <c r="DS78" s="131"/>
      <c r="DT78" s="131"/>
      <c r="DU78" s="131"/>
      <c r="DV78" s="131"/>
      <c r="DW78" s="131" t="s">
        <v>1380</v>
      </c>
    </row>
    <row r="79" spans="1:127" ht="24">
      <c r="A79" s="134"/>
      <c r="B79" s="121" t="s">
        <v>490</v>
      </c>
      <c r="C79" s="121" t="s">
        <v>1208</v>
      </c>
      <c r="D79" s="121">
        <v>18409</v>
      </c>
      <c r="E79" s="192" t="s">
        <v>798</v>
      </c>
      <c r="F79" s="192" t="s">
        <v>1209</v>
      </c>
      <c r="G79" s="192" t="s">
        <v>537</v>
      </c>
      <c r="H79" s="193" t="s">
        <v>1197</v>
      </c>
      <c r="I79" s="192" t="s">
        <v>1210</v>
      </c>
      <c r="J79" s="192" t="s">
        <v>980</v>
      </c>
      <c r="K79" s="194">
        <v>43523</v>
      </c>
      <c r="L79" s="194">
        <v>45107</v>
      </c>
      <c r="M79" s="194">
        <v>44814</v>
      </c>
      <c r="N79" s="195" t="s">
        <v>539</v>
      </c>
      <c r="O79" s="195">
        <v>38</v>
      </c>
      <c r="P79" s="196">
        <f t="shared" si="49"/>
        <v>1</v>
      </c>
      <c r="Q79" s="192" t="s">
        <v>617</v>
      </c>
      <c r="R79" s="192">
        <v>18908</v>
      </c>
      <c r="S79" s="192" t="s">
        <v>1198</v>
      </c>
      <c r="T79" s="192" t="s">
        <v>1199</v>
      </c>
      <c r="U79" s="192" t="s">
        <v>1200</v>
      </c>
      <c r="V79" s="193" t="s">
        <v>543</v>
      </c>
      <c r="W79" s="193" t="s">
        <v>566</v>
      </c>
      <c r="X79" s="193" t="s">
        <v>823</v>
      </c>
      <c r="Y79" s="56" t="s">
        <v>824</v>
      </c>
      <c r="Z79" s="193" t="s">
        <v>981</v>
      </c>
      <c r="AA79" s="193" t="s">
        <v>932</v>
      </c>
      <c r="AB79" s="57" t="s">
        <v>1368</v>
      </c>
      <c r="AC79" s="193" t="s">
        <v>825</v>
      </c>
      <c r="AD79" s="56" t="s">
        <v>826</v>
      </c>
      <c r="AE79" s="10">
        <f>IFERROR(INDEX('[3]Lookup_Rem Ranges'!$D:$D,MATCH($AL:$AL,'[3]Lookup_Rem Ranges'!$C:$C,0)),0)</f>
        <v>105500</v>
      </c>
      <c r="AF79" s="10">
        <f>IFERROR(INDEX('[3]Lookup_Rem Ranges'!$E:$E,MATCH($AL:$AL,'[3]Lookup_Rem Ranges'!$C:$C,0)),0)</f>
        <v>124100</v>
      </c>
      <c r="AG79" s="10">
        <f>IFERROR(INDEX('[3]Lookup_Rem Ranges'!$F:$F,MATCH($AL:$AL,'[3]Lookup_Rem Ranges'!$C:$C,0)),)</f>
        <v>142700</v>
      </c>
      <c r="AH79" s="193" t="s">
        <v>622</v>
      </c>
      <c r="AI79" s="197"/>
      <c r="AJ79" s="198">
        <v>0</v>
      </c>
      <c r="AK79" s="199"/>
      <c r="AL79" s="200" t="str">
        <f t="shared" si="50"/>
        <v>CASS6</v>
      </c>
      <c r="AM79" s="200" t="s">
        <v>487</v>
      </c>
      <c r="AN79" s="197">
        <v>6</v>
      </c>
      <c r="AO79" s="199" t="s">
        <v>827</v>
      </c>
      <c r="AP79" s="5">
        <v>107100</v>
      </c>
      <c r="AQ79" s="10">
        <f t="shared" si="51"/>
        <v>107100</v>
      </c>
      <c r="AR79" s="10">
        <f t="shared" si="52"/>
        <v>0</v>
      </c>
      <c r="AS79" s="53">
        <v>0.12736842105263158</v>
      </c>
      <c r="AT79" s="53">
        <v>0</v>
      </c>
      <c r="AU79" s="201"/>
      <c r="AV79" s="10"/>
      <c r="AW79" s="54">
        <v>0</v>
      </c>
      <c r="AX79" s="10">
        <v>0</v>
      </c>
      <c r="AY79" s="10">
        <v>107100</v>
      </c>
      <c r="AZ79" s="55">
        <f t="shared" si="53"/>
        <v>0.86301369863013699</v>
      </c>
      <c r="BA79" s="37" t="s">
        <v>687</v>
      </c>
      <c r="BB79" s="38">
        <v>3</v>
      </c>
      <c r="BC79" s="53">
        <f t="shared" si="54"/>
        <v>0</v>
      </c>
      <c r="BD79" s="65">
        <f t="shared" si="96"/>
        <v>0</v>
      </c>
      <c r="BE79" s="44">
        <v>0</v>
      </c>
      <c r="BF79" s="179">
        <f t="shared" si="55"/>
        <v>0</v>
      </c>
      <c r="BG79" s="402">
        <v>0</v>
      </c>
      <c r="BH79" s="403">
        <f t="shared" si="56"/>
        <v>0</v>
      </c>
      <c r="BI79" s="44">
        <v>0</v>
      </c>
      <c r="BJ79" s="179">
        <f t="shared" si="57"/>
        <v>0</v>
      </c>
      <c r="BK79" s="179">
        <f t="shared" si="58"/>
        <v>0</v>
      </c>
      <c r="BL79" s="202"/>
      <c r="BM79" s="203">
        <f t="shared" si="59"/>
        <v>0</v>
      </c>
      <c r="BN79" s="204">
        <f t="shared" si="60"/>
        <v>0</v>
      </c>
      <c r="BO79" s="16">
        <f t="shared" si="61"/>
        <v>107100</v>
      </c>
      <c r="BP79" s="205">
        <f t="shared" si="62"/>
        <v>11781</v>
      </c>
      <c r="BQ79" s="206">
        <f t="shared" si="63"/>
        <v>118881</v>
      </c>
      <c r="BR79" s="55">
        <f t="shared" si="64"/>
        <v>0.86301369863013699</v>
      </c>
      <c r="BS79" s="64">
        <f t="shared" si="65"/>
        <v>0</v>
      </c>
      <c r="BT79" s="53">
        <f t="shared" si="66"/>
        <v>0</v>
      </c>
      <c r="BU79" s="65">
        <f t="shared" si="67"/>
        <v>0</v>
      </c>
      <c r="BV79" s="206">
        <f t="shared" si="68"/>
        <v>107100</v>
      </c>
      <c r="BW79" s="207">
        <f t="shared" si="69"/>
        <v>54.2</v>
      </c>
      <c r="BX79" s="199"/>
      <c r="BY79" s="206">
        <f t="shared" si="70"/>
        <v>118881</v>
      </c>
      <c r="BZ79" s="208" t="s">
        <v>687</v>
      </c>
      <c r="CA79" s="199"/>
      <c r="CB79" s="199"/>
      <c r="CC79" s="200" t="str">
        <f t="shared" si="71"/>
        <v/>
      </c>
      <c r="CD79" s="197"/>
      <c r="CE79" s="197"/>
      <c r="CF79" s="10" t="str">
        <f>IFERROR(INDEX('[4]Lookup_Rem Ranges'!$D:$D,MATCH($CC:$CC,'[4]Lookup_Rem Ranges'!$C:$C,0)),"")</f>
        <v/>
      </c>
      <c r="CG79" s="307"/>
      <c r="CH79" s="307"/>
      <c r="CI79" s="210"/>
      <c r="CJ79" s="122" t="s">
        <v>701</v>
      </c>
      <c r="CK79" s="206">
        <f t="shared" si="72"/>
        <v>0</v>
      </c>
      <c r="CL79" s="206">
        <f t="shared" si="73"/>
        <v>0</v>
      </c>
      <c r="CM79" s="123"/>
      <c r="CN79" s="124">
        <f t="shared" si="74"/>
        <v>0</v>
      </c>
      <c r="CO79" s="124" t="s">
        <v>1375</v>
      </c>
      <c r="CP79" s="125">
        <f t="shared" si="75"/>
        <v>0</v>
      </c>
      <c r="CQ79" s="126">
        <f t="shared" si="76"/>
        <v>0</v>
      </c>
      <c r="CR79" s="127">
        <f t="shared" si="77"/>
        <v>0</v>
      </c>
      <c r="CS79" s="128">
        <f t="shared" si="78"/>
        <v>0</v>
      </c>
      <c r="CT79" s="127">
        <f t="shared" si="79"/>
        <v>0</v>
      </c>
      <c r="CU79" s="128">
        <f t="shared" si="80"/>
        <v>0</v>
      </c>
      <c r="CV79" s="127">
        <f t="shared" si="81"/>
        <v>0</v>
      </c>
      <c r="CW79" s="128">
        <f t="shared" si="82"/>
        <v>0</v>
      </c>
      <c r="CX79" s="127">
        <f t="shared" si="83"/>
        <v>0</v>
      </c>
      <c r="CY79" s="128">
        <f t="shared" si="84"/>
        <v>0</v>
      </c>
      <c r="CZ79" s="127">
        <f>$CR:$CR+$CT:CT+$CV:$CV+$CX:$CX</f>
        <v>0</v>
      </c>
      <c r="DA79" s="127">
        <f t="shared" si="85"/>
        <v>0</v>
      </c>
      <c r="DB79" s="127"/>
      <c r="DC79" s="127">
        <f t="shared" si="86"/>
        <v>0</v>
      </c>
      <c r="DD79" s="128">
        <f t="shared" si="87"/>
        <v>0</v>
      </c>
      <c r="DE79" s="129">
        <f t="shared" si="88"/>
        <v>0</v>
      </c>
      <c r="DF79" s="128">
        <f t="shared" si="89"/>
        <v>0</v>
      </c>
      <c r="DG79" s="129">
        <f t="shared" si="90"/>
        <v>0</v>
      </c>
      <c r="DH79" s="128">
        <f t="shared" si="91"/>
        <v>0</v>
      </c>
      <c r="DI79" s="127">
        <f t="shared" si="92"/>
        <v>0</v>
      </c>
      <c r="DJ79" s="128">
        <f t="shared" si="93"/>
        <v>0</v>
      </c>
      <c r="DK79" s="127">
        <f t="shared" si="94"/>
        <v>0</v>
      </c>
      <c r="DL79" s="128">
        <f t="shared" si="95"/>
        <v>0</v>
      </c>
      <c r="DM79" s="130"/>
      <c r="DN79" s="131"/>
      <c r="DO79" s="131"/>
      <c r="DP79" s="131"/>
      <c r="DQ79" s="131"/>
      <c r="DR79" s="131"/>
      <c r="DS79" s="131"/>
      <c r="DT79" s="131"/>
      <c r="DU79" s="131"/>
      <c r="DV79" s="131"/>
      <c r="DW79" s="131" t="s">
        <v>1380</v>
      </c>
    </row>
    <row r="80" spans="1:127" ht="33.75">
      <c r="A80" s="134"/>
      <c r="B80" s="121" t="s">
        <v>490</v>
      </c>
      <c r="C80" s="121" t="s">
        <v>1195</v>
      </c>
      <c r="D80" s="121">
        <v>14689</v>
      </c>
      <c r="E80" s="192" t="s">
        <v>982</v>
      </c>
      <c r="F80" s="192" t="s">
        <v>1196</v>
      </c>
      <c r="G80" s="192" t="s">
        <v>537</v>
      </c>
      <c r="H80" s="193" t="s">
        <v>1197</v>
      </c>
      <c r="I80" s="192" t="s">
        <v>1060</v>
      </c>
      <c r="J80" s="192" t="s">
        <v>980</v>
      </c>
      <c r="K80" s="194">
        <v>41835</v>
      </c>
      <c r="L80" s="194"/>
      <c r="M80" s="194">
        <v>44378</v>
      </c>
      <c r="N80" s="195" t="s">
        <v>539</v>
      </c>
      <c r="O80" s="195">
        <v>38</v>
      </c>
      <c r="P80" s="196">
        <f t="shared" si="49"/>
        <v>1</v>
      </c>
      <c r="Q80" s="192" t="s">
        <v>617</v>
      </c>
      <c r="R80" s="192">
        <v>18908</v>
      </c>
      <c r="S80" s="192" t="s">
        <v>1198</v>
      </c>
      <c r="T80" s="192" t="s">
        <v>1199</v>
      </c>
      <c r="U80" s="192" t="s">
        <v>1200</v>
      </c>
      <c r="V80" s="193" t="s">
        <v>543</v>
      </c>
      <c r="W80" s="193" t="s">
        <v>566</v>
      </c>
      <c r="X80" s="193" t="s">
        <v>823</v>
      </c>
      <c r="Y80" s="56" t="s">
        <v>824</v>
      </c>
      <c r="Z80" s="193" t="s">
        <v>981</v>
      </c>
      <c r="AA80" s="193" t="s">
        <v>932</v>
      </c>
      <c r="AB80" s="57" t="s">
        <v>1368</v>
      </c>
      <c r="AC80" s="193" t="s">
        <v>825</v>
      </c>
      <c r="AD80" s="56" t="s">
        <v>826</v>
      </c>
      <c r="AE80" s="10">
        <f>IFERROR(INDEX('[3]Lookup_Rem Ranges'!$D:$D,MATCH($AL:$AL,'[3]Lookup_Rem Ranges'!$C:$C,0)),0)</f>
        <v>105500</v>
      </c>
      <c r="AF80" s="10">
        <f>IFERROR(INDEX('[3]Lookup_Rem Ranges'!$E:$E,MATCH($AL:$AL,'[3]Lookup_Rem Ranges'!$C:$C,0)),0)</f>
        <v>124100</v>
      </c>
      <c r="AG80" s="10">
        <f>IFERROR(INDEX('[3]Lookup_Rem Ranges'!$F:$F,MATCH($AL:$AL,'[3]Lookup_Rem Ranges'!$C:$C,0)),)</f>
        <v>142700</v>
      </c>
      <c r="AH80" s="193" t="s">
        <v>622</v>
      </c>
      <c r="AI80" s="197"/>
      <c r="AJ80" s="198">
        <v>0</v>
      </c>
      <c r="AK80" s="199"/>
      <c r="AL80" s="200" t="str">
        <f t="shared" si="50"/>
        <v>CASS6</v>
      </c>
      <c r="AM80" s="200" t="s">
        <v>487</v>
      </c>
      <c r="AN80" s="197">
        <v>6</v>
      </c>
      <c r="AO80" s="199" t="s">
        <v>827</v>
      </c>
      <c r="AP80" s="5">
        <v>107100</v>
      </c>
      <c r="AQ80" s="10">
        <f t="shared" si="51"/>
        <v>107100</v>
      </c>
      <c r="AR80" s="10">
        <f t="shared" si="52"/>
        <v>0</v>
      </c>
      <c r="AS80" s="53">
        <v>6.8201312561089938E-2</v>
      </c>
      <c r="AT80" s="53">
        <v>0</v>
      </c>
      <c r="AU80" s="201"/>
      <c r="AV80" s="10"/>
      <c r="AW80" s="54">
        <v>0</v>
      </c>
      <c r="AX80" s="10">
        <v>0</v>
      </c>
      <c r="AY80" s="10">
        <v>107100</v>
      </c>
      <c r="AZ80" s="55">
        <f t="shared" si="53"/>
        <v>0.86301369863013699</v>
      </c>
      <c r="BA80" s="37" t="s">
        <v>687</v>
      </c>
      <c r="BB80" s="38">
        <v>3</v>
      </c>
      <c r="BC80" s="53">
        <f t="shared" si="54"/>
        <v>0</v>
      </c>
      <c r="BD80" s="65">
        <f t="shared" si="96"/>
        <v>0</v>
      </c>
      <c r="BE80" s="44">
        <v>0</v>
      </c>
      <c r="BF80" s="179">
        <f t="shared" si="55"/>
        <v>0</v>
      </c>
      <c r="BG80" s="402">
        <v>0</v>
      </c>
      <c r="BH80" s="403">
        <f t="shared" si="56"/>
        <v>0</v>
      </c>
      <c r="BI80" s="44">
        <v>0</v>
      </c>
      <c r="BJ80" s="179">
        <f t="shared" si="57"/>
        <v>0</v>
      </c>
      <c r="BK80" s="179">
        <f t="shared" si="58"/>
        <v>0</v>
      </c>
      <c r="BL80" s="202"/>
      <c r="BM80" s="203">
        <f t="shared" si="59"/>
        <v>0</v>
      </c>
      <c r="BN80" s="204">
        <f t="shared" si="60"/>
        <v>0</v>
      </c>
      <c r="BO80" s="16">
        <f t="shared" si="61"/>
        <v>107100</v>
      </c>
      <c r="BP80" s="205">
        <f t="shared" si="62"/>
        <v>11781</v>
      </c>
      <c r="BQ80" s="206">
        <f t="shared" si="63"/>
        <v>118881</v>
      </c>
      <c r="BR80" s="55">
        <f t="shared" si="64"/>
        <v>0.86301369863013699</v>
      </c>
      <c r="BS80" s="64">
        <f t="shared" si="65"/>
        <v>0</v>
      </c>
      <c r="BT80" s="53">
        <f t="shared" si="66"/>
        <v>0</v>
      </c>
      <c r="BU80" s="65">
        <f t="shared" si="67"/>
        <v>0</v>
      </c>
      <c r="BV80" s="206">
        <f t="shared" si="68"/>
        <v>107100</v>
      </c>
      <c r="BW80" s="207">
        <f t="shared" si="69"/>
        <v>54.2</v>
      </c>
      <c r="BX80" s="199"/>
      <c r="BY80" s="206">
        <f t="shared" si="70"/>
        <v>118881</v>
      </c>
      <c r="BZ80" s="208" t="s">
        <v>687</v>
      </c>
      <c r="CA80" s="199"/>
      <c r="CB80" s="199"/>
      <c r="CC80" s="200" t="str">
        <f t="shared" si="71"/>
        <v/>
      </c>
      <c r="CD80" s="197"/>
      <c r="CE80" s="197"/>
      <c r="CF80" s="10" t="str">
        <f>IFERROR(INDEX('[4]Lookup_Rem Ranges'!$D:$D,MATCH($CC:$CC,'[4]Lookup_Rem Ranges'!$C:$C,0)),"")</f>
        <v/>
      </c>
      <c r="CG80" s="307"/>
      <c r="CH80" s="307"/>
      <c r="CI80" s="210"/>
      <c r="CJ80" s="122" t="s">
        <v>701</v>
      </c>
      <c r="CK80" s="206">
        <f t="shared" si="72"/>
        <v>0</v>
      </c>
      <c r="CL80" s="206">
        <f t="shared" si="73"/>
        <v>0</v>
      </c>
      <c r="CM80" s="123"/>
      <c r="CN80" s="124">
        <f t="shared" si="74"/>
        <v>0</v>
      </c>
      <c r="CO80" s="124" t="s">
        <v>1376</v>
      </c>
      <c r="CP80" s="125">
        <f t="shared" si="75"/>
        <v>0</v>
      </c>
      <c r="CQ80" s="126">
        <f t="shared" si="76"/>
        <v>0</v>
      </c>
      <c r="CR80" s="127">
        <f t="shared" si="77"/>
        <v>0</v>
      </c>
      <c r="CS80" s="128">
        <f t="shared" si="78"/>
        <v>0</v>
      </c>
      <c r="CT80" s="127">
        <f t="shared" si="79"/>
        <v>0</v>
      </c>
      <c r="CU80" s="128">
        <f t="shared" si="80"/>
        <v>0</v>
      </c>
      <c r="CV80" s="127">
        <f t="shared" si="81"/>
        <v>0</v>
      </c>
      <c r="CW80" s="128">
        <f t="shared" si="82"/>
        <v>0</v>
      </c>
      <c r="CX80" s="127">
        <f t="shared" si="83"/>
        <v>0</v>
      </c>
      <c r="CY80" s="128">
        <f t="shared" si="84"/>
        <v>0</v>
      </c>
      <c r="CZ80" s="127">
        <f>$CR:$CR+$CT:CT+$CV:$CV+$CX:$CX</f>
        <v>0</v>
      </c>
      <c r="DA80" s="127">
        <f t="shared" si="85"/>
        <v>0</v>
      </c>
      <c r="DB80" s="127"/>
      <c r="DC80" s="127">
        <f t="shared" si="86"/>
        <v>0</v>
      </c>
      <c r="DD80" s="128">
        <f t="shared" si="87"/>
        <v>0</v>
      </c>
      <c r="DE80" s="129">
        <f t="shared" si="88"/>
        <v>0</v>
      </c>
      <c r="DF80" s="128">
        <f t="shared" si="89"/>
        <v>0</v>
      </c>
      <c r="DG80" s="129">
        <f t="shared" si="90"/>
        <v>0</v>
      </c>
      <c r="DH80" s="128">
        <f t="shared" si="91"/>
        <v>0</v>
      </c>
      <c r="DI80" s="127">
        <f t="shared" si="92"/>
        <v>0</v>
      </c>
      <c r="DJ80" s="128">
        <f t="shared" si="93"/>
        <v>0</v>
      </c>
      <c r="DK80" s="127">
        <f t="shared" si="94"/>
        <v>0</v>
      </c>
      <c r="DL80" s="128">
        <f t="shared" si="95"/>
        <v>0</v>
      </c>
      <c r="DM80" s="130"/>
      <c r="DN80" s="131"/>
      <c r="DO80" s="131"/>
      <c r="DP80" s="131"/>
      <c r="DQ80" s="131"/>
      <c r="DR80" s="131"/>
      <c r="DS80" s="131"/>
      <c r="DT80" s="131"/>
      <c r="DU80" s="131"/>
      <c r="DV80" s="131"/>
      <c r="DW80" s="131" t="s">
        <v>1380</v>
      </c>
    </row>
    <row r="81" spans="1:127" ht="24">
      <c r="A81" s="134"/>
      <c r="B81" s="121" t="s">
        <v>490</v>
      </c>
      <c r="C81" s="121" t="s">
        <v>1201</v>
      </c>
      <c r="D81" s="121">
        <v>18319</v>
      </c>
      <c r="E81" s="192" t="s">
        <v>1202</v>
      </c>
      <c r="F81" s="192" t="s">
        <v>1203</v>
      </c>
      <c r="G81" s="192" t="s">
        <v>537</v>
      </c>
      <c r="H81" s="193" t="s">
        <v>1197</v>
      </c>
      <c r="I81" s="192" t="s">
        <v>1204</v>
      </c>
      <c r="J81" s="192" t="s">
        <v>980</v>
      </c>
      <c r="K81" s="194">
        <v>43507</v>
      </c>
      <c r="L81" s="194">
        <v>45107</v>
      </c>
      <c r="M81" s="194">
        <v>44866</v>
      </c>
      <c r="N81" s="195" t="s">
        <v>539</v>
      </c>
      <c r="O81" s="195">
        <v>38</v>
      </c>
      <c r="P81" s="196">
        <f t="shared" ref="P81:P112" si="97">$O:$O/38</f>
        <v>1</v>
      </c>
      <c r="Q81" s="192" t="s">
        <v>617</v>
      </c>
      <c r="R81" s="192">
        <v>18908</v>
      </c>
      <c r="S81" s="192" t="s">
        <v>1198</v>
      </c>
      <c r="T81" s="192" t="s">
        <v>1199</v>
      </c>
      <c r="U81" s="192" t="s">
        <v>1200</v>
      </c>
      <c r="V81" s="193" t="s">
        <v>543</v>
      </c>
      <c r="W81" s="193" t="s">
        <v>566</v>
      </c>
      <c r="X81" s="193" t="s">
        <v>823</v>
      </c>
      <c r="Y81" s="56" t="s">
        <v>824</v>
      </c>
      <c r="Z81" s="193" t="s">
        <v>981</v>
      </c>
      <c r="AA81" s="193" t="s">
        <v>932</v>
      </c>
      <c r="AB81" s="57" t="s">
        <v>1368</v>
      </c>
      <c r="AC81" s="193" t="s">
        <v>825</v>
      </c>
      <c r="AD81" s="56" t="s">
        <v>826</v>
      </c>
      <c r="AE81" s="10">
        <f>IFERROR(INDEX('[3]Lookup_Rem Ranges'!$D:$D,MATCH($AL:$AL,'[3]Lookup_Rem Ranges'!$C:$C,0)),0)</f>
        <v>105500</v>
      </c>
      <c r="AF81" s="10">
        <f>IFERROR(INDEX('[3]Lookup_Rem Ranges'!$E:$E,MATCH($AL:$AL,'[3]Lookup_Rem Ranges'!$C:$C,0)),0)</f>
        <v>124100</v>
      </c>
      <c r="AG81" s="10">
        <f>IFERROR(INDEX('[3]Lookup_Rem Ranges'!$F:$F,MATCH($AL:$AL,'[3]Lookup_Rem Ranges'!$C:$C,0)),)</f>
        <v>142700</v>
      </c>
      <c r="AH81" s="193" t="s">
        <v>622</v>
      </c>
      <c r="AI81" s="197"/>
      <c r="AJ81" s="198">
        <v>0</v>
      </c>
      <c r="AK81" s="199"/>
      <c r="AL81" s="200" t="str">
        <f t="shared" ref="AL81:AL112" si="98">CONCATENATE(AM81,"",AN81)</f>
        <v>CASS6</v>
      </c>
      <c r="AM81" s="200" t="s">
        <v>487</v>
      </c>
      <c r="AN81" s="197">
        <v>6</v>
      </c>
      <c r="AO81" s="199" t="s">
        <v>827</v>
      </c>
      <c r="AP81" s="5">
        <v>107100</v>
      </c>
      <c r="AQ81" s="10">
        <f t="shared" ref="AQ81:AQ112" si="99">ROUND(IF($P:$P&gt;1,$AP:$AP*1,$AP:$AP*$P:$P),0)</f>
        <v>107100</v>
      </c>
      <c r="AR81" s="10">
        <f t="shared" ref="AR81:AR112" si="100">IF(BA81="Yes",AP81,0)</f>
        <v>0</v>
      </c>
      <c r="AS81" s="53">
        <v>6.8201312561089938E-2</v>
      </c>
      <c r="AT81" s="53">
        <v>0</v>
      </c>
      <c r="AU81" s="201"/>
      <c r="AV81" s="10"/>
      <c r="AW81" s="54">
        <v>0</v>
      </c>
      <c r="AX81" s="10">
        <v>0</v>
      </c>
      <c r="AY81" s="10">
        <v>107100</v>
      </c>
      <c r="AZ81" s="55">
        <f t="shared" ref="AZ81:AZ112" si="101">IFERROR(($AY:$AY+$AJ:$AJ+$AK:$AK)/$AF:$AF,0)</f>
        <v>0.86301369863013699</v>
      </c>
      <c r="BA81" s="37" t="s">
        <v>687</v>
      </c>
      <c r="BB81" s="38">
        <v>3</v>
      </c>
      <c r="BC81" s="53">
        <f t="shared" ref="BC81:BC112" si="102">IFERROR($BD:$BD/$AY:$AY,0)</f>
        <v>0</v>
      </c>
      <c r="BD81" s="65">
        <f t="shared" si="96"/>
        <v>0</v>
      </c>
      <c r="BE81" s="44">
        <v>0</v>
      </c>
      <c r="BF81" s="179">
        <f t="shared" ref="BF81:BF112" si="103">ROUND($AR:$AR*$BE:$BE,0)</f>
        <v>0</v>
      </c>
      <c r="BG81" s="402">
        <v>0</v>
      </c>
      <c r="BH81" s="403">
        <f t="shared" ref="BH81:BH112" si="104">ROUND($AR:$AR*$BG:$BG,0)</f>
        <v>0</v>
      </c>
      <c r="BI81" s="44">
        <v>0</v>
      </c>
      <c r="BJ81" s="179">
        <f t="shared" ref="BJ81:BJ112" si="105">ROUND($AR:$AR*$BI:$BI,0)</f>
        <v>0</v>
      </c>
      <c r="BK81" s="179">
        <f t="shared" ref="BK81:BK112" si="106">ROUND(IF($P:$P&gt;1,$BJ:$BJ*1,$BJ:$BJ*$P:$P),0)</f>
        <v>0</v>
      </c>
      <c r="BL81" s="202"/>
      <c r="BM81" s="203">
        <f t="shared" ref="BM81:BM112" si="107">$BC:$BC+$BE:$BE+$BG:$BG</f>
        <v>0</v>
      </c>
      <c r="BN81" s="204">
        <f t="shared" ref="BN81:BN112" si="108">$BD:$BD+$BF:$BF+$BH:$BH</f>
        <v>0</v>
      </c>
      <c r="BO81" s="16">
        <f t="shared" ref="BO81:BO112" si="109">IFERROR(ROUND($AY:$AY+$BN:$BN,0),0)</f>
        <v>107100</v>
      </c>
      <c r="BP81" s="205">
        <f t="shared" ref="BP81:BP112" si="110">ROUND(IF(SUM($BO:$BO&lt;249080),SUM(ROUND($BO:$BO*11%,0)),27398.8),0)</f>
        <v>11781</v>
      </c>
      <c r="BQ81" s="206">
        <f t="shared" ref="BQ81:BQ112" si="111">$BO:$BO+$BP:$BP</f>
        <v>118881</v>
      </c>
      <c r="BR81" s="55">
        <f t="shared" ref="BR81:BR112" si="112">IFERROR(($BO:$BO+$AJ:$AJ+$AK:$AK)/$AF:$AF,0)</f>
        <v>0.86301369863013699</v>
      </c>
      <c r="BS81" s="64">
        <f t="shared" ref="BS81:BS112" si="113">IF($N:$N="CASUAL","TBC",ROUND($BN:$BN/(NETWORKDAYS("01/07/2023","30/06/2024"))*NETWORKDAYS("10/07/2023","04/09/2023"),0)*$P:$P)</f>
        <v>0</v>
      </c>
      <c r="BT81" s="53">
        <f t="shared" ref="BT81:BT112" si="114">$BM81+$BI81</f>
        <v>0</v>
      </c>
      <c r="BU81" s="65">
        <f t="shared" ref="BU81:BU112" si="115">$BN:$BN+$BJ:$BJ</f>
        <v>0</v>
      </c>
      <c r="BV81" s="206">
        <f t="shared" ref="BV81:BV112" si="116">$BO:$BO*$P:$P</f>
        <v>107100</v>
      </c>
      <c r="BW81" s="207">
        <f t="shared" ref="BW81:BW112" si="117">ROUND($BO:$BO/1976,2)</f>
        <v>54.2</v>
      </c>
      <c r="BX81" s="199"/>
      <c r="BY81" s="206">
        <f t="shared" ref="BY81:BY112" si="118">$BQ:$BQ+$BX:$BX</f>
        <v>118881</v>
      </c>
      <c r="BZ81" s="208" t="s">
        <v>687</v>
      </c>
      <c r="CA81" s="199"/>
      <c r="CB81" s="199"/>
      <c r="CC81" s="200" t="str">
        <f t="shared" ref="CC81:CC112" si="119">CONCATENATE(CD81,"",CE81)</f>
        <v/>
      </c>
      <c r="CD81" s="197"/>
      <c r="CE81" s="197"/>
      <c r="CF81" s="10" t="str">
        <f>IFERROR(INDEX('[4]Lookup_Rem Ranges'!$D:$D,MATCH($CC:$CC,'[4]Lookup_Rem Ranges'!$C:$C,0)),"")</f>
        <v/>
      </c>
      <c r="CG81" s="307"/>
      <c r="CH81" s="307"/>
      <c r="CI81" s="210"/>
      <c r="CJ81" s="122" t="s">
        <v>701</v>
      </c>
      <c r="CK81" s="206">
        <f t="shared" ref="CK81:CK112" si="120">IFERROR(ROUND($CI:$CI*$CJ:$CJ,0),0)</f>
        <v>0</v>
      </c>
      <c r="CL81" s="206">
        <f t="shared" ref="CL81:CL112" si="121">$CI:$CI+$CK:$CK</f>
        <v>0</v>
      </c>
      <c r="CM81" s="123"/>
      <c r="CN81" s="124">
        <f t="shared" ref="CN81:CN112" si="122">IF(SUM($CL:$CL&lt;249080),SUM(ROUND($CL:$CL*11%,0)),27398.8)</f>
        <v>0</v>
      </c>
      <c r="CO81" s="124" t="s">
        <v>1374</v>
      </c>
      <c r="CP81" s="125">
        <f t="shared" ref="CP81:CP112" si="123">IF(BA81="Yes",3.25%,0)</f>
        <v>0</v>
      </c>
      <c r="CQ81" s="126">
        <f t="shared" ref="CQ81:CQ112" si="124">ROUND(AR81*CP81,0)</f>
        <v>0</v>
      </c>
      <c r="CR81" s="127">
        <f t="shared" ref="CR81:CR112" si="125">IF($AW:$AW&lt;3.25%,$AW:$AW,3.25%)</f>
        <v>0</v>
      </c>
      <c r="CS81" s="128">
        <f t="shared" ref="CS81:CS112" si="126">ROUND($AR:$AR*$CR:$CR,0)</f>
        <v>0</v>
      </c>
      <c r="CT81" s="127">
        <f t="shared" ref="CT81:CT112" si="127">IF($AW:$AW&gt;=3.25%,$AW:$AW-$CR:$CR,0)</f>
        <v>0</v>
      </c>
      <c r="CU81" s="128">
        <f t="shared" ref="CU81:CU112" si="128">ROUND($AR:$AR*$CT:$CT,0)</f>
        <v>0</v>
      </c>
      <c r="CV81" s="127">
        <f t="shared" ref="CV81:CV112" si="129">IF($CR:$CR=3.25%,0,IF($BC:$BC&lt;3.25%,$BC:$BC,IF($BC:$BC&gt;3.25%,3.25%-$CR:$CR,0)))</f>
        <v>0</v>
      </c>
      <c r="CW81" s="128">
        <f t="shared" ref="CW81:CW112" si="130">IFERROR(ROUND($AY:$AY*$CV:$CV,0),0)</f>
        <v>0</v>
      </c>
      <c r="CX81" s="127">
        <f t="shared" ref="CX81:CX112" si="131">IF($CV:$CV=0,$BC:$BC,BC:BC-$CV:$CV)</f>
        <v>0</v>
      </c>
      <c r="CY81" s="128">
        <f t="shared" ref="CY81:CY112" si="132">IFERROR(ROUND($AY:$AY*$CX:$CX,0),0)</f>
        <v>0</v>
      </c>
      <c r="CZ81" s="127">
        <f>$CR:$CR+$CT:CT+$CV:$CV+$CX:$CX</f>
        <v>0</v>
      </c>
      <c r="DA81" s="127">
        <f t="shared" ref="DA81:DA112" si="133">(SUM($AW:$AW+$BC:$BC)-$CZ:$CZ)</f>
        <v>0</v>
      </c>
      <c r="DB81" s="127"/>
      <c r="DC81" s="127">
        <f t="shared" ref="DC81:DC112" si="134">$BE:$BE</f>
        <v>0</v>
      </c>
      <c r="DD81" s="128">
        <f t="shared" ref="DD81:DD112" si="135">$BF:$BF</f>
        <v>0</v>
      </c>
      <c r="DE81" s="129">
        <f t="shared" ref="DE81:DE112" si="136">$BI:$BI</f>
        <v>0</v>
      </c>
      <c r="DF81" s="128">
        <f t="shared" ref="DF81:DF112" si="137">$BJ:$BJ</f>
        <v>0</v>
      </c>
      <c r="DG81" s="129">
        <f t="shared" ref="DG81:DG112" si="138">$BG:$BG</f>
        <v>0</v>
      </c>
      <c r="DH81" s="128">
        <f t="shared" ref="DH81:DH112" si="139">IFERROR(ROUND($AP:$AP*$DG:$DG,0),0)</f>
        <v>0</v>
      </c>
      <c r="DI81" s="127">
        <f t="shared" ref="DI81:DI112" si="140">$CR:$CR+$CV:$CV+$DC:$DC+$DE:$DE+$DG:$DG</f>
        <v>0</v>
      </c>
      <c r="DJ81" s="128">
        <f t="shared" ref="DJ81:DJ112" si="141">$CS:$CS+$CW:$CW+$DD:$DD+$DF:$DF+$DH:$DH</f>
        <v>0</v>
      </c>
      <c r="DK81" s="127">
        <f t="shared" ref="DK81:DK112" si="142">$CT:$CT+$CX:$CX</f>
        <v>0</v>
      </c>
      <c r="DL81" s="128">
        <f t="shared" ref="DL81:DL112" si="143">$CU:$CU+$CY:$CY</f>
        <v>0</v>
      </c>
      <c r="DM81" s="130"/>
      <c r="DN81" s="131"/>
      <c r="DO81" s="131"/>
      <c r="DP81" s="131"/>
      <c r="DQ81" s="131"/>
      <c r="DR81" s="131"/>
      <c r="DS81" s="131"/>
      <c r="DT81" s="131"/>
      <c r="DU81" s="131"/>
      <c r="DV81" s="131"/>
      <c r="DW81" s="131" t="s">
        <v>1380</v>
      </c>
    </row>
    <row r="82" spans="1:127" ht="24">
      <c r="A82" s="134"/>
      <c r="B82" s="121" t="s">
        <v>490</v>
      </c>
      <c r="C82" s="121" t="s">
        <v>1104</v>
      </c>
      <c r="D82" s="121">
        <v>15814</v>
      </c>
      <c r="E82" s="192" t="s">
        <v>1105</v>
      </c>
      <c r="F82" s="192" t="s">
        <v>1106</v>
      </c>
      <c r="G82" s="192" t="s">
        <v>537</v>
      </c>
      <c r="H82" s="193" t="s">
        <v>1098</v>
      </c>
      <c r="I82" s="192" t="s">
        <v>1107</v>
      </c>
      <c r="J82" s="192" t="s">
        <v>1108</v>
      </c>
      <c r="K82" s="194">
        <v>42373</v>
      </c>
      <c r="L82" s="194"/>
      <c r="M82" s="194">
        <v>44409</v>
      </c>
      <c r="N82" s="195" t="s">
        <v>539</v>
      </c>
      <c r="O82" s="195">
        <v>38</v>
      </c>
      <c r="P82" s="196">
        <f t="shared" si="97"/>
        <v>1</v>
      </c>
      <c r="Q82" s="192" t="s">
        <v>617</v>
      </c>
      <c r="R82" s="192">
        <v>20132</v>
      </c>
      <c r="S82" s="192" t="s">
        <v>1109</v>
      </c>
      <c r="T82" s="192" t="s">
        <v>1110</v>
      </c>
      <c r="U82" s="192" t="s">
        <v>1111</v>
      </c>
      <c r="V82" s="193" t="s">
        <v>543</v>
      </c>
      <c r="W82" s="193" t="s">
        <v>566</v>
      </c>
      <c r="X82" s="193" t="s">
        <v>823</v>
      </c>
      <c r="Y82" s="56" t="s">
        <v>824</v>
      </c>
      <c r="Z82" s="193" t="s">
        <v>981</v>
      </c>
      <c r="AA82" s="193" t="s">
        <v>932</v>
      </c>
      <c r="AB82" s="57" t="s">
        <v>1368</v>
      </c>
      <c r="AC82" s="193" t="s">
        <v>825</v>
      </c>
      <c r="AD82" s="56" t="s">
        <v>826</v>
      </c>
      <c r="AE82" s="10">
        <f>IFERROR(INDEX('[3]Lookup_Rem Ranges'!$D:$D,MATCH($AL:$AL,'[3]Lookup_Rem Ranges'!$C:$C,0)),0)</f>
        <v>105500</v>
      </c>
      <c r="AF82" s="10">
        <f>IFERROR(INDEX('[3]Lookup_Rem Ranges'!$E:$E,MATCH($AL:$AL,'[3]Lookup_Rem Ranges'!$C:$C,0)),0)</f>
        <v>124100</v>
      </c>
      <c r="AG82" s="10">
        <f>IFERROR(INDEX('[3]Lookup_Rem Ranges'!$F:$F,MATCH($AL:$AL,'[3]Lookup_Rem Ranges'!$C:$C,0)),)</f>
        <v>142700</v>
      </c>
      <c r="AH82" s="193" t="s">
        <v>622</v>
      </c>
      <c r="AI82" s="197"/>
      <c r="AJ82" s="198">
        <v>0</v>
      </c>
      <c r="AK82" s="199"/>
      <c r="AL82" s="200" t="str">
        <f t="shared" si="98"/>
        <v>CASS6</v>
      </c>
      <c r="AM82" s="200" t="s">
        <v>487</v>
      </c>
      <c r="AN82" s="197">
        <v>6</v>
      </c>
      <c r="AO82" s="199" t="s">
        <v>882</v>
      </c>
      <c r="AP82" s="5">
        <v>124700</v>
      </c>
      <c r="AQ82" s="10">
        <f t="shared" si="99"/>
        <v>124700</v>
      </c>
      <c r="AR82" s="10">
        <f t="shared" si="100"/>
        <v>0</v>
      </c>
      <c r="AS82" s="53">
        <v>6.6723695466210431E-2</v>
      </c>
      <c r="AT82" s="53">
        <v>0</v>
      </c>
      <c r="AU82" s="201"/>
      <c r="AV82" s="10"/>
      <c r="AW82" s="54">
        <v>0</v>
      </c>
      <c r="AX82" s="10">
        <v>0</v>
      </c>
      <c r="AY82" s="10">
        <v>124700</v>
      </c>
      <c r="AZ82" s="55">
        <f t="shared" si="101"/>
        <v>1.0048348106365834</v>
      </c>
      <c r="BA82" s="37" t="s">
        <v>687</v>
      </c>
      <c r="BB82" s="38">
        <v>3</v>
      </c>
      <c r="BC82" s="53">
        <f t="shared" si="102"/>
        <v>0</v>
      </c>
      <c r="BD82" s="65">
        <f t="shared" si="96"/>
        <v>0</v>
      </c>
      <c r="BE82" s="44">
        <v>0</v>
      </c>
      <c r="BF82" s="179">
        <f t="shared" si="103"/>
        <v>0</v>
      </c>
      <c r="BG82" s="402">
        <v>0</v>
      </c>
      <c r="BH82" s="403">
        <f t="shared" si="104"/>
        <v>0</v>
      </c>
      <c r="BI82" s="44">
        <v>0</v>
      </c>
      <c r="BJ82" s="179">
        <f t="shared" si="105"/>
        <v>0</v>
      </c>
      <c r="BK82" s="179">
        <f t="shared" si="106"/>
        <v>0</v>
      </c>
      <c r="BL82" s="202"/>
      <c r="BM82" s="203">
        <f t="shared" si="107"/>
        <v>0</v>
      </c>
      <c r="BN82" s="204">
        <f t="shared" si="108"/>
        <v>0</v>
      </c>
      <c r="BO82" s="16">
        <f t="shared" si="109"/>
        <v>124700</v>
      </c>
      <c r="BP82" s="205">
        <f t="shared" si="110"/>
        <v>13717</v>
      </c>
      <c r="BQ82" s="206">
        <f t="shared" si="111"/>
        <v>138417</v>
      </c>
      <c r="BR82" s="55">
        <f t="shared" si="112"/>
        <v>1.0048348106365834</v>
      </c>
      <c r="BS82" s="64">
        <f t="shared" si="113"/>
        <v>0</v>
      </c>
      <c r="BT82" s="53">
        <f t="shared" si="114"/>
        <v>0</v>
      </c>
      <c r="BU82" s="65">
        <f t="shared" si="115"/>
        <v>0</v>
      </c>
      <c r="BV82" s="206">
        <f t="shared" si="116"/>
        <v>124700</v>
      </c>
      <c r="BW82" s="207">
        <f t="shared" si="117"/>
        <v>63.11</v>
      </c>
      <c r="BX82" s="199"/>
      <c r="BY82" s="206">
        <f t="shared" si="118"/>
        <v>138417</v>
      </c>
      <c r="BZ82" s="208" t="s">
        <v>23</v>
      </c>
      <c r="CA82" s="199" t="s">
        <v>1107</v>
      </c>
      <c r="CB82" s="199" t="s">
        <v>800</v>
      </c>
      <c r="CC82" s="200" t="str">
        <f t="shared" si="119"/>
        <v>CASS6</v>
      </c>
      <c r="CD82" s="197" t="s">
        <v>487</v>
      </c>
      <c r="CE82" s="197">
        <v>6</v>
      </c>
      <c r="CF82" s="10">
        <f>IFERROR(INDEX('[4]Lookup_Rem Ranges'!$D:$D,MATCH($CC:$CC,'[4]Lookup_Rem Ranges'!$C:$C,0)),"")</f>
        <v>105500</v>
      </c>
      <c r="CG82" s="307">
        <v>45017</v>
      </c>
      <c r="CH82" s="307"/>
      <c r="CI82" s="210">
        <v>124700</v>
      </c>
      <c r="CJ82" s="122">
        <v>0</v>
      </c>
      <c r="CK82" s="206">
        <f t="shared" si="120"/>
        <v>0</v>
      </c>
      <c r="CL82" s="206">
        <f t="shared" si="121"/>
        <v>124700</v>
      </c>
      <c r="CM82" s="123"/>
      <c r="CN82" s="124">
        <f t="shared" si="122"/>
        <v>13717</v>
      </c>
      <c r="CO82" s="124" t="s">
        <v>1375</v>
      </c>
      <c r="CP82" s="125">
        <f t="shared" si="123"/>
        <v>0</v>
      </c>
      <c r="CQ82" s="126">
        <f t="shared" si="124"/>
        <v>0</v>
      </c>
      <c r="CR82" s="127">
        <f t="shared" si="125"/>
        <v>0</v>
      </c>
      <c r="CS82" s="128">
        <f t="shared" si="126"/>
        <v>0</v>
      </c>
      <c r="CT82" s="127">
        <f t="shared" si="127"/>
        <v>0</v>
      </c>
      <c r="CU82" s="128">
        <f t="shared" si="128"/>
        <v>0</v>
      </c>
      <c r="CV82" s="127">
        <f t="shared" si="129"/>
        <v>0</v>
      </c>
      <c r="CW82" s="128">
        <f t="shared" si="130"/>
        <v>0</v>
      </c>
      <c r="CX82" s="127">
        <f t="shared" si="131"/>
        <v>0</v>
      </c>
      <c r="CY82" s="128">
        <f t="shared" si="132"/>
        <v>0</v>
      </c>
      <c r="CZ82" s="127">
        <f>$CR:$CR+$CT:CT+$CV:$CV+$CX:$CX</f>
        <v>0</v>
      </c>
      <c r="DA82" s="127">
        <f t="shared" si="133"/>
        <v>0</v>
      </c>
      <c r="DB82" s="127"/>
      <c r="DC82" s="127">
        <f t="shared" si="134"/>
        <v>0</v>
      </c>
      <c r="DD82" s="128">
        <f t="shared" si="135"/>
        <v>0</v>
      </c>
      <c r="DE82" s="129">
        <f t="shared" si="136"/>
        <v>0</v>
      </c>
      <c r="DF82" s="128">
        <f t="shared" si="137"/>
        <v>0</v>
      </c>
      <c r="DG82" s="129">
        <f t="shared" si="138"/>
        <v>0</v>
      </c>
      <c r="DH82" s="128">
        <f t="shared" si="139"/>
        <v>0</v>
      </c>
      <c r="DI82" s="127">
        <f t="shared" si="140"/>
        <v>0</v>
      </c>
      <c r="DJ82" s="128">
        <f t="shared" si="141"/>
        <v>0</v>
      </c>
      <c r="DK82" s="127">
        <f t="shared" si="142"/>
        <v>0</v>
      </c>
      <c r="DL82" s="128">
        <f t="shared" si="143"/>
        <v>0</v>
      </c>
      <c r="DM82" s="130"/>
      <c r="DN82" s="131"/>
      <c r="DO82" s="131"/>
      <c r="DP82" s="131"/>
      <c r="DQ82" s="131"/>
      <c r="DR82" s="131"/>
      <c r="DS82" s="131"/>
      <c r="DT82" s="131"/>
      <c r="DU82" s="131"/>
      <c r="DV82" s="131"/>
      <c r="DW82" s="131" t="s">
        <v>1380</v>
      </c>
    </row>
    <row r="83" spans="1:127" ht="33.75">
      <c r="A83" s="134"/>
      <c r="B83" s="121" t="s">
        <v>490</v>
      </c>
      <c r="C83" s="121" t="s">
        <v>1004</v>
      </c>
      <c r="D83" s="121">
        <v>5546</v>
      </c>
      <c r="E83" s="192" t="s">
        <v>1005</v>
      </c>
      <c r="F83" s="192" t="s">
        <v>1006</v>
      </c>
      <c r="G83" s="192" t="s">
        <v>537</v>
      </c>
      <c r="H83" s="193" t="s">
        <v>1007</v>
      </c>
      <c r="I83" s="192" t="s">
        <v>1008</v>
      </c>
      <c r="J83" s="192" t="s">
        <v>800</v>
      </c>
      <c r="K83" s="194">
        <v>37599</v>
      </c>
      <c r="L83" s="194"/>
      <c r="M83" s="194">
        <v>44796</v>
      </c>
      <c r="N83" s="195" t="s">
        <v>539</v>
      </c>
      <c r="O83" s="195">
        <v>38</v>
      </c>
      <c r="P83" s="196">
        <f t="shared" si="97"/>
        <v>1</v>
      </c>
      <c r="Q83" s="192" t="s">
        <v>617</v>
      </c>
      <c r="R83" s="192">
        <v>20165</v>
      </c>
      <c r="S83" s="192" t="s">
        <v>1009</v>
      </c>
      <c r="T83" s="192" t="s">
        <v>1010</v>
      </c>
      <c r="U83" s="192" t="s">
        <v>1011</v>
      </c>
      <c r="V83" s="193" t="s">
        <v>543</v>
      </c>
      <c r="W83" s="193" t="s">
        <v>566</v>
      </c>
      <c r="X83" s="193" t="s">
        <v>823</v>
      </c>
      <c r="Y83" s="56" t="s">
        <v>824</v>
      </c>
      <c r="Z83" s="193" t="s">
        <v>981</v>
      </c>
      <c r="AA83" s="193" t="s">
        <v>932</v>
      </c>
      <c r="AB83" s="57" t="s">
        <v>1368</v>
      </c>
      <c r="AC83" s="193" t="s">
        <v>825</v>
      </c>
      <c r="AD83" s="56" t="s">
        <v>826</v>
      </c>
      <c r="AE83" s="10">
        <f>IFERROR(INDEX('[3]Lookup_Rem Ranges'!$D:$D,MATCH($AL:$AL,'[3]Lookup_Rem Ranges'!$C:$C,0)),0)</f>
        <v>105500</v>
      </c>
      <c r="AF83" s="10">
        <f>IFERROR(INDEX('[3]Lookup_Rem Ranges'!$E:$E,MATCH($AL:$AL,'[3]Lookup_Rem Ranges'!$C:$C,0)),0)</f>
        <v>124100</v>
      </c>
      <c r="AG83" s="10">
        <f>IFERROR(INDEX('[3]Lookup_Rem Ranges'!$F:$F,MATCH($AL:$AL,'[3]Lookup_Rem Ranges'!$C:$C,0)),)</f>
        <v>142700</v>
      </c>
      <c r="AH83" s="193" t="s">
        <v>622</v>
      </c>
      <c r="AI83" s="197"/>
      <c r="AJ83" s="198">
        <v>0</v>
      </c>
      <c r="AK83" s="199"/>
      <c r="AL83" s="200" t="str">
        <f t="shared" si="98"/>
        <v>CASS6</v>
      </c>
      <c r="AM83" s="200" t="s">
        <v>487</v>
      </c>
      <c r="AN83" s="197">
        <v>6</v>
      </c>
      <c r="AO83" s="199" t="s">
        <v>827</v>
      </c>
      <c r="AP83" s="5">
        <v>124700</v>
      </c>
      <c r="AQ83" s="10">
        <f t="shared" si="99"/>
        <v>124700</v>
      </c>
      <c r="AR83" s="10">
        <f t="shared" si="100"/>
        <v>0</v>
      </c>
      <c r="AS83" s="53">
        <v>6.6723695466210431E-2</v>
      </c>
      <c r="AT83" s="53">
        <v>0</v>
      </c>
      <c r="AU83" s="201"/>
      <c r="AV83" s="10"/>
      <c r="AW83" s="54">
        <v>0</v>
      </c>
      <c r="AX83" s="10">
        <v>0</v>
      </c>
      <c r="AY83" s="10">
        <v>124700</v>
      </c>
      <c r="AZ83" s="55">
        <f t="shared" si="101"/>
        <v>1.0048348106365834</v>
      </c>
      <c r="BA83" s="37" t="s">
        <v>687</v>
      </c>
      <c r="BB83" s="38">
        <v>3</v>
      </c>
      <c r="BC83" s="53">
        <f t="shared" si="102"/>
        <v>0</v>
      </c>
      <c r="BD83" s="65">
        <f t="shared" si="96"/>
        <v>0</v>
      </c>
      <c r="BE83" s="44">
        <v>0</v>
      </c>
      <c r="BF83" s="179">
        <f t="shared" si="103"/>
        <v>0</v>
      </c>
      <c r="BG83" s="402">
        <v>0</v>
      </c>
      <c r="BH83" s="403">
        <f t="shared" si="104"/>
        <v>0</v>
      </c>
      <c r="BI83" s="44">
        <v>0</v>
      </c>
      <c r="BJ83" s="179">
        <f t="shared" si="105"/>
        <v>0</v>
      </c>
      <c r="BK83" s="179">
        <f t="shared" si="106"/>
        <v>0</v>
      </c>
      <c r="BL83" s="202"/>
      <c r="BM83" s="203">
        <f t="shared" si="107"/>
        <v>0</v>
      </c>
      <c r="BN83" s="204">
        <f t="shared" si="108"/>
        <v>0</v>
      </c>
      <c r="BO83" s="16">
        <f t="shared" si="109"/>
        <v>124700</v>
      </c>
      <c r="BP83" s="205">
        <f t="shared" si="110"/>
        <v>13717</v>
      </c>
      <c r="BQ83" s="206">
        <f t="shared" si="111"/>
        <v>138417</v>
      </c>
      <c r="BR83" s="55">
        <f t="shared" si="112"/>
        <v>1.0048348106365834</v>
      </c>
      <c r="BS83" s="64">
        <f t="shared" si="113"/>
        <v>0</v>
      </c>
      <c r="BT83" s="53">
        <f t="shared" si="114"/>
        <v>0</v>
      </c>
      <c r="BU83" s="65">
        <f t="shared" si="115"/>
        <v>0</v>
      </c>
      <c r="BV83" s="206">
        <f t="shared" si="116"/>
        <v>124700</v>
      </c>
      <c r="BW83" s="207">
        <f t="shared" si="117"/>
        <v>63.11</v>
      </c>
      <c r="BX83" s="199"/>
      <c r="BY83" s="206">
        <f t="shared" si="118"/>
        <v>138417</v>
      </c>
      <c r="BZ83" s="208" t="s">
        <v>687</v>
      </c>
      <c r="CA83" s="199"/>
      <c r="CB83" s="199"/>
      <c r="CC83" s="200" t="str">
        <f t="shared" si="119"/>
        <v/>
      </c>
      <c r="CD83" s="197"/>
      <c r="CE83" s="197"/>
      <c r="CF83" s="10" t="str">
        <f>IFERROR(INDEX('[4]Lookup_Rem Ranges'!$D:$D,MATCH($CC:$CC,'[4]Lookup_Rem Ranges'!$C:$C,0)),"")</f>
        <v/>
      </c>
      <c r="CG83" s="307"/>
      <c r="CH83" s="307"/>
      <c r="CI83" s="210"/>
      <c r="CJ83" s="122" t="s">
        <v>701</v>
      </c>
      <c r="CK83" s="206">
        <f t="shared" si="120"/>
        <v>0</v>
      </c>
      <c r="CL83" s="206">
        <f t="shared" si="121"/>
        <v>0</v>
      </c>
      <c r="CM83" s="123"/>
      <c r="CN83" s="124">
        <f t="shared" si="122"/>
        <v>0</v>
      </c>
      <c r="CO83" s="124" t="s">
        <v>1376</v>
      </c>
      <c r="CP83" s="125">
        <f t="shared" si="123"/>
        <v>0</v>
      </c>
      <c r="CQ83" s="126">
        <f t="shared" si="124"/>
        <v>0</v>
      </c>
      <c r="CR83" s="127">
        <f t="shared" si="125"/>
        <v>0</v>
      </c>
      <c r="CS83" s="128">
        <f t="shared" si="126"/>
        <v>0</v>
      </c>
      <c r="CT83" s="127">
        <f t="shared" si="127"/>
        <v>0</v>
      </c>
      <c r="CU83" s="128">
        <f t="shared" si="128"/>
        <v>0</v>
      </c>
      <c r="CV83" s="127">
        <f t="shared" si="129"/>
        <v>0</v>
      </c>
      <c r="CW83" s="128">
        <f t="shared" si="130"/>
        <v>0</v>
      </c>
      <c r="CX83" s="127">
        <f t="shared" si="131"/>
        <v>0</v>
      </c>
      <c r="CY83" s="128">
        <f t="shared" si="132"/>
        <v>0</v>
      </c>
      <c r="CZ83" s="127">
        <f>$CR:$CR+$CT:CT+$CV:$CV+$CX:$CX</f>
        <v>0</v>
      </c>
      <c r="DA83" s="127">
        <f t="shared" si="133"/>
        <v>0</v>
      </c>
      <c r="DB83" s="127"/>
      <c r="DC83" s="127">
        <f t="shared" si="134"/>
        <v>0</v>
      </c>
      <c r="DD83" s="128">
        <f t="shared" si="135"/>
        <v>0</v>
      </c>
      <c r="DE83" s="129">
        <f t="shared" si="136"/>
        <v>0</v>
      </c>
      <c r="DF83" s="128">
        <f t="shared" si="137"/>
        <v>0</v>
      </c>
      <c r="DG83" s="129">
        <f t="shared" si="138"/>
        <v>0</v>
      </c>
      <c r="DH83" s="128">
        <f t="shared" si="139"/>
        <v>0</v>
      </c>
      <c r="DI83" s="127">
        <f t="shared" si="140"/>
        <v>0</v>
      </c>
      <c r="DJ83" s="128">
        <f t="shared" si="141"/>
        <v>0</v>
      </c>
      <c r="DK83" s="127">
        <f t="shared" si="142"/>
        <v>0</v>
      </c>
      <c r="DL83" s="128">
        <f t="shared" si="143"/>
        <v>0</v>
      </c>
      <c r="DM83" s="130"/>
      <c r="DN83" s="131"/>
      <c r="DO83" s="131"/>
      <c r="DP83" s="131"/>
      <c r="DQ83" s="131"/>
      <c r="DR83" s="131"/>
      <c r="DS83" s="131"/>
      <c r="DT83" s="131"/>
      <c r="DU83" s="131"/>
      <c r="DV83" s="131"/>
      <c r="DW83" s="131" t="s">
        <v>1380</v>
      </c>
    </row>
    <row r="84" spans="1:127" ht="36">
      <c r="A84" s="134"/>
      <c r="B84" s="121" t="s">
        <v>490</v>
      </c>
      <c r="C84" s="121" t="s">
        <v>1281</v>
      </c>
      <c r="D84" s="121">
        <v>20165</v>
      </c>
      <c r="E84" s="192" t="s">
        <v>1282</v>
      </c>
      <c r="F84" s="192" t="s">
        <v>1283</v>
      </c>
      <c r="G84" s="192" t="s">
        <v>538</v>
      </c>
      <c r="H84" s="193" t="s">
        <v>1274</v>
      </c>
      <c r="I84" s="192" t="s">
        <v>1010</v>
      </c>
      <c r="J84" s="192" t="s">
        <v>1011</v>
      </c>
      <c r="K84" s="194">
        <v>44404</v>
      </c>
      <c r="L84" s="194"/>
      <c r="M84" s="194">
        <v>44641</v>
      </c>
      <c r="N84" s="195" t="s">
        <v>539</v>
      </c>
      <c r="O84" s="195">
        <v>38</v>
      </c>
      <c r="P84" s="196">
        <f t="shared" si="97"/>
        <v>1</v>
      </c>
      <c r="Q84" s="192" t="s">
        <v>614</v>
      </c>
      <c r="R84" s="192">
        <v>19124</v>
      </c>
      <c r="S84" s="192" t="s">
        <v>981</v>
      </c>
      <c r="T84" s="192" t="s">
        <v>931</v>
      </c>
      <c r="U84" s="192" t="s">
        <v>932</v>
      </c>
      <c r="V84" s="193" t="s">
        <v>543</v>
      </c>
      <c r="W84" s="193" t="s">
        <v>566</v>
      </c>
      <c r="X84" s="193" t="s">
        <v>823</v>
      </c>
      <c r="Y84" s="56" t="s">
        <v>824</v>
      </c>
      <c r="Z84" s="193" t="s">
        <v>981</v>
      </c>
      <c r="AA84" s="193" t="s">
        <v>932</v>
      </c>
      <c r="AB84" s="57" t="s">
        <v>1368</v>
      </c>
      <c r="AC84" s="193" t="s">
        <v>825</v>
      </c>
      <c r="AD84" s="56" t="s">
        <v>826</v>
      </c>
      <c r="AE84" s="10">
        <f>IFERROR(INDEX('[3]Lookup_Rem Ranges'!$D:$D,MATCH($AL:$AL,'[3]Lookup_Rem Ranges'!$C:$C,0)),0)</f>
        <v>133400</v>
      </c>
      <c r="AF84" s="10">
        <f>IFERROR(INDEX('[3]Lookup_Rem Ranges'!$E:$E,MATCH($AL:$AL,'[3]Lookup_Rem Ranges'!$C:$C,0)),0)</f>
        <v>156900</v>
      </c>
      <c r="AG84" s="10">
        <f>IFERROR(INDEX('[3]Lookup_Rem Ranges'!$F:$F,MATCH($AL:$AL,'[3]Lookup_Rem Ranges'!$C:$C,0)),)</f>
        <v>180400</v>
      </c>
      <c r="AH84" s="193" t="s">
        <v>622</v>
      </c>
      <c r="AI84" s="197"/>
      <c r="AJ84" s="198">
        <v>0</v>
      </c>
      <c r="AK84" s="199"/>
      <c r="AL84" s="200" t="str">
        <f t="shared" si="98"/>
        <v>CASS7</v>
      </c>
      <c r="AM84" s="200" t="s">
        <v>487</v>
      </c>
      <c r="AN84" s="197">
        <v>7</v>
      </c>
      <c r="AO84" s="199" t="s">
        <v>1280</v>
      </c>
      <c r="AP84" s="5">
        <v>130700</v>
      </c>
      <c r="AQ84" s="10">
        <f t="shared" si="99"/>
        <v>130700</v>
      </c>
      <c r="AR84" s="10">
        <f t="shared" si="100"/>
        <v>130700</v>
      </c>
      <c r="AS84" s="53">
        <v>4.5600000000000002E-2</v>
      </c>
      <c r="AT84" s="53">
        <v>0</v>
      </c>
      <c r="AU84" s="201"/>
      <c r="AV84" s="10"/>
      <c r="AW84" s="54">
        <v>0</v>
      </c>
      <c r="AX84" s="10">
        <v>0</v>
      </c>
      <c r="AY84" s="10">
        <v>130700</v>
      </c>
      <c r="AZ84" s="55">
        <f t="shared" si="101"/>
        <v>0.83301465901848315</v>
      </c>
      <c r="BA84" s="37" t="s">
        <v>23</v>
      </c>
      <c r="BB84" s="38">
        <v>4</v>
      </c>
      <c r="BC84" s="53">
        <f t="shared" si="102"/>
        <v>2.0657995409334353E-2</v>
      </c>
      <c r="BD84" s="65">
        <f t="shared" si="96"/>
        <v>2700</v>
      </c>
      <c r="BE84" s="44">
        <v>1.1842004590665648E-2</v>
      </c>
      <c r="BF84" s="179">
        <f t="shared" si="103"/>
        <v>1548</v>
      </c>
      <c r="BG84" s="402">
        <v>0</v>
      </c>
      <c r="BH84" s="403">
        <f t="shared" si="104"/>
        <v>0</v>
      </c>
      <c r="BI84" s="44">
        <v>0</v>
      </c>
      <c r="BJ84" s="179">
        <f t="shared" si="105"/>
        <v>0</v>
      </c>
      <c r="BK84" s="179">
        <f t="shared" si="106"/>
        <v>0</v>
      </c>
      <c r="BL84" s="202"/>
      <c r="BM84" s="203">
        <f t="shared" si="107"/>
        <v>3.2500000000000001E-2</v>
      </c>
      <c r="BN84" s="204">
        <f t="shared" si="108"/>
        <v>4248</v>
      </c>
      <c r="BO84" s="16">
        <f t="shared" si="109"/>
        <v>134948</v>
      </c>
      <c r="BP84" s="205">
        <f t="shared" si="110"/>
        <v>14844</v>
      </c>
      <c r="BQ84" s="206">
        <f t="shared" si="111"/>
        <v>149792</v>
      </c>
      <c r="BR84" s="55">
        <f t="shared" si="112"/>
        <v>0.86008922880815808</v>
      </c>
      <c r="BS84" s="64">
        <f t="shared" si="113"/>
        <v>670</v>
      </c>
      <c r="BT84" s="53">
        <f t="shared" si="114"/>
        <v>3.2500000000000001E-2</v>
      </c>
      <c r="BU84" s="65">
        <f t="shared" si="115"/>
        <v>4248</v>
      </c>
      <c r="BV84" s="206">
        <f t="shared" si="116"/>
        <v>134948</v>
      </c>
      <c r="BW84" s="207">
        <f t="shared" si="117"/>
        <v>68.290000000000006</v>
      </c>
      <c r="BX84" s="199"/>
      <c r="BY84" s="206">
        <f t="shared" si="118"/>
        <v>149792</v>
      </c>
      <c r="BZ84" s="208" t="s">
        <v>687</v>
      </c>
      <c r="CA84" s="199"/>
      <c r="CB84" s="199"/>
      <c r="CC84" s="200" t="str">
        <f t="shared" si="119"/>
        <v/>
      </c>
      <c r="CD84" s="197"/>
      <c r="CE84" s="197"/>
      <c r="CF84" s="10" t="str">
        <f>IFERROR(INDEX('[4]Lookup_Rem Ranges'!$D:$D,MATCH($CC:$CC,'[4]Lookup_Rem Ranges'!$C:$C,0)),"")</f>
        <v/>
      </c>
      <c r="CG84" s="307"/>
      <c r="CH84" s="307"/>
      <c r="CI84" s="210"/>
      <c r="CJ84" s="122" t="s">
        <v>701</v>
      </c>
      <c r="CK84" s="206">
        <f t="shared" si="120"/>
        <v>0</v>
      </c>
      <c r="CL84" s="206">
        <f t="shared" si="121"/>
        <v>0</v>
      </c>
      <c r="CM84" s="123"/>
      <c r="CN84" s="124">
        <f t="shared" si="122"/>
        <v>0</v>
      </c>
      <c r="CO84" s="124" t="s">
        <v>1376</v>
      </c>
      <c r="CP84" s="125">
        <f t="shared" si="123"/>
        <v>3.2500000000000001E-2</v>
      </c>
      <c r="CQ84" s="126">
        <f t="shared" si="124"/>
        <v>4248</v>
      </c>
      <c r="CR84" s="127">
        <f t="shared" si="125"/>
        <v>0</v>
      </c>
      <c r="CS84" s="128">
        <f t="shared" si="126"/>
        <v>0</v>
      </c>
      <c r="CT84" s="127">
        <f t="shared" si="127"/>
        <v>0</v>
      </c>
      <c r="CU84" s="128">
        <f t="shared" si="128"/>
        <v>0</v>
      </c>
      <c r="CV84" s="127">
        <f t="shared" si="129"/>
        <v>2.0657995409334353E-2</v>
      </c>
      <c r="CW84" s="128">
        <f t="shared" si="130"/>
        <v>2700</v>
      </c>
      <c r="CX84" s="127">
        <f t="shared" si="131"/>
        <v>0</v>
      </c>
      <c r="CY84" s="128">
        <f t="shared" si="132"/>
        <v>0</v>
      </c>
      <c r="CZ84" s="127">
        <f>$CR:$CR+$CT:CT+$CV:$CV+$CX:$CX</f>
        <v>2.0657995409334353E-2</v>
      </c>
      <c r="DA84" s="127">
        <f t="shared" si="133"/>
        <v>0</v>
      </c>
      <c r="DB84" s="127"/>
      <c r="DC84" s="127">
        <f t="shared" si="134"/>
        <v>1.1842004590665648E-2</v>
      </c>
      <c r="DD84" s="128">
        <f t="shared" si="135"/>
        <v>1548</v>
      </c>
      <c r="DE84" s="129">
        <f t="shared" si="136"/>
        <v>0</v>
      </c>
      <c r="DF84" s="128">
        <f t="shared" si="137"/>
        <v>0</v>
      </c>
      <c r="DG84" s="129">
        <f t="shared" si="138"/>
        <v>0</v>
      </c>
      <c r="DH84" s="128">
        <f t="shared" si="139"/>
        <v>0</v>
      </c>
      <c r="DI84" s="127">
        <f t="shared" si="140"/>
        <v>3.2500000000000001E-2</v>
      </c>
      <c r="DJ84" s="128">
        <f t="shared" si="141"/>
        <v>4248</v>
      </c>
      <c r="DK84" s="127">
        <f t="shared" si="142"/>
        <v>0</v>
      </c>
      <c r="DL84" s="128">
        <f t="shared" si="143"/>
        <v>0</v>
      </c>
      <c r="DM84" s="130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 t="s">
        <v>1380</v>
      </c>
    </row>
    <row r="85" spans="1:127" ht="36">
      <c r="A85" s="134"/>
      <c r="B85" s="121" t="s">
        <v>490</v>
      </c>
      <c r="C85" s="121" t="s">
        <v>1284</v>
      </c>
      <c r="D85" s="121">
        <v>18584</v>
      </c>
      <c r="E85" s="192" t="s">
        <v>1285</v>
      </c>
      <c r="F85" s="192" t="s">
        <v>1286</v>
      </c>
      <c r="G85" s="192" t="s">
        <v>537</v>
      </c>
      <c r="H85" s="193" t="s">
        <v>1274</v>
      </c>
      <c r="I85" s="192" t="s">
        <v>1287</v>
      </c>
      <c r="J85" s="192" t="s">
        <v>1288</v>
      </c>
      <c r="K85" s="194">
        <v>43578</v>
      </c>
      <c r="L85" s="194"/>
      <c r="M85" s="194">
        <v>44919</v>
      </c>
      <c r="N85" s="195" t="s">
        <v>539</v>
      </c>
      <c r="O85" s="195">
        <v>38</v>
      </c>
      <c r="P85" s="196">
        <f t="shared" si="97"/>
        <v>1</v>
      </c>
      <c r="Q85" s="192" t="s">
        <v>614</v>
      </c>
      <c r="R85" s="192">
        <v>19124</v>
      </c>
      <c r="S85" s="192" t="s">
        <v>981</v>
      </c>
      <c r="T85" s="192" t="s">
        <v>931</v>
      </c>
      <c r="U85" s="192" t="s">
        <v>932</v>
      </c>
      <c r="V85" s="193" t="s">
        <v>543</v>
      </c>
      <c r="W85" s="193" t="s">
        <v>566</v>
      </c>
      <c r="X85" s="193" t="s">
        <v>823</v>
      </c>
      <c r="Y85" s="56" t="s">
        <v>824</v>
      </c>
      <c r="Z85" s="193" t="s">
        <v>981</v>
      </c>
      <c r="AA85" s="193" t="s">
        <v>932</v>
      </c>
      <c r="AB85" s="57" t="s">
        <v>1368</v>
      </c>
      <c r="AC85" s="193" t="s">
        <v>825</v>
      </c>
      <c r="AD85" s="56" t="s">
        <v>826</v>
      </c>
      <c r="AE85" s="10">
        <f>IFERROR(INDEX('[3]Lookup_Rem Ranges'!$D:$D,MATCH($AL:$AL,'[3]Lookup_Rem Ranges'!$C:$C,0)),0)</f>
        <v>133400</v>
      </c>
      <c r="AF85" s="10">
        <f>IFERROR(INDEX('[3]Lookup_Rem Ranges'!$E:$E,MATCH($AL:$AL,'[3]Lookup_Rem Ranges'!$C:$C,0)),0)</f>
        <v>156900</v>
      </c>
      <c r="AG85" s="10">
        <f>IFERROR(INDEX('[3]Lookup_Rem Ranges'!$F:$F,MATCH($AL:$AL,'[3]Lookup_Rem Ranges'!$C:$C,0)),)</f>
        <v>180400</v>
      </c>
      <c r="AH85" s="193" t="s">
        <v>622</v>
      </c>
      <c r="AI85" s="197"/>
      <c r="AJ85" s="198">
        <v>0</v>
      </c>
      <c r="AK85" s="199"/>
      <c r="AL85" s="200" t="str">
        <f t="shared" si="98"/>
        <v>CASS7</v>
      </c>
      <c r="AM85" s="200" t="s">
        <v>487</v>
      </c>
      <c r="AN85" s="197">
        <v>7</v>
      </c>
      <c r="AO85" s="199" t="s">
        <v>1280</v>
      </c>
      <c r="AP85" s="5">
        <v>137200</v>
      </c>
      <c r="AQ85" s="10">
        <f t="shared" si="99"/>
        <v>137200</v>
      </c>
      <c r="AR85" s="10">
        <f t="shared" si="100"/>
        <v>137200</v>
      </c>
      <c r="AS85" s="53">
        <v>3.547169811320755E-2</v>
      </c>
      <c r="AT85" s="53">
        <v>0</v>
      </c>
      <c r="AU85" s="201"/>
      <c r="AV85" s="10"/>
      <c r="AW85" s="54">
        <v>0</v>
      </c>
      <c r="AX85" s="10">
        <v>0</v>
      </c>
      <c r="AY85" s="10">
        <v>137200</v>
      </c>
      <c r="AZ85" s="55">
        <f t="shared" si="101"/>
        <v>0.87444231994901211</v>
      </c>
      <c r="BA85" s="37" t="s">
        <v>23</v>
      </c>
      <c r="BB85" s="38">
        <v>3</v>
      </c>
      <c r="BC85" s="53">
        <f t="shared" si="102"/>
        <v>0</v>
      </c>
      <c r="BD85" s="65">
        <f t="shared" si="96"/>
        <v>0</v>
      </c>
      <c r="BE85" s="44">
        <v>3.2500000000000001E-2</v>
      </c>
      <c r="BF85" s="179">
        <f t="shared" si="103"/>
        <v>4459</v>
      </c>
      <c r="BG85" s="402">
        <v>0</v>
      </c>
      <c r="BH85" s="403">
        <f t="shared" si="104"/>
        <v>0</v>
      </c>
      <c r="BI85" s="44">
        <v>0</v>
      </c>
      <c r="BJ85" s="179">
        <f t="shared" si="105"/>
        <v>0</v>
      </c>
      <c r="BK85" s="179">
        <f t="shared" si="106"/>
        <v>0</v>
      </c>
      <c r="BL85" s="202"/>
      <c r="BM85" s="203">
        <f t="shared" si="107"/>
        <v>3.2500000000000001E-2</v>
      </c>
      <c r="BN85" s="204">
        <f t="shared" si="108"/>
        <v>4459</v>
      </c>
      <c r="BO85" s="16">
        <f t="shared" si="109"/>
        <v>141659</v>
      </c>
      <c r="BP85" s="205">
        <f t="shared" si="110"/>
        <v>15582</v>
      </c>
      <c r="BQ85" s="206">
        <f t="shared" si="111"/>
        <v>157241</v>
      </c>
      <c r="BR85" s="55">
        <f t="shared" si="112"/>
        <v>0.90286169534735505</v>
      </c>
      <c r="BS85" s="64">
        <f t="shared" si="113"/>
        <v>703</v>
      </c>
      <c r="BT85" s="53">
        <f t="shared" si="114"/>
        <v>3.2500000000000001E-2</v>
      </c>
      <c r="BU85" s="65">
        <f t="shared" si="115"/>
        <v>4459</v>
      </c>
      <c r="BV85" s="206">
        <f t="shared" si="116"/>
        <v>141659</v>
      </c>
      <c r="BW85" s="207">
        <f t="shared" si="117"/>
        <v>71.69</v>
      </c>
      <c r="BX85" s="199"/>
      <c r="BY85" s="206">
        <f t="shared" si="118"/>
        <v>157241</v>
      </c>
      <c r="BZ85" s="208" t="s">
        <v>687</v>
      </c>
      <c r="CA85" s="199"/>
      <c r="CB85" s="199"/>
      <c r="CC85" s="200" t="str">
        <f t="shared" si="119"/>
        <v/>
      </c>
      <c r="CD85" s="197"/>
      <c r="CE85" s="197"/>
      <c r="CF85" s="10" t="str">
        <f>IFERROR(INDEX('[4]Lookup_Rem Ranges'!$D:$D,MATCH($CC:$CC,'[4]Lookup_Rem Ranges'!$C:$C,0)),"")</f>
        <v/>
      </c>
      <c r="CG85" s="307"/>
      <c r="CH85" s="307"/>
      <c r="CI85" s="210"/>
      <c r="CJ85" s="122" t="s">
        <v>701</v>
      </c>
      <c r="CK85" s="206">
        <f t="shared" si="120"/>
        <v>0</v>
      </c>
      <c r="CL85" s="206">
        <f t="shared" si="121"/>
        <v>0</v>
      </c>
      <c r="CM85" s="123"/>
      <c r="CN85" s="124">
        <f t="shared" si="122"/>
        <v>0</v>
      </c>
      <c r="CO85" s="124" t="s">
        <v>1376</v>
      </c>
      <c r="CP85" s="125">
        <f t="shared" si="123"/>
        <v>3.2500000000000001E-2</v>
      </c>
      <c r="CQ85" s="126">
        <f t="shared" si="124"/>
        <v>4459</v>
      </c>
      <c r="CR85" s="127">
        <f t="shared" si="125"/>
        <v>0</v>
      </c>
      <c r="CS85" s="128">
        <f t="shared" si="126"/>
        <v>0</v>
      </c>
      <c r="CT85" s="127">
        <f t="shared" si="127"/>
        <v>0</v>
      </c>
      <c r="CU85" s="128">
        <f t="shared" si="128"/>
        <v>0</v>
      </c>
      <c r="CV85" s="127">
        <f t="shared" si="129"/>
        <v>0</v>
      </c>
      <c r="CW85" s="128">
        <f t="shared" si="130"/>
        <v>0</v>
      </c>
      <c r="CX85" s="127">
        <f t="shared" si="131"/>
        <v>0</v>
      </c>
      <c r="CY85" s="128">
        <f t="shared" si="132"/>
        <v>0</v>
      </c>
      <c r="CZ85" s="127">
        <f>$CR:$CR+$CT:CT+$CV:$CV+$CX:$CX</f>
        <v>0</v>
      </c>
      <c r="DA85" s="127">
        <f t="shared" si="133"/>
        <v>0</v>
      </c>
      <c r="DB85" s="127"/>
      <c r="DC85" s="127">
        <f t="shared" si="134"/>
        <v>3.2500000000000001E-2</v>
      </c>
      <c r="DD85" s="128">
        <f t="shared" si="135"/>
        <v>4459</v>
      </c>
      <c r="DE85" s="129">
        <f t="shared" si="136"/>
        <v>0</v>
      </c>
      <c r="DF85" s="128">
        <f t="shared" si="137"/>
        <v>0</v>
      </c>
      <c r="DG85" s="129">
        <f t="shared" si="138"/>
        <v>0</v>
      </c>
      <c r="DH85" s="128">
        <f t="shared" si="139"/>
        <v>0</v>
      </c>
      <c r="DI85" s="127">
        <f t="shared" si="140"/>
        <v>3.2500000000000001E-2</v>
      </c>
      <c r="DJ85" s="128">
        <f t="shared" si="141"/>
        <v>4459</v>
      </c>
      <c r="DK85" s="127">
        <f t="shared" si="142"/>
        <v>0</v>
      </c>
      <c r="DL85" s="128">
        <f t="shared" si="143"/>
        <v>0</v>
      </c>
      <c r="DM85" s="130"/>
      <c r="DN85" s="131"/>
      <c r="DO85" s="131"/>
      <c r="DP85" s="131"/>
      <c r="DQ85" s="131"/>
      <c r="DR85" s="131"/>
      <c r="DS85" s="131"/>
      <c r="DT85" s="131"/>
      <c r="DU85" s="131"/>
      <c r="DV85" s="131"/>
      <c r="DW85" s="131" t="s">
        <v>1380</v>
      </c>
    </row>
    <row r="86" spans="1:127" ht="36">
      <c r="A86" s="134"/>
      <c r="B86" s="121" t="s">
        <v>490</v>
      </c>
      <c r="C86" s="121" t="s">
        <v>1275</v>
      </c>
      <c r="D86" s="121">
        <v>20556</v>
      </c>
      <c r="E86" s="192" t="s">
        <v>1276</v>
      </c>
      <c r="F86" s="192" t="s">
        <v>1277</v>
      </c>
      <c r="G86" s="192" t="s">
        <v>538</v>
      </c>
      <c r="H86" s="193" t="s">
        <v>1274</v>
      </c>
      <c r="I86" s="192" t="s">
        <v>1278</v>
      </c>
      <c r="J86" s="192" t="s">
        <v>1279</v>
      </c>
      <c r="K86" s="194">
        <v>44578</v>
      </c>
      <c r="L86" s="194"/>
      <c r="M86" s="194">
        <v>44956</v>
      </c>
      <c r="N86" s="195" t="s">
        <v>539</v>
      </c>
      <c r="O86" s="195">
        <v>38</v>
      </c>
      <c r="P86" s="196">
        <f t="shared" si="97"/>
        <v>1</v>
      </c>
      <c r="Q86" s="192" t="s">
        <v>614</v>
      </c>
      <c r="R86" s="192">
        <v>19124</v>
      </c>
      <c r="S86" s="192" t="s">
        <v>981</v>
      </c>
      <c r="T86" s="192" t="s">
        <v>931</v>
      </c>
      <c r="U86" s="192" t="s">
        <v>932</v>
      </c>
      <c r="V86" s="193" t="s">
        <v>543</v>
      </c>
      <c r="W86" s="193" t="s">
        <v>566</v>
      </c>
      <c r="X86" s="193" t="s">
        <v>823</v>
      </c>
      <c r="Y86" s="56" t="s">
        <v>824</v>
      </c>
      <c r="Z86" s="193" t="s">
        <v>981</v>
      </c>
      <c r="AA86" s="193" t="s">
        <v>932</v>
      </c>
      <c r="AB86" s="57" t="s">
        <v>1368</v>
      </c>
      <c r="AC86" s="193" t="s">
        <v>825</v>
      </c>
      <c r="AD86" s="56" t="s">
        <v>826</v>
      </c>
      <c r="AE86" s="10">
        <f>IFERROR(INDEX('[3]Lookup_Rem Ranges'!$D:$D,MATCH($AL:$AL,'[3]Lookup_Rem Ranges'!$C:$C,0)),0)</f>
        <v>133400</v>
      </c>
      <c r="AF86" s="10">
        <f>IFERROR(INDEX('[3]Lookup_Rem Ranges'!$E:$E,MATCH($AL:$AL,'[3]Lookup_Rem Ranges'!$C:$C,0)),0)</f>
        <v>156900</v>
      </c>
      <c r="AG86" s="10">
        <f>IFERROR(INDEX('[3]Lookup_Rem Ranges'!$F:$F,MATCH($AL:$AL,'[3]Lookup_Rem Ranges'!$C:$C,0)),)</f>
        <v>180400</v>
      </c>
      <c r="AH86" s="193" t="s">
        <v>622</v>
      </c>
      <c r="AI86" s="197"/>
      <c r="AJ86" s="198">
        <v>0</v>
      </c>
      <c r="AK86" s="199"/>
      <c r="AL86" s="200" t="str">
        <f t="shared" si="98"/>
        <v>CASS7</v>
      </c>
      <c r="AM86" s="200" t="s">
        <v>487</v>
      </c>
      <c r="AN86" s="197">
        <v>7</v>
      </c>
      <c r="AO86" s="199" t="s">
        <v>1280</v>
      </c>
      <c r="AP86" s="5">
        <v>159700</v>
      </c>
      <c r="AQ86" s="10">
        <f t="shared" si="99"/>
        <v>159700</v>
      </c>
      <c r="AR86" s="10">
        <f t="shared" si="100"/>
        <v>159700</v>
      </c>
      <c r="AS86" s="53">
        <v>3.0322580645161291E-2</v>
      </c>
      <c r="AT86" s="53">
        <v>0</v>
      </c>
      <c r="AU86" s="201"/>
      <c r="AV86" s="10"/>
      <c r="AW86" s="54">
        <v>0</v>
      </c>
      <c r="AX86" s="10">
        <v>0</v>
      </c>
      <c r="AY86" s="10">
        <v>159700</v>
      </c>
      <c r="AZ86" s="55">
        <f t="shared" si="101"/>
        <v>1.0178457616316126</v>
      </c>
      <c r="BA86" s="37" t="s">
        <v>23</v>
      </c>
      <c r="BB86" s="38">
        <v>4</v>
      </c>
      <c r="BC86" s="53">
        <f t="shared" si="102"/>
        <v>0</v>
      </c>
      <c r="BD86" s="65">
        <f t="shared" si="96"/>
        <v>0</v>
      </c>
      <c r="BE86" s="44">
        <v>3.2500000000000001E-2</v>
      </c>
      <c r="BF86" s="179">
        <f t="shared" si="103"/>
        <v>5190</v>
      </c>
      <c r="BG86" s="402">
        <v>0</v>
      </c>
      <c r="BH86" s="403">
        <f t="shared" si="104"/>
        <v>0</v>
      </c>
      <c r="BI86" s="44">
        <v>0</v>
      </c>
      <c r="BJ86" s="179">
        <f t="shared" si="105"/>
        <v>0</v>
      </c>
      <c r="BK86" s="179">
        <f t="shared" si="106"/>
        <v>0</v>
      </c>
      <c r="BL86" s="202"/>
      <c r="BM86" s="203">
        <f t="shared" si="107"/>
        <v>3.2500000000000001E-2</v>
      </c>
      <c r="BN86" s="204">
        <f t="shared" si="108"/>
        <v>5190</v>
      </c>
      <c r="BO86" s="16">
        <f t="shared" si="109"/>
        <v>164890</v>
      </c>
      <c r="BP86" s="205">
        <f t="shared" si="110"/>
        <v>18138</v>
      </c>
      <c r="BQ86" s="206">
        <f t="shared" si="111"/>
        <v>183028</v>
      </c>
      <c r="BR86" s="55">
        <f t="shared" si="112"/>
        <v>1.0509241555130657</v>
      </c>
      <c r="BS86" s="64">
        <f t="shared" si="113"/>
        <v>818</v>
      </c>
      <c r="BT86" s="53">
        <f t="shared" si="114"/>
        <v>3.2500000000000001E-2</v>
      </c>
      <c r="BU86" s="65">
        <f t="shared" si="115"/>
        <v>5190</v>
      </c>
      <c r="BV86" s="206">
        <f t="shared" si="116"/>
        <v>164890</v>
      </c>
      <c r="BW86" s="207">
        <f t="shared" si="117"/>
        <v>83.45</v>
      </c>
      <c r="BX86" s="199"/>
      <c r="BY86" s="206">
        <f t="shared" si="118"/>
        <v>183028</v>
      </c>
      <c r="BZ86" s="208" t="s">
        <v>687</v>
      </c>
      <c r="CA86" s="199"/>
      <c r="CB86" s="199"/>
      <c r="CC86" s="200" t="str">
        <f t="shared" si="119"/>
        <v/>
      </c>
      <c r="CD86" s="197"/>
      <c r="CE86" s="197"/>
      <c r="CF86" s="10" t="str">
        <f>IFERROR(INDEX('[4]Lookup_Rem Ranges'!$D:$D,MATCH($CC:$CC,'[4]Lookup_Rem Ranges'!$C:$C,0)),"")</f>
        <v/>
      </c>
      <c r="CG86" s="307"/>
      <c r="CH86" s="307"/>
      <c r="CI86" s="210"/>
      <c r="CJ86" s="122" t="s">
        <v>701</v>
      </c>
      <c r="CK86" s="206">
        <f t="shared" si="120"/>
        <v>0</v>
      </c>
      <c r="CL86" s="206">
        <f t="shared" si="121"/>
        <v>0</v>
      </c>
      <c r="CM86" s="123"/>
      <c r="CN86" s="124">
        <f t="shared" si="122"/>
        <v>0</v>
      </c>
      <c r="CO86" s="124" t="s">
        <v>1374</v>
      </c>
      <c r="CP86" s="125">
        <f t="shared" si="123"/>
        <v>3.2500000000000001E-2</v>
      </c>
      <c r="CQ86" s="126">
        <f t="shared" si="124"/>
        <v>5190</v>
      </c>
      <c r="CR86" s="127">
        <f t="shared" si="125"/>
        <v>0</v>
      </c>
      <c r="CS86" s="128">
        <f t="shared" si="126"/>
        <v>0</v>
      </c>
      <c r="CT86" s="127">
        <f t="shared" si="127"/>
        <v>0</v>
      </c>
      <c r="CU86" s="128">
        <f t="shared" si="128"/>
        <v>0</v>
      </c>
      <c r="CV86" s="127">
        <f t="shared" si="129"/>
        <v>0</v>
      </c>
      <c r="CW86" s="128">
        <f t="shared" si="130"/>
        <v>0</v>
      </c>
      <c r="CX86" s="127">
        <f t="shared" si="131"/>
        <v>0</v>
      </c>
      <c r="CY86" s="128">
        <f t="shared" si="132"/>
        <v>0</v>
      </c>
      <c r="CZ86" s="127">
        <f>$CR:$CR+$CT:CT+$CV:$CV+$CX:$CX</f>
        <v>0</v>
      </c>
      <c r="DA86" s="127">
        <f t="shared" si="133"/>
        <v>0</v>
      </c>
      <c r="DB86" s="127"/>
      <c r="DC86" s="127">
        <f t="shared" si="134"/>
        <v>3.2500000000000001E-2</v>
      </c>
      <c r="DD86" s="128">
        <f t="shared" si="135"/>
        <v>5190</v>
      </c>
      <c r="DE86" s="129">
        <f t="shared" si="136"/>
        <v>0</v>
      </c>
      <c r="DF86" s="128">
        <f t="shared" si="137"/>
        <v>0</v>
      </c>
      <c r="DG86" s="129">
        <f t="shared" si="138"/>
        <v>0</v>
      </c>
      <c r="DH86" s="128">
        <f t="shared" si="139"/>
        <v>0</v>
      </c>
      <c r="DI86" s="127">
        <f t="shared" si="140"/>
        <v>3.2500000000000001E-2</v>
      </c>
      <c r="DJ86" s="128">
        <f t="shared" si="141"/>
        <v>5190</v>
      </c>
      <c r="DK86" s="127">
        <f t="shared" si="142"/>
        <v>0</v>
      </c>
      <c r="DL86" s="128">
        <f t="shared" si="143"/>
        <v>0</v>
      </c>
      <c r="DM86" s="130"/>
      <c r="DN86" s="131"/>
      <c r="DO86" s="131"/>
      <c r="DP86" s="131"/>
      <c r="DQ86" s="131"/>
      <c r="DR86" s="131"/>
      <c r="DS86" s="131"/>
      <c r="DT86" s="131"/>
      <c r="DU86" s="131"/>
      <c r="DV86" s="131"/>
      <c r="DW86" s="131" t="s">
        <v>1380</v>
      </c>
    </row>
    <row r="87" spans="1:127" ht="24">
      <c r="A87" s="134"/>
      <c r="B87" s="121" t="s">
        <v>490</v>
      </c>
      <c r="C87" s="121" t="s">
        <v>1271</v>
      </c>
      <c r="D87" s="121">
        <v>20132</v>
      </c>
      <c r="E87" s="192" t="s">
        <v>1272</v>
      </c>
      <c r="F87" s="192" t="s">
        <v>1273</v>
      </c>
      <c r="G87" s="192" t="s">
        <v>538</v>
      </c>
      <c r="H87" s="193" t="s">
        <v>1274</v>
      </c>
      <c r="I87" s="192" t="s">
        <v>1110</v>
      </c>
      <c r="J87" s="192" t="s">
        <v>1111</v>
      </c>
      <c r="K87" s="194">
        <v>44396</v>
      </c>
      <c r="L87" s="194"/>
      <c r="M87" s="194">
        <v>44641</v>
      </c>
      <c r="N87" s="195" t="s">
        <v>539</v>
      </c>
      <c r="O87" s="195">
        <v>38</v>
      </c>
      <c r="P87" s="196">
        <f t="shared" si="97"/>
        <v>1</v>
      </c>
      <c r="Q87" s="192" t="s">
        <v>614</v>
      </c>
      <c r="R87" s="192">
        <v>19124</v>
      </c>
      <c r="S87" s="192" t="s">
        <v>981</v>
      </c>
      <c r="T87" s="192" t="s">
        <v>931</v>
      </c>
      <c r="U87" s="192" t="s">
        <v>932</v>
      </c>
      <c r="V87" s="193" t="s">
        <v>543</v>
      </c>
      <c r="W87" s="193" t="s">
        <v>566</v>
      </c>
      <c r="X87" s="193" t="s">
        <v>823</v>
      </c>
      <c r="Y87" s="56" t="s">
        <v>824</v>
      </c>
      <c r="Z87" s="193" t="s">
        <v>981</v>
      </c>
      <c r="AA87" s="193" t="s">
        <v>932</v>
      </c>
      <c r="AB87" s="57" t="s">
        <v>1368</v>
      </c>
      <c r="AC87" s="193" t="s">
        <v>825</v>
      </c>
      <c r="AD87" s="56" t="s">
        <v>826</v>
      </c>
      <c r="AE87" s="10">
        <f>IFERROR(INDEX('[3]Lookup_Rem Ranges'!$D:$D,MATCH($AL:$AL,'[3]Lookup_Rem Ranges'!$C:$C,0)),0)</f>
        <v>133400</v>
      </c>
      <c r="AF87" s="10">
        <f>IFERROR(INDEX('[3]Lookup_Rem Ranges'!$E:$E,MATCH($AL:$AL,'[3]Lookup_Rem Ranges'!$C:$C,0)),0)</f>
        <v>156900</v>
      </c>
      <c r="AG87" s="10">
        <f>IFERROR(INDEX('[3]Lookup_Rem Ranges'!$F:$F,MATCH($AL:$AL,'[3]Lookup_Rem Ranges'!$C:$C,0)),)</f>
        <v>180400</v>
      </c>
      <c r="AH87" s="193" t="s">
        <v>622</v>
      </c>
      <c r="AI87" s="197"/>
      <c r="AJ87" s="198">
        <v>0</v>
      </c>
      <c r="AK87" s="199"/>
      <c r="AL87" s="200" t="str">
        <f t="shared" si="98"/>
        <v>CASS7</v>
      </c>
      <c r="AM87" s="200" t="s">
        <v>487</v>
      </c>
      <c r="AN87" s="197">
        <v>7</v>
      </c>
      <c r="AO87" s="199" t="s">
        <v>701</v>
      </c>
      <c r="AP87" s="5">
        <v>133800</v>
      </c>
      <c r="AQ87" s="10">
        <f t="shared" si="99"/>
        <v>133800</v>
      </c>
      <c r="AR87" s="10">
        <f t="shared" si="100"/>
        <v>133800</v>
      </c>
      <c r="AS87" s="53">
        <v>7.0400000000000004E-2</v>
      </c>
      <c r="AT87" s="53">
        <v>0</v>
      </c>
      <c r="AU87" s="201"/>
      <c r="AV87" s="10"/>
      <c r="AW87" s="54">
        <v>0</v>
      </c>
      <c r="AX87" s="10">
        <v>0</v>
      </c>
      <c r="AY87" s="10">
        <v>133800</v>
      </c>
      <c r="AZ87" s="55">
        <f t="shared" si="101"/>
        <v>0.85277246653919692</v>
      </c>
      <c r="BA87" s="37" t="s">
        <v>23</v>
      </c>
      <c r="BB87" s="38">
        <v>3</v>
      </c>
      <c r="BC87" s="53">
        <f t="shared" si="102"/>
        <v>0</v>
      </c>
      <c r="BD87" s="65">
        <f t="shared" ref="BD87:BD121" si="144">ROUND(IF($AY:$AY&lt;$AE:$AE,$AE:$AE-$AY:$AY,0),0)</f>
        <v>0</v>
      </c>
      <c r="BE87" s="44">
        <v>3.2500000000000001E-2</v>
      </c>
      <c r="BF87" s="179">
        <f t="shared" si="103"/>
        <v>4349</v>
      </c>
      <c r="BG87" s="402">
        <v>0</v>
      </c>
      <c r="BH87" s="403">
        <f t="shared" si="104"/>
        <v>0</v>
      </c>
      <c r="BI87" s="44">
        <v>0</v>
      </c>
      <c r="BJ87" s="179">
        <f t="shared" si="105"/>
        <v>0</v>
      </c>
      <c r="BK87" s="179">
        <f t="shared" si="106"/>
        <v>0</v>
      </c>
      <c r="BL87" s="202"/>
      <c r="BM87" s="203">
        <f t="shared" si="107"/>
        <v>3.2500000000000001E-2</v>
      </c>
      <c r="BN87" s="204">
        <f t="shared" si="108"/>
        <v>4349</v>
      </c>
      <c r="BO87" s="16">
        <f t="shared" si="109"/>
        <v>138149</v>
      </c>
      <c r="BP87" s="205">
        <f t="shared" si="110"/>
        <v>15196</v>
      </c>
      <c r="BQ87" s="206">
        <f t="shared" si="111"/>
        <v>153345</v>
      </c>
      <c r="BR87" s="55">
        <f t="shared" si="112"/>
        <v>0.88049075844486935</v>
      </c>
      <c r="BS87" s="64">
        <f t="shared" si="113"/>
        <v>686</v>
      </c>
      <c r="BT87" s="53">
        <f t="shared" si="114"/>
        <v>3.2500000000000001E-2</v>
      </c>
      <c r="BU87" s="65">
        <f t="shared" si="115"/>
        <v>4349</v>
      </c>
      <c r="BV87" s="206">
        <f t="shared" si="116"/>
        <v>138149</v>
      </c>
      <c r="BW87" s="207">
        <f t="shared" si="117"/>
        <v>69.91</v>
      </c>
      <c r="BX87" s="199"/>
      <c r="BY87" s="206">
        <f t="shared" si="118"/>
        <v>153345</v>
      </c>
      <c r="BZ87" s="208" t="s">
        <v>687</v>
      </c>
      <c r="CA87" s="199"/>
      <c r="CB87" s="199"/>
      <c r="CC87" s="200" t="str">
        <f t="shared" si="119"/>
        <v/>
      </c>
      <c r="CD87" s="197"/>
      <c r="CE87" s="197"/>
      <c r="CF87" s="10" t="str">
        <f>IFERROR(INDEX('[4]Lookup_Rem Ranges'!$D:$D,MATCH($CC:$CC,'[4]Lookup_Rem Ranges'!$C:$C,0)),"")</f>
        <v/>
      </c>
      <c r="CG87" s="307"/>
      <c r="CH87" s="307"/>
      <c r="CI87" s="210"/>
      <c r="CJ87" s="122" t="s">
        <v>701</v>
      </c>
      <c r="CK87" s="206">
        <f t="shared" si="120"/>
        <v>0</v>
      </c>
      <c r="CL87" s="206">
        <f t="shared" si="121"/>
        <v>0</v>
      </c>
      <c r="CM87" s="123"/>
      <c r="CN87" s="124">
        <f t="shared" si="122"/>
        <v>0</v>
      </c>
      <c r="CO87" s="124" t="s">
        <v>1375</v>
      </c>
      <c r="CP87" s="125">
        <f t="shared" si="123"/>
        <v>3.2500000000000001E-2</v>
      </c>
      <c r="CQ87" s="126">
        <f t="shared" si="124"/>
        <v>4349</v>
      </c>
      <c r="CR87" s="127">
        <f t="shared" si="125"/>
        <v>0</v>
      </c>
      <c r="CS87" s="128">
        <f t="shared" si="126"/>
        <v>0</v>
      </c>
      <c r="CT87" s="127">
        <f t="shared" si="127"/>
        <v>0</v>
      </c>
      <c r="CU87" s="128">
        <f t="shared" si="128"/>
        <v>0</v>
      </c>
      <c r="CV87" s="127">
        <f t="shared" si="129"/>
        <v>0</v>
      </c>
      <c r="CW87" s="128">
        <f t="shared" si="130"/>
        <v>0</v>
      </c>
      <c r="CX87" s="127">
        <f t="shared" si="131"/>
        <v>0</v>
      </c>
      <c r="CY87" s="128">
        <f t="shared" si="132"/>
        <v>0</v>
      </c>
      <c r="CZ87" s="127">
        <f>$CR:$CR+$CT:CT+$CV:$CV+$CX:$CX</f>
        <v>0</v>
      </c>
      <c r="DA87" s="127">
        <f t="shared" si="133"/>
        <v>0</v>
      </c>
      <c r="DB87" s="127"/>
      <c r="DC87" s="127">
        <f t="shared" si="134"/>
        <v>3.2500000000000001E-2</v>
      </c>
      <c r="DD87" s="128">
        <f t="shared" si="135"/>
        <v>4349</v>
      </c>
      <c r="DE87" s="129">
        <f t="shared" si="136"/>
        <v>0</v>
      </c>
      <c r="DF87" s="128">
        <f t="shared" si="137"/>
        <v>0</v>
      </c>
      <c r="DG87" s="129">
        <f t="shared" si="138"/>
        <v>0</v>
      </c>
      <c r="DH87" s="128">
        <f t="shared" si="139"/>
        <v>0</v>
      </c>
      <c r="DI87" s="127">
        <f t="shared" si="140"/>
        <v>3.2500000000000001E-2</v>
      </c>
      <c r="DJ87" s="128">
        <f t="shared" si="141"/>
        <v>4349</v>
      </c>
      <c r="DK87" s="127">
        <f t="shared" si="142"/>
        <v>0</v>
      </c>
      <c r="DL87" s="128">
        <f t="shared" si="143"/>
        <v>0</v>
      </c>
      <c r="DM87" s="130"/>
      <c r="DN87" s="131"/>
      <c r="DO87" s="131"/>
      <c r="DP87" s="131"/>
      <c r="DQ87" s="131"/>
      <c r="DR87" s="131"/>
      <c r="DS87" s="131"/>
      <c r="DT87" s="131"/>
      <c r="DU87" s="131"/>
      <c r="DV87" s="131"/>
      <c r="DW87" s="131" t="s">
        <v>1380</v>
      </c>
    </row>
    <row r="88" spans="1:127" ht="36">
      <c r="A88" s="134"/>
      <c r="B88" s="121" t="s">
        <v>490</v>
      </c>
      <c r="C88" s="121" t="s">
        <v>1307</v>
      </c>
      <c r="D88" s="121">
        <v>8229</v>
      </c>
      <c r="E88" s="192" t="s">
        <v>1308</v>
      </c>
      <c r="F88" s="192" t="s">
        <v>1309</v>
      </c>
      <c r="G88" s="192" t="s">
        <v>537</v>
      </c>
      <c r="H88" s="193" t="s">
        <v>1274</v>
      </c>
      <c r="I88" s="192" t="s">
        <v>1310</v>
      </c>
      <c r="J88" s="192" t="s">
        <v>1311</v>
      </c>
      <c r="K88" s="194">
        <v>39370</v>
      </c>
      <c r="L88" s="194"/>
      <c r="M88" s="194">
        <v>44641</v>
      </c>
      <c r="N88" s="195" t="s">
        <v>539</v>
      </c>
      <c r="O88" s="195">
        <v>38</v>
      </c>
      <c r="P88" s="196">
        <f t="shared" si="97"/>
        <v>1</v>
      </c>
      <c r="Q88" s="192" t="s">
        <v>614</v>
      </c>
      <c r="R88" s="192">
        <v>19124</v>
      </c>
      <c r="S88" s="192" t="s">
        <v>981</v>
      </c>
      <c r="T88" s="192" t="s">
        <v>931</v>
      </c>
      <c r="U88" s="192" t="s">
        <v>932</v>
      </c>
      <c r="V88" s="193" t="s">
        <v>543</v>
      </c>
      <c r="W88" s="193" t="s">
        <v>566</v>
      </c>
      <c r="X88" s="193" t="s">
        <v>823</v>
      </c>
      <c r="Y88" s="56" t="s">
        <v>824</v>
      </c>
      <c r="Z88" s="193" t="s">
        <v>981</v>
      </c>
      <c r="AA88" s="193" t="s">
        <v>932</v>
      </c>
      <c r="AB88" s="57" t="s">
        <v>1368</v>
      </c>
      <c r="AC88" s="193" t="s">
        <v>825</v>
      </c>
      <c r="AD88" s="56" t="s">
        <v>826</v>
      </c>
      <c r="AE88" s="10">
        <f>IFERROR(INDEX('[3]Lookup_Rem Ranges'!$D:$D,MATCH($AL:$AL,'[3]Lookup_Rem Ranges'!$C:$C,0)),0)</f>
        <v>133400</v>
      </c>
      <c r="AF88" s="10">
        <f>IFERROR(INDEX('[3]Lookup_Rem Ranges'!$E:$E,MATCH($AL:$AL,'[3]Lookup_Rem Ranges'!$C:$C,0)),0)</f>
        <v>156900</v>
      </c>
      <c r="AG88" s="10">
        <f>IFERROR(INDEX('[3]Lookup_Rem Ranges'!$F:$F,MATCH($AL:$AL,'[3]Lookup_Rem Ranges'!$C:$C,0)),)</f>
        <v>180400</v>
      </c>
      <c r="AH88" s="193" t="s">
        <v>622</v>
      </c>
      <c r="AI88" s="197"/>
      <c r="AJ88" s="198">
        <v>0</v>
      </c>
      <c r="AK88" s="199"/>
      <c r="AL88" s="200" t="str">
        <f t="shared" si="98"/>
        <v>CASS7</v>
      </c>
      <c r="AM88" s="200" t="s">
        <v>487</v>
      </c>
      <c r="AN88" s="197">
        <v>7</v>
      </c>
      <c r="AO88" s="199" t="s">
        <v>1280</v>
      </c>
      <c r="AP88" s="5">
        <v>134600</v>
      </c>
      <c r="AQ88" s="10">
        <f t="shared" si="99"/>
        <v>134600</v>
      </c>
      <c r="AR88" s="10">
        <f t="shared" si="100"/>
        <v>134600</v>
      </c>
      <c r="AS88" s="53">
        <v>3.5384615384615382E-2</v>
      </c>
      <c r="AT88" s="53">
        <v>0</v>
      </c>
      <c r="AU88" s="201"/>
      <c r="AV88" s="10"/>
      <c r="AW88" s="54">
        <v>0</v>
      </c>
      <c r="AX88" s="10">
        <v>0</v>
      </c>
      <c r="AY88" s="10">
        <v>134600</v>
      </c>
      <c r="AZ88" s="55">
        <f t="shared" si="101"/>
        <v>0.85787125557680055</v>
      </c>
      <c r="BA88" s="37" t="s">
        <v>23</v>
      </c>
      <c r="BB88" s="38">
        <v>4</v>
      </c>
      <c r="BC88" s="53">
        <f t="shared" si="102"/>
        <v>0</v>
      </c>
      <c r="BD88" s="65">
        <f t="shared" si="144"/>
        <v>0</v>
      </c>
      <c r="BE88" s="44">
        <v>3.2500000000000001E-2</v>
      </c>
      <c r="BF88" s="179">
        <f t="shared" si="103"/>
        <v>4375</v>
      </c>
      <c r="BG88" s="402">
        <v>0</v>
      </c>
      <c r="BH88" s="403">
        <f t="shared" si="104"/>
        <v>0</v>
      </c>
      <c r="BI88" s="44">
        <v>0</v>
      </c>
      <c r="BJ88" s="179">
        <f t="shared" si="105"/>
        <v>0</v>
      </c>
      <c r="BK88" s="179">
        <f t="shared" si="106"/>
        <v>0</v>
      </c>
      <c r="BL88" s="202"/>
      <c r="BM88" s="203">
        <f t="shared" si="107"/>
        <v>3.2500000000000001E-2</v>
      </c>
      <c r="BN88" s="204">
        <f t="shared" si="108"/>
        <v>4375</v>
      </c>
      <c r="BO88" s="16">
        <f t="shared" si="109"/>
        <v>138975</v>
      </c>
      <c r="BP88" s="205">
        <f t="shared" si="110"/>
        <v>15287</v>
      </c>
      <c r="BQ88" s="206">
        <f t="shared" si="111"/>
        <v>154262</v>
      </c>
      <c r="BR88" s="55">
        <f t="shared" si="112"/>
        <v>0.88575525812619504</v>
      </c>
      <c r="BS88" s="64">
        <f t="shared" si="113"/>
        <v>690</v>
      </c>
      <c r="BT88" s="53">
        <f t="shared" si="114"/>
        <v>3.2500000000000001E-2</v>
      </c>
      <c r="BU88" s="65">
        <f t="shared" si="115"/>
        <v>4375</v>
      </c>
      <c r="BV88" s="206">
        <f t="shared" si="116"/>
        <v>138975</v>
      </c>
      <c r="BW88" s="207">
        <f t="shared" si="117"/>
        <v>70.33</v>
      </c>
      <c r="BX88" s="199"/>
      <c r="BY88" s="206">
        <f t="shared" si="118"/>
        <v>154262</v>
      </c>
      <c r="BZ88" s="208" t="s">
        <v>687</v>
      </c>
      <c r="CA88" s="199"/>
      <c r="CB88" s="199"/>
      <c r="CC88" s="200" t="str">
        <f t="shared" si="119"/>
        <v/>
      </c>
      <c r="CD88" s="197"/>
      <c r="CE88" s="197"/>
      <c r="CF88" s="10" t="str">
        <f>IFERROR(INDEX('[4]Lookup_Rem Ranges'!$D:$D,MATCH($CC:$CC,'[4]Lookup_Rem Ranges'!$C:$C,0)),"")</f>
        <v/>
      </c>
      <c r="CG88" s="307"/>
      <c r="CH88" s="307"/>
      <c r="CI88" s="210"/>
      <c r="CJ88" s="122" t="s">
        <v>701</v>
      </c>
      <c r="CK88" s="206">
        <f t="shared" si="120"/>
        <v>0</v>
      </c>
      <c r="CL88" s="206">
        <f t="shared" si="121"/>
        <v>0</v>
      </c>
      <c r="CM88" s="123"/>
      <c r="CN88" s="124">
        <f t="shared" si="122"/>
        <v>0</v>
      </c>
      <c r="CO88" s="124" t="s">
        <v>1376</v>
      </c>
      <c r="CP88" s="125">
        <f t="shared" si="123"/>
        <v>3.2500000000000001E-2</v>
      </c>
      <c r="CQ88" s="126">
        <f t="shared" si="124"/>
        <v>4375</v>
      </c>
      <c r="CR88" s="127">
        <f t="shared" si="125"/>
        <v>0</v>
      </c>
      <c r="CS88" s="128">
        <f t="shared" si="126"/>
        <v>0</v>
      </c>
      <c r="CT88" s="127">
        <f t="shared" si="127"/>
        <v>0</v>
      </c>
      <c r="CU88" s="128">
        <f t="shared" si="128"/>
        <v>0</v>
      </c>
      <c r="CV88" s="127">
        <f t="shared" si="129"/>
        <v>0</v>
      </c>
      <c r="CW88" s="128">
        <f t="shared" si="130"/>
        <v>0</v>
      </c>
      <c r="CX88" s="127">
        <f t="shared" si="131"/>
        <v>0</v>
      </c>
      <c r="CY88" s="128">
        <f t="shared" si="132"/>
        <v>0</v>
      </c>
      <c r="CZ88" s="127">
        <f>$CR:$CR+$CT:CT+$CV:$CV+$CX:$CX</f>
        <v>0</v>
      </c>
      <c r="DA88" s="127">
        <f t="shared" si="133"/>
        <v>0</v>
      </c>
      <c r="DB88" s="127"/>
      <c r="DC88" s="127">
        <f t="shared" si="134"/>
        <v>3.2500000000000001E-2</v>
      </c>
      <c r="DD88" s="128">
        <f t="shared" si="135"/>
        <v>4375</v>
      </c>
      <c r="DE88" s="129">
        <f t="shared" si="136"/>
        <v>0</v>
      </c>
      <c r="DF88" s="128">
        <f t="shared" si="137"/>
        <v>0</v>
      </c>
      <c r="DG88" s="129">
        <f t="shared" si="138"/>
        <v>0</v>
      </c>
      <c r="DH88" s="128">
        <f t="shared" si="139"/>
        <v>0</v>
      </c>
      <c r="DI88" s="127">
        <f t="shared" si="140"/>
        <v>3.2500000000000001E-2</v>
      </c>
      <c r="DJ88" s="128">
        <f t="shared" si="141"/>
        <v>4375</v>
      </c>
      <c r="DK88" s="127">
        <f t="shared" si="142"/>
        <v>0</v>
      </c>
      <c r="DL88" s="128">
        <f t="shared" si="143"/>
        <v>0</v>
      </c>
      <c r="DM88" s="130"/>
      <c r="DN88" s="131"/>
      <c r="DO88" s="131"/>
      <c r="DP88" s="131"/>
      <c r="DQ88" s="131"/>
      <c r="DR88" s="131"/>
      <c r="DS88" s="131"/>
      <c r="DT88" s="131"/>
      <c r="DU88" s="131"/>
      <c r="DV88" s="131"/>
      <c r="DW88" s="131" t="s">
        <v>1380</v>
      </c>
    </row>
    <row r="89" spans="1:127" ht="33.75">
      <c r="A89" s="134"/>
      <c r="B89" s="121" t="s">
        <v>490</v>
      </c>
      <c r="C89" s="121" t="s">
        <v>1053</v>
      </c>
      <c r="D89" s="121">
        <v>19721</v>
      </c>
      <c r="E89" s="192" t="s">
        <v>793</v>
      </c>
      <c r="F89" s="192" t="s">
        <v>991</v>
      </c>
      <c r="G89" s="192" t="s">
        <v>537</v>
      </c>
      <c r="H89" s="193" t="s">
        <v>975</v>
      </c>
      <c r="I89" s="192" t="s">
        <v>1054</v>
      </c>
      <c r="J89" s="192" t="s">
        <v>1055</v>
      </c>
      <c r="K89" s="194">
        <v>44179</v>
      </c>
      <c r="L89" s="194">
        <v>45838</v>
      </c>
      <c r="M89" s="194">
        <v>44986</v>
      </c>
      <c r="N89" s="195" t="s">
        <v>539</v>
      </c>
      <c r="O89" s="195">
        <v>38</v>
      </c>
      <c r="P89" s="196">
        <f t="shared" si="97"/>
        <v>1</v>
      </c>
      <c r="Q89" s="192" t="s">
        <v>613</v>
      </c>
      <c r="R89" s="192"/>
      <c r="S89" s="192" t="s">
        <v>978</v>
      </c>
      <c r="T89" s="192" t="s">
        <v>979</v>
      </c>
      <c r="U89" s="192" t="s">
        <v>980</v>
      </c>
      <c r="V89" s="193" t="s">
        <v>543</v>
      </c>
      <c r="W89" s="193" t="s">
        <v>566</v>
      </c>
      <c r="X89" s="193" t="s">
        <v>823</v>
      </c>
      <c r="Y89" s="56" t="s">
        <v>824</v>
      </c>
      <c r="Z89" s="193" t="s">
        <v>981</v>
      </c>
      <c r="AA89" s="193" t="s">
        <v>932</v>
      </c>
      <c r="AB89" s="57" t="s">
        <v>1368</v>
      </c>
      <c r="AC89" s="193" t="s">
        <v>825</v>
      </c>
      <c r="AD89" s="56" t="s">
        <v>826</v>
      </c>
      <c r="AE89" s="10">
        <f>IFERROR(INDEX('[3]Lookup_Rem Ranges'!$D:$D,MATCH($AL:$AL,'[3]Lookup_Rem Ranges'!$C:$C,0)),0)</f>
        <v>83400</v>
      </c>
      <c r="AF89" s="10">
        <f>IFERROR(INDEX('[3]Lookup_Rem Ranges'!$E:$E,MATCH($AL:$AL,'[3]Lookup_Rem Ranges'!$C:$C,0)),0)</f>
        <v>98100</v>
      </c>
      <c r="AG89" s="10">
        <f>IFERROR(INDEX('[3]Lookup_Rem Ranges'!$F:$F,MATCH($AL:$AL,'[3]Lookup_Rem Ranges'!$C:$C,0)),)</f>
        <v>112800</v>
      </c>
      <c r="AH89" s="193" t="s">
        <v>622</v>
      </c>
      <c r="AI89" s="197"/>
      <c r="AJ89" s="198">
        <v>0</v>
      </c>
      <c r="AK89" s="199"/>
      <c r="AL89" s="200" t="str">
        <f t="shared" si="98"/>
        <v>CASS5</v>
      </c>
      <c r="AM89" s="200" t="s">
        <v>487</v>
      </c>
      <c r="AN89" s="197">
        <v>5</v>
      </c>
      <c r="AO89" s="199" t="s">
        <v>789</v>
      </c>
      <c r="AP89" s="5">
        <v>95300</v>
      </c>
      <c r="AQ89" s="10">
        <f t="shared" si="99"/>
        <v>95300</v>
      </c>
      <c r="AR89" s="10">
        <f t="shared" si="100"/>
        <v>95300</v>
      </c>
      <c r="AS89" s="53">
        <v>0.15104959296567383</v>
      </c>
      <c r="AT89" s="53">
        <v>0</v>
      </c>
      <c r="AU89" s="201"/>
      <c r="AV89" s="10"/>
      <c r="AW89" s="54">
        <v>0</v>
      </c>
      <c r="AX89" s="10">
        <v>0</v>
      </c>
      <c r="AY89" s="10">
        <v>95300</v>
      </c>
      <c r="AZ89" s="55">
        <f t="shared" si="101"/>
        <v>0.97145769622833844</v>
      </c>
      <c r="BA89" s="37" t="s">
        <v>23</v>
      </c>
      <c r="BB89" s="38">
        <v>3</v>
      </c>
      <c r="BC89" s="53">
        <f t="shared" si="102"/>
        <v>0</v>
      </c>
      <c r="BD89" s="65">
        <f t="shared" si="144"/>
        <v>0</v>
      </c>
      <c r="BE89" s="44">
        <v>3.2500000000000001E-2</v>
      </c>
      <c r="BF89" s="179">
        <f t="shared" si="103"/>
        <v>3097</v>
      </c>
      <c r="BG89" s="402">
        <v>0</v>
      </c>
      <c r="BH89" s="403">
        <f t="shared" si="104"/>
        <v>0</v>
      </c>
      <c r="BI89" s="44">
        <v>0</v>
      </c>
      <c r="BJ89" s="179">
        <f t="shared" si="105"/>
        <v>0</v>
      </c>
      <c r="BK89" s="179">
        <f t="shared" si="106"/>
        <v>0</v>
      </c>
      <c r="BL89" s="202"/>
      <c r="BM89" s="203">
        <f t="shared" si="107"/>
        <v>3.2500000000000001E-2</v>
      </c>
      <c r="BN89" s="204">
        <f t="shared" si="108"/>
        <v>3097</v>
      </c>
      <c r="BO89" s="16">
        <f t="shared" si="109"/>
        <v>98397</v>
      </c>
      <c r="BP89" s="205">
        <f t="shared" si="110"/>
        <v>10824</v>
      </c>
      <c r="BQ89" s="206">
        <f t="shared" si="111"/>
        <v>109221</v>
      </c>
      <c r="BR89" s="55">
        <f t="shared" si="112"/>
        <v>1.0030275229357799</v>
      </c>
      <c r="BS89" s="64">
        <f t="shared" si="113"/>
        <v>488</v>
      </c>
      <c r="BT89" s="53">
        <f t="shared" si="114"/>
        <v>3.2500000000000001E-2</v>
      </c>
      <c r="BU89" s="65">
        <f t="shared" si="115"/>
        <v>3097</v>
      </c>
      <c r="BV89" s="206">
        <f t="shared" si="116"/>
        <v>98397</v>
      </c>
      <c r="BW89" s="207">
        <f t="shared" si="117"/>
        <v>49.8</v>
      </c>
      <c r="BX89" s="199"/>
      <c r="BY89" s="206">
        <f t="shared" si="118"/>
        <v>109221</v>
      </c>
      <c r="BZ89" s="208" t="s">
        <v>687</v>
      </c>
      <c r="CA89" s="199"/>
      <c r="CB89" s="199"/>
      <c r="CC89" s="200" t="str">
        <f t="shared" si="119"/>
        <v/>
      </c>
      <c r="CD89" s="197"/>
      <c r="CE89" s="197"/>
      <c r="CF89" s="10" t="str">
        <f>IFERROR(INDEX('[4]Lookup_Rem Ranges'!$D:$D,MATCH($CC:$CC,'[4]Lookup_Rem Ranges'!$C:$C,0)),"")</f>
        <v/>
      </c>
      <c r="CG89" s="307"/>
      <c r="CH89" s="307"/>
      <c r="CI89" s="210"/>
      <c r="CJ89" s="122" t="s">
        <v>701</v>
      </c>
      <c r="CK89" s="206">
        <f t="shared" si="120"/>
        <v>0</v>
      </c>
      <c r="CL89" s="206">
        <f t="shared" si="121"/>
        <v>0</v>
      </c>
      <c r="CM89" s="123"/>
      <c r="CN89" s="124">
        <f t="shared" si="122"/>
        <v>0</v>
      </c>
      <c r="CO89" s="124" t="s">
        <v>1376</v>
      </c>
      <c r="CP89" s="125">
        <f t="shared" si="123"/>
        <v>3.2500000000000001E-2</v>
      </c>
      <c r="CQ89" s="126">
        <f t="shared" si="124"/>
        <v>3097</v>
      </c>
      <c r="CR89" s="127">
        <f t="shared" si="125"/>
        <v>0</v>
      </c>
      <c r="CS89" s="128">
        <f t="shared" si="126"/>
        <v>0</v>
      </c>
      <c r="CT89" s="127">
        <f t="shared" si="127"/>
        <v>0</v>
      </c>
      <c r="CU89" s="128">
        <f t="shared" si="128"/>
        <v>0</v>
      </c>
      <c r="CV89" s="127">
        <f t="shared" si="129"/>
        <v>0</v>
      </c>
      <c r="CW89" s="128">
        <f t="shared" si="130"/>
        <v>0</v>
      </c>
      <c r="CX89" s="127">
        <f t="shared" si="131"/>
        <v>0</v>
      </c>
      <c r="CY89" s="128">
        <f t="shared" si="132"/>
        <v>0</v>
      </c>
      <c r="CZ89" s="127">
        <f>$CR:$CR+$CT:CT+$CV:$CV+$CX:$CX</f>
        <v>0</v>
      </c>
      <c r="DA89" s="127">
        <f t="shared" si="133"/>
        <v>0</v>
      </c>
      <c r="DB89" s="127"/>
      <c r="DC89" s="127">
        <f t="shared" si="134"/>
        <v>3.2500000000000001E-2</v>
      </c>
      <c r="DD89" s="128">
        <f t="shared" si="135"/>
        <v>3097</v>
      </c>
      <c r="DE89" s="129">
        <f t="shared" si="136"/>
        <v>0</v>
      </c>
      <c r="DF89" s="128">
        <f t="shared" si="137"/>
        <v>0</v>
      </c>
      <c r="DG89" s="129">
        <f t="shared" si="138"/>
        <v>0</v>
      </c>
      <c r="DH89" s="128">
        <f t="shared" si="139"/>
        <v>0</v>
      </c>
      <c r="DI89" s="127">
        <f t="shared" si="140"/>
        <v>3.2500000000000001E-2</v>
      </c>
      <c r="DJ89" s="128">
        <f t="shared" si="141"/>
        <v>3097</v>
      </c>
      <c r="DK89" s="127">
        <f t="shared" si="142"/>
        <v>0</v>
      </c>
      <c r="DL89" s="128">
        <f t="shared" si="143"/>
        <v>0</v>
      </c>
      <c r="DM89" s="130"/>
      <c r="DN89" s="131"/>
      <c r="DO89" s="131"/>
      <c r="DP89" s="131"/>
      <c r="DQ89" s="131"/>
      <c r="DR89" s="131"/>
      <c r="DS89" s="131"/>
      <c r="DT89" s="131"/>
      <c r="DU89" s="131"/>
      <c r="DV89" s="131"/>
      <c r="DW89" s="131" t="s">
        <v>1380</v>
      </c>
    </row>
    <row r="90" spans="1:127" ht="33.75">
      <c r="A90" s="134"/>
      <c r="B90" s="121" t="s">
        <v>490</v>
      </c>
      <c r="C90" s="121" t="s">
        <v>972</v>
      </c>
      <c r="D90" s="121">
        <v>18323</v>
      </c>
      <c r="E90" s="192" t="s">
        <v>973</v>
      </c>
      <c r="F90" s="192" t="s">
        <v>974</v>
      </c>
      <c r="G90" s="192" t="s">
        <v>537</v>
      </c>
      <c r="H90" s="193" t="s">
        <v>975</v>
      </c>
      <c r="I90" s="192" t="s">
        <v>976</v>
      </c>
      <c r="J90" s="192" t="s">
        <v>977</v>
      </c>
      <c r="K90" s="194">
        <v>43494</v>
      </c>
      <c r="L90" s="194">
        <v>45838</v>
      </c>
      <c r="M90" s="194">
        <v>44743</v>
      </c>
      <c r="N90" s="195" t="s">
        <v>539</v>
      </c>
      <c r="O90" s="195">
        <v>38</v>
      </c>
      <c r="P90" s="196">
        <f t="shared" si="97"/>
        <v>1</v>
      </c>
      <c r="Q90" s="192" t="s">
        <v>613</v>
      </c>
      <c r="R90" s="192"/>
      <c r="S90" s="192" t="s">
        <v>978</v>
      </c>
      <c r="T90" s="192" t="s">
        <v>979</v>
      </c>
      <c r="U90" s="192" t="s">
        <v>980</v>
      </c>
      <c r="V90" s="193" t="s">
        <v>543</v>
      </c>
      <c r="W90" s="193" t="s">
        <v>566</v>
      </c>
      <c r="X90" s="193" t="s">
        <v>823</v>
      </c>
      <c r="Y90" s="56" t="s">
        <v>824</v>
      </c>
      <c r="Z90" s="193" t="s">
        <v>981</v>
      </c>
      <c r="AA90" s="193" t="s">
        <v>932</v>
      </c>
      <c r="AB90" s="57" t="s">
        <v>1368</v>
      </c>
      <c r="AC90" s="193" t="s">
        <v>825</v>
      </c>
      <c r="AD90" s="56" t="s">
        <v>826</v>
      </c>
      <c r="AE90" s="10">
        <f>IFERROR(INDEX('[3]Lookup_Rem Ranges'!$D:$D,MATCH($AL:$AL,'[3]Lookup_Rem Ranges'!$C:$C,0)),0)</f>
        <v>83400</v>
      </c>
      <c r="AF90" s="10">
        <f>IFERROR(INDEX('[3]Lookup_Rem Ranges'!$E:$E,MATCH($AL:$AL,'[3]Lookup_Rem Ranges'!$C:$C,0)),0)</f>
        <v>98100</v>
      </c>
      <c r="AG90" s="10">
        <f>IFERROR(INDEX('[3]Lookup_Rem Ranges'!$F:$F,MATCH($AL:$AL,'[3]Lookup_Rem Ranges'!$C:$C,0)),)</f>
        <v>112800</v>
      </c>
      <c r="AH90" s="193" t="s">
        <v>622</v>
      </c>
      <c r="AI90" s="197"/>
      <c r="AJ90" s="198">
        <v>0</v>
      </c>
      <c r="AK90" s="199"/>
      <c r="AL90" s="200" t="str">
        <f t="shared" si="98"/>
        <v>CASS5</v>
      </c>
      <c r="AM90" s="200" t="s">
        <v>487</v>
      </c>
      <c r="AN90" s="197">
        <v>5</v>
      </c>
      <c r="AO90" s="199" t="s">
        <v>789</v>
      </c>
      <c r="AP90" s="5">
        <v>95400</v>
      </c>
      <c r="AQ90" s="10">
        <f t="shared" si="99"/>
        <v>95400</v>
      </c>
      <c r="AR90" s="10">
        <f t="shared" si="100"/>
        <v>95400</v>
      </c>
      <c r="AS90" s="53">
        <v>7.0707070707070704E-2</v>
      </c>
      <c r="AT90" s="53">
        <v>0</v>
      </c>
      <c r="AU90" s="201"/>
      <c r="AV90" s="10"/>
      <c r="AW90" s="54">
        <v>0</v>
      </c>
      <c r="AX90" s="10">
        <v>0</v>
      </c>
      <c r="AY90" s="10">
        <v>95400</v>
      </c>
      <c r="AZ90" s="55">
        <f t="shared" si="101"/>
        <v>0.97247706422018354</v>
      </c>
      <c r="BA90" s="37" t="s">
        <v>23</v>
      </c>
      <c r="BB90" s="38">
        <v>3</v>
      </c>
      <c r="BC90" s="53">
        <f t="shared" si="102"/>
        <v>0</v>
      </c>
      <c r="BD90" s="65">
        <f t="shared" si="144"/>
        <v>0</v>
      </c>
      <c r="BE90" s="44">
        <v>3.2500000000000001E-2</v>
      </c>
      <c r="BF90" s="179">
        <f t="shared" si="103"/>
        <v>3101</v>
      </c>
      <c r="BG90" s="402">
        <v>0</v>
      </c>
      <c r="BH90" s="403">
        <f t="shared" si="104"/>
        <v>0</v>
      </c>
      <c r="BI90" s="44">
        <v>0</v>
      </c>
      <c r="BJ90" s="179">
        <f t="shared" si="105"/>
        <v>0</v>
      </c>
      <c r="BK90" s="179">
        <f t="shared" si="106"/>
        <v>0</v>
      </c>
      <c r="BL90" s="202"/>
      <c r="BM90" s="203">
        <f t="shared" si="107"/>
        <v>3.2500000000000001E-2</v>
      </c>
      <c r="BN90" s="204">
        <f t="shared" si="108"/>
        <v>3101</v>
      </c>
      <c r="BO90" s="16">
        <f t="shared" si="109"/>
        <v>98501</v>
      </c>
      <c r="BP90" s="205">
        <f t="shared" si="110"/>
        <v>10835</v>
      </c>
      <c r="BQ90" s="206">
        <f t="shared" si="111"/>
        <v>109336</v>
      </c>
      <c r="BR90" s="55">
        <f t="shared" si="112"/>
        <v>1.0040876656472986</v>
      </c>
      <c r="BS90" s="64">
        <f t="shared" si="113"/>
        <v>489</v>
      </c>
      <c r="BT90" s="53">
        <f t="shared" si="114"/>
        <v>3.2500000000000001E-2</v>
      </c>
      <c r="BU90" s="65">
        <f t="shared" si="115"/>
        <v>3101</v>
      </c>
      <c r="BV90" s="206">
        <f t="shared" si="116"/>
        <v>98501</v>
      </c>
      <c r="BW90" s="207">
        <f t="shared" si="117"/>
        <v>49.85</v>
      </c>
      <c r="BX90" s="199"/>
      <c r="BY90" s="206">
        <f t="shared" si="118"/>
        <v>109336</v>
      </c>
      <c r="BZ90" s="208" t="s">
        <v>687</v>
      </c>
      <c r="CA90" s="199"/>
      <c r="CB90" s="199"/>
      <c r="CC90" s="200" t="str">
        <f t="shared" si="119"/>
        <v/>
      </c>
      <c r="CD90" s="197"/>
      <c r="CE90" s="197"/>
      <c r="CF90" s="10" t="str">
        <f>IFERROR(INDEX('[4]Lookup_Rem Ranges'!$D:$D,MATCH($CC:$CC,'[4]Lookup_Rem Ranges'!$C:$C,0)),"")</f>
        <v/>
      </c>
      <c r="CG90" s="307"/>
      <c r="CH90" s="307"/>
      <c r="CI90" s="210"/>
      <c r="CJ90" s="122" t="s">
        <v>701</v>
      </c>
      <c r="CK90" s="206">
        <f t="shared" si="120"/>
        <v>0</v>
      </c>
      <c r="CL90" s="206">
        <f t="shared" si="121"/>
        <v>0</v>
      </c>
      <c r="CM90" s="123"/>
      <c r="CN90" s="124">
        <f t="shared" si="122"/>
        <v>0</v>
      </c>
      <c r="CO90" s="124" t="s">
        <v>1376</v>
      </c>
      <c r="CP90" s="125">
        <f t="shared" si="123"/>
        <v>3.2500000000000001E-2</v>
      </c>
      <c r="CQ90" s="126">
        <f t="shared" si="124"/>
        <v>3101</v>
      </c>
      <c r="CR90" s="127">
        <f t="shared" si="125"/>
        <v>0</v>
      </c>
      <c r="CS90" s="128">
        <f t="shared" si="126"/>
        <v>0</v>
      </c>
      <c r="CT90" s="127">
        <f t="shared" si="127"/>
        <v>0</v>
      </c>
      <c r="CU90" s="128">
        <f t="shared" si="128"/>
        <v>0</v>
      </c>
      <c r="CV90" s="127">
        <f t="shared" si="129"/>
        <v>0</v>
      </c>
      <c r="CW90" s="128">
        <f t="shared" si="130"/>
        <v>0</v>
      </c>
      <c r="CX90" s="127">
        <f t="shared" si="131"/>
        <v>0</v>
      </c>
      <c r="CY90" s="128">
        <f t="shared" si="132"/>
        <v>0</v>
      </c>
      <c r="CZ90" s="127">
        <f>$CR:$CR+$CT:CT+$CV:$CV+$CX:$CX</f>
        <v>0</v>
      </c>
      <c r="DA90" s="127">
        <f t="shared" si="133"/>
        <v>0</v>
      </c>
      <c r="DB90" s="127"/>
      <c r="DC90" s="127">
        <f t="shared" si="134"/>
        <v>3.2500000000000001E-2</v>
      </c>
      <c r="DD90" s="128">
        <f t="shared" si="135"/>
        <v>3101</v>
      </c>
      <c r="DE90" s="129">
        <f t="shared" si="136"/>
        <v>0</v>
      </c>
      <c r="DF90" s="128">
        <f t="shared" si="137"/>
        <v>0</v>
      </c>
      <c r="DG90" s="129">
        <f t="shared" si="138"/>
        <v>0</v>
      </c>
      <c r="DH90" s="128">
        <f t="shared" si="139"/>
        <v>0</v>
      </c>
      <c r="DI90" s="127">
        <f t="shared" si="140"/>
        <v>3.2500000000000001E-2</v>
      </c>
      <c r="DJ90" s="128">
        <f t="shared" si="141"/>
        <v>3101</v>
      </c>
      <c r="DK90" s="127">
        <f t="shared" si="142"/>
        <v>0</v>
      </c>
      <c r="DL90" s="128">
        <f t="shared" si="143"/>
        <v>0</v>
      </c>
      <c r="DM90" s="130"/>
      <c r="DN90" s="131"/>
      <c r="DO90" s="131"/>
      <c r="DP90" s="131"/>
      <c r="DQ90" s="131"/>
      <c r="DR90" s="131"/>
      <c r="DS90" s="131"/>
      <c r="DT90" s="131"/>
      <c r="DU90" s="131"/>
      <c r="DV90" s="131"/>
      <c r="DW90" s="131" t="s">
        <v>1381</v>
      </c>
    </row>
    <row r="91" spans="1:127" ht="33.75">
      <c r="A91" s="134"/>
      <c r="B91" s="121" t="s">
        <v>490</v>
      </c>
      <c r="C91" s="121" t="s">
        <v>1056</v>
      </c>
      <c r="D91" s="121">
        <v>20064</v>
      </c>
      <c r="E91" s="192" t="s">
        <v>803</v>
      </c>
      <c r="F91" s="192" t="s">
        <v>1057</v>
      </c>
      <c r="G91" s="192" t="s">
        <v>537</v>
      </c>
      <c r="H91" s="193" t="s">
        <v>975</v>
      </c>
      <c r="I91" s="192" t="s">
        <v>1058</v>
      </c>
      <c r="J91" s="192" t="s">
        <v>1055</v>
      </c>
      <c r="K91" s="194">
        <v>44320</v>
      </c>
      <c r="L91" s="194">
        <v>45838</v>
      </c>
      <c r="M91" s="194">
        <v>44986</v>
      </c>
      <c r="N91" s="195" t="s">
        <v>540</v>
      </c>
      <c r="O91" s="195">
        <v>22</v>
      </c>
      <c r="P91" s="196">
        <f t="shared" si="97"/>
        <v>0.57894736842105265</v>
      </c>
      <c r="Q91" s="192" t="s">
        <v>613</v>
      </c>
      <c r="R91" s="192">
        <v>14689</v>
      </c>
      <c r="S91" s="192" t="s">
        <v>1059</v>
      </c>
      <c r="T91" s="192" t="s">
        <v>1060</v>
      </c>
      <c r="U91" s="192" t="s">
        <v>980</v>
      </c>
      <c r="V91" s="193" t="s">
        <v>543</v>
      </c>
      <c r="W91" s="193" t="s">
        <v>566</v>
      </c>
      <c r="X91" s="193" t="s">
        <v>823</v>
      </c>
      <c r="Y91" s="56" t="s">
        <v>824</v>
      </c>
      <c r="Z91" s="193" t="s">
        <v>981</v>
      </c>
      <c r="AA91" s="193" t="s">
        <v>932</v>
      </c>
      <c r="AB91" s="57" t="s">
        <v>1368</v>
      </c>
      <c r="AC91" s="193" t="s">
        <v>825</v>
      </c>
      <c r="AD91" s="56" t="s">
        <v>826</v>
      </c>
      <c r="AE91" s="10">
        <f>IFERROR(INDEX('[3]Lookup_Rem Ranges'!$D:$D,MATCH($AL:$AL,'[3]Lookup_Rem Ranges'!$C:$C,0)),0)</f>
        <v>83400</v>
      </c>
      <c r="AF91" s="10">
        <f>IFERROR(INDEX('[3]Lookup_Rem Ranges'!$E:$E,MATCH($AL:$AL,'[3]Lookup_Rem Ranges'!$C:$C,0)),0)</f>
        <v>98100</v>
      </c>
      <c r="AG91" s="10">
        <f>IFERROR(INDEX('[3]Lookup_Rem Ranges'!$F:$F,MATCH($AL:$AL,'[3]Lookup_Rem Ranges'!$C:$C,0)),)</f>
        <v>112800</v>
      </c>
      <c r="AH91" s="193" t="s">
        <v>622</v>
      </c>
      <c r="AI91" s="197"/>
      <c r="AJ91" s="198">
        <v>0</v>
      </c>
      <c r="AK91" s="199"/>
      <c r="AL91" s="200" t="str">
        <f t="shared" si="98"/>
        <v>CASS5</v>
      </c>
      <c r="AM91" s="200" t="s">
        <v>487</v>
      </c>
      <c r="AN91" s="197">
        <v>5</v>
      </c>
      <c r="AO91" s="199" t="s">
        <v>789</v>
      </c>
      <c r="AP91" s="5">
        <v>95100</v>
      </c>
      <c r="AQ91" s="10">
        <f t="shared" si="99"/>
        <v>55058</v>
      </c>
      <c r="AR91" s="10">
        <f t="shared" si="100"/>
        <v>95100</v>
      </c>
      <c r="AS91" s="53">
        <v>0.12081462362549941</v>
      </c>
      <c r="AT91" s="53">
        <v>0</v>
      </c>
      <c r="AU91" s="201"/>
      <c r="AV91" s="10"/>
      <c r="AW91" s="54">
        <v>0</v>
      </c>
      <c r="AX91" s="10">
        <v>0</v>
      </c>
      <c r="AY91" s="10">
        <v>95100</v>
      </c>
      <c r="AZ91" s="55">
        <f t="shared" si="101"/>
        <v>0.96941896024464835</v>
      </c>
      <c r="BA91" s="37" t="s">
        <v>23</v>
      </c>
      <c r="BB91" s="38">
        <v>3</v>
      </c>
      <c r="BC91" s="53">
        <f t="shared" si="102"/>
        <v>0</v>
      </c>
      <c r="BD91" s="65">
        <f t="shared" si="144"/>
        <v>0</v>
      </c>
      <c r="BE91" s="44">
        <v>3.2500000000000001E-2</v>
      </c>
      <c r="BF91" s="179">
        <f t="shared" si="103"/>
        <v>3091</v>
      </c>
      <c r="BG91" s="402">
        <v>0</v>
      </c>
      <c r="BH91" s="403">
        <f t="shared" si="104"/>
        <v>0</v>
      </c>
      <c r="BI91" s="44">
        <v>0</v>
      </c>
      <c r="BJ91" s="179">
        <f t="shared" si="105"/>
        <v>0</v>
      </c>
      <c r="BK91" s="179">
        <f t="shared" si="106"/>
        <v>0</v>
      </c>
      <c r="BL91" s="202"/>
      <c r="BM91" s="203">
        <f t="shared" si="107"/>
        <v>3.2500000000000001E-2</v>
      </c>
      <c r="BN91" s="204">
        <f t="shared" si="108"/>
        <v>3091</v>
      </c>
      <c r="BO91" s="16">
        <f t="shared" si="109"/>
        <v>98191</v>
      </c>
      <c r="BP91" s="205">
        <f t="shared" si="110"/>
        <v>10801</v>
      </c>
      <c r="BQ91" s="206">
        <f t="shared" si="111"/>
        <v>108992</v>
      </c>
      <c r="BR91" s="55">
        <f t="shared" si="112"/>
        <v>1.0009276248725789</v>
      </c>
      <c r="BS91" s="64">
        <f t="shared" si="113"/>
        <v>281.94736842105266</v>
      </c>
      <c r="BT91" s="53">
        <f t="shared" si="114"/>
        <v>3.2500000000000001E-2</v>
      </c>
      <c r="BU91" s="65">
        <f t="shared" si="115"/>
        <v>3091</v>
      </c>
      <c r="BV91" s="206">
        <f t="shared" si="116"/>
        <v>56847.42105263158</v>
      </c>
      <c r="BW91" s="207">
        <f t="shared" si="117"/>
        <v>49.69</v>
      </c>
      <c r="BX91" s="199"/>
      <c r="BY91" s="206">
        <f t="shared" si="118"/>
        <v>108992</v>
      </c>
      <c r="BZ91" s="208" t="s">
        <v>687</v>
      </c>
      <c r="CA91" s="199"/>
      <c r="CB91" s="199"/>
      <c r="CC91" s="200" t="str">
        <f t="shared" si="119"/>
        <v/>
      </c>
      <c r="CD91" s="197"/>
      <c r="CE91" s="197"/>
      <c r="CF91" s="10" t="str">
        <f>IFERROR(INDEX('[4]Lookup_Rem Ranges'!$D:$D,MATCH($CC:$CC,'[4]Lookup_Rem Ranges'!$C:$C,0)),"")</f>
        <v/>
      </c>
      <c r="CG91" s="307"/>
      <c r="CH91" s="307"/>
      <c r="CI91" s="210"/>
      <c r="CJ91" s="122" t="s">
        <v>701</v>
      </c>
      <c r="CK91" s="206">
        <f t="shared" si="120"/>
        <v>0</v>
      </c>
      <c r="CL91" s="206">
        <f t="shared" si="121"/>
        <v>0</v>
      </c>
      <c r="CM91" s="123"/>
      <c r="CN91" s="124">
        <f t="shared" si="122"/>
        <v>0</v>
      </c>
      <c r="CO91" s="124" t="s">
        <v>1376</v>
      </c>
      <c r="CP91" s="125">
        <f t="shared" si="123"/>
        <v>3.2500000000000001E-2</v>
      </c>
      <c r="CQ91" s="126">
        <f t="shared" si="124"/>
        <v>3091</v>
      </c>
      <c r="CR91" s="127">
        <f t="shared" si="125"/>
        <v>0</v>
      </c>
      <c r="CS91" s="128">
        <f t="shared" si="126"/>
        <v>0</v>
      </c>
      <c r="CT91" s="127">
        <f t="shared" si="127"/>
        <v>0</v>
      </c>
      <c r="CU91" s="128">
        <f t="shared" si="128"/>
        <v>0</v>
      </c>
      <c r="CV91" s="127">
        <f t="shared" si="129"/>
        <v>0</v>
      </c>
      <c r="CW91" s="128">
        <f t="shared" si="130"/>
        <v>0</v>
      </c>
      <c r="CX91" s="127">
        <f t="shared" si="131"/>
        <v>0</v>
      </c>
      <c r="CY91" s="128">
        <f t="shared" si="132"/>
        <v>0</v>
      </c>
      <c r="CZ91" s="127">
        <f>$CR:$CR+$CT:CT+$CV:$CV+$CX:$CX</f>
        <v>0</v>
      </c>
      <c r="DA91" s="127">
        <f t="shared" si="133"/>
        <v>0</v>
      </c>
      <c r="DB91" s="127"/>
      <c r="DC91" s="127">
        <f t="shared" si="134"/>
        <v>3.2500000000000001E-2</v>
      </c>
      <c r="DD91" s="128">
        <f t="shared" si="135"/>
        <v>3091</v>
      </c>
      <c r="DE91" s="129">
        <f t="shared" si="136"/>
        <v>0</v>
      </c>
      <c r="DF91" s="128">
        <f t="shared" si="137"/>
        <v>0</v>
      </c>
      <c r="DG91" s="129">
        <f t="shared" si="138"/>
        <v>0</v>
      </c>
      <c r="DH91" s="128">
        <f t="shared" si="139"/>
        <v>0</v>
      </c>
      <c r="DI91" s="127">
        <f t="shared" si="140"/>
        <v>3.2500000000000001E-2</v>
      </c>
      <c r="DJ91" s="128">
        <f t="shared" si="141"/>
        <v>3091</v>
      </c>
      <c r="DK91" s="127">
        <f t="shared" si="142"/>
        <v>0</v>
      </c>
      <c r="DL91" s="128">
        <f t="shared" si="143"/>
        <v>0</v>
      </c>
      <c r="DM91" s="130"/>
      <c r="DN91" s="131"/>
      <c r="DO91" s="131"/>
      <c r="DP91" s="131"/>
      <c r="DQ91" s="131"/>
      <c r="DR91" s="131"/>
      <c r="DS91" s="131"/>
      <c r="DT91" s="131"/>
      <c r="DU91" s="131"/>
      <c r="DV91" s="131"/>
      <c r="DW91" s="131" t="s">
        <v>1381</v>
      </c>
    </row>
    <row r="92" spans="1:127" ht="33.75">
      <c r="A92" s="134"/>
      <c r="B92" s="121" t="s">
        <v>490</v>
      </c>
      <c r="C92" s="121" t="s">
        <v>1218</v>
      </c>
      <c r="D92" s="121">
        <v>10642</v>
      </c>
      <c r="E92" s="192" t="s">
        <v>504</v>
      </c>
      <c r="F92" s="192" t="s">
        <v>1219</v>
      </c>
      <c r="G92" s="192" t="s">
        <v>538</v>
      </c>
      <c r="H92" s="193" t="s">
        <v>1214</v>
      </c>
      <c r="I92" s="192" t="s">
        <v>1220</v>
      </c>
      <c r="J92" s="192" t="s">
        <v>1221</v>
      </c>
      <c r="K92" s="194">
        <v>40253</v>
      </c>
      <c r="L92" s="194"/>
      <c r="M92" s="194">
        <v>44411</v>
      </c>
      <c r="N92" s="195" t="s">
        <v>539</v>
      </c>
      <c r="O92" s="195">
        <v>38</v>
      </c>
      <c r="P92" s="196">
        <f t="shared" si="97"/>
        <v>1</v>
      </c>
      <c r="Q92" s="192" t="s">
        <v>795</v>
      </c>
      <c r="R92" s="192">
        <v>19890</v>
      </c>
      <c r="S92" s="192" t="s">
        <v>888</v>
      </c>
      <c r="T92" s="192" t="s">
        <v>889</v>
      </c>
      <c r="U92" s="192" t="s">
        <v>890</v>
      </c>
      <c r="V92" s="193" t="s">
        <v>543</v>
      </c>
      <c r="W92" s="193" t="s">
        <v>2</v>
      </c>
      <c r="X92" s="193" t="s">
        <v>823</v>
      </c>
      <c r="Y92" s="56" t="s">
        <v>824</v>
      </c>
      <c r="Z92" s="193" t="s">
        <v>891</v>
      </c>
      <c r="AA92" s="193" t="s">
        <v>916</v>
      </c>
      <c r="AB92" s="57" t="s">
        <v>1369</v>
      </c>
      <c r="AC92" s="193" t="s">
        <v>825</v>
      </c>
      <c r="AD92" s="56" t="s">
        <v>826</v>
      </c>
      <c r="AE92" s="10">
        <f>IFERROR(INDEX('[3]Lookup_Rem Ranges'!$D:$D,MATCH($AL:$AL,'[3]Lookup_Rem Ranges'!$C:$C,0)),0)</f>
        <v>83400</v>
      </c>
      <c r="AF92" s="10">
        <f>IFERROR(INDEX('[3]Lookup_Rem Ranges'!$E:$E,MATCH($AL:$AL,'[3]Lookup_Rem Ranges'!$C:$C,0)),0)</f>
        <v>98100</v>
      </c>
      <c r="AG92" s="10">
        <f>IFERROR(INDEX('[3]Lookup_Rem Ranges'!$F:$F,MATCH($AL:$AL,'[3]Lookup_Rem Ranges'!$C:$C,0)),)</f>
        <v>112800</v>
      </c>
      <c r="AH92" s="193" t="s">
        <v>622</v>
      </c>
      <c r="AI92" s="197"/>
      <c r="AJ92" s="198">
        <v>0</v>
      </c>
      <c r="AK92" s="199"/>
      <c r="AL92" s="200" t="str">
        <f t="shared" si="98"/>
        <v>CASS5</v>
      </c>
      <c r="AM92" s="200" t="s">
        <v>487</v>
      </c>
      <c r="AN92" s="197">
        <v>5</v>
      </c>
      <c r="AO92" s="199" t="s">
        <v>827</v>
      </c>
      <c r="AP92" s="5">
        <v>104500</v>
      </c>
      <c r="AQ92" s="10">
        <f t="shared" si="99"/>
        <v>104500</v>
      </c>
      <c r="AR92" s="10">
        <f t="shared" si="100"/>
        <v>0</v>
      </c>
      <c r="AS92" s="53">
        <v>4.4999999999999998E-2</v>
      </c>
      <c r="AT92" s="53">
        <v>0</v>
      </c>
      <c r="AU92" s="201"/>
      <c r="AV92" s="10"/>
      <c r="AW92" s="54">
        <v>0</v>
      </c>
      <c r="AX92" s="10">
        <v>0</v>
      </c>
      <c r="AY92" s="10">
        <v>104500</v>
      </c>
      <c r="AZ92" s="55">
        <f t="shared" si="101"/>
        <v>1.0652395514780837</v>
      </c>
      <c r="BA92" s="37" t="s">
        <v>687</v>
      </c>
      <c r="BB92" s="38">
        <v>3</v>
      </c>
      <c r="BC92" s="53">
        <f t="shared" si="102"/>
        <v>0</v>
      </c>
      <c r="BD92" s="65">
        <f t="shared" si="144"/>
        <v>0</v>
      </c>
      <c r="BE92" s="44">
        <v>0</v>
      </c>
      <c r="BF92" s="179">
        <f t="shared" si="103"/>
        <v>0</v>
      </c>
      <c r="BG92" s="402">
        <v>0</v>
      </c>
      <c r="BH92" s="403">
        <f t="shared" si="104"/>
        <v>0</v>
      </c>
      <c r="BI92" s="44">
        <v>0</v>
      </c>
      <c r="BJ92" s="179">
        <f t="shared" si="105"/>
        <v>0</v>
      </c>
      <c r="BK92" s="179">
        <f t="shared" si="106"/>
        <v>0</v>
      </c>
      <c r="BL92" s="202"/>
      <c r="BM92" s="203">
        <f t="shared" si="107"/>
        <v>0</v>
      </c>
      <c r="BN92" s="204">
        <f t="shared" si="108"/>
        <v>0</v>
      </c>
      <c r="BO92" s="16">
        <f t="shared" si="109"/>
        <v>104500</v>
      </c>
      <c r="BP92" s="205">
        <f t="shared" si="110"/>
        <v>11495</v>
      </c>
      <c r="BQ92" s="206">
        <f t="shared" si="111"/>
        <v>115995</v>
      </c>
      <c r="BR92" s="55">
        <f t="shared" si="112"/>
        <v>1.0652395514780837</v>
      </c>
      <c r="BS92" s="64">
        <f t="shared" si="113"/>
        <v>0</v>
      </c>
      <c r="BT92" s="53">
        <f t="shared" si="114"/>
        <v>0</v>
      </c>
      <c r="BU92" s="65">
        <f t="shared" si="115"/>
        <v>0</v>
      </c>
      <c r="BV92" s="206">
        <f t="shared" si="116"/>
        <v>104500</v>
      </c>
      <c r="BW92" s="207">
        <f t="shared" si="117"/>
        <v>52.88</v>
      </c>
      <c r="BX92" s="199"/>
      <c r="BY92" s="206">
        <f t="shared" si="118"/>
        <v>115995</v>
      </c>
      <c r="BZ92" s="208" t="s">
        <v>687</v>
      </c>
      <c r="CA92" s="199"/>
      <c r="CB92" s="199"/>
      <c r="CC92" s="200" t="str">
        <f t="shared" si="119"/>
        <v/>
      </c>
      <c r="CD92" s="197"/>
      <c r="CE92" s="197"/>
      <c r="CF92" s="10" t="str">
        <f>IFERROR(INDEX('[4]Lookup_Rem Ranges'!$D:$D,MATCH($CC:$CC,'[4]Lookup_Rem Ranges'!$C:$C,0)),"")</f>
        <v/>
      </c>
      <c r="CG92" s="307"/>
      <c r="CH92" s="307"/>
      <c r="CI92" s="210"/>
      <c r="CJ92" s="122" t="s">
        <v>701</v>
      </c>
      <c r="CK92" s="206">
        <f t="shared" si="120"/>
        <v>0</v>
      </c>
      <c r="CL92" s="206">
        <f t="shared" si="121"/>
        <v>0</v>
      </c>
      <c r="CM92" s="123"/>
      <c r="CN92" s="124">
        <f t="shared" si="122"/>
        <v>0</v>
      </c>
      <c r="CO92" s="124" t="s">
        <v>1376</v>
      </c>
      <c r="CP92" s="125">
        <f t="shared" si="123"/>
        <v>0</v>
      </c>
      <c r="CQ92" s="126">
        <f t="shared" si="124"/>
        <v>0</v>
      </c>
      <c r="CR92" s="127">
        <f t="shared" si="125"/>
        <v>0</v>
      </c>
      <c r="CS92" s="128">
        <f t="shared" si="126"/>
        <v>0</v>
      </c>
      <c r="CT92" s="127">
        <f t="shared" si="127"/>
        <v>0</v>
      </c>
      <c r="CU92" s="128">
        <f t="shared" si="128"/>
        <v>0</v>
      </c>
      <c r="CV92" s="127">
        <f t="shared" si="129"/>
        <v>0</v>
      </c>
      <c r="CW92" s="128">
        <f t="shared" si="130"/>
        <v>0</v>
      </c>
      <c r="CX92" s="127">
        <f t="shared" si="131"/>
        <v>0</v>
      </c>
      <c r="CY92" s="128">
        <f t="shared" si="132"/>
        <v>0</v>
      </c>
      <c r="CZ92" s="127">
        <f>$CR:$CR+$CT:CT+$CV:$CV+$CX:$CX</f>
        <v>0</v>
      </c>
      <c r="DA92" s="127">
        <f t="shared" si="133"/>
        <v>0</v>
      </c>
      <c r="DB92" s="127"/>
      <c r="DC92" s="127">
        <f t="shared" si="134"/>
        <v>0</v>
      </c>
      <c r="DD92" s="128">
        <f t="shared" si="135"/>
        <v>0</v>
      </c>
      <c r="DE92" s="129">
        <f t="shared" si="136"/>
        <v>0</v>
      </c>
      <c r="DF92" s="128">
        <f t="shared" si="137"/>
        <v>0</v>
      </c>
      <c r="DG92" s="129">
        <f t="shared" si="138"/>
        <v>0</v>
      </c>
      <c r="DH92" s="128">
        <f t="shared" si="139"/>
        <v>0</v>
      </c>
      <c r="DI92" s="127">
        <f t="shared" si="140"/>
        <v>0</v>
      </c>
      <c r="DJ92" s="128">
        <f t="shared" si="141"/>
        <v>0</v>
      </c>
      <c r="DK92" s="127">
        <f t="shared" si="142"/>
        <v>0</v>
      </c>
      <c r="DL92" s="128">
        <f t="shared" si="143"/>
        <v>0</v>
      </c>
      <c r="DM92" s="130"/>
      <c r="DN92" s="131"/>
      <c r="DO92" s="131"/>
      <c r="DP92" s="131"/>
      <c r="DQ92" s="131"/>
      <c r="DR92" s="131"/>
      <c r="DS92" s="131"/>
      <c r="DT92" s="131"/>
      <c r="DU92" s="131"/>
      <c r="DV92" s="131"/>
      <c r="DW92" s="131" t="s">
        <v>1381</v>
      </c>
    </row>
    <row r="93" spans="1:127" ht="33.75">
      <c r="A93" s="134"/>
      <c r="B93" s="121" t="s">
        <v>490</v>
      </c>
      <c r="C93" s="121" t="s">
        <v>1246</v>
      </c>
      <c r="D93" s="121">
        <v>8128</v>
      </c>
      <c r="E93" s="192" t="s">
        <v>502</v>
      </c>
      <c r="F93" s="192" t="s">
        <v>1247</v>
      </c>
      <c r="G93" s="192" t="s">
        <v>537</v>
      </c>
      <c r="H93" s="193" t="s">
        <v>1248</v>
      </c>
      <c r="I93" s="192" t="s">
        <v>1249</v>
      </c>
      <c r="J93" s="192" t="s">
        <v>1250</v>
      </c>
      <c r="K93" s="194">
        <v>39321</v>
      </c>
      <c r="L93" s="194"/>
      <c r="M93" s="194">
        <v>44986</v>
      </c>
      <c r="N93" s="195" t="s">
        <v>539</v>
      </c>
      <c r="O93" s="195">
        <v>38</v>
      </c>
      <c r="P93" s="196">
        <f t="shared" si="97"/>
        <v>1</v>
      </c>
      <c r="Q93" s="192" t="s">
        <v>615</v>
      </c>
      <c r="R93" s="192">
        <v>19890</v>
      </c>
      <c r="S93" s="192" t="s">
        <v>888</v>
      </c>
      <c r="T93" s="192" t="s">
        <v>889</v>
      </c>
      <c r="U93" s="192" t="s">
        <v>890</v>
      </c>
      <c r="V93" s="193" t="s">
        <v>543</v>
      </c>
      <c r="W93" s="193" t="s">
        <v>2</v>
      </c>
      <c r="X93" s="193" t="s">
        <v>823</v>
      </c>
      <c r="Y93" s="56" t="s">
        <v>824</v>
      </c>
      <c r="Z93" s="193" t="s">
        <v>891</v>
      </c>
      <c r="AA93" s="193" t="s">
        <v>916</v>
      </c>
      <c r="AB93" s="57" t="s">
        <v>1369</v>
      </c>
      <c r="AC93" s="193" t="s">
        <v>825</v>
      </c>
      <c r="AD93" s="56" t="s">
        <v>826</v>
      </c>
      <c r="AE93" s="10">
        <f>IFERROR(INDEX('[3]Lookup_Rem Ranges'!$D:$D,MATCH($AL:$AL,'[3]Lookup_Rem Ranges'!$C:$C,0)),0)</f>
        <v>83400</v>
      </c>
      <c r="AF93" s="10">
        <f>IFERROR(INDEX('[3]Lookup_Rem Ranges'!$E:$E,MATCH($AL:$AL,'[3]Lookup_Rem Ranges'!$C:$C,0)),0)</f>
        <v>98100</v>
      </c>
      <c r="AG93" s="10">
        <f>IFERROR(INDEX('[3]Lookup_Rem Ranges'!$F:$F,MATCH($AL:$AL,'[3]Lookup_Rem Ranges'!$C:$C,0)),)</f>
        <v>112800</v>
      </c>
      <c r="AH93" s="193" t="s">
        <v>622</v>
      </c>
      <c r="AI93" s="197"/>
      <c r="AJ93" s="198">
        <v>0</v>
      </c>
      <c r="AK93" s="199"/>
      <c r="AL93" s="200" t="str">
        <f t="shared" si="98"/>
        <v>CASS5</v>
      </c>
      <c r="AM93" s="200" t="s">
        <v>487</v>
      </c>
      <c r="AN93" s="197">
        <v>5</v>
      </c>
      <c r="AO93" s="199" t="s">
        <v>827</v>
      </c>
      <c r="AP93" s="5">
        <v>114500</v>
      </c>
      <c r="AQ93" s="10">
        <f t="shared" si="99"/>
        <v>114500</v>
      </c>
      <c r="AR93" s="10">
        <f t="shared" si="100"/>
        <v>0</v>
      </c>
      <c r="AS93" s="53">
        <v>4.5662100456621002E-2</v>
      </c>
      <c r="AT93" s="53">
        <v>0</v>
      </c>
      <c r="AU93" s="201"/>
      <c r="AV93" s="10"/>
      <c r="AW93" s="54">
        <v>0</v>
      </c>
      <c r="AX93" s="10">
        <v>0</v>
      </c>
      <c r="AY93" s="10">
        <v>114500</v>
      </c>
      <c r="AZ93" s="55">
        <f t="shared" si="101"/>
        <v>1.1671763506625892</v>
      </c>
      <c r="BA93" s="37" t="s">
        <v>687</v>
      </c>
      <c r="BB93" s="38">
        <v>3</v>
      </c>
      <c r="BC93" s="53">
        <f t="shared" si="102"/>
        <v>0</v>
      </c>
      <c r="BD93" s="65">
        <f t="shared" si="144"/>
        <v>0</v>
      </c>
      <c r="BE93" s="44">
        <v>0</v>
      </c>
      <c r="BF93" s="179">
        <f t="shared" si="103"/>
        <v>0</v>
      </c>
      <c r="BG93" s="402">
        <v>0</v>
      </c>
      <c r="BH93" s="403">
        <f t="shared" si="104"/>
        <v>0</v>
      </c>
      <c r="BI93" s="44">
        <v>0</v>
      </c>
      <c r="BJ93" s="179">
        <f t="shared" si="105"/>
        <v>0</v>
      </c>
      <c r="BK93" s="179">
        <f t="shared" si="106"/>
        <v>0</v>
      </c>
      <c r="BL93" s="202"/>
      <c r="BM93" s="203">
        <f t="shared" si="107"/>
        <v>0</v>
      </c>
      <c r="BN93" s="204">
        <f t="shared" si="108"/>
        <v>0</v>
      </c>
      <c r="BO93" s="16">
        <f t="shared" si="109"/>
        <v>114500</v>
      </c>
      <c r="BP93" s="205">
        <f t="shared" si="110"/>
        <v>12595</v>
      </c>
      <c r="BQ93" s="206">
        <f t="shared" si="111"/>
        <v>127095</v>
      </c>
      <c r="BR93" s="55">
        <f t="shared" si="112"/>
        <v>1.1671763506625892</v>
      </c>
      <c r="BS93" s="64">
        <f t="shared" si="113"/>
        <v>0</v>
      </c>
      <c r="BT93" s="53">
        <f t="shared" si="114"/>
        <v>0</v>
      </c>
      <c r="BU93" s="65">
        <f t="shared" si="115"/>
        <v>0</v>
      </c>
      <c r="BV93" s="206">
        <f t="shared" si="116"/>
        <v>114500</v>
      </c>
      <c r="BW93" s="207">
        <f t="shared" si="117"/>
        <v>57.95</v>
      </c>
      <c r="BX93" s="199"/>
      <c r="BY93" s="206">
        <f t="shared" si="118"/>
        <v>127095</v>
      </c>
      <c r="BZ93" s="208" t="s">
        <v>687</v>
      </c>
      <c r="CA93" s="199"/>
      <c r="CB93" s="199"/>
      <c r="CC93" s="200" t="str">
        <f t="shared" si="119"/>
        <v/>
      </c>
      <c r="CD93" s="197"/>
      <c r="CE93" s="197"/>
      <c r="CF93" s="10" t="str">
        <f>IFERROR(INDEX('[4]Lookup_Rem Ranges'!$D:$D,MATCH($CC:$CC,'[4]Lookup_Rem Ranges'!$C:$C,0)),"")</f>
        <v/>
      </c>
      <c r="CG93" s="307"/>
      <c r="CH93" s="307"/>
      <c r="CI93" s="210"/>
      <c r="CJ93" s="122" t="s">
        <v>701</v>
      </c>
      <c r="CK93" s="206">
        <f t="shared" si="120"/>
        <v>0</v>
      </c>
      <c r="CL93" s="206">
        <f t="shared" si="121"/>
        <v>0</v>
      </c>
      <c r="CM93" s="123"/>
      <c r="CN93" s="124">
        <f t="shared" si="122"/>
        <v>0</v>
      </c>
      <c r="CO93" s="124" t="s">
        <v>1376</v>
      </c>
      <c r="CP93" s="125">
        <f t="shared" si="123"/>
        <v>0</v>
      </c>
      <c r="CQ93" s="126">
        <f t="shared" si="124"/>
        <v>0</v>
      </c>
      <c r="CR93" s="127">
        <f t="shared" si="125"/>
        <v>0</v>
      </c>
      <c r="CS93" s="128">
        <f t="shared" si="126"/>
        <v>0</v>
      </c>
      <c r="CT93" s="127">
        <f t="shared" si="127"/>
        <v>0</v>
      </c>
      <c r="CU93" s="128">
        <f t="shared" si="128"/>
        <v>0</v>
      </c>
      <c r="CV93" s="127">
        <f t="shared" si="129"/>
        <v>0</v>
      </c>
      <c r="CW93" s="128">
        <f t="shared" si="130"/>
        <v>0</v>
      </c>
      <c r="CX93" s="127">
        <f t="shared" si="131"/>
        <v>0</v>
      </c>
      <c r="CY93" s="128">
        <f t="shared" si="132"/>
        <v>0</v>
      </c>
      <c r="CZ93" s="127">
        <f>$CR:$CR+$CT:CT+$CV:$CV+$CX:$CX</f>
        <v>0</v>
      </c>
      <c r="DA93" s="127">
        <f t="shared" si="133"/>
        <v>0</v>
      </c>
      <c r="DB93" s="127"/>
      <c r="DC93" s="127">
        <f t="shared" si="134"/>
        <v>0</v>
      </c>
      <c r="DD93" s="128">
        <f t="shared" si="135"/>
        <v>0</v>
      </c>
      <c r="DE93" s="129">
        <f t="shared" si="136"/>
        <v>0</v>
      </c>
      <c r="DF93" s="128">
        <f t="shared" si="137"/>
        <v>0</v>
      </c>
      <c r="DG93" s="129">
        <f t="shared" si="138"/>
        <v>0</v>
      </c>
      <c r="DH93" s="128">
        <f t="shared" si="139"/>
        <v>0</v>
      </c>
      <c r="DI93" s="127">
        <f t="shared" si="140"/>
        <v>0</v>
      </c>
      <c r="DJ93" s="128">
        <f t="shared" si="141"/>
        <v>0</v>
      </c>
      <c r="DK93" s="127">
        <f t="shared" si="142"/>
        <v>0</v>
      </c>
      <c r="DL93" s="128">
        <f t="shared" si="143"/>
        <v>0</v>
      </c>
      <c r="DM93" s="130"/>
      <c r="DN93" s="131"/>
      <c r="DO93" s="131"/>
      <c r="DP93" s="131"/>
      <c r="DQ93" s="131"/>
      <c r="DR93" s="131"/>
      <c r="DS93" s="131"/>
      <c r="DT93" s="131"/>
      <c r="DU93" s="131"/>
      <c r="DV93" s="131"/>
      <c r="DW93" s="131" t="s">
        <v>1381</v>
      </c>
    </row>
    <row r="94" spans="1:127" ht="33.75">
      <c r="A94" s="134"/>
      <c r="B94" s="121" t="s">
        <v>490</v>
      </c>
      <c r="C94" s="121" t="s">
        <v>1222</v>
      </c>
      <c r="D94" s="121">
        <v>14296</v>
      </c>
      <c r="E94" s="192" t="s">
        <v>508</v>
      </c>
      <c r="F94" s="192" t="s">
        <v>1223</v>
      </c>
      <c r="G94" s="192" t="s">
        <v>537</v>
      </c>
      <c r="H94" s="193" t="s">
        <v>1214</v>
      </c>
      <c r="I94" s="192" t="s">
        <v>1224</v>
      </c>
      <c r="J94" s="192" t="s">
        <v>1221</v>
      </c>
      <c r="K94" s="194">
        <v>41625</v>
      </c>
      <c r="L94" s="194"/>
      <c r="M94" s="194">
        <v>44264</v>
      </c>
      <c r="N94" s="195" t="s">
        <v>539</v>
      </c>
      <c r="O94" s="195">
        <v>38</v>
      </c>
      <c r="P94" s="196">
        <f t="shared" si="97"/>
        <v>1</v>
      </c>
      <c r="Q94" s="192" t="s">
        <v>795</v>
      </c>
      <c r="R94" s="192">
        <v>19890</v>
      </c>
      <c r="S94" s="192" t="s">
        <v>888</v>
      </c>
      <c r="T94" s="192" t="s">
        <v>889</v>
      </c>
      <c r="U94" s="192" t="s">
        <v>890</v>
      </c>
      <c r="V94" s="193" t="s">
        <v>543</v>
      </c>
      <c r="W94" s="193" t="s">
        <v>2</v>
      </c>
      <c r="X94" s="193" t="s">
        <v>823</v>
      </c>
      <c r="Y94" s="56" t="s">
        <v>824</v>
      </c>
      <c r="Z94" s="193" t="s">
        <v>891</v>
      </c>
      <c r="AA94" s="193" t="s">
        <v>916</v>
      </c>
      <c r="AB94" s="57" t="s">
        <v>1369</v>
      </c>
      <c r="AC94" s="193" t="s">
        <v>825</v>
      </c>
      <c r="AD94" s="56" t="s">
        <v>826</v>
      </c>
      <c r="AE94" s="10">
        <f>IFERROR(INDEX('[3]Lookup_Rem Ranges'!$D:$D,MATCH($AL:$AL,'[3]Lookup_Rem Ranges'!$C:$C,0)),0)</f>
        <v>83400</v>
      </c>
      <c r="AF94" s="10">
        <f>IFERROR(INDEX('[3]Lookup_Rem Ranges'!$E:$E,MATCH($AL:$AL,'[3]Lookup_Rem Ranges'!$C:$C,0)),0)</f>
        <v>98100</v>
      </c>
      <c r="AG94" s="10">
        <f>IFERROR(INDEX('[3]Lookup_Rem Ranges'!$F:$F,MATCH($AL:$AL,'[3]Lookup_Rem Ranges'!$C:$C,0)),)</f>
        <v>112800</v>
      </c>
      <c r="AH94" s="193" t="s">
        <v>622</v>
      </c>
      <c r="AI94" s="197"/>
      <c r="AJ94" s="198">
        <v>0</v>
      </c>
      <c r="AK94" s="199"/>
      <c r="AL94" s="200" t="str">
        <f t="shared" si="98"/>
        <v>CASS5</v>
      </c>
      <c r="AM94" s="200" t="s">
        <v>487</v>
      </c>
      <c r="AN94" s="197">
        <v>5</v>
      </c>
      <c r="AO94" s="199" t="s">
        <v>827</v>
      </c>
      <c r="AP94" s="5">
        <v>113300</v>
      </c>
      <c r="AQ94" s="10">
        <f t="shared" si="99"/>
        <v>113300</v>
      </c>
      <c r="AR94" s="10">
        <f t="shared" si="100"/>
        <v>0</v>
      </c>
      <c r="AS94" s="53">
        <v>3.5648994515539302E-2</v>
      </c>
      <c r="AT94" s="53">
        <v>0</v>
      </c>
      <c r="AU94" s="201"/>
      <c r="AV94" s="10"/>
      <c r="AW94" s="54">
        <v>0</v>
      </c>
      <c r="AX94" s="10">
        <v>0</v>
      </c>
      <c r="AY94" s="10">
        <v>113300</v>
      </c>
      <c r="AZ94" s="55">
        <f t="shared" si="101"/>
        <v>1.1549439347604484</v>
      </c>
      <c r="BA94" s="37" t="s">
        <v>687</v>
      </c>
      <c r="BB94" s="38">
        <v>3</v>
      </c>
      <c r="BC94" s="53">
        <f t="shared" si="102"/>
        <v>0</v>
      </c>
      <c r="BD94" s="65">
        <f t="shared" si="144"/>
        <v>0</v>
      </c>
      <c r="BE94" s="44">
        <v>0</v>
      </c>
      <c r="BF94" s="179">
        <f t="shared" si="103"/>
        <v>0</v>
      </c>
      <c r="BG94" s="402">
        <v>0</v>
      </c>
      <c r="BH94" s="403">
        <f t="shared" si="104"/>
        <v>0</v>
      </c>
      <c r="BI94" s="44">
        <v>0</v>
      </c>
      <c r="BJ94" s="179">
        <f t="shared" si="105"/>
        <v>0</v>
      </c>
      <c r="BK94" s="179">
        <f t="shared" si="106"/>
        <v>0</v>
      </c>
      <c r="BL94" s="202"/>
      <c r="BM94" s="203">
        <f t="shared" si="107"/>
        <v>0</v>
      </c>
      <c r="BN94" s="204">
        <f t="shared" si="108"/>
        <v>0</v>
      </c>
      <c r="BO94" s="16">
        <f t="shared" si="109"/>
        <v>113300</v>
      </c>
      <c r="BP94" s="205">
        <f t="shared" si="110"/>
        <v>12463</v>
      </c>
      <c r="BQ94" s="206">
        <f t="shared" si="111"/>
        <v>125763</v>
      </c>
      <c r="BR94" s="55">
        <f t="shared" si="112"/>
        <v>1.1549439347604484</v>
      </c>
      <c r="BS94" s="64">
        <f t="shared" si="113"/>
        <v>0</v>
      </c>
      <c r="BT94" s="53">
        <f t="shared" si="114"/>
        <v>0</v>
      </c>
      <c r="BU94" s="65">
        <f t="shared" si="115"/>
        <v>0</v>
      </c>
      <c r="BV94" s="206">
        <f t="shared" si="116"/>
        <v>113300</v>
      </c>
      <c r="BW94" s="207">
        <f t="shared" si="117"/>
        <v>57.34</v>
      </c>
      <c r="BX94" s="199"/>
      <c r="BY94" s="206">
        <f t="shared" si="118"/>
        <v>125763</v>
      </c>
      <c r="BZ94" s="208" t="s">
        <v>687</v>
      </c>
      <c r="CA94" s="199"/>
      <c r="CB94" s="199"/>
      <c r="CC94" s="200" t="str">
        <f t="shared" si="119"/>
        <v/>
      </c>
      <c r="CD94" s="197"/>
      <c r="CE94" s="197"/>
      <c r="CF94" s="10" t="str">
        <f>IFERROR(INDEX('[4]Lookup_Rem Ranges'!$D:$D,MATCH($CC:$CC,'[4]Lookup_Rem Ranges'!$C:$C,0)),"")</f>
        <v/>
      </c>
      <c r="CG94" s="307"/>
      <c r="CH94" s="307"/>
      <c r="CI94" s="210"/>
      <c r="CJ94" s="122" t="s">
        <v>701</v>
      </c>
      <c r="CK94" s="206">
        <f t="shared" si="120"/>
        <v>0</v>
      </c>
      <c r="CL94" s="206">
        <f t="shared" si="121"/>
        <v>0</v>
      </c>
      <c r="CM94" s="123"/>
      <c r="CN94" s="124">
        <f t="shared" si="122"/>
        <v>0</v>
      </c>
      <c r="CO94" s="124" t="s">
        <v>1376</v>
      </c>
      <c r="CP94" s="125">
        <f t="shared" si="123"/>
        <v>0</v>
      </c>
      <c r="CQ94" s="126">
        <f t="shared" si="124"/>
        <v>0</v>
      </c>
      <c r="CR94" s="127">
        <f t="shared" si="125"/>
        <v>0</v>
      </c>
      <c r="CS94" s="128">
        <f t="shared" si="126"/>
        <v>0</v>
      </c>
      <c r="CT94" s="127">
        <f t="shared" si="127"/>
        <v>0</v>
      </c>
      <c r="CU94" s="128">
        <f t="shared" si="128"/>
        <v>0</v>
      </c>
      <c r="CV94" s="127">
        <f t="shared" si="129"/>
        <v>0</v>
      </c>
      <c r="CW94" s="128">
        <f t="shared" si="130"/>
        <v>0</v>
      </c>
      <c r="CX94" s="127">
        <f t="shared" si="131"/>
        <v>0</v>
      </c>
      <c r="CY94" s="128">
        <f t="shared" si="132"/>
        <v>0</v>
      </c>
      <c r="CZ94" s="127">
        <f>$CR:$CR+$CT:CT+$CV:$CV+$CX:$CX</f>
        <v>0</v>
      </c>
      <c r="DA94" s="127">
        <f t="shared" si="133"/>
        <v>0</v>
      </c>
      <c r="DB94" s="127"/>
      <c r="DC94" s="127">
        <f t="shared" si="134"/>
        <v>0</v>
      </c>
      <c r="DD94" s="128">
        <f t="shared" si="135"/>
        <v>0</v>
      </c>
      <c r="DE94" s="129">
        <f t="shared" si="136"/>
        <v>0</v>
      </c>
      <c r="DF94" s="128">
        <f t="shared" si="137"/>
        <v>0</v>
      </c>
      <c r="DG94" s="129">
        <f t="shared" si="138"/>
        <v>0</v>
      </c>
      <c r="DH94" s="128">
        <f t="shared" si="139"/>
        <v>0</v>
      </c>
      <c r="DI94" s="127">
        <f t="shared" si="140"/>
        <v>0</v>
      </c>
      <c r="DJ94" s="128">
        <f t="shared" si="141"/>
        <v>0</v>
      </c>
      <c r="DK94" s="127">
        <f t="shared" si="142"/>
        <v>0</v>
      </c>
      <c r="DL94" s="128">
        <f t="shared" si="143"/>
        <v>0</v>
      </c>
      <c r="DM94" s="130"/>
      <c r="DN94" s="131"/>
      <c r="DO94" s="131"/>
      <c r="DP94" s="131"/>
      <c r="DQ94" s="131"/>
      <c r="DR94" s="131"/>
      <c r="DS94" s="131"/>
      <c r="DT94" s="131"/>
      <c r="DU94" s="131"/>
      <c r="DV94" s="131"/>
      <c r="DW94" s="131" t="s">
        <v>1381</v>
      </c>
    </row>
    <row r="95" spans="1:127" ht="33.75">
      <c r="A95" s="134"/>
      <c r="B95" s="121" t="s">
        <v>490</v>
      </c>
      <c r="C95" s="121" t="s">
        <v>1225</v>
      </c>
      <c r="D95" s="121">
        <v>19885</v>
      </c>
      <c r="E95" s="192" t="s">
        <v>1226</v>
      </c>
      <c r="F95" s="192" t="s">
        <v>509</v>
      </c>
      <c r="G95" s="192" t="s">
        <v>538</v>
      </c>
      <c r="H95" s="193" t="s">
        <v>1214</v>
      </c>
      <c r="I95" s="192" t="s">
        <v>1227</v>
      </c>
      <c r="J95" s="192" t="s">
        <v>1228</v>
      </c>
      <c r="K95" s="194">
        <v>41613</v>
      </c>
      <c r="L95" s="194"/>
      <c r="M95" s="194">
        <v>45054</v>
      </c>
      <c r="N95" s="195" t="s">
        <v>539</v>
      </c>
      <c r="O95" s="195">
        <v>38</v>
      </c>
      <c r="P95" s="196">
        <f t="shared" si="97"/>
        <v>1</v>
      </c>
      <c r="Q95" s="192" t="s">
        <v>795</v>
      </c>
      <c r="R95" s="192">
        <v>19890</v>
      </c>
      <c r="S95" s="192" t="s">
        <v>888</v>
      </c>
      <c r="T95" s="192" t="s">
        <v>889</v>
      </c>
      <c r="U95" s="192" t="s">
        <v>890</v>
      </c>
      <c r="V95" s="193" t="s">
        <v>543</v>
      </c>
      <c r="W95" s="193" t="s">
        <v>2</v>
      </c>
      <c r="X95" s="193" t="s">
        <v>823</v>
      </c>
      <c r="Y95" s="56" t="s">
        <v>824</v>
      </c>
      <c r="Z95" s="193" t="s">
        <v>891</v>
      </c>
      <c r="AA95" s="193" t="s">
        <v>916</v>
      </c>
      <c r="AB95" s="57" t="s">
        <v>1369</v>
      </c>
      <c r="AC95" s="193" t="s">
        <v>825</v>
      </c>
      <c r="AD95" s="56" t="s">
        <v>826</v>
      </c>
      <c r="AE95" s="10">
        <f>IFERROR(INDEX('[3]Lookup_Rem Ranges'!$D:$D,MATCH($AL:$AL,'[3]Lookup_Rem Ranges'!$C:$C,0)),0)</f>
        <v>83400</v>
      </c>
      <c r="AF95" s="10">
        <f>IFERROR(INDEX('[3]Lookup_Rem Ranges'!$E:$E,MATCH($AL:$AL,'[3]Lookup_Rem Ranges'!$C:$C,0)),0)</f>
        <v>98100</v>
      </c>
      <c r="AG95" s="10">
        <f>IFERROR(INDEX('[3]Lookup_Rem Ranges'!$F:$F,MATCH($AL:$AL,'[3]Lookup_Rem Ranges'!$C:$C,0)),)</f>
        <v>112800</v>
      </c>
      <c r="AH95" s="193" t="s">
        <v>622</v>
      </c>
      <c r="AI95" s="197"/>
      <c r="AJ95" s="198">
        <v>0</v>
      </c>
      <c r="AK95" s="199"/>
      <c r="AL95" s="200" t="str">
        <f t="shared" si="98"/>
        <v>CASS5</v>
      </c>
      <c r="AM95" s="200" t="s">
        <v>487</v>
      </c>
      <c r="AN95" s="197">
        <v>5</v>
      </c>
      <c r="AO95" s="199" t="s">
        <v>882</v>
      </c>
      <c r="AP95" s="5">
        <v>107600</v>
      </c>
      <c r="AQ95" s="10">
        <f t="shared" si="99"/>
        <v>107600</v>
      </c>
      <c r="AR95" s="10">
        <f t="shared" si="100"/>
        <v>0</v>
      </c>
      <c r="AS95" s="53">
        <v>4.5675413022351799E-2</v>
      </c>
      <c r="AT95" s="53">
        <v>0</v>
      </c>
      <c r="AU95" s="201"/>
      <c r="AV95" s="10"/>
      <c r="AW95" s="54">
        <v>0</v>
      </c>
      <c r="AX95" s="10">
        <v>0</v>
      </c>
      <c r="AY95" s="10">
        <v>107600</v>
      </c>
      <c r="AZ95" s="55">
        <f t="shared" si="101"/>
        <v>1.0968399592252804</v>
      </c>
      <c r="BA95" s="37" t="s">
        <v>687</v>
      </c>
      <c r="BB95" s="38">
        <v>3</v>
      </c>
      <c r="BC95" s="53">
        <f t="shared" si="102"/>
        <v>0</v>
      </c>
      <c r="BD95" s="65">
        <f t="shared" si="144"/>
        <v>0</v>
      </c>
      <c r="BE95" s="44">
        <v>0</v>
      </c>
      <c r="BF95" s="179">
        <f t="shared" si="103"/>
        <v>0</v>
      </c>
      <c r="BG95" s="402">
        <v>0</v>
      </c>
      <c r="BH95" s="403">
        <f t="shared" si="104"/>
        <v>0</v>
      </c>
      <c r="BI95" s="44">
        <v>0</v>
      </c>
      <c r="BJ95" s="179">
        <f t="shared" si="105"/>
        <v>0</v>
      </c>
      <c r="BK95" s="179">
        <f t="shared" si="106"/>
        <v>0</v>
      </c>
      <c r="BL95" s="202"/>
      <c r="BM95" s="203">
        <f t="shared" si="107"/>
        <v>0</v>
      </c>
      <c r="BN95" s="204">
        <f t="shared" si="108"/>
        <v>0</v>
      </c>
      <c r="BO95" s="16">
        <f t="shared" si="109"/>
        <v>107600</v>
      </c>
      <c r="BP95" s="205">
        <f t="shared" si="110"/>
        <v>11836</v>
      </c>
      <c r="BQ95" s="206">
        <f t="shared" si="111"/>
        <v>119436</v>
      </c>
      <c r="BR95" s="55">
        <f t="shared" si="112"/>
        <v>1.0968399592252804</v>
      </c>
      <c r="BS95" s="64">
        <f t="shared" si="113"/>
        <v>0</v>
      </c>
      <c r="BT95" s="53">
        <f t="shared" si="114"/>
        <v>0</v>
      </c>
      <c r="BU95" s="65">
        <f t="shared" si="115"/>
        <v>0</v>
      </c>
      <c r="BV95" s="206">
        <f t="shared" si="116"/>
        <v>107600</v>
      </c>
      <c r="BW95" s="207">
        <f t="shared" si="117"/>
        <v>54.45</v>
      </c>
      <c r="BX95" s="199"/>
      <c r="BY95" s="206">
        <f t="shared" si="118"/>
        <v>119436</v>
      </c>
      <c r="BZ95" s="208" t="s">
        <v>687</v>
      </c>
      <c r="CA95" s="199"/>
      <c r="CB95" s="199"/>
      <c r="CC95" s="200" t="str">
        <f t="shared" si="119"/>
        <v/>
      </c>
      <c r="CD95" s="197"/>
      <c r="CE95" s="197"/>
      <c r="CF95" s="10" t="str">
        <f>IFERROR(INDEX('[4]Lookup_Rem Ranges'!$D:$D,MATCH($CC:$CC,'[4]Lookup_Rem Ranges'!$C:$C,0)),"")</f>
        <v/>
      </c>
      <c r="CG95" s="307"/>
      <c r="CH95" s="307"/>
      <c r="CI95" s="210"/>
      <c r="CJ95" s="122" t="s">
        <v>701</v>
      </c>
      <c r="CK95" s="206">
        <f t="shared" si="120"/>
        <v>0</v>
      </c>
      <c r="CL95" s="206">
        <f t="shared" si="121"/>
        <v>0</v>
      </c>
      <c r="CM95" s="123"/>
      <c r="CN95" s="124">
        <f t="shared" si="122"/>
        <v>0</v>
      </c>
      <c r="CO95" s="124" t="s">
        <v>1376</v>
      </c>
      <c r="CP95" s="125">
        <f t="shared" si="123"/>
        <v>0</v>
      </c>
      <c r="CQ95" s="126">
        <f t="shared" si="124"/>
        <v>0</v>
      </c>
      <c r="CR95" s="127">
        <f t="shared" si="125"/>
        <v>0</v>
      </c>
      <c r="CS95" s="128">
        <f t="shared" si="126"/>
        <v>0</v>
      </c>
      <c r="CT95" s="127">
        <f t="shared" si="127"/>
        <v>0</v>
      </c>
      <c r="CU95" s="128">
        <f t="shared" si="128"/>
        <v>0</v>
      </c>
      <c r="CV95" s="127">
        <f t="shared" si="129"/>
        <v>0</v>
      </c>
      <c r="CW95" s="128">
        <f t="shared" si="130"/>
        <v>0</v>
      </c>
      <c r="CX95" s="127">
        <f t="shared" si="131"/>
        <v>0</v>
      </c>
      <c r="CY95" s="128">
        <f t="shared" si="132"/>
        <v>0</v>
      </c>
      <c r="CZ95" s="127">
        <f>$CR:$CR+$CT:CT+$CV:$CV+$CX:$CX</f>
        <v>0</v>
      </c>
      <c r="DA95" s="127">
        <f t="shared" si="133"/>
        <v>0</v>
      </c>
      <c r="DB95" s="127"/>
      <c r="DC95" s="127">
        <f t="shared" si="134"/>
        <v>0</v>
      </c>
      <c r="DD95" s="128">
        <f t="shared" si="135"/>
        <v>0</v>
      </c>
      <c r="DE95" s="129">
        <f t="shared" si="136"/>
        <v>0</v>
      </c>
      <c r="DF95" s="128">
        <f t="shared" si="137"/>
        <v>0</v>
      </c>
      <c r="DG95" s="129">
        <f t="shared" si="138"/>
        <v>0</v>
      </c>
      <c r="DH95" s="128">
        <f t="shared" si="139"/>
        <v>0</v>
      </c>
      <c r="DI95" s="127">
        <f t="shared" si="140"/>
        <v>0</v>
      </c>
      <c r="DJ95" s="128">
        <f t="shared" si="141"/>
        <v>0</v>
      </c>
      <c r="DK95" s="127">
        <f t="shared" si="142"/>
        <v>0</v>
      </c>
      <c r="DL95" s="128">
        <f t="shared" si="143"/>
        <v>0</v>
      </c>
      <c r="DM95" s="130"/>
      <c r="DN95" s="131"/>
      <c r="DO95" s="131"/>
      <c r="DP95" s="131"/>
      <c r="DQ95" s="131"/>
      <c r="DR95" s="131"/>
      <c r="DS95" s="131"/>
      <c r="DT95" s="131"/>
      <c r="DU95" s="131"/>
      <c r="DV95" s="131"/>
      <c r="DW95" s="131" t="s">
        <v>1381</v>
      </c>
    </row>
    <row r="96" spans="1:127" ht="22.5">
      <c r="A96" s="134"/>
      <c r="B96" s="121" t="s">
        <v>490</v>
      </c>
      <c r="C96" s="121" t="s">
        <v>885</v>
      </c>
      <c r="D96" s="121">
        <v>20185</v>
      </c>
      <c r="E96" s="192" t="s">
        <v>529</v>
      </c>
      <c r="F96" s="192" t="s">
        <v>497</v>
      </c>
      <c r="G96" s="192" t="s">
        <v>537</v>
      </c>
      <c r="H96" s="193" t="s">
        <v>879</v>
      </c>
      <c r="I96" s="192" t="s">
        <v>886</v>
      </c>
      <c r="J96" s="192" t="s">
        <v>887</v>
      </c>
      <c r="K96" s="194">
        <v>44389</v>
      </c>
      <c r="L96" s="194"/>
      <c r="M96" s="194">
        <v>44986</v>
      </c>
      <c r="N96" s="195" t="s">
        <v>539</v>
      </c>
      <c r="O96" s="195">
        <v>38</v>
      </c>
      <c r="P96" s="196">
        <f t="shared" si="97"/>
        <v>1</v>
      </c>
      <c r="Q96" s="192" t="s">
        <v>613</v>
      </c>
      <c r="R96" s="192">
        <v>19890</v>
      </c>
      <c r="S96" s="192" t="s">
        <v>888</v>
      </c>
      <c r="T96" s="192" t="s">
        <v>889</v>
      </c>
      <c r="U96" s="192" t="s">
        <v>890</v>
      </c>
      <c r="V96" s="193" t="s">
        <v>543</v>
      </c>
      <c r="W96" s="193" t="s">
        <v>2</v>
      </c>
      <c r="X96" s="193" t="s">
        <v>823</v>
      </c>
      <c r="Y96" s="52" t="s">
        <v>824</v>
      </c>
      <c r="Z96" s="193" t="s">
        <v>891</v>
      </c>
      <c r="AA96" s="193" t="s">
        <v>916</v>
      </c>
      <c r="AB96" s="57" t="s">
        <v>1369</v>
      </c>
      <c r="AC96" s="193" t="s">
        <v>825</v>
      </c>
      <c r="AD96" s="52" t="s">
        <v>826</v>
      </c>
      <c r="AE96" s="10">
        <f>IFERROR(INDEX('[3]Lookup_Rem Ranges'!$D:$D,MATCH($AL:$AL,'[3]Lookup_Rem Ranges'!$C:$C,0)),0)</f>
        <v>83400</v>
      </c>
      <c r="AF96" s="10">
        <f>IFERROR(INDEX('[3]Lookup_Rem Ranges'!$E:$E,MATCH($AL:$AL,'[3]Lookup_Rem Ranges'!$C:$C,0)),0)</f>
        <v>98100</v>
      </c>
      <c r="AG96" s="10">
        <f>IFERROR(INDEX('[3]Lookup_Rem Ranges'!$F:$F,MATCH($AL:$AL,'[3]Lookup_Rem Ranges'!$C:$C,0)),)</f>
        <v>112800</v>
      </c>
      <c r="AH96" s="193" t="s">
        <v>622</v>
      </c>
      <c r="AI96" s="197"/>
      <c r="AJ96" s="198">
        <v>0</v>
      </c>
      <c r="AK96" s="199"/>
      <c r="AL96" s="200" t="str">
        <f t="shared" si="98"/>
        <v>CASS5</v>
      </c>
      <c r="AM96" s="200" t="s">
        <v>487</v>
      </c>
      <c r="AN96" s="197">
        <v>5</v>
      </c>
      <c r="AO96" s="199" t="s">
        <v>827</v>
      </c>
      <c r="AP96" s="5">
        <v>104500</v>
      </c>
      <c r="AQ96" s="10">
        <f t="shared" si="99"/>
        <v>104500</v>
      </c>
      <c r="AR96" s="10">
        <f t="shared" si="100"/>
        <v>0</v>
      </c>
      <c r="AS96" s="53">
        <v>4.4999999999999998E-2</v>
      </c>
      <c r="AT96" s="53">
        <v>0</v>
      </c>
      <c r="AU96" s="201"/>
      <c r="AV96" s="10"/>
      <c r="AW96" s="54">
        <v>0</v>
      </c>
      <c r="AX96" s="10">
        <v>0</v>
      </c>
      <c r="AY96" s="10">
        <v>104500</v>
      </c>
      <c r="AZ96" s="55">
        <f t="shared" si="101"/>
        <v>1.0652395514780837</v>
      </c>
      <c r="BA96" s="37" t="s">
        <v>687</v>
      </c>
      <c r="BB96" s="38">
        <v>3</v>
      </c>
      <c r="BC96" s="53">
        <f t="shared" si="102"/>
        <v>0</v>
      </c>
      <c r="BD96" s="65">
        <f t="shared" si="144"/>
        <v>0</v>
      </c>
      <c r="BE96" s="44">
        <v>0</v>
      </c>
      <c r="BF96" s="179">
        <f t="shared" si="103"/>
        <v>0</v>
      </c>
      <c r="BG96" s="402">
        <v>0</v>
      </c>
      <c r="BH96" s="403">
        <f t="shared" si="104"/>
        <v>0</v>
      </c>
      <c r="BI96" s="44">
        <v>0</v>
      </c>
      <c r="BJ96" s="179">
        <f t="shared" si="105"/>
        <v>0</v>
      </c>
      <c r="BK96" s="179">
        <f t="shared" si="106"/>
        <v>0</v>
      </c>
      <c r="BL96" s="202"/>
      <c r="BM96" s="203">
        <f t="shared" si="107"/>
        <v>0</v>
      </c>
      <c r="BN96" s="204">
        <f t="shared" si="108"/>
        <v>0</v>
      </c>
      <c r="BO96" s="16">
        <f t="shared" si="109"/>
        <v>104500</v>
      </c>
      <c r="BP96" s="205">
        <f t="shared" si="110"/>
        <v>11495</v>
      </c>
      <c r="BQ96" s="206">
        <f t="shared" si="111"/>
        <v>115995</v>
      </c>
      <c r="BR96" s="55">
        <f t="shared" si="112"/>
        <v>1.0652395514780837</v>
      </c>
      <c r="BS96" s="64">
        <f t="shared" si="113"/>
        <v>0</v>
      </c>
      <c r="BT96" s="53">
        <f t="shared" si="114"/>
        <v>0</v>
      </c>
      <c r="BU96" s="65">
        <f t="shared" si="115"/>
        <v>0</v>
      </c>
      <c r="BV96" s="206">
        <f t="shared" si="116"/>
        <v>104500</v>
      </c>
      <c r="BW96" s="207">
        <f t="shared" si="117"/>
        <v>52.88</v>
      </c>
      <c r="BX96" s="199"/>
      <c r="BY96" s="206">
        <f t="shared" si="118"/>
        <v>115995</v>
      </c>
      <c r="BZ96" s="208" t="s">
        <v>687</v>
      </c>
      <c r="CA96" s="199"/>
      <c r="CB96" s="199"/>
      <c r="CC96" s="200" t="str">
        <f t="shared" si="119"/>
        <v/>
      </c>
      <c r="CD96" s="197"/>
      <c r="CE96" s="197"/>
      <c r="CF96" s="10" t="str">
        <f>IFERROR(INDEX('[4]Lookup_Rem Ranges'!$D:$D,MATCH($CC:$CC,'[4]Lookup_Rem Ranges'!$C:$C,0)),"")</f>
        <v/>
      </c>
      <c r="CG96" s="306"/>
      <c r="CH96" s="306"/>
      <c r="CI96" s="209"/>
      <c r="CJ96" s="122" t="s">
        <v>701</v>
      </c>
      <c r="CK96" s="206">
        <f t="shared" si="120"/>
        <v>0</v>
      </c>
      <c r="CL96" s="206">
        <f t="shared" si="121"/>
        <v>0</v>
      </c>
      <c r="CM96" s="123"/>
      <c r="CN96" s="124">
        <f t="shared" si="122"/>
        <v>0</v>
      </c>
      <c r="CO96" s="124" t="s">
        <v>1374</v>
      </c>
      <c r="CP96" s="125">
        <f t="shared" si="123"/>
        <v>0</v>
      </c>
      <c r="CQ96" s="126">
        <f t="shared" si="124"/>
        <v>0</v>
      </c>
      <c r="CR96" s="127">
        <f t="shared" si="125"/>
        <v>0</v>
      </c>
      <c r="CS96" s="128">
        <f t="shared" si="126"/>
        <v>0</v>
      </c>
      <c r="CT96" s="127">
        <f t="shared" si="127"/>
        <v>0</v>
      </c>
      <c r="CU96" s="128">
        <f t="shared" si="128"/>
        <v>0</v>
      </c>
      <c r="CV96" s="127">
        <f t="shared" si="129"/>
        <v>0</v>
      </c>
      <c r="CW96" s="128">
        <f t="shared" si="130"/>
        <v>0</v>
      </c>
      <c r="CX96" s="127">
        <f t="shared" si="131"/>
        <v>0</v>
      </c>
      <c r="CY96" s="128">
        <f t="shared" si="132"/>
        <v>0</v>
      </c>
      <c r="CZ96" s="127">
        <f>$CR:$CR+$CT:CT+$CV:$CV+$CX:$CX</f>
        <v>0</v>
      </c>
      <c r="DA96" s="127">
        <f t="shared" si="133"/>
        <v>0</v>
      </c>
      <c r="DB96" s="127"/>
      <c r="DC96" s="127">
        <f t="shared" si="134"/>
        <v>0</v>
      </c>
      <c r="DD96" s="128">
        <f t="shared" si="135"/>
        <v>0</v>
      </c>
      <c r="DE96" s="129">
        <f t="shared" si="136"/>
        <v>0</v>
      </c>
      <c r="DF96" s="128">
        <f t="shared" si="137"/>
        <v>0</v>
      </c>
      <c r="DG96" s="129">
        <f t="shared" si="138"/>
        <v>0</v>
      </c>
      <c r="DH96" s="128">
        <f t="shared" si="139"/>
        <v>0</v>
      </c>
      <c r="DI96" s="127">
        <f t="shared" si="140"/>
        <v>0</v>
      </c>
      <c r="DJ96" s="128">
        <f t="shared" si="141"/>
        <v>0</v>
      </c>
      <c r="DK96" s="127">
        <f t="shared" si="142"/>
        <v>0</v>
      </c>
      <c r="DL96" s="128">
        <f t="shared" si="143"/>
        <v>0</v>
      </c>
      <c r="DM96" s="130"/>
      <c r="DN96" s="131"/>
      <c r="DO96" s="131"/>
      <c r="DP96" s="131"/>
      <c r="DQ96" s="131"/>
      <c r="DR96" s="131"/>
      <c r="DS96" s="131"/>
      <c r="DT96" s="131"/>
      <c r="DU96" s="131"/>
      <c r="DV96" s="131"/>
      <c r="DW96" s="131" t="s">
        <v>1381</v>
      </c>
    </row>
    <row r="97" spans="1:127" ht="22.5">
      <c r="A97" s="134"/>
      <c r="B97" s="121" t="s">
        <v>490</v>
      </c>
      <c r="C97" s="121" t="s">
        <v>1239</v>
      </c>
      <c r="D97" s="121">
        <v>17933</v>
      </c>
      <c r="E97" s="192" t="s">
        <v>1240</v>
      </c>
      <c r="F97" s="192" t="s">
        <v>1241</v>
      </c>
      <c r="G97" s="192" t="s">
        <v>537</v>
      </c>
      <c r="H97" s="193" t="s">
        <v>1214</v>
      </c>
      <c r="I97" s="192" t="s">
        <v>1135</v>
      </c>
      <c r="J97" s="192" t="s">
        <v>1136</v>
      </c>
      <c r="K97" s="194">
        <v>43325</v>
      </c>
      <c r="L97" s="194"/>
      <c r="M97" s="194">
        <v>44188</v>
      </c>
      <c r="N97" s="195" t="s">
        <v>539</v>
      </c>
      <c r="O97" s="195">
        <v>38</v>
      </c>
      <c r="P97" s="196">
        <f t="shared" si="97"/>
        <v>1</v>
      </c>
      <c r="Q97" s="192" t="s">
        <v>795</v>
      </c>
      <c r="R97" s="192">
        <v>19890</v>
      </c>
      <c r="S97" s="192" t="s">
        <v>888</v>
      </c>
      <c r="T97" s="192" t="s">
        <v>889</v>
      </c>
      <c r="U97" s="192" t="s">
        <v>890</v>
      </c>
      <c r="V97" s="193" t="s">
        <v>543</v>
      </c>
      <c r="W97" s="193" t="s">
        <v>2</v>
      </c>
      <c r="X97" s="193" t="s">
        <v>823</v>
      </c>
      <c r="Y97" s="56" t="s">
        <v>824</v>
      </c>
      <c r="Z97" s="193" t="s">
        <v>891</v>
      </c>
      <c r="AA97" s="193" t="s">
        <v>916</v>
      </c>
      <c r="AB97" s="57" t="s">
        <v>1369</v>
      </c>
      <c r="AC97" s="193" t="s">
        <v>825</v>
      </c>
      <c r="AD97" s="56" t="s">
        <v>826</v>
      </c>
      <c r="AE97" s="10">
        <f>IFERROR(INDEX('[3]Lookup_Rem Ranges'!$D:$D,MATCH($AL:$AL,'[3]Lookup_Rem Ranges'!$C:$C,0)),0)</f>
        <v>83400</v>
      </c>
      <c r="AF97" s="10">
        <f>IFERROR(INDEX('[3]Lookup_Rem Ranges'!$E:$E,MATCH($AL:$AL,'[3]Lookup_Rem Ranges'!$C:$C,0)),0)</f>
        <v>98100</v>
      </c>
      <c r="AG97" s="10">
        <f>IFERROR(INDEX('[3]Lookup_Rem Ranges'!$F:$F,MATCH($AL:$AL,'[3]Lookup_Rem Ranges'!$C:$C,0)),)</f>
        <v>112800</v>
      </c>
      <c r="AH97" s="193" t="s">
        <v>622</v>
      </c>
      <c r="AI97" s="197"/>
      <c r="AJ97" s="198">
        <v>0</v>
      </c>
      <c r="AK97" s="199"/>
      <c r="AL97" s="200" t="str">
        <f t="shared" si="98"/>
        <v>CASS5</v>
      </c>
      <c r="AM97" s="200" t="s">
        <v>487</v>
      </c>
      <c r="AN97" s="197">
        <v>5</v>
      </c>
      <c r="AO97" s="199" t="s">
        <v>827</v>
      </c>
      <c r="AP97" s="5">
        <v>98700</v>
      </c>
      <c r="AQ97" s="10">
        <f t="shared" si="99"/>
        <v>98700</v>
      </c>
      <c r="AR97" s="10">
        <f t="shared" si="100"/>
        <v>0</v>
      </c>
      <c r="AS97" s="53">
        <v>7.5163398692810454E-2</v>
      </c>
      <c r="AT97" s="53">
        <v>0</v>
      </c>
      <c r="AU97" s="201"/>
      <c r="AV97" s="10"/>
      <c r="AW97" s="54">
        <v>0</v>
      </c>
      <c r="AX97" s="10">
        <v>0</v>
      </c>
      <c r="AY97" s="10">
        <v>98700</v>
      </c>
      <c r="AZ97" s="55">
        <f t="shared" si="101"/>
        <v>1.0061162079510704</v>
      </c>
      <c r="BA97" s="37" t="s">
        <v>687</v>
      </c>
      <c r="BB97" s="38">
        <v>3</v>
      </c>
      <c r="BC97" s="53">
        <f t="shared" si="102"/>
        <v>0</v>
      </c>
      <c r="BD97" s="65">
        <f t="shared" si="144"/>
        <v>0</v>
      </c>
      <c r="BE97" s="44">
        <v>0</v>
      </c>
      <c r="BF97" s="179">
        <f t="shared" si="103"/>
        <v>0</v>
      </c>
      <c r="BG97" s="402">
        <v>0</v>
      </c>
      <c r="BH97" s="403">
        <f t="shared" si="104"/>
        <v>0</v>
      </c>
      <c r="BI97" s="44">
        <v>0</v>
      </c>
      <c r="BJ97" s="179">
        <f t="shared" si="105"/>
        <v>0</v>
      </c>
      <c r="BK97" s="179">
        <f t="shared" si="106"/>
        <v>0</v>
      </c>
      <c r="BL97" s="202"/>
      <c r="BM97" s="203">
        <f t="shared" si="107"/>
        <v>0</v>
      </c>
      <c r="BN97" s="204">
        <f t="shared" si="108"/>
        <v>0</v>
      </c>
      <c r="BO97" s="16">
        <f t="shared" si="109"/>
        <v>98700</v>
      </c>
      <c r="BP97" s="205">
        <f t="shared" si="110"/>
        <v>10857</v>
      </c>
      <c r="BQ97" s="206">
        <f t="shared" si="111"/>
        <v>109557</v>
      </c>
      <c r="BR97" s="55">
        <f t="shared" si="112"/>
        <v>1.0061162079510704</v>
      </c>
      <c r="BS97" s="64">
        <f t="shared" si="113"/>
        <v>0</v>
      </c>
      <c r="BT97" s="53">
        <f t="shared" si="114"/>
        <v>0</v>
      </c>
      <c r="BU97" s="65">
        <f t="shared" si="115"/>
        <v>0</v>
      </c>
      <c r="BV97" s="206">
        <f t="shared" si="116"/>
        <v>98700</v>
      </c>
      <c r="BW97" s="207">
        <f t="shared" si="117"/>
        <v>49.95</v>
      </c>
      <c r="BX97" s="199"/>
      <c r="BY97" s="206">
        <f t="shared" si="118"/>
        <v>109557</v>
      </c>
      <c r="BZ97" s="208" t="s">
        <v>687</v>
      </c>
      <c r="CA97" s="199"/>
      <c r="CB97" s="199"/>
      <c r="CC97" s="200" t="str">
        <f t="shared" si="119"/>
        <v/>
      </c>
      <c r="CD97" s="197"/>
      <c r="CE97" s="197"/>
      <c r="CF97" s="10" t="str">
        <f>IFERROR(INDEX('[4]Lookup_Rem Ranges'!$D:$D,MATCH($CC:$CC,'[4]Lookup_Rem Ranges'!$C:$C,0)),"")</f>
        <v/>
      </c>
      <c r="CG97" s="307"/>
      <c r="CH97" s="307"/>
      <c r="CI97" s="210"/>
      <c r="CJ97" s="122" t="s">
        <v>701</v>
      </c>
      <c r="CK97" s="206">
        <f t="shared" si="120"/>
        <v>0</v>
      </c>
      <c r="CL97" s="206">
        <f t="shared" si="121"/>
        <v>0</v>
      </c>
      <c r="CM97" s="123"/>
      <c r="CN97" s="124">
        <f t="shared" si="122"/>
        <v>0</v>
      </c>
      <c r="CO97" s="124" t="s">
        <v>1375</v>
      </c>
      <c r="CP97" s="125">
        <f t="shared" si="123"/>
        <v>0</v>
      </c>
      <c r="CQ97" s="126">
        <f t="shared" si="124"/>
        <v>0</v>
      </c>
      <c r="CR97" s="127">
        <f t="shared" si="125"/>
        <v>0</v>
      </c>
      <c r="CS97" s="128">
        <f t="shared" si="126"/>
        <v>0</v>
      </c>
      <c r="CT97" s="127">
        <f t="shared" si="127"/>
        <v>0</v>
      </c>
      <c r="CU97" s="128">
        <f t="shared" si="128"/>
        <v>0</v>
      </c>
      <c r="CV97" s="127">
        <f t="shared" si="129"/>
        <v>0</v>
      </c>
      <c r="CW97" s="128">
        <f t="shared" si="130"/>
        <v>0</v>
      </c>
      <c r="CX97" s="127">
        <f t="shared" si="131"/>
        <v>0</v>
      </c>
      <c r="CY97" s="128">
        <f t="shared" si="132"/>
        <v>0</v>
      </c>
      <c r="CZ97" s="127">
        <f>$CR:$CR+$CT:CT+$CV:$CV+$CX:$CX</f>
        <v>0</v>
      </c>
      <c r="DA97" s="127">
        <f t="shared" si="133"/>
        <v>0</v>
      </c>
      <c r="DB97" s="127"/>
      <c r="DC97" s="127">
        <f t="shared" si="134"/>
        <v>0</v>
      </c>
      <c r="DD97" s="128">
        <f t="shared" si="135"/>
        <v>0</v>
      </c>
      <c r="DE97" s="129">
        <f t="shared" si="136"/>
        <v>0</v>
      </c>
      <c r="DF97" s="128">
        <f t="shared" si="137"/>
        <v>0</v>
      </c>
      <c r="DG97" s="129">
        <f t="shared" si="138"/>
        <v>0</v>
      </c>
      <c r="DH97" s="128">
        <f t="shared" si="139"/>
        <v>0</v>
      </c>
      <c r="DI97" s="127">
        <f t="shared" si="140"/>
        <v>0</v>
      </c>
      <c r="DJ97" s="128">
        <f t="shared" si="141"/>
        <v>0</v>
      </c>
      <c r="DK97" s="127">
        <f t="shared" si="142"/>
        <v>0</v>
      </c>
      <c r="DL97" s="128">
        <f t="shared" si="143"/>
        <v>0</v>
      </c>
      <c r="DM97" s="130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 t="s">
        <v>1381</v>
      </c>
    </row>
    <row r="98" spans="1:127" ht="33.75">
      <c r="A98" s="134"/>
      <c r="B98" s="121" t="s">
        <v>490</v>
      </c>
      <c r="C98" s="121" t="s">
        <v>1233</v>
      </c>
      <c r="D98" s="121">
        <v>7077</v>
      </c>
      <c r="E98" s="192" t="s">
        <v>499</v>
      </c>
      <c r="F98" s="192" t="s">
        <v>938</v>
      </c>
      <c r="G98" s="192" t="s">
        <v>537</v>
      </c>
      <c r="H98" s="193" t="s">
        <v>1214</v>
      </c>
      <c r="I98" s="192" t="s">
        <v>1234</v>
      </c>
      <c r="J98" s="192" t="s">
        <v>1232</v>
      </c>
      <c r="K98" s="194">
        <v>38926</v>
      </c>
      <c r="L98" s="194"/>
      <c r="M98" s="194">
        <v>44828</v>
      </c>
      <c r="N98" s="195" t="s">
        <v>539</v>
      </c>
      <c r="O98" s="195">
        <v>38</v>
      </c>
      <c r="P98" s="196">
        <f t="shared" si="97"/>
        <v>1</v>
      </c>
      <c r="Q98" s="192" t="s">
        <v>795</v>
      </c>
      <c r="R98" s="192">
        <v>7326</v>
      </c>
      <c r="S98" s="192" t="s">
        <v>896</v>
      </c>
      <c r="T98" s="192" t="s">
        <v>897</v>
      </c>
      <c r="U98" s="192" t="s">
        <v>898</v>
      </c>
      <c r="V98" s="193" t="s">
        <v>543</v>
      </c>
      <c r="W98" s="193" t="s">
        <v>2</v>
      </c>
      <c r="X98" s="193" t="s">
        <v>823</v>
      </c>
      <c r="Y98" s="56" t="s">
        <v>824</v>
      </c>
      <c r="Z98" s="193" t="s">
        <v>891</v>
      </c>
      <c r="AA98" s="193" t="s">
        <v>916</v>
      </c>
      <c r="AB98" s="57" t="s">
        <v>1369</v>
      </c>
      <c r="AC98" s="193" t="s">
        <v>825</v>
      </c>
      <c r="AD98" s="56" t="s">
        <v>826</v>
      </c>
      <c r="AE98" s="10">
        <f>IFERROR(INDEX('[3]Lookup_Rem Ranges'!$D:$D,MATCH($AL:$AL,'[3]Lookup_Rem Ranges'!$C:$C,0)),0)</f>
        <v>83400</v>
      </c>
      <c r="AF98" s="10">
        <f>IFERROR(INDEX('[3]Lookup_Rem Ranges'!$E:$E,MATCH($AL:$AL,'[3]Lookup_Rem Ranges'!$C:$C,0)),0)</f>
        <v>98100</v>
      </c>
      <c r="AG98" s="10">
        <f>IFERROR(INDEX('[3]Lookup_Rem Ranges'!$F:$F,MATCH($AL:$AL,'[3]Lookup_Rem Ranges'!$C:$C,0)),)</f>
        <v>112800</v>
      </c>
      <c r="AH98" s="193" t="s">
        <v>622</v>
      </c>
      <c r="AI98" s="197"/>
      <c r="AJ98" s="198">
        <v>0</v>
      </c>
      <c r="AK98" s="199"/>
      <c r="AL98" s="200" t="str">
        <f t="shared" si="98"/>
        <v>CASS5</v>
      </c>
      <c r="AM98" s="200" t="s">
        <v>487</v>
      </c>
      <c r="AN98" s="197">
        <v>5</v>
      </c>
      <c r="AO98" s="199" t="s">
        <v>827</v>
      </c>
      <c r="AP98" s="5">
        <v>102900</v>
      </c>
      <c r="AQ98" s="10">
        <f t="shared" si="99"/>
        <v>102900</v>
      </c>
      <c r="AR98" s="10">
        <f t="shared" si="100"/>
        <v>0</v>
      </c>
      <c r="AS98" s="53">
        <v>6.0824742268041236E-2</v>
      </c>
      <c r="AT98" s="53">
        <v>0</v>
      </c>
      <c r="AU98" s="201"/>
      <c r="AV98" s="10"/>
      <c r="AW98" s="54">
        <v>0</v>
      </c>
      <c r="AX98" s="10">
        <v>0</v>
      </c>
      <c r="AY98" s="10">
        <v>102900</v>
      </c>
      <c r="AZ98" s="55">
        <f t="shared" si="101"/>
        <v>1.0489296636085628</v>
      </c>
      <c r="BA98" s="37" t="s">
        <v>687</v>
      </c>
      <c r="BB98" s="38">
        <v>3</v>
      </c>
      <c r="BC98" s="53">
        <f t="shared" si="102"/>
        <v>0</v>
      </c>
      <c r="BD98" s="65">
        <f t="shared" si="144"/>
        <v>0</v>
      </c>
      <c r="BE98" s="44">
        <v>0</v>
      </c>
      <c r="BF98" s="179">
        <f t="shared" si="103"/>
        <v>0</v>
      </c>
      <c r="BG98" s="402">
        <v>0</v>
      </c>
      <c r="BH98" s="403">
        <f t="shared" si="104"/>
        <v>0</v>
      </c>
      <c r="BI98" s="44">
        <v>0</v>
      </c>
      <c r="BJ98" s="179">
        <f t="shared" si="105"/>
        <v>0</v>
      </c>
      <c r="BK98" s="179">
        <f t="shared" si="106"/>
        <v>0</v>
      </c>
      <c r="BL98" s="202"/>
      <c r="BM98" s="203">
        <f t="shared" si="107"/>
        <v>0</v>
      </c>
      <c r="BN98" s="204">
        <f t="shared" si="108"/>
        <v>0</v>
      </c>
      <c r="BO98" s="16">
        <f t="shared" si="109"/>
        <v>102900</v>
      </c>
      <c r="BP98" s="205">
        <f t="shared" si="110"/>
        <v>11319</v>
      </c>
      <c r="BQ98" s="206">
        <f t="shared" si="111"/>
        <v>114219</v>
      </c>
      <c r="BR98" s="55">
        <f t="shared" si="112"/>
        <v>1.0489296636085628</v>
      </c>
      <c r="BS98" s="64">
        <f t="shared" si="113"/>
        <v>0</v>
      </c>
      <c r="BT98" s="53">
        <f t="shared" si="114"/>
        <v>0</v>
      </c>
      <c r="BU98" s="65">
        <f t="shared" si="115"/>
        <v>0</v>
      </c>
      <c r="BV98" s="206">
        <f t="shared" si="116"/>
        <v>102900</v>
      </c>
      <c r="BW98" s="207">
        <f t="shared" si="117"/>
        <v>52.07</v>
      </c>
      <c r="BX98" s="199"/>
      <c r="BY98" s="206">
        <f t="shared" si="118"/>
        <v>114219</v>
      </c>
      <c r="BZ98" s="208" t="s">
        <v>687</v>
      </c>
      <c r="CA98" s="199"/>
      <c r="CB98" s="199"/>
      <c r="CC98" s="200" t="str">
        <f t="shared" si="119"/>
        <v/>
      </c>
      <c r="CD98" s="197"/>
      <c r="CE98" s="197"/>
      <c r="CF98" s="10" t="str">
        <f>IFERROR(INDEX('[4]Lookup_Rem Ranges'!$D:$D,MATCH($CC:$CC,'[4]Lookup_Rem Ranges'!$C:$C,0)),"")</f>
        <v/>
      </c>
      <c r="CG98" s="307"/>
      <c r="CH98" s="307"/>
      <c r="CI98" s="210"/>
      <c r="CJ98" s="122" t="s">
        <v>701</v>
      </c>
      <c r="CK98" s="206">
        <f t="shared" si="120"/>
        <v>0</v>
      </c>
      <c r="CL98" s="206">
        <f t="shared" si="121"/>
        <v>0</v>
      </c>
      <c r="CM98" s="123"/>
      <c r="CN98" s="124">
        <f t="shared" si="122"/>
        <v>0</v>
      </c>
      <c r="CO98" s="124" t="s">
        <v>1376</v>
      </c>
      <c r="CP98" s="125">
        <f t="shared" si="123"/>
        <v>0</v>
      </c>
      <c r="CQ98" s="126">
        <f t="shared" si="124"/>
        <v>0</v>
      </c>
      <c r="CR98" s="127">
        <f t="shared" si="125"/>
        <v>0</v>
      </c>
      <c r="CS98" s="128">
        <f t="shared" si="126"/>
        <v>0</v>
      </c>
      <c r="CT98" s="127">
        <f t="shared" si="127"/>
        <v>0</v>
      </c>
      <c r="CU98" s="128">
        <f t="shared" si="128"/>
        <v>0</v>
      </c>
      <c r="CV98" s="127">
        <f t="shared" si="129"/>
        <v>0</v>
      </c>
      <c r="CW98" s="128">
        <f t="shared" si="130"/>
        <v>0</v>
      </c>
      <c r="CX98" s="127">
        <f t="shared" si="131"/>
        <v>0</v>
      </c>
      <c r="CY98" s="128">
        <f t="shared" si="132"/>
        <v>0</v>
      </c>
      <c r="CZ98" s="127">
        <f>$CR:$CR+$CT:CT+$CV:$CV+$CX:$CX</f>
        <v>0</v>
      </c>
      <c r="DA98" s="127">
        <f t="shared" si="133"/>
        <v>0</v>
      </c>
      <c r="DB98" s="127"/>
      <c r="DC98" s="127">
        <f t="shared" si="134"/>
        <v>0</v>
      </c>
      <c r="DD98" s="128">
        <f t="shared" si="135"/>
        <v>0</v>
      </c>
      <c r="DE98" s="129">
        <f t="shared" si="136"/>
        <v>0</v>
      </c>
      <c r="DF98" s="128">
        <f t="shared" si="137"/>
        <v>0</v>
      </c>
      <c r="DG98" s="129">
        <f t="shared" si="138"/>
        <v>0</v>
      </c>
      <c r="DH98" s="128">
        <f t="shared" si="139"/>
        <v>0</v>
      </c>
      <c r="DI98" s="127">
        <f t="shared" si="140"/>
        <v>0</v>
      </c>
      <c r="DJ98" s="128">
        <f t="shared" si="141"/>
        <v>0</v>
      </c>
      <c r="DK98" s="127">
        <f t="shared" si="142"/>
        <v>0</v>
      </c>
      <c r="DL98" s="128">
        <f t="shared" si="143"/>
        <v>0</v>
      </c>
      <c r="DM98" s="130"/>
      <c r="DN98" s="131"/>
      <c r="DO98" s="131"/>
      <c r="DP98" s="131"/>
      <c r="DQ98" s="131"/>
      <c r="DR98" s="131"/>
      <c r="DS98" s="131"/>
      <c r="DT98" s="131"/>
      <c r="DU98" s="131"/>
      <c r="DV98" s="131"/>
      <c r="DW98" s="131" t="s">
        <v>1381</v>
      </c>
    </row>
    <row r="99" spans="1:127" ht="22.5">
      <c r="A99" s="134"/>
      <c r="B99" s="121" t="s">
        <v>490</v>
      </c>
      <c r="C99" s="121" t="s">
        <v>1235</v>
      </c>
      <c r="D99" s="121">
        <v>15833</v>
      </c>
      <c r="E99" s="192" t="s">
        <v>1236</v>
      </c>
      <c r="F99" s="192" t="s">
        <v>1237</v>
      </c>
      <c r="G99" s="192" t="s">
        <v>537</v>
      </c>
      <c r="H99" s="193" t="s">
        <v>1214</v>
      </c>
      <c r="I99" s="192" t="s">
        <v>1238</v>
      </c>
      <c r="J99" s="192" t="s">
        <v>1232</v>
      </c>
      <c r="K99" s="194">
        <v>42373</v>
      </c>
      <c r="L99" s="194"/>
      <c r="M99" s="194">
        <v>44929</v>
      </c>
      <c r="N99" s="195" t="s">
        <v>539</v>
      </c>
      <c r="O99" s="195">
        <v>38</v>
      </c>
      <c r="P99" s="196">
        <f t="shared" si="97"/>
        <v>1</v>
      </c>
      <c r="Q99" s="192" t="s">
        <v>795</v>
      </c>
      <c r="R99" s="192">
        <v>7326</v>
      </c>
      <c r="S99" s="192" t="s">
        <v>896</v>
      </c>
      <c r="T99" s="192" t="s">
        <v>897</v>
      </c>
      <c r="U99" s="192" t="s">
        <v>898</v>
      </c>
      <c r="V99" s="193" t="s">
        <v>543</v>
      </c>
      <c r="W99" s="193" t="s">
        <v>2</v>
      </c>
      <c r="X99" s="193" t="s">
        <v>823</v>
      </c>
      <c r="Y99" s="56" t="s">
        <v>824</v>
      </c>
      <c r="Z99" s="193" t="s">
        <v>891</v>
      </c>
      <c r="AA99" s="193" t="s">
        <v>916</v>
      </c>
      <c r="AB99" s="57" t="s">
        <v>1369</v>
      </c>
      <c r="AC99" s="193" t="s">
        <v>825</v>
      </c>
      <c r="AD99" s="56" t="s">
        <v>826</v>
      </c>
      <c r="AE99" s="10">
        <f>IFERROR(INDEX('[3]Lookup_Rem Ranges'!$D:$D,MATCH($AL:$AL,'[3]Lookup_Rem Ranges'!$C:$C,0)),0)</f>
        <v>83400</v>
      </c>
      <c r="AF99" s="10">
        <f>IFERROR(INDEX('[3]Lookup_Rem Ranges'!$E:$E,MATCH($AL:$AL,'[3]Lookup_Rem Ranges'!$C:$C,0)),0)</f>
        <v>98100</v>
      </c>
      <c r="AG99" s="10">
        <f>IFERROR(INDEX('[3]Lookup_Rem Ranges'!$F:$F,MATCH($AL:$AL,'[3]Lookup_Rem Ranges'!$C:$C,0)),)</f>
        <v>112800</v>
      </c>
      <c r="AH99" s="193" t="s">
        <v>622</v>
      </c>
      <c r="AI99" s="197"/>
      <c r="AJ99" s="198">
        <v>0</v>
      </c>
      <c r="AK99" s="199"/>
      <c r="AL99" s="200" t="str">
        <f t="shared" si="98"/>
        <v>CASS5</v>
      </c>
      <c r="AM99" s="200" t="s">
        <v>487</v>
      </c>
      <c r="AN99" s="197">
        <v>5</v>
      </c>
      <c r="AO99" s="199" t="s">
        <v>827</v>
      </c>
      <c r="AP99" s="5">
        <v>102827</v>
      </c>
      <c r="AQ99" s="10">
        <f t="shared" si="99"/>
        <v>102827</v>
      </c>
      <c r="AR99" s="10">
        <f t="shared" si="100"/>
        <v>0</v>
      </c>
      <c r="AS99" s="53" t="s">
        <v>790</v>
      </c>
      <c r="AT99" s="53">
        <v>0</v>
      </c>
      <c r="AU99" s="201"/>
      <c r="AV99" s="10"/>
      <c r="AW99" s="54">
        <v>0</v>
      </c>
      <c r="AX99" s="10">
        <v>0</v>
      </c>
      <c r="AY99" s="10">
        <v>102827</v>
      </c>
      <c r="AZ99" s="55">
        <f t="shared" si="101"/>
        <v>1.0481855249745158</v>
      </c>
      <c r="BA99" s="37" t="s">
        <v>687</v>
      </c>
      <c r="BB99" s="38">
        <v>3</v>
      </c>
      <c r="BC99" s="53">
        <f t="shared" si="102"/>
        <v>0</v>
      </c>
      <c r="BD99" s="65">
        <f t="shared" si="144"/>
        <v>0</v>
      </c>
      <c r="BE99" s="44">
        <v>0</v>
      </c>
      <c r="BF99" s="179">
        <f t="shared" si="103"/>
        <v>0</v>
      </c>
      <c r="BG99" s="402">
        <v>0</v>
      </c>
      <c r="BH99" s="403">
        <f t="shared" si="104"/>
        <v>0</v>
      </c>
      <c r="BI99" s="44">
        <v>0</v>
      </c>
      <c r="BJ99" s="179">
        <f t="shared" si="105"/>
        <v>0</v>
      </c>
      <c r="BK99" s="179">
        <f t="shared" si="106"/>
        <v>0</v>
      </c>
      <c r="BL99" s="202"/>
      <c r="BM99" s="203">
        <f t="shared" si="107"/>
        <v>0</v>
      </c>
      <c r="BN99" s="204">
        <f t="shared" si="108"/>
        <v>0</v>
      </c>
      <c r="BO99" s="16">
        <f t="shared" si="109"/>
        <v>102827</v>
      </c>
      <c r="BP99" s="205">
        <f t="shared" si="110"/>
        <v>11311</v>
      </c>
      <c r="BQ99" s="206">
        <f t="shared" si="111"/>
        <v>114138</v>
      </c>
      <c r="BR99" s="55">
        <f t="shared" si="112"/>
        <v>1.0481855249745158</v>
      </c>
      <c r="BS99" s="64">
        <f t="shared" si="113"/>
        <v>0</v>
      </c>
      <c r="BT99" s="53">
        <f t="shared" si="114"/>
        <v>0</v>
      </c>
      <c r="BU99" s="65">
        <f t="shared" si="115"/>
        <v>0</v>
      </c>
      <c r="BV99" s="206">
        <f t="shared" si="116"/>
        <v>102827</v>
      </c>
      <c r="BW99" s="207">
        <f t="shared" si="117"/>
        <v>52.04</v>
      </c>
      <c r="BX99" s="199"/>
      <c r="BY99" s="206">
        <f t="shared" si="118"/>
        <v>114138</v>
      </c>
      <c r="BZ99" s="208" t="s">
        <v>687</v>
      </c>
      <c r="CA99" s="199"/>
      <c r="CB99" s="199"/>
      <c r="CC99" s="200" t="str">
        <f t="shared" si="119"/>
        <v/>
      </c>
      <c r="CD99" s="197"/>
      <c r="CE99" s="197"/>
      <c r="CF99" s="10" t="str">
        <f>IFERROR(INDEX('[4]Lookup_Rem Ranges'!$D:$D,MATCH($CC:$CC,'[4]Lookup_Rem Ranges'!$C:$C,0)),"")</f>
        <v/>
      </c>
      <c r="CG99" s="307"/>
      <c r="CH99" s="307"/>
      <c r="CI99" s="210"/>
      <c r="CJ99" s="122" t="s">
        <v>701</v>
      </c>
      <c r="CK99" s="206">
        <f t="shared" si="120"/>
        <v>0</v>
      </c>
      <c r="CL99" s="206">
        <f t="shared" si="121"/>
        <v>0</v>
      </c>
      <c r="CM99" s="123"/>
      <c r="CN99" s="124">
        <f t="shared" si="122"/>
        <v>0</v>
      </c>
      <c r="CO99" s="124" t="s">
        <v>1374</v>
      </c>
      <c r="CP99" s="125">
        <f t="shared" si="123"/>
        <v>0</v>
      </c>
      <c r="CQ99" s="126">
        <f t="shared" si="124"/>
        <v>0</v>
      </c>
      <c r="CR99" s="127">
        <f t="shared" si="125"/>
        <v>0</v>
      </c>
      <c r="CS99" s="128">
        <f t="shared" si="126"/>
        <v>0</v>
      </c>
      <c r="CT99" s="127">
        <f t="shared" si="127"/>
        <v>0</v>
      </c>
      <c r="CU99" s="128">
        <f t="shared" si="128"/>
        <v>0</v>
      </c>
      <c r="CV99" s="127">
        <f t="shared" si="129"/>
        <v>0</v>
      </c>
      <c r="CW99" s="128">
        <f t="shared" si="130"/>
        <v>0</v>
      </c>
      <c r="CX99" s="127">
        <f t="shared" si="131"/>
        <v>0</v>
      </c>
      <c r="CY99" s="128">
        <f t="shared" si="132"/>
        <v>0</v>
      </c>
      <c r="CZ99" s="127">
        <f>$CR:$CR+$CT:CT+$CV:$CV+$CX:$CX</f>
        <v>0</v>
      </c>
      <c r="DA99" s="127">
        <f t="shared" si="133"/>
        <v>0</v>
      </c>
      <c r="DB99" s="127"/>
      <c r="DC99" s="127">
        <f t="shared" si="134"/>
        <v>0</v>
      </c>
      <c r="DD99" s="128">
        <f t="shared" si="135"/>
        <v>0</v>
      </c>
      <c r="DE99" s="129">
        <f t="shared" si="136"/>
        <v>0</v>
      </c>
      <c r="DF99" s="128">
        <f t="shared" si="137"/>
        <v>0</v>
      </c>
      <c r="DG99" s="129">
        <f t="shared" si="138"/>
        <v>0</v>
      </c>
      <c r="DH99" s="128">
        <f t="shared" si="139"/>
        <v>0</v>
      </c>
      <c r="DI99" s="127">
        <f t="shared" si="140"/>
        <v>0</v>
      </c>
      <c r="DJ99" s="128">
        <f t="shared" si="141"/>
        <v>0</v>
      </c>
      <c r="DK99" s="127">
        <f t="shared" si="142"/>
        <v>0</v>
      </c>
      <c r="DL99" s="128">
        <f t="shared" si="143"/>
        <v>0</v>
      </c>
      <c r="DM99" s="130"/>
      <c r="DN99" s="131"/>
      <c r="DO99" s="131"/>
      <c r="DP99" s="131"/>
      <c r="DQ99" s="131"/>
      <c r="DR99" s="131"/>
      <c r="DS99" s="131"/>
      <c r="DT99" s="131"/>
      <c r="DU99" s="131"/>
      <c r="DV99" s="131"/>
      <c r="DW99" s="131" t="s">
        <v>1381</v>
      </c>
    </row>
    <row r="100" spans="1:127" ht="22.5">
      <c r="A100" s="134"/>
      <c r="B100" s="121" t="s">
        <v>490</v>
      </c>
      <c r="C100" s="121" t="s">
        <v>1229</v>
      </c>
      <c r="D100" s="121">
        <v>15553</v>
      </c>
      <c r="E100" s="192" t="s">
        <v>997</v>
      </c>
      <c r="F100" s="192" t="s">
        <v>1230</v>
      </c>
      <c r="G100" s="192" t="s">
        <v>537</v>
      </c>
      <c r="H100" s="193" t="s">
        <v>1214</v>
      </c>
      <c r="I100" s="192" t="s">
        <v>1231</v>
      </c>
      <c r="J100" s="192" t="s">
        <v>1232</v>
      </c>
      <c r="K100" s="194">
        <v>42261</v>
      </c>
      <c r="L100" s="194"/>
      <c r="M100" s="194">
        <v>45040</v>
      </c>
      <c r="N100" s="195" t="s">
        <v>539</v>
      </c>
      <c r="O100" s="195">
        <v>38</v>
      </c>
      <c r="P100" s="196">
        <f t="shared" si="97"/>
        <v>1</v>
      </c>
      <c r="Q100" s="192" t="s">
        <v>795</v>
      </c>
      <c r="R100" s="192">
        <v>7326</v>
      </c>
      <c r="S100" s="192" t="s">
        <v>896</v>
      </c>
      <c r="T100" s="192" t="s">
        <v>897</v>
      </c>
      <c r="U100" s="192" t="s">
        <v>898</v>
      </c>
      <c r="V100" s="193" t="s">
        <v>543</v>
      </c>
      <c r="W100" s="193" t="s">
        <v>2</v>
      </c>
      <c r="X100" s="193" t="s">
        <v>823</v>
      </c>
      <c r="Y100" s="56" t="s">
        <v>824</v>
      </c>
      <c r="Z100" s="193" t="s">
        <v>891</v>
      </c>
      <c r="AA100" s="193" t="s">
        <v>916</v>
      </c>
      <c r="AB100" s="57" t="s">
        <v>1369</v>
      </c>
      <c r="AC100" s="193" t="s">
        <v>825</v>
      </c>
      <c r="AD100" s="56" t="s">
        <v>826</v>
      </c>
      <c r="AE100" s="10">
        <f>IFERROR(INDEX('[3]Lookup_Rem Ranges'!$D:$D,MATCH($AL:$AL,'[3]Lookup_Rem Ranges'!$C:$C,0)),0)</f>
        <v>83400</v>
      </c>
      <c r="AF100" s="10">
        <f>IFERROR(INDEX('[3]Lookup_Rem Ranges'!$E:$E,MATCH($AL:$AL,'[3]Lookup_Rem Ranges'!$C:$C,0)),0)</f>
        <v>98100</v>
      </c>
      <c r="AG100" s="10">
        <f>IFERROR(INDEX('[3]Lookup_Rem Ranges'!$F:$F,MATCH($AL:$AL,'[3]Lookup_Rem Ranges'!$C:$C,0)),)</f>
        <v>112800</v>
      </c>
      <c r="AH100" s="193" t="s">
        <v>622</v>
      </c>
      <c r="AI100" s="197"/>
      <c r="AJ100" s="198">
        <v>0</v>
      </c>
      <c r="AK100" s="199"/>
      <c r="AL100" s="200" t="str">
        <f t="shared" si="98"/>
        <v>CASS5</v>
      </c>
      <c r="AM100" s="200" t="s">
        <v>487</v>
      </c>
      <c r="AN100" s="197">
        <v>5</v>
      </c>
      <c r="AO100" s="199" t="s">
        <v>827</v>
      </c>
      <c r="AP100" s="5">
        <v>113300</v>
      </c>
      <c r="AQ100" s="10">
        <f t="shared" si="99"/>
        <v>113300</v>
      </c>
      <c r="AR100" s="10">
        <f t="shared" si="100"/>
        <v>0</v>
      </c>
      <c r="AS100" s="53">
        <v>3.5648994515539302E-2</v>
      </c>
      <c r="AT100" s="53">
        <v>0</v>
      </c>
      <c r="AU100" s="201"/>
      <c r="AV100" s="10"/>
      <c r="AW100" s="54">
        <v>0</v>
      </c>
      <c r="AX100" s="10">
        <v>0</v>
      </c>
      <c r="AY100" s="10">
        <v>113300</v>
      </c>
      <c r="AZ100" s="55">
        <f t="shared" si="101"/>
        <v>1.1549439347604484</v>
      </c>
      <c r="BA100" s="37" t="s">
        <v>687</v>
      </c>
      <c r="BB100" s="38">
        <v>3</v>
      </c>
      <c r="BC100" s="53">
        <f t="shared" si="102"/>
        <v>0</v>
      </c>
      <c r="BD100" s="65">
        <f t="shared" si="144"/>
        <v>0</v>
      </c>
      <c r="BE100" s="44">
        <v>0</v>
      </c>
      <c r="BF100" s="179">
        <f t="shared" si="103"/>
        <v>0</v>
      </c>
      <c r="BG100" s="402">
        <v>0</v>
      </c>
      <c r="BH100" s="403">
        <f t="shared" si="104"/>
        <v>0</v>
      </c>
      <c r="BI100" s="44">
        <v>0</v>
      </c>
      <c r="BJ100" s="179">
        <f t="shared" si="105"/>
        <v>0</v>
      </c>
      <c r="BK100" s="179">
        <f t="shared" si="106"/>
        <v>0</v>
      </c>
      <c r="BL100" s="202"/>
      <c r="BM100" s="203">
        <f t="shared" si="107"/>
        <v>0</v>
      </c>
      <c r="BN100" s="204">
        <f t="shared" si="108"/>
        <v>0</v>
      </c>
      <c r="BO100" s="16">
        <f t="shared" si="109"/>
        <v>113300</v>
      </c>
      <c r="BP100" s="205">
        <f t="shared" si="110"/>
        <v>12463</v>
      </c>
      <c r="BQ100" s="206">
        <f t="shared" si="111"/>
        <v>125763</v>
      </c>
      <c r="BR100" s="55">
        <f t="shared" si="112"/>
        <v>1.1549439347604484</v>
      </c>
      <c r="BS100" s="64">
        <f t="shared" si="113"/>
        <v>0</v>
      </c>
      <c r="BT100" s="53">
        <f t="shared" si="114"/>
        <v>0</v>
      </c>
      <c r="BU100" s="65">
        <f t="shared" si="115"/>
        <v>0</v>
      </c>
      <c r="BV100" s="206">
        <f t="shared" si="116"/>
        <v>113300</v>
      </c>
      <c r="BW100" s="207">
        <f t="shared" si="117"/>
        <v>57.34</v>
      </c>
      <c r="BX100" s="199"/>
      <c r="BY100" s="206">
        <f t="shared" si="118"/>
        <v>125763</v>
      </c>
      <c r="BZ100" s="208" t="s">
        <v>687</v>
      </c>
      <c r="CA100" s="199"/>
      <c r="CB100" s="199"/>
      <c r="CC100" s="200" t="str">
        <f t="shared" si="119"/>
        <v/>
      </c>
      <c r="CD100" s="197"/>
      <c r="CE100" s="197"/>
      <c r="CF100" s="10" t="str">
        <f>IFERROR(INDEX('[4]Lookup_Rem Ranges'!$D:$D,MATCH($CC:$CC,'[4]Lookup_Rem Ranges'!$C:$C,0)),"")</f>
        <v/>
      </c>
      <c r="CG100" s="307"/>
      <c r="CH100" s="307"/>
      <c r="CI100" s="210"/>
      <c r="CJ100" s="122" t="s">
        <v>701</v>
      </c>
      <c r="CK100" s="206">
        <f t="shared" si="120"/>
        <v>0</v>
      </c>
      <c r="CL100" s="206">
        <f t="shared" si="121"/>
        <v>0</v>
      </c>
      <c r="CM100" s="123"/>
      <c r="CN100" s="124">
        <f t="shared" si="122"/>
        <v>0</v>
      </c>
      <c r="CO100" s="124" t="s">
        <v>1375</v>
      </c>
      <c r="CP100" s="125">
        <f t="shared" si="123"/>
        <v>0</v>
      </c>
      <c r="CQ100" s="126">
        <f t="shared" si="124"/>
        <v>0</v>
      </c>
      <c r="CR100" s="127">
        <f t="shared" si="125"/>
        <v>0</v>
      </c>
      <c r="CS100" s="128">
        <f t="shared" si="126"/>
        <v>0</v>
      </c>
      <c r="CT100" s="127">
        <f t="shared" si="127"/>
        <v>0</v>
      </c>
      <c r="CU100" s="128">
        <f t="shared" si="128"/>
        <v>0</v>
      </c>
      <c r="CV100" s="127">
        <f t="shared" si="129"/>
        <v>0</v>
      </c>
      <c r="CW100" s="128">
        <f t="shared" si="130"/>
        <v>0</v>
      </c>
      <c r="CX100" s="127">
        <f t="shared" si="131"/>
        <v>0</v>
      </c>
      <c r="CY100" s="128">
        <f t="shared" si="132"/>
        <v>0</v>
      </c>
      <c r="CZ100" s="127">
        <f>$CR:$CR+$CT:CT+$CV:$CV+$CX:$CX</f>
        <v>0</v>
      </c>
      <c r="DA100" s="127">
        <f t="shared" si="133"/>
        <v>0</v>
      </c>
      <c r="DB100" s="127"/>
      <c r="DC100" s="127">
        <f t="shared" si="134"/>
        <v>0</v>
      </c>
      <c r="DD100" s="128">
        <f t="shared" si="135"/>
        <v>0</v>
      </c>
      <c r="DE100" s="129">
        <f t="shared" si="136"/>
        <v>0</v>
      </c>
      <c r="DF100" s="128">
        <f t="shared" si="137"/>
        <v>0</v>
      </c>
      <c r="DG100" s="129">
        <f t="shared" si="138"/>
        <v>0</v>
      </c>
      <c r="DH100" s="128">
        <f t="shared" si="139"/>
        <v>0</v>
      </c>
      <c r="DI100" s="127">
        <f t="shared" si="140"/>
        <v>0</v>
      </c>
      <c r="DJ100" s="128">
        <f t="shared" si="141"/>
        <v>0</v>
      </c>
      <c r="DK100" s="127">
        <f t="shared" si="142"/>
        <v>0</v>
      </c>
      <c r="DL100" s="128">
        <f t="shared" si="143"/>
        <v>0</v>
      </c>
      <c r="DM100" s="130"/>
      <c r="DN100" s="131"/>
      <c r="DO100" s="131"/>
      <c r="DP100" s="131"/>
      <c r="DQ100" s="131"/>
      <c r="DR100" s="131"/>
      <c r="DS100" s="131"/>
      <c r="DT100" s="131"/>
      <c r="DU100" s="131"/>
      <c r="DV100" s="131"/>
      <c r="DW100" s="131" t="s">
        <v>1381</v>
      </c>
    </row>
    <row r="101" spans="1:127" ht="33.75">
      <c r="A101" s="134"/>
      <c r="B101" s="121" t="s">
        <v>490</v>
      </c>
      <c r="C101" s="121" t="s">
        <v>892</v>
      </c>
      <c r="D101" s="121">
        <v>20190</v>
      </c>
      <c r="E101" s="192" t="s">
        <v>893</v>
      </c>
      <c r="F101" s="192" t="s">
        <v>894</v>
      </c>
      <c r="G101" s="192" t="s">
        <v>538</v>
      </c>
      <c r="H101" s="193" t="s">
        <v>879</v>
      </c>
      <c r="I101" s="192" t="s">
        <v>895</v>
      </c>
      <c r="J101" s="192" t="s">
        <v>887</v>
      </c>
      <c r="K101" s="194">
        <v>44403</v>
      </c>
      <c r="L101" s="194"/>
      <c r="M101" s="194">
        <v>44403</v>
      </c>
      <c r="N101" s="195" t="s">
        <v>539</v>
      </c>
      <c r="O101" s="195">
        <v>38</v>
      </c>
      <c r="P101" s="196">
        <f t="shared" si="97"/>
        <v>1</v>
      </c>
      <c r="Q101" s="192" t="s">
        <v>613</v>
      </c>
      <c r="R101" s="192">
        <v>7326</v>
      </c>
      <c r="S101" s="192" t="s">
        <v>896</v>
      </c>
      <c r="T101" s="192" t="s">
        <v>897</v>
      </c>
      <c r="U101" s="192" t="s">
        <v>898</v>
      </c>
      <c r="V101" s="193" t="s">
        <v>543</v>
      </c>
      <c r="W101" s="193" t="s">
        <v>2</v>
      </c>
      <c r="X101" s="193" t="s">
        <v>823</v>
      </c>
      <c r="Y101" s="52" t="s">
        <v>824</v>
      </c>
      <c r="Z101" s="193" t="s">
        <v>891</v>
      </c>
      <c r="AA101" s="193" t="s">
        <v>916</v>
      </c>
      <c r="AB101" s="57" t="s">
        <v>1369</v>
      </c>
      <c r="AC101" s="193" t="s">
        <v>825</v>
      </c>
      <c r="AD101" s="52" t="s">
        <v>826</v>
      </c>
      <c r="AE101" s="10">
        <f>IFERROR(INDEX('[3]Lookup_Rem Ranges'!$D:$D,MATCH($AL:$AL,'[3]Lookup_Rem Ranges'!$C:$C,0)),0)</f>
        <v>83400</v>
      </c>
      <c r="AF101" s="10">
        <f>IFERROR(INDEX('[3]Lookup_Rem Ranges'!$E:$E,MATCH($AL:$AL,'[3]Lookup_Rem Ranges'!$C:$C,0)),0)</f>
        <v>98100</v>
      </c>
      <c r="AG101" s="10">
        <f>IFERROR(INDEX('[3]Lookup_Rem Ranges'!$F:$F,MATCH($AL:$AL,'[3]Lookup_Rem Ranges'!$C:$C,0)),)</f>
        <v>112800</v>
      </c>
      <c r="AH101" s="193" t="s">
        <v>622</v>
      </c>
      <c r="AI101" s="197"/>
      <c r="AJ101" s="198">
        <v>0</v>
      </c>
      <c r="AK101" s="199"/>
      <c r="AL101" s="200" t="str">
        <f t="shared" si="98"/>
        <v>CASS5</v>
      </c>
      <c r="AM101" s="200" t="s">
        <v>487</v>
      </c>
      <c r="AN101" s="197">
        <v>5</v>
      </c>
      <c r="AO101" s="199" t="s">
        <v>827</v>
      </c>
      <c r="AP101" s="5">
        <v>100700</v>
      </c>
      <c r="AQ101" s="10">
        <f t="shared" si="99"/>
        <v>100700</v>
      </c>
      <c r="AR101" s="10">
        <f t="shared" si="100"/>
        <v>0</v>
      </c>
      <c r="AS101" s="53">
        <v>0.06</v>
      </c>
      <c r="AT101" s="53">
        <v>0</v>
      </c>
      <c r="AU101" s="201"/>
      <c r="AV101" s="10"/>
      <c r="AW101" s="54">
        <v>0</v>
      </c>
      <c r="AX101" s="10">
        <v>0</v>
      </c>
      <c r="AY101" s="10">
        <v>100700</v>
      </c>
      <c r="AZ101" s="55">
        <f t="shared" si="101"/>
        <v>1.0265035677879715</v>
      </c>
      <c r="BA101" s="37" t="s">
        <v>687</v>
      </c>
      <c r="BB101" s="38">
        <v>3</v>
      </c>
      <c r="BC101" s="53">
        <f t="shared" si="102"/>
        <v>0</v>
      </c>
      <c r="BD101" s="65">
        <f t="shared" si="144"/>
        <v>0</v>
      </c>
      <c r="BE101" s="44">
        <v>0</v>
      </c>
      <c r="BF101" s="179">
        <f t="shared" si="103"/>
        <v>0</v>
      </c>
      <c r="BG101" s="402">
        <v>0</v>
      </c>
      <c r="BH101" s="403">
        <f t="shared" si="104"/>
        <v>0</v>
      </c>
      <c r="BI101" s="44">
        <v>0</v>
      </c>
      <c r="BJ101" s="179">
        <f t="shared" si="105"/>
        <v>0</v>
      </c>
      <c r="BK101" s="179">
        <f t="shared" si="106"/>
        <v>0</v>
      </c>
      <c r="BL101" s="202"/>
      <c r="BM101" s="203">
        <f t="shared" si="107"/>
        <v>0</v>
      </c>
      <c r="BN101" s="204">
        <f t="shared" si="108"/>
        <v>0</v>
      </c>
      <c r="BO101" s="16">
        <f t="shared" si="109"/>
        <v>100700</v>
      </c>
      <c r="BP101" s="205">
        <f t="shared" si="110"/>
        <v>11077</v>
      </c>
      <c r="BQ101" s="206">
        <f t="shared" si="111"/>
        <v>111777</v>
      </c>
      <c r="BR101" s="55">
        <f t="shared" si="112"/>
        <v>1.0265035677879715</v>
      </c>
      <c r="BS101" s="64">
        <f t="shared" si="113"/>
        <v>0</v>
      </c>
      <c r="BT101" s="53">
        <f t="shared" si="114"/>
        <v>0</v>
      </c>
      <c r="BU101" s="65">
        <f t="shared" si="115"/>
        <v>0</v>
      </c>
      <c r="BV101" s="206">
        <f t="shared" si="116"/>
        <v>100700</v>
      </c>
      <c r="BW101" s="207">
        <f t="shared" si="117"/>
        <v>50.96</v>
      </c>
      <c r="BX101" s="199"/>
      <c r="BY101" s="206">
        <f t="shared" si="118"/>
        <v>111777</v>
      </c>
      <c r="BZ101" s="208" t="s">
        <v>687</v>
      </c>
      <c r="CA101" s="199"/>
      <c r="CB101" s="199"/>
      <c r="CC101" s="200" t="str">
        <f t="shared" si="119"/>
        <v/>
      </c>
      <c r="CD101" s="197"/>
      <c r="CE101" s="197"/>
      <c r="CF101" s="10" t="str">
        <f>IFERROR(INDEX('[4]Lookup_Rem Ranges'!$D:$D,MATCH($CC:$CC,'[4]Lookup_Rem Ranges'!$C:$C,0)),"")</f>
        <v/>
      </c>
      <c r="CG101" s="306"/>
      <c r="CH101" s="306"/>
      <c r="CI101" s="209"/>
      <c r="CJ101" s="122" t="s">
        <v>701</v>
      </c>
      <c r="CK101" s="206">
        <f t="shared" si="120"/>
        <v>0</v>
      </c>
      <c r="CL101" s="206">
        <f t="shared" si="121"/>
        <v>0</v>
      </c>
      <c r="CM101" s="123"/>
      <c r="CN101" s="124">
        <f t="shared" si="122"/>
        <v>0</v>
      </c>
      <c r="CO101" s="124" t="s">
        <v>1376</v>
      </c>
      <c r="CP101" s="125">
        <f t="shared" si="123"/>
        <v>0</v>
      </c>
      <c r="CQ101" s="126">
        <f t="shared" si="124"/>
        <v>0</v>
      </c>
      <c r="CR101" s="127">
        <f t="shared" si="125"/>
        <v>0</v>
      </c>
      <c r="CS101" s="128">
        <f t="shared" si="126"/>
        <v>0</v>
      </c>
      <c r="CT101" s="127">
        <f t="shared" si="127"/>
        <v>0</v>
      </c>
      <c r="CU101" s="128">
        <f t="shared" si="128"/>
        <v>0</v>
      </c>
      <c r="CV101" s="127">
        <f t="shared" si="129"/>
        <v>0</v>
      </c>
      <c r="CW101" s="128">
        <f t="shared" si="130"/>
        <v>0</v>
      </c>
      <c r="CX101" s="127">
        <f t="shared" si="131"/>
        <v>0</v>
      </c>
      <c r="CY101" s="128">
        <f t="shared" si="132"/>
        <v>0</v>
      </c>
      <c r="CZ101" s="127">
        <f>$CR:$CR+$CT:CT+$CV:$CV+$CX:$CX</f>
        <v>0</v>
      </c>
      <c r="DA101" s="127">
        <f t="shared" si="133"/>
        <v>0</v>
      </c>
      <c r="DB101" s="127"/>
      <c r="DC101" s="127">
        <f t="shared" si="134"/>
        <v>0</v>
      </c>
      <c r="DD101" s="128">
        <f t="shared" si="135"/>
        <v>0</v>
      </c>
      <c r="DE101" s="129">
        <f t="shared" si="136"/>
        <v>0</v>
      </c>
      <c r="DF101" s="128">
        <f t="shared" si="137"/>
        <v>0</v>
      </c>
      <c r="DG101" s="129">
        <f t="shared" si="138"/>
        <v>0</v>
      </c>
      <c r="DH101" s="128">
        <f t="shared" si="139"/>
        <v>0</v>
      </c>
      <c r="DI101" s="127">
        <f t="shared" si="140"/>
        <v>0</v>
      </c>
      <c r="DJ101" s="128">
        <f t="shared" si="141"/>
        <v>0</v>
      </c>
      <c r="DK101" s="127">
        <f t="shared" si="142"/>
        <v>0</v>
      </c>
      <c r="DL101" s="128">
        <f t="shared" si="143"/>
        <v>0</v>
      </c>
      <c r="DM101" s="130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 t="s">
        <v>1381</v>
      </c>
    </row>
    <row r="102" spans="1:127" ht="22.5">
      <c r="A102" s="134"/>
      <c r="B102" s="121" t="s">
        <v>490</v>
      </c>
      <c r="C102" s="121" t="s">
        <v>1211</v>
      </c>
      <c r="D102" s="121">
        <v>19890</v>
      </c>
      <c r="E102" s="192" t="s">
        <v>1212</v>
      </c>
      <c r="F102" s="192" t="s">
        <v>1213</v>
      </c>
      <c r="G102" s="192" t="s">
        <v>537</v>
      </c>
      <c r="H102" s="193" t="s">
        <v>1214</v>
      </c>
      <c r="I102" s="192" t="s">
        <v>1215</v>
      </c>
      <c r="J102" s="192" t="s">
        <v>1216</v>
      </c>
      <c r="K102" s="194">
        <v>41890</v>
      </c>
      <c r="L102" s="194"/>
      <c r="M102" s="194">
        <v>44685</v>
      </c>
      <c r="N102" s="195" t="s">
        <v>539</v>
      </c>
      <c r="O102" s="195">
        <v>38</v>
      </c>
      <c r="P102" s="196">
        <f t="shared" si="97"/>
        <v>1</v>
      </c>
      <c r="Q102" s="192" t="s">
        <v>795</v>
      </c>
      <c r="R102" s="192">
        <v>13369</v>
      </c>
      <c r="S102" s="192" t="s">
        <v>1217</v>
      </c>
      <c r="T102" s="192" t="s">
        <v>952</v>
      </c>
      <c r="U102" s="192" t="s">
        <v>953</v>
      </c>
      <c r="V102" s="193" t="s">
        <v>543</v>
      </c>
      <c r="W102" s="193" t="s">
        <v>2</v>
      </c>
      <c r="X102" s="193" t="s">
        <v>823</v>
      </c>
      <c r="Y102" s="56" t="s">
        <v>824</v>
      </c>
      <c r="Z102" s="193" t="s">
        <v>891</v>
      </c>
      <c r="AA102" s="193" t="s">
        <v>916</v>
      </c>
      <c r="AB102" s="57" t="s">
        <v>1369</v>
      </c>
      <c r="AC102" s="193" t="s">
        <v>825</v>
      </c>
      <c r="AD102" s="56" t="s">
        <v>826</v>
      </c>
      <c r="AE102" s="10">
        <f>IFERROR(INDEX('[3]Lookup_Rem Ranges'!$D:$D,MATCH($AL:$AL,'[3]Lookup_Rem Ranges'!$C:$C,0)),0)</f>
        <v>83400</v>
      </c>
      <c r="AF102" s="10">
        <f>IFERROR(INDEX('[3]Lookup_Rem Ranges'!$E:$E,MATCH($AL:$AL,'[3]Lookup_Rem Ranges'!$C:$C,0)),0)</f>
        <v>98100</v>
      </c>
      <c r="AG102" s="10">
        <f>IFERROR(INDEX('[3]Lookup_Rem Ranges'!$F:$F,MATCH($AL:$AL,'[3]Lookup_Rem Ranges'!$C:$C,0)),)</f>
        <v>112800</v>
      </c>
      <c r="AH102" s="193" t="s">
        <v>622</v>
      </c>
      <c r="AI102" s="197"/>
      <c r="AJ102" s="198">
        <v>0</v>
      </c>
      <c r="AK102" s="199"/>
      <c r="AL102" s="200" t="str">
        <f t="shared" si="98"/>
        <v>CASS5</v>
      </c>
      <c r="AM102" s="200" t="s">
        <v>487</v>
      </c>
      <c r="AN102" s="197">
        <v>5</v>
      </c>
      <c r="AO102" s="199" t="s">
        <v>827</v>
      </c>
      <c r="AP102" s="5">
        <v>102900</v>
      </c>
      <c r="AQ102" s="10">
        <f t="shared" si="99"/>
        <v>102900</v>
      </c>
      <c r="AR102" s="10">
        <f t="shared" si="100"/>
        <v>0</v>
      </c>
      <c r="AS102" s="53">
        <v>5.2147239263803678E-2</v>
      </c>
      <c r="AT102" s="53">
        <v>0</v>
      </c>
      <c r="AU102" s="201"/>
      <c r="AV102" s="10"/>
      <c r="AW102" s="54">
        <v>0</v>
      </c>
      <c r="AX102" s="10">
        <v>0</v>
      </c>
      <c r="AY102" s="10">
        <v>102900</v>
      </c>
      <c r="AZ102" s="55">
        <f t="shared" si="101"/>
        <v>1.0489296636085628</v>
      </c>
      <c r="BA102" s="37" t="s">
        <v>687</v>
      </c>
      <c r="BB102" s="38">
        <v>3</v>
      </c>
      <c r="BC102" s="53">
        <f t="shared" si="102"/>
        <v>0</v>
      </c>
      <c r="BD102" s="65">
        <f t="shared" si="144"/>
        <v>0</v>
      </c>
      <c r="BE102" s="44">
        <v>0</v>
      </c>
      <c r="BF102" s="179">
        <f t="shared" si="103"/>
        <v>0</v>
      </c>
      <c r="BG102" s="402">
        <v>0</v>
      </c>
      <c r="BH102" s="403">
        <f t="shared" si="104"/>
        <v>0</v>
      </c>
      <c r="BI102" s="44">
        <v>0</v>
      </c>
      <c r="BJ102" s="179">
        <f t="shared" si="105"/>
        <v>0</v>
      </c>
      <c r="BK102" s="179">
        <f t="shared" si="106"/>
        <v>0</v>
      </c>
      <c r="BL102" s="202"/>
      <c r="BM102" s="203">
        <f t="shared" si="107"/>
        <v>0</v>
      </c>
      <c r="BN102" s="204">
        <f t="shared" si="108"/>
        <v>0</v>
      </c>
      <c r="BO102" s="16">
        <f t="shared" si="109"/>
        <v>102900</v>
      </c>
      <c r="BP102" s="205">
        <f t="shared" si="110"/>
        <v>11319</v>
      </c>
      <c r="BQ102" s="206">
        <f t="shared" si="111"/>
        <v>114219</v>
      </c>
      <c r="BR102" s="55">
        <f t="shared" si="112"/>
        <v>1.0489296636085628</v>
      </c>
      <c r="BS102" s="64">
        <f t="shared" si="113"/>
        <v>0</v>
      </c>
      <c r="BT102" s="53">
        <f t="shared" si="114"/>
        <v>0</v>
      </c>
      <c r="BU102" s="65">
        <f t="shared" si="115"/>
        <v>0</v>
      </c>
      <c r="BV102" s="206">
        <f t="shared" si="116"/>
        <v>102900</v>
      </c>
      <c r="BW102" s="207">
        <f t="shared" si="117"/>
        <v>52.07</v>
      </c>
      <c r="BX102" s="199"/>
      <c r="BY102" s="206">
        <f t="shared" si="118"/>
        <v>114219</v>
      </c>
      <c r="BZ102" s="208" t="s">
        <v>687</v>
      </c>
      <c r="CA102" s="199"/>
      <c r="CB102" s="199"/>
      <c r="CC102" s="200" t="str">
        <f t="shared" si="119"/>
        <v/>
      </c>
      <c r="CD102" s="197"/>
      <c r="CE102" s="197"/>
      <c r="CF102" s="10" t="str">
        <f>IFERROR(INDEX('[4]Lookup_Rem Ranges'!$D:$D,MATCH($CC:$CC,'[4]Lookup_Rem Ranges'!$C:$C,0)),"")</f>
        <v/>
      </c>
      <c r="CG102" s="307"/>
      <c r="CH102" s="307"/>
      <c r="CI102" s="210"/>
      <c r="CJ102" s="122" t="s">
        <v>701</v>
      </c>
      <c r="CK102" s="206">
        <f t="shared" si="120"/>
        <v>0</v>
      </c>
      <c r="CL102" s="206">
        <f t="shared" si="121"/>
        <v>0</v>
      </c>
      <c r="CM102" s="123"/>
      <c r="CN102" s="124">
        <f t="shared" si="122"/>
        <v>0</v>
      </c>
      <c r="CO102" s="124" t="s">
        <v>1374</v>
      </c>
      <c r="CP102" s="125">
        <f t="shared" si="123"/>
        <v>0</v>
      </c>
      <c r="CQ102" s="126">
        <f t="shared" si="124"/>
        <v>0</v>
      </c>
      <c r="CR102" s="127">
        <f t="shared" si="125"/>
        <v>0</v>
      </c>
      <c r="CS102" s="128">
        <f t="shared" si="126"/>
        <v>0</v>
      </c>
      <c r="CT102" s="127">
        <f t="shared" si="127"/>
        <v>0</v>
      </c>
      <c r="CU102" s="128">
        <f t="shared" si="128"/>
        <v>0</v>
      </c>
      <c r="CV102" s="127">
        <f t="shared" si="129"/>
        <v>0</v>
      </c>
      <c r="CW102" s="128">
        <f t="shared" si="130"/>
        <v>0</v>
      </c>
      <c r="CX102" s="127">
        <f t="shared" si="131"/>
        <v>0</v>
      </c>
      <c r="CY102" s="128">
        <f t="shared" si="132"/>
        <v>0</v>
      </c>
      <c r="CZ102" s="127">
        <f>$CR:$CR+$CT:CT+$CV:$CV+$CX:$CX</f>
        <v>0</v>
      </c>
      <c r="DA102" s="127">
        <f t="shared" si="133"/>
        <v>0</v>
      </c>
      <c r="DB102" s="127"/>
      <c r="DC102" s="127">
        <f t="shared" si="134"/>
        <v>0</v>
      </c>
      <c r="DD102" s="128">
        <f t="shared" si="135"/>
        <v>0</v>
      </c>
      <c r="DE102" s="129">
        <f t="shared" si="136"/>
        <v>0</v>
      </c>
      <c r="DF102" s="128">
        <f t="shared" si="137"/>
        <v>0</v>
      </c>
      <c r="DG102" s="129">
        <f t="shared" si="138"/>
        <v>0</v>
      </c>
      <c r="DH102" s="128">
        <f t="shared" si="139"/>
        <v>0</v>
      </c>
      <c r="DI102" s="127">
        <f t="shared" si="140"/>
        <v>0</v>
      </c>
      <c r="DJ102" s="128">
        <f t="shared" si="141"/>
        <v>0</v>
      </c>
      <c r="DK102" s="127">
        <f t="shared" si="142"/>
        <v>0</v>
      </c>
      <c r="DL102" s="128">
        <f t="shared" si="143"/>
        <v>0</v>
      </c>
      <c r="DM102" s="130"/>
      <c r="DN102" s="131"/>
      <c r="DO102" s="131"/>
      <c r="DP102" s="131"/>
      <c r="DQ102" s="131"/>
      <c r="DR102" s="131"/>
      <c r="DS102" s="131"/>
      <c r="DT102" s="131"/>
      <c r="DU102" s="131"/>
      <c r="DV102" s="131"/>
      <c r="DW102" s="131" t="s">
        <v>1381</v>
      </c>
    </row>
    <row r="103" spans="1:127" ht="22.5">
      <c r="A103" s="134"/>
      <c r="B103" s="121" t="s">
        <v>490</v>
      </c>
      <c r="C103" s="121" t="s">
        <v>1242</v>
      </c>
      <c r="D103" s="121">
        <v>4221</v>
      </c>
      <c r="E103" s="192" t="s">
        <v>1243</v>
      </c>
      <c r="F103" s="192" t="s">
        <v>996</v>
      </c>
      <c r="G103" s="192" t="s">
        <v>537</v>
      </c>
      <c r="H103" s="193" t="s">
        <v>1214</v>
      </c>
      <c r="I103" s="192" t="s">
        <v>1244</v>
      </c>
      <c r="J103" s="192" t="s">
        <v>1245</v>
      </c>
      <c r="K103" s="194">
        <v>37883</v>
      </c>
      <c r="L103" s="194"/>
      <c r="M103" s="194">
        <v>44166</v>
      </c>
      <c r="N103" s="195" t="s">
        <v>539</v>
      </c>
      <c r="O103" s="195">
        <v>38</v>
      </c>
      <c r="P103" s="196">
        <f t="shared" si="97"/>
        <v>1</v>
      </c>
      <c r="Q103" s="192" t="s">
        <v>795</v>
      </c>
      <c r="R103" s="192">
        <v>13369</v>
      </c>
      <c r="S103" s="192" t="s">
        <v>1217</v>
      </c>
      <c r="T103" s="192" t="s">
        <v>952</v>
      </c>
      <c r="U103" s="192" t="s">
        <v>953</v>
      </c>
      <c r="V103" s="193" t="s">
        <v>543</v>
      </c>
      <c r="W103" s="193" t="s">
        <v>2</v>
      </c>
      <c r="X103" s="193" t="s">
        <v>823</v>
      </c>
      <c r="Y103" s="56" t="s">
        <v>824</v>
      </c>
      <c r="Z103" s="193" t="s">
        <v>891</v>
      </c>
      <c r="AA103" s="193" t="s">
        <v>916</v>
      </c>
      <c r="AB103" s="57" t="s">
        <v>1369</v>
      </c>
      <c r="AC103" s="193" t="s">
        <v>825</v>
      </c>
      <c r="AD103" s="56" t="s">
        <v>826</v>
      </c>
      <c r="AE103" s="10">
        <f>IFERROR(INDEX('[3]Lookup_Rem Ranges'!$D:$D,MATCH($AL:$AL,'[3]Lookup_Rem Ranges'!$C:$C,0)),0)</f>
        <v>83400</v>
      </c>
      <c r="AF103" s="10">
        <f>IFERROR(INDEX('[3]Lookup_Rem Ranges'!$E:$E,MATCH($AL:$AL,'[3]Lookup_Rem Ranges'!$C:$C,0)),0)</f>
        <v>98100</v>
      </c>
      <c r="AG103" s="10">
        <f>IFERROR(INDEX('[3]Lookup_Rem Ranges'!$F:$F,MATCH($AL:$AL,'[3]Lookup_Rem Ranges'!$C:$C,0)),)</f>
        <v>112800</v>
      </c>
      <c r="AH103" s="193" t="s">
        <v>622</v>
      </c>
      <c r="AI103" s="197"/>
      <c r="AJ103" s="198">
        <v>0</v>
      </c>
      <c r="AK103" s="199"/>
      <c r="AL103" s="200" t="str">
        <f t="shared" si="98"/>
        <v>CASS5</v>
      </c>
      <c r="AM103" s="200" t="s">
        <v>487</v>
      </c>
      <c r="AN103" s="197">
        <v>5</v>
      </c>
      <c r="AO103" s="199" t="s">
        <v>827</v>
      </c>
      <c r="AP103" s="5">
        <v>107000</v>
      </c>
      <c r="AQ103" s="10">
        <f t="shared" si="99"/>
        <v>107000</v>
      </c>
      <c r="AR103" s="10">
        <f t="shared" si="100"/>
        <v>0</v>
      </c>
      <c r="AS103" s="53">
        <v>6.8931068931068928E-2</v>
      </c>
      <c r="AT103" s="53">
        <v>0</v>
      </c>
      <c r="AU103" s="201"/>
      <c r="AV103" s="10"/>
      <c r="AW103" s="54">
        <v>0</v>
      </c>
      <c r="AX103" s="10">
        <v>0</v>
      </c>
      <c r="AY103" s="10">
        <v>107000</v>
      </c>
      <c r="AZ103" s="55">
        <f t="shared" si="101"/>
        <v>1.0907237512742101</v>
      </c>
      <c r="BA103" s="37" t="s">
        <v>687</v>
      </c>
      <c r="BB103" s="38">
        <v>3</v>
      </c>
      <c r="BC103" s="53">
        <f t="shared" si="102"/>
        <v>0</v>
      </c>
      <c r="BD103" s="65">
        <f t="shared" si="144"/>
        <v>0</v>
      </c>
      <c r="BE103" s="44">
        <v>0</v>
      </c>
      <c r="BF103" s="179">
        <f t="shared" si="103"/>
        <v>0</v>
      </c>
      <c r="BG103" s="402">
        <v>0</v>
      </c>
      <c r="BH103" s="403">
        <f t="shared" si="104"/>
        <v>0</v>
      </c>
      <c r="BI103" s="44">
        <v>0</v>
      </c>
      <c r="BJ103" s="179">
        <f t="shared" si="105"/>
        <v>0</v>
      </c>
      <c r="BK103" s="179">
        <f t="shared" si="106"/>
        <v>0</v>
      </c>
      <c r="BL103" s="202"/>
      <c r="BM103" s="203">
        <f t="shared" si="107"/>
        <v>0</v>
      </c>
      <c r="BN103" s="204">
        <f t="shared" si="108"/>
        <v>0</v>
      </c>
      <c r="BO103" s="16">
        <f t="shared" si="109"/>
        <v>107000</v>
      </c>
      <c r="BP103" s="205">
        <f t="shared" si="110"/>
        <v>11770</v>
      </c>
      <c r="BQ103" s="206">
        <f t="shared" si="111"/>
        <v>118770</v>
      </c>
      <c r="BR103" s="55">
        <f t="shared" si="112"/>
        <v>1.0907237512742101</v>
      </c>
      <c r="BS103" s="64">
        <f t="shared" si="113"/>
        <v>0</v>
      </c>
      <c r="BT103" s="53">
        <f t="shared" si="114"/>
        <v>0</v>
      </c>
      <c r="BU103" s="65">
        <f t="shared" si="115"/>
        <v>0</v>
      </c>
      <c r="BV103" s="206">
        <f t="shared" si="116"/>
        <v>107000</v>
      </c>
      <c r="BW103" s="207">
        <f t="shared" si="117"/>
        <v>54.15</v>
      </c>
      <c r="BX103" s="199"/>
      <c r="BY103" s="206">
        <f t="shared" si="118"/>
        <v>118770</v>
      </c>
      <c r="BZ103" s="208" t="s">
        <v>687</v>
      </c>
      <c r="CA103" s="199"/>
      <c r="CB103" s="199"/>
      <c r="CC103" s="200" t="str">
        <f t="shared" si="119"/>
        <v/>
      </c>
      <c r="CD103" s="197"/>
      <c r="CE103" s="197"/>
      <c r="CF103" s="10" t="str">
        <f>IFERROR(INDEX('[4]Lookup_Rem Ranges'!$D:$D,MATCH($CC:$CC,'[4]Lookup_Rem Ranges'!$C:$C,0)),"")</f>
        <v/>
      </c>
      <c r="CG103" s="307"/>
      <c r="CH103" s="307"/>
      <c r="CI103" s="210"/>
      <c r="CJ103" s="122" t="s">
        <v>701</v>
      </c>
      <c r="CK103" s="206">
        <f t="shared" si="120"/>
        <v>0</v>
      </c>
      <c r="CL103" s="206">
        <f t="shared" si="121"/>
        <v>0</v>
      </c>
      <c r="CM103" s="123"/>
      <c r="CN103" s="124">
        <f t="shared" si="122"/>
        <v>0</v>
      </c>
      <c r="CO103" s="124" t="s">
        <v>1375</v>
      </c>
      <c r="CP103" s="125">
        <f t="shared" si="123"/>
        <v>0</v>
      </c>
      <c r="CQ103" s="126">
        <f t="shared" si="124"/>
        <v>0</v>
      </c>
      <c r="CR103" s="127">
        <f t="shared" si="125"/>
        <v>0</v>
      </c>
      <c r="CS103" s="128">
        <f t="shared" si="126"/>
        <v>0</v>
      </c>
      <c r="CT103" s="127">
        <f t="shared" si="127"/>
        <v>0</v>
      </c>
      <c r="CU103" s="128">
        <f t="shared" si="128"/>
        <v>0</v>
      </c>
      <c r="CV103" s="127">
        <f t="shared" si="129"/>
        <v>0</v>
      </c>
      <c r="CW103" s="128">
        <f t="shared" si="130"/>
        <v>0</v>
      </c>
      <c r="CX103" s="127">
        <f t="shared" si="131"/>
        <v>0</v>
      </c>
      <c r="CY103" s="128">
        <f t="shared" si="132"/>
        <v>0</v>
      </c>
      <c r="CZ103" s="127">
        <f>$CR:$CR+$CT:CT+$CV:$CV+$CX:$CX</f>
        <v>0</v>
      </c>
      <c r="DA103" s="127">
        <f t="shared" si="133"/>
        <v>0</v>
      </c>
      <c r="DB103" s="127"/>
      <c r="DC103" s="127">
        <f t="shared" si="134"/>
        <v>0</v>
      </c>
      <c r="DD103" s="128">
        <f t="shared" si="135"/>
        <v>0</v>
      </c>
      <c r="DE103" s="129">
        <f t="shared" si="136"/>
        <v>0</v>
      </c>
      <c r="DF103" s="128">
        <f t="shared" si="137"/>
        <v>0</v>
      </c>
      <c r="DG103" s="129">
        <f t="shared" si="138"/>
        <v>0</v>
      </c>
      <c r="DH103" s="128">
        <f t="shared" si="139"/>
        <v>0</v>
      </c>
      <c r="DI103" s="127">
        <f t="shared" si="140"/>
        <v>0</v>
      </c>
      <c r="DJ103" s="128">
        <f t="shared" si="141"/>
        <v>0</v>
      </c>
      <c r="DK103" s="127">
        <f t="shared" si="142"/>
        <v>0</v>
      </c>
      <c r="DL103" s="128">
        <f t="shared" si="143"/>
        <v>0</v>
      </c>
      <c r="DM103" s="130"/>
      <c r="DN103" s="131"/>
      <c r="DO103" s="131"/>
      <c r="DP103" s="131"/>
      <c r="DQ103" s="131"/>
      <c r="DR103" s="131"/>
      <c r="DS103" s="131"/>
      <c r="DT103" s="131"/>
      <c r="DU103" s="131"/>
      <c r="DV103" s="131"/>
      <c r="DW103" s="131" t="s">
        <v>1381</v>
      </c>
    </row>
    <row r="104" spans="1:127" ht="33.75">
      <c r="A104" s="134"/>
      <c r="B104" s="121" t="s">
        <v>490</v>
      </c>
      <c r="C104" s="121" t="s">
        <v>955</v>
      </c>
      <c r="D104" s="121">
        <v>7326</v>
      </c>
      <c r="E104" s="192" t="s">
        <v>500</v>
      </c>
      <c r="F104" s="192" t="s">
        <v>956</v>
      </c>
      <c r="G104" s="192" t="s">
        <v>537</v>
      </c>
      <c r="H104" s="193" t="s">
        <v>951</v>
      </c>
      <c r="I104" s="192" t="s">
        <v>897</v>
      </c>
      <c r="J104" s="192" t="s">
        <v>898</v>
      </c>
      <c r="K104" s="194">
        <v>39023</v>
      </c>
      <c r="L104" s="194"/>
      <c r="M104" s="194">
        <v>44653</v>
      </c>
      <c r="N104" s="195" t="s">
        <v>539</v>
      </c>
      <c r="O104" s="195">
        <v>38</v>
      </c>
      <c r="P104" s="196">
        <f t="shared" si="97"/>
        <v>1</v>
      </c>
      <c r="Q104" s="192" t="s">
        <v>614</v>
      </c>
      <c r="R104" s="192">
        <v>21991</v>
      </c>
      <c r="S104" s="192" t="s">
        <v>954</v>
      </c>
      <c r="T104" s="192" t="s">
        <v>915</v>
      </c>
      <c r="U104" s="192" t="s">
        <v>916</v>
      </c>
      <c r="V104" s="193" t="s">
        <v>543</v>
      </c>
      <c r="W104" s="193" t="s">
        <v>2</v>
      </c>
      <c r="X104" s="193" t="s">
        <v>823</v>
      </c>
      <c r="Y104" s="56" t="s">
        <v>824</v>
      </c>
      <c r="Z104" s="193" t="s">
        <v>891</v>
      </c>
      <c r="AA104" s="193" t="s">
        <v>916</v>
      </c>
      <c r="AB104" s="57" t="s">
        <v>1369</v>
      </c>
      <c r="AC104" s="193" t="s">
        <v>825</v>
      </c>
      <c r="AD104" s="56" t="s">
        <v>826</v>
      </c>
      <c r="AE104" s="10">
        <f>IFERROR(INDEX('[3]Lookup_Rem Ranges'!$D:$D,MATCH($AL:$AL,'[3]Lookup_Rem Ranges'!$C:$C,0)),0)</f>
        <v>133400</v>
      </c>
      <c r="AF104" s="10">
        <f>IFERROR(INDEX('[3]Lookup_Rem Ranges'!$E:$E,MATCH($AL:$AL,'[3]Lookup_Rem Ranges'!$C:$C,0)),0)</f>
        <v>156900</v>
      </c>
      <c r="AG104" s="10">
        <f>IFERROR(INDEX('[3]Lookup_Rem Ranges'!$F:$F,MATCH($AL:$AL,'[3]Lookup_Rem Ranges'!$C:$C,0)),)</f>
        <v>180400</v>
      </c>
      <c r="AH104" s="193" t="s">
        <v>622</v>
      </c>
      <c r="AI104" s="197"/>
      <c r="AJ104" s="198">
        <v>0</v>
      </c>
      <c r="AK104" s="199"/>
      <c r="AL104" s="200" t="str">
        <f t="shared" si="98"/>
        <v>CASS7</v>
      </c>
      <c r="AM104" s="200" t="s">
        <v>487</v>
      </c>
      <c r="AN104" s="197">
        <v>7</v>
      </c>
      <c r="AO104" s="199" t="s">
        <v>701</v>
      </c>
      <c r="AP104" s="5">
        <v>134200</v>
      </c>
      <c r="AQ104" s="10">
        <f t="shared" si="99"/>
        <v>134200</v>
      </c>
      <c r="AR104" s="10">
        <f t="shared" si="100"/>
        <v>134200</v>
      </c>
      <c r="AS104" s="53">
        <v>4.5171339563862926E-2</v>
      </c>
      <c r="AT104" s="53">
        <v>0</v>
      </c>
      <c r="AU104" s="201"/>
      <c r="AV104" s="10"/>
      <c r="AW104" s="54">
        <v>0</v>
      </c>
      <c r="AX104" s="10">
        <v>0</v>
      </c>
      <c r="AY104" s="10">
        <v>134200</v>
      </c>
      <c r="AZ104" s="55">
        <f t="shared" si="101"/>
        <v>0.85532186105799868</v>
      </c>
      <c r="BA104" s="37" t="s">
        <v>23</v>
      </c>
      <c r="BB104" s="38">
        <v>3</v>
      </c>
      <c r="BC104" s="53">
        <f t="shared" si="102"/>
        <v>0</v>
      </c>
      <c r="BD104" s="65">
        <f t="shared" si="144"/>
        <v>0</v>
      </c>
      <c r="BE104" s="44">
        <v>3.2500000000000001E-2</v>
      </c>
      <c r="BF104" s="179">
        <f t="shared" si="103"/>
        <v>4362</v>
      </c>
      <c r="BG104" s="402">
        <v>0</v>
      </c>
      <c r="BH104" s="403">
        <f t="shared" si="104"/>
        <v>0</v>
      </c>
      <c r="BI104" s="44">
        <v>0</v>
      </c>
      <c r="BJ104" s="179">
        <f t="shared" si="105"/>
        <v>0</v>
      </c>
      <c r="BK104" s="179">
        <f t="shared" si="106"/>
        <v>0</v>
      </c>
      <c r="BL104" s="202"/>
      <c r="BM104" s="203">
        <f t="shared" si="107"/>
        <v>3.2500000000000001E-2</v>
      </c>
      <c r="BN104" s="204">
        <f t="shared" si="108"/>
        <v>4362</v>
      </c>
      <c r="BO104" s="16">
        <f t="shared" si="109"/>
        <v>138562</v>
      </c>
      <c r="BP104" s="205">
        <f t="shared" si="110"/>
        <v>15242</v>
      </c>
      <c r="BQ104" s="206">
        <f t="shared" si="111"/>
        <v>153804</v>
      </c>
      <c r="BR104" s="55">
        <f t="shared" si="112"/>
        <v>0.88312300828553214</v>
      </c>
      <c r="BS104" s="64">
        <f t="shared" si="113"/>
        <v>688</v>
      </c>
      <c r="BT104" s="53">
        <f t="shared" si="114"/>
        <v>3.2500000000000001E-2</v>
      </c>
      <c r="BU104" s="65">
        <f t="shared" si="115"/>
        <v>4362</v>
      </c>
      <c r="BV104" s="206">
        <f t="shared" si="116"/>
        <v>138562</v>
      </c>
      <c r="BW104" s="207">
        <f t="shared" si="117"/>
        <v>70.12</v>
      </c>
      <c r="BX104" s="199"/>
      <c r="BY104" s="206">
        <f t="shared" si="118"/>
        <v>153804</v>
      </c>
      <c r="BZ104" s="208" t="s">
        <v>687</v>
      </c>
      <c r="CA104" s="199"/>
      <c r="CB104" s="199"/>
      <c r="CC104" s="200" t="str">
        <f t="shared" si="119"/>
        <v/>
      </c>
      <c r="CD104" s="197"/>
      <c r="CE104" s="197"/>
      <c r="CF104" s="10" t="str">
        <f>IFERROR(INDEX('[4]Lookup_Rem Ranges'!$D:$D,MATCH($CC:$CC,'[4]Lookup_Rem Ranges'!$C:$C,0)),"")</f>
        <v/>
      </c>
      <c r="CG104" s="307"/>
      <c r="CH104" s="307"/>
      <c r="CI104" s="210"/>
      <c r="CJ104" s="122" t="s">
        <v>701</v>
      </c>
      <c r="CK104" s="206">
        <f t="shared" si="120"/>
        <v>0</v>
      </c>
      <c r="CL104" s="206">
        <f t="shared" si="121"/>
        <v>0</v>
      </c>
      <c r="CM104" s="123"/>
      <c r="CN104" s="124">
        <f t="shared" si="122"/>
        <v>0</v>
      </c>
      <c r="CO104" s="124" t="s">
        <v>1376</v>
      </c>
      <c r="CP104" s="125">
        <f t="shared" si="123"/>
        <v>3.2500000000000001E-2</v>
      </c>
      <c r="CQ104" s="126">
        <f t="shared" si="124"/>
        <v>4362</v>
      </c>
      <c r="CR104" s="127">
        <f t="shared" si="125"/>
        <v>0</v>
      </c>
      <c r="CS104" s="128">
        <f t="shared" si="126"/>
        <v>0</v>
      </c>
      <c r="CT104" s="127">
        <f t="shared" si="127"/>
        <v>0</v>
      </c>
      <c r="CU104" s="128">
        <f t="shared" si="128"/>
        <v>0</v>
      </c>
      <c r="CV104" s="127">
        <f t="shared" si="129"/>
        <v>0</v>
      </c>
      <c r="CW104" s="128">
        <f t="shared" si="130"/>
        <v>0</v>
      </c>
      <c r="CX104" s="127">
        <f t="shared" si="131"/>
        <v>0</v>
      </c>
      <c r="CY104" s="128">
        <f t="shared" si="132"/>
        <v>0</v>
      </c>
      <c r="CZ104" s="127">
        <f>$CR:$CR+$CT:CT+$CV:$CV+$CX:$CX</f>
        <v>0</v>
      </c>
      <c r="DA104" s="127">
        <f t="shared" si="133"/>
        <v>0</v>
      </c>
      <c r="DB104" s="127"/>
      <c r="DC104" s="127">
        <f t="shared" si="134"/>
        <v>3.2500000000000001E-2</v>
      </c>
      <c r="DD104" s="128">
        <f t="shared" si="135"/>
        <v>4362</v>
      </c>
      <c r="DE104" s="129">
        <f t="shared" si="136"/>
        <v>0</v>
      </c>
      <c r="DF104" s="128">
        <f t="shared" si="137"/>
        <v>0</v>
      </c>
      <c r="DG104" s="129">
        <f t="shared" si="138"/>
        <v>0</v>
      </c>
      <c r="DH104" s="128">
        <f t="shared" si="139"/>
        <v>0</v>
      </c>
      <c r="DI104" s="127">
        <f t="shared" si="140"/>
        <v>3.2500000000000001E-2</v>
      </c>
      <c r="DJ104" s="128">
        <f t="shared" si="141"/>
        <v>4362</v>
      </c>
      <c r="DK104" s="127">
        <f t="shared" si="142"/>
        <v>0</v>
      </c>
      <c r="DL104" s="128">
        <f t="shared" si="143"/>
        <v>0</v>
      </c>
      <c r="DM104" s="130"/>
      <c r="DN104" s="131"/>
      <c r="DO104" s="131"/>
      <c r="DP104" s="131"/>
      <c r="DQ104" s="131"/>
      <c r="DR104" s="131"/>
      <c r="DS104" s="131"/>
      <c r="DT104" s="131"/>
      <c r="DU104" s="131"/>
      <c r="DV104" s="131"/>
      <c r="DW104" s="131" t="s">
        <v>1381</v>
      </c>
    </row>
    <row r="105" spans="1:127" ht="33.75">
      <c r="A105" s="134"/>
      <c r="B105" s="121" t="s">
        <v>490</v>
      </c>
      <c r="C105" s="121" t="s">
        <v>1015</v>
      </c>
      <c r="D105" s="121">
        <v>8681</v>
      </c>
      <c r="E105" s="192" t="s">
        <v>503</v>
      </c>
      <c r="F105" s="192" t="s">
        <v>1016</v>
      </c>
      <c r="G105" s="192" t="s">
        <v>537</v>
      </c>
      <c r="H105" s="193" t="s">
        <v>1017</v>
      </c>
      <c r="I105" s="192" t="s">
        <v>1018</v>
      </c>
      <c r="J105" s="192" t="s">
        <v>1019</v>
      </c>
      <c r="K105" s="194">
        <v>38957</v>
      </c>
      <c r="L105" s="194"/>
      <c r="M105" s="194">
        <v>44197</v>
      </c>
      <c r="N105" s="195" t="s">
        <v>539</v>
      </c>
      <c r="O105" s="195">
        <v>38</v>
      </c>
      <c r="P105" s="196">
        <f t="shared" si="97"/>
        <v>1</v>
      </c>
      <c r="Q105" s="192" t="s">
        <v>617</v>
      </c>
      <c r="R105" s="192">
        <v>21991</v>
      </c>
      <c r="S105" s="192" t="s">
        <v>954</v>
      </c>
      <c r="T105" s="192" t="s">
        <v>915</v>
      </c>
      <c r="U105" s="192" t="s">
        <v>916</v>
      </c>
      <c r="V105" s="193" t="s">
        <v>543</v>
      </c>
      <c r="W105" s="193" t="s">
        <v>2</v>
      </c>
      <c r="X105" s="193" t="s">
        <v>823</v>
      </c>
      <c r="Y105" s="56" t="s">
        <v>824</v>
      </c>
      <c r="Z105" s="193" t="s">
        <v>891</v>
      </c>
      <c r="AA105" s="193" t="s">
        <v>916</v>
      </c>
      <c r="AB105" s="57" t="s">
        <v>1369</v>
      </c>
      <c r="AC105" s="193" t="s">
        <v>825</v>
      </c>
      <c r="AD105" s="56" t="s">
        <v>826</v>
      </c>
      <c r="AE105" s="10">
        <f>IFERROR(INDEX('[3]Lookup_Rem Ranges'!$D:$D,MATCH($AL:$AL,'[3]Lookup_Rem Ranges'!$C:$C,0)),0)</f>
        <v>105500</v>
      </c>
      <c r="AF105" s="10">
        <f>IFERROR(INDEX('[3]Lookup_Rem Ranges'!$E:$E,MATCH($AL:$AL,'[3]Lookup_Rem Ranges'!$C:$C,0)),0)</f>
        <v>124100</v>
      </c>
      <c r="AG105" s="10">
        <f>IFERROR(INDEX('[3]Lookup_Rem Ranges'!$F:$F,MATCH($AL:$AL,'[3]Lookup_Rem Ranges'!$C:$C,0)),)</f>
        <v>142700</v>
      </c>
      <c r="AH105" s="193" t="s">
        <v>622</v>
      </c>
      <c r="AI105" s="197"/>
      <c r="AJ105" s="198">
        <v>0</v>
      </c>
      <c r="AK105" s="199"/>
      <c r="AL105" s="200" t="str">
        <f t="shared" si="98"/>
        <v>CASS6</v>
      </c>
      <c r="AM105" s="200" t="s">
        <v>487</v>
      </c>
      <c r="AN105" s="197">
        <v>6</v>
      </c>
      <c r="AO105" s="199" t="s">
        <v>701</v>
      </c>
      <c r="AP105" s="5">
        <v>115600</v>
      </c>
      <c r="AQ105" s="10">
        <f t="shared" si="99"/>
        <v>115600</v>
      </c>
      <c r="AR105" s="10">
        <f t="shared" si="100"/>
        <v>115600</v>
      </c>
      <c r="AS105" s="53">
        <v>8.0373831775700941E-2</v>
      </c>
      <c r="AT105" s="53">
        <v>0</v>
      </c>
      <c r="AU105" s="201"/>
      <c r="AV105" s="10"/>
      <c r="AW105" s="54">
        <v>0</v>
      </c>
      <c r="AX105" s="10">
        <v>0</v>
      </c>
      <c r="AY105" s="10">
        <v>115600</v>
      </c>
      <c r="AZ105" s="55">
        <f t="shared" si="101"/>
        <v>0.93150684931506844</v>
      </c>
      <c r="BA105" s="37" t="s">
        <v>23</v>
      </c>
      <c r="BB105" s="38">
        <v>3</v>
      </c>
      <c r="BC105" s="53">
        <f t="shared" si="102"/>
        <v>0</v>
      </c>
      <c r="BD105" s="65">
        <f t="shared" si="144"/>
        <v>0</v>
      </c>
      <c r="BE105" s="44">
        <v>3.2500000000000001E-2</v>
      </c>
      <c r="BF105" s="179">
        <f t="shared" si="103"/>
        <v>3757</v>
      </c>
      <c r="BG105" s="402">
        <v>0</v>
      </c>
      <c r="BH105" s="403">
        <f t="shared" si="104"/>
        <v>0</v>
      </c>
      <c r="BI105" s="44">
        <v>0</v>
      </c>
      <c r="BJ105" s="179">
        <f t="shared" si="105"/>
        <v>0</v>
      </c>
      <c r="BK105" s="179">
        <f t="shared" si="106"/>
        <v>0</v>
      </c>
      <c r="BL105" s="202"/>
      <c r="BM105" s="203">
        <f t="shared" si="107"/>
        <v>3.2500000000000001E-2</v>
      </c>
      <c r="BN105" s="204">
        <f t="shared" si="108"/>
        <v>3757</v>
      </c>
      <c r="BO105" s="16">
        <f t="shared" si="109"/>
        <v>119357</v>
      </c>
      <c r="BP105" s="205">
        <f t="shared" si="110"/>
        <v>13129</v>
      </c>
      <c r="BQ105" s="206">
        <f t="shared" si="111"/>
        <v>132486</v>
      </c>
      <c r="BR105" s="55">
        <f t="shared" si="112"/>
        <v>0.96178082191780823</v>
      </c>
      <c r="BS105" s="64">
        <f t="shared" si="113"/>
        <v>592</v>
      </c>
      <c r="BT105" s="53">
        <f t="shared" si="114"/>
        <v>3.2500000000000001E-2</v>
      </c>
      <c r="BU105" s="65">
        <f t="shared" si="115"/>
        <v>3757</v>
      </c>
      <c r="BV105" s="206">
        <f t="shared" si="116"/>
        <v>119357</v>
      </c>
      <c r="BW105" s="207">
        <f t="shared" si="117"/>
        <v>60.4</v>
      </c>
      <c r="BX105" s="199"/>
      <c r="BY105" s="206">
        <f t="shared" si="118"/>
        <v>132486</v>
      </c>
      <c r="BZ105" s="208" t="s">
        <v>687</v>
      </c>
      <c r="CA105" s="199"/>
      <c r="CB105" s="199"/>
      <c r="CC105" s="200" t="str">
        <f t="shared" si="119"/>
        <v/>
      </c>
      <c r="CD105" s="197"/>
      <c r="CE105" s="197"/>
      <c r="CF105" s="10" t="str">
        <f>IFERROR(INDEX('[4]Lookup_Rem Ranges'!$D:$D,MATCH($CC:$CC,'[4]Lookup_Rem Ranges'!$C:$C,0)),"")</f>
        <v/>
      </c>
      <c r="CG105" s="307"/>
      <c r="CH105" s="307"/>
      <c r="CI105" s="210"/>
      <c r="CJ105" s="122" t="s">
        <v>701</v>
      </c>
      <c r="CK105" s="206">
        <f t="shared" si="120"/>
        <v>0</v>
      </c>
      <c r="CL105" s="206">
        <f t="shared" si="121"/>
        <v>0</v>
      </c>
      <c r="CM105" s="123"/>
      <c r="CN105" s="124">
        <f t="shared" si="122"/>
        <v>0</v>
      </c>
      <c r="CO105" s="124" t="s">
        <v>1376</v>
      </c>
      <c r="CP105" s="125">
        <f t="shared" si="123"/>
        <v>3.2500000000000001E-2</v>
      </c>
      <c r="CQ105" s="126">
        <f t="shared" si="124"/>
        <v>3757</v>
      </c>
      <c r="CR105" s="127">
        <f t="shared" si="125"/>
        <v>0</v>
      </c>
      <c r="CS105" s="128">
        <f t="shared" si="126"/>
        <v>0</v>
      </c>
      <c r="CT105" s="127">
        <f t="shared" si="127"/>
        <v>0</v>
      </c>
      <c r="CU105" s="128">
        <f t="shared" si="128"/>
        <v>0</v>
      </c>
      <c r="CV105" s="127">
        <f t="shared" si="129"/>
        <v>0</v>
      </c>
      <c r="CW105" s="128">
        <f t="shared" si="130"/>
        <v>0</v>
      </c>
      <c r="CX105" s="127">
        <f t="shared" si="131"/>
        <v>0</v>
      </c>
      <c r="CY105" s="128">
        <f t="shared" si="132"/>
        <v>0</v>
      </c>
      <c r="CZ105" s="127">
        <f>$CR:$CR+$CT:CT+$CV:$CV+$CX:$CX</f>
        <v>0</v>
      </c>
      <c r="DA105" s="127">
        <f t="shared" si="133"/>
        <v>0</v>
      </c>
      <c r="DB105" s="127"/>
      <c r="DC105" s="127">
        <f t="shared" si="134"/>
        <v>3.2500000000000001E-2</v>
      </c>
      <c r="DD105" s="128">
        <f t="shared" si="135"/>
        <v>3757</v>
      </c>
      <c r="DE105" s="129">
        <f t="shared" si="136"/>
        <v>0</v>
      </c>
      <c r="DF105" s="128">
        <f t="shared" si="137"/>
        <v>0</v>
      </c>
      <c r="DG105" s="129">
        <f t="shared" si="138"/>
        <v>0</v>
      </c>
      <c r="DH105" s="128">
        <f t="shared" si="139"/>
        <v>0</v>
      </c>
      <c r="DI105" s="127">
        <f t="shared" si="140"/>
        <v>3.2500000000000001E-2</v>
      </c>
      <c r="DJ105" s="128">
        <f t="shared" si="141"/>
        <v>3757</v>
      </c>
      <c r="DK105" s="127">
        <f t="shared" si="142"/>
        <v>0</v>
      </c>
      <c r="DL105" s="128">
        <f t="shared" si="143"/>
        <v>0</v>
      </c>
      <c r="DM105" s="130"/>
      <c r="DN105" s="131"/>
      <c r="DO105" s="131"/>
      <c r="DP105" s="131"/>
      <c r="DQ105" s="131"/>
      <c r="DR105" s="131"/>
      <c r="DS105" s="131"/>
      <c r="DT105" s="131"/>
      <c r="DU105" s="131"/>
      <c r="DV105" s="131"/>
      <c r="DW105" s="131" t="s">
        <v>1381</v>
      </c>
    </row>
    <row r="106" spans="1:127" ht="33.75">
      <c r="A106" s="134"/>
      <c r="B106" s="121" t="s">
        <v>490</v>
      </c>
      <c r="C106" s="121" t="s">
        <v>948</v>
      </c>
      <c r="D106" s="121">
        <v>13369</v>
      </c>
      <c r="E106" s="192" t="s">
        <v>949</v>
      </c>
      <c r="F106" s="192" t="s">
        <v>950</v>
      </c>
      <c r="G106" s="192" t="s">
        <v>537</v>
      </c>
      <c r="H106" s="193" t="s">
        <v>951</v>
      </c>
      <c r="I106" s="192" t="s">
        <v>952</v>
      </c>
      <c r="J106" s="192" t="s">
        <v>953</v>
      </c>
      <c r="K106" s="194">
        <v>41211</v>
      </c>
      <c r="L106" s="194"/>
      <c r="M106" s="194">
        <v>45048</v>
      </c>
      <c r="N106" s="195" t="s">
        <v>539</v>
      </c>
      <c r="O106" s="195">
        <v>38</v>
      </c>
      <c r="P106" s="196">
        <f t="shared" si="97"/>
        <v>1</v>
      </c>
      <c r="Q106" s="192" t="s">
        <v>614</v>
      </c>
      <c r="R106" s="192">
        <v>21991</v>
      </c>
      <c r="S106" s="192" t="s">
        <v>954</v>
      </c>
      <c r="T106" s="192" t="s">
        <v>915</v>
      </c>
      <c r="U106" s="192" t="s">
        <v>916</v>
      </c>
      <c r="V106" s="193" t="s">
        <v>543</v>
      </c>
      <c r="W106" s="193" t="s">
        <v>2</v>
      </c>
      <c r="X106" s="193" t="s">
        <v>823</v>
      </c>
      <c r="Y106" s="56" t="s">
        <v>824</v>
      </c>
      <c r="Z106" s="193" t="s">
        <v>891</v>
      </c>
      <c r="AA106" s="193" t="s">
        <v>916</v>
      </c>
      <c r="AB106" s="57" t="s">
        <v>1369</v>
      </c>
      <c r="AC106" s="193" t="s">
        <v>825</v>
      </c>
      <c r="AD106" s="56" t="s">
        <v>826</v>
      </c>
      <c r="AE106" s="10">
        <f>IFERROR(INDEX('[3]Lookup_Rem Ranges'!$D:$D,MATCH($AL:$AL,'[3]Lookup_Rem Ranges'!$C:$C,0)),0)</f>
        <v>133400</v>
      </c>
      <c r="AF106" s="10">
        <f>IFERROR(INDEX('[3]Lookup_Rem Ranges'!$E:$E,MATCH($AL:$AL,'[3]Lookup_Rem Ranges'!$C:$C,0)),0)</f>
        <v>156900</v>
      </c>
      <c r="AG106" s="10">
        <f>IFERROR(INDEX('[3]Lookup_Rem Ranges'!$F:$F,MATCH($AL:$AL,'[3]Lookup_Rem Ranges'!$C:$C,0)),)</f>
        <v>180400</v>
      </c>
      <c r="AH106" s="193" t="s">
        <v>622</v>
      </c>
      <c r="AI106" s="197"/>
      <c r="AJ106" s="198">
        <v>0</v>
      </c>
      <c r="AK106" s="199"/>
      <c r="AL106" s="200" t="str">
        <f t="shared" si="98"/>
        <v>CASS7</v>
      </c>
      <c r="AM106" s="200" t="s">
        <v>487</v>
      </c>
      <c r="AN106" s="197">
        <v>7</v>
      </c>
      <c r="AO106" s="199" t="s">
        <v>701</v>
      </c>
      <c r="AP106" s="5">
        <v>122200</v>
      </c>
      <c r="AQ106" s="10">
        <f t="shared" si="99"/>
        <v>122200</v>
      </c>
      <c r="AR106" s="10">
        <f t="shared" si="100"/>
        <v>122200</v>
      </c>
      <c r="AS106" s="53">
        <v>4.5337895637296836E-2</v>
      </c>
      <c r="AT106" s="53">
        <v>0</v>
      </c>
      <c r="AU106" s="201"/>
      <c r="AV106" s="10"/>
      <c r="AW106" s="54">
        <v>0</v>
      </c>
      <c r="AX106" s="10">
        <v>0</v>
      </c>
      <c r="AY106" s="10">
        <v>122200</v>
      </c>
      <c r="AZ106" s="55">
        <f t="shared" si="101"/>
        <v>0.77884002549394515</v>
      </c>
      <c r="BA106" s="37" t="s">
        <v>23</v>
      </c>
      <c r="BB106" s="38">
        <v>3</v>
      </c>
      <c r="BC106" s="53">
        <f t="shared" si="102"/>
        <v>9.1653027823240585E-2</v>
      </c>
      <c r="BD106" s="65">
        <f t="shared" si="144"/>
        <v>11200</v>
      </c>
      <c r="BE106" s="44">
        <v>0</v>
      </c>
      <c r="BF106" s="179">
        <f t="shared" si="103"/>
        <v>0</v>
      </c>
      <c r="BG106" s="402">
        <v>0</v>
      </c>
      <c r="BH106" s="403">
        <f t="shared" si="104"/>
        <v>0</v>
      </c>
      <c r="BI106" s="44">
        <v>0</v>
      </c>
      <c r="BJ106" s="179">
        <f t="shared" si="105"/>
        <v>0</v>
      </c>
      <c r="BK106" s="179">
        <f t="shared" si="106"/>
        <v>0</v>
      </c>
      <c r="BL106" s="202"/>
      <c r="BM106" s="203">
        <f t="shared" si="107"/>
        <v>9.1653027823240585E-2</v>
      </c>
      <c r="BN106" s="204">
        <f t="shared" si="108"/>
        <v>11200</v>
      </c>
      <c r="BO106" s="16">
        <f t="shared" si="109"/>
        <v>133400</v>
      </c>
      <c r="BP106" s="205">
        <f t="shared" si="110"/>
        <v>14674</v>
      </c>
      <c r="BQ106" s="206">
        <f t="shared" si="111"/>
        <v>148074</v>
      </c>
      <c r="BR106" s="55">
        <f t="shared" si="112"/>
        <v>0.85022307202039515</v>
      </c>
      <c r="BS106" s="64">
        <f t="shared" si="113"/>
        <v>1766</v>
      </c>
      <c r="BT106" s="53">
        <f t="shared" si="114"/>
        <v>9.1653027823240585E-2</v>
      </c>
      <c r="BU106" s="65">
        <f t="shared" si="115"/>
        <v>11200</v>
      </c>
      <c r="BV106" s="206">
        <f t="shared" si="116"/>
        <v>133400</v>
      </c>
      <c r="BW106" s="207">
        <f t="shared" si="117"/>
        <v>67.510000000000005</v>
      </c>
      <c r="BX106" s="199"/>
      <c r="BY106" s="206">
        <f t="shared" si="118"/>
        <v>148074</v>
      </c>
      <c r="BZ106" s="208" t="s">
        <v>687</v>
      </c>
      <c r="CA106" s="199"/>
      <c r="CB106" s="199"/>
      <c r="CC106" s="200" t="str">
        <f t="shared" si="119"/>
        <v/>
      </c>
      <c r="CD106" s="197"/>
      <c r="CE106" s="197"/>
      <c r="CF106" s="10" t="str">
        <f>IFERROR(INDEX('[4]Lookup_Rem Ranges'!$D:$D,MATCH($CC:$CC,'[4]Lookup_Rem Ranges'!$C:$C,0)),"")</f>
        <v/>
      </c>
      <c r="CG106" s="307"/>
      <c r="CH106" s="307"/>
      <c r="CI106" s="210"/>
      <c r="CJ106" s="122" t="s">
        <v>701</v>
      </c>
      <c r="CK106" s="206">
        <f t="shared" si="120"/>
        <v>0</v>
      </c>
      <c r="CL106" s="206">
        <f t="shared" si="121"/>
        <v>0</v>
      </c>
      <c r="CM106" s="123"/>
      <c r="CN106" s="124">
        <f t="shared" si="122"/>
        <v>0</v>
      </c>
      <c r="CO106" s="124" t="s">
        <v>1376</v>
      </c>
      <c r="CP106" s="125">
        <f t="shared" si="123"/>
        <v>3.2500000000000001E-2</v>
      </c>
      <c r="CQ106" s="126">
        <f t="shared" si="124"/>
        <v>3972</v>
      </c>
      <c r="CR106" s="127">
        <f t="shared" si="125"/>
        <v>0</v>
      </c>
      <c r="CS106" s="128">
        <f t="shared" si="126"/>
        <v>0</v>
      </c>
      <c r="CT106" s="127">
        <f t="shared" si="127"/>
        <v>0</v>
      </c>
      <c r="CU106" s="128">
        <f t="shared" si="128"/>
        <v>0</v>
      </c>
      <c r="CV106" s="127">
        <f t="shared" si="129"/>
        <v>3.2500000000000001E-2</v>
      </c>
      <c r="CW106" s="128">
        <f t="shared" si="130"/>
        <v>3972</v>
      </c>
      <c r="CX106" s="127">
        <f t="shared" si="131"/>
        <v>5.9153027823240584E-2</v>
      </c>
      <c r="CY106" s="128">
        <f t="shared" si="132"/>
        <v>7229</v>
      </c>
      <c r="CZ106" s="127">
        <f>$CR:$CR+$CT:CT+$CV:$CV+$CX:$CX</f>
        <v>9.1653027823240585E-2</v>
      </c>
      <c r="DA106" s="127">
        <f t="shared" si="133"/>
        <v>0</v>
      </c>
      <c r="DB106" s="127"/>
      <c r="DC106" s="127">
        <f t="shared" si="134"/>
        <v>0</v>
      </c>
      <c r="DD106" s="128">
        <f t="shared" si="135"/>
        <v>0</v>
      </c>
      <c r="DE106" s="129">
        <f t="shared" si="136"/>
        <v>0</v>
      </c>
      <c r="DF106" s="128">
        <f t="shared" si="137"/>
        <v>0</v>
      </c>
      <c r="DG106" s="129">
        <f t="shared" si="138"/>
        <v>0</v>
      </c>
      <c r="DH106" s="128">
        <f t="shared" si="139"/>
        <v>0</v>
      </c>
      <c r="DI106" s="127">
        <f t="shared" si="140"/>
        <v>3.2500000000000001E-2</v>
      </c>
      <c r="DJ106" s="128">
        <f t="shared" si="141"/>
        <v>3972</v>
      </c>
      <c r="DK106" s="127">
        <f t="shared" si="142"/>
        <v>5.9153027823240584E-2</v>
      </c>
      <c r="DL106" s="128">
        <f t="shared" si="143"/>
        <v>7229</v>
      </c>
      <c r="DM106" s="130"/>
      <c r="DN106" s="131"/>
      <c r="DO106" s="131"/>
      <c r="DP106" s="131"/>
      <c r="DQ106" s="131"/>
      <c r="DR106" s="131"/>
      <c r="DS106" s="131"/>
      <c r="DT106" s="131"/>
      <c r="DU106" s="131"/>
      <c r="DV106" s="131"/>
      <c r="DW106" s="131" t="s">
        <v>1381</v>
      </c>
    </row>
    <row r="107" spans="1:127" ht="22.5">
      <c r="A107" s="134"/>
      <c r="B107" s="121" t="s">
        <v>490</v>
      </c>
      <c r="C107" s="121" t="s">
        <v>1130</v>
      </c>
      <c r="D107" s="121">
        <v>21375</v>
      </c>
      <c r="E107" s="192" t="s">
        <v>791</v>
      </c>
      <c r="F107" s="192" t="s">
        <v>532</v>
      </c>
      <c r="G107" s="192" t="s">
        <v>537</v>
      </c>
      <c r="H107" s="193" t="s">
        <v>1131</v>
      </c>
      <c r="I107" s="192" t="s">
        <v>1132</v>
      </c>
      <c r="J107" s="192" t="s">
        <v>1133</v>
      </c>
      <c r="K107" s="194">
        <v>44830</v>
      </c>
      <c r="L107" s="194"/>
      <c r="M107" s="194">
        <v>44999</v>
      </c>
      <c r="N107" s="195" t="s">
        <v>539</v>
      </c>
      <c r="O107" s="195">
        <v>38</v>
      </c>
      <c r="P107" s="196">
        <f t="shared" si="97"/>
        <v>1</v>
      </c>
      <c r="Q107" s="192" t="s">
        <v>620</v>
      </c>
      <c r="R107" s="192">
        <v>17933</v>
      </c>
      <c r="S107" s="192" t="s">
        <v>1134</v>
      </c>
      <c r="T107" s="192" t="s">
        <v>1135</v>
      </c>
      <c r="U107" s="192" t="s">
        <v>1136</v>
      </c>
      <c r="V107" s="193" t="s">
        <v>543</v>
      </c>
      <c r="W107" s="193" t="s">
        <v>2</v>
      </c>
      <c r="X107" s="193" t="s">
        <v>823</v>
      </c>
      <c r="Y107" s="56" t="s">
        <v>824</v>
      </c>
      <c r="Z107" s="193" t="s">
        <v>891</v>
      </c>
      <c r="AA107" s="193" t="s">
        <v>916</v>
      </c>
      <c r="AB107" s="57" t="s">
        <v>1369</v>
      </c>
      <c r="AC107" s="193" t="s">
        <v>825</v>
      </c>
      <c r="AD107" s="56" t="s">
        <v>826</v>
      </c>
      <c r="AE107" s="10">
        <f>IFERROR(INDEX('[3]Lookup_Rem Ranges'!$D:$D,MATCH($AL:$AL,'[3]Lookup_Rem Ranges'!$C:$C,0)),0)</f>
        <v>70000</v>
      </c>
      <c r="AF107" s="10">
        <f>IFERROR(INDEX('[3]Lookup_Rem Ranges'!$E:$E,MATCH($AL:$AL,'[3]Lookup_Rem Ranges'!$C:$C,0)),0)</f>
        <v>82300</v>
      </c>
      <c r="AG107" s="10">
        <f>IFERROR(INDEX('[3]Lookup_Rem Ranges'!$F:$F,MATCH($AL:$AL,'[3]Lookup_Rem Ranges'!$C:$C,0)),)</f>
        <v>94600</v>
      </c>
      <c r="AH107" s="193" t="s">
        <v>622</v>
      </c>
      <c r="AI107" s="197"/>
      <c r="AJ107" s="198">
        <v>0</v>
      </c>
      <c r="AK107" s="199"/>
      <c r="AL107" s="200" t="str">
        <f t="shared" si="98"/>
        <v>CASS4</v>
      </c>
      <c r="AM107" s="200" t="s">
        <v>487</v>
      </c>
      <c r="AN107" s="197">
        <v>4</v>
      </c>
      <c r="AO107" s="199" t="s">
        <v>827</v>
      </c>
      <c r="AP107" s="5">
        <v>82000</v>
      </c>
      <c r="AQ107" s="10">
        <f t="shared" si="99"/>
        <v>82000</v>
      </c>
      <c r="AR107" s="10">
        <f t="shared" si="100"/>
        <v>0</v>
      </c>
      <c r="AS107" s="53" t="s">
        <v>790</v>
      </c>
      <c r="AT107" s="53">
        <v>0</v>
      </c>
      <c r="AU107" s="201"/>
      <c r="AV107" s="10"/>
      <c r="AW107" s="54">
        <v>0</v>
      </c>
      <c r="AX107" s="10">
        <v>0</v>
      </c>
      <c r="AY107" s="10">
        <v>82000</v>
      </c>
      <c r="AZ107" s="55">
        <f t="shared" si="101"/>
        <v>0.99635479951397332</v>
      </c>
      <c r="BA107" s="37" t="s">
        <v>687</v>
      </c>
      <c r="BB107" s="38">
        <v>3</v>
      </c>
      <c r="BC107" s="53">
        <f t="shared" si="102"/>
        <v>0</v>
      </c>
      <c r="BD107" s="65">
        <f t="shared" si="144"/>
        <v>0</v>
      </c>
      <c r="BE107" s="44">
        <v>0</v>
      </c>
      <c r="BF107" s="179">
        <f t="shared" si="103"/>
        <v>0</v>
      </c>
      <c r="BG107" s="402">
        <v>0</v>
      </c>
      <c r="BH107" s="403">
        <f t="shared" si="104"/>
        <v>0</v>
      </c>
      <c r="BI107" s="44">
        <v>0</v>
      </c>
      <c r="BJ107" s="179">
        <f t="shared" si="105"/>
        <v>0</v>
      </c>
      <c r="BK107" s="179">
        <f t="shared" si="106"/>
        <v>0</v>
      </c>
      <c r="BL107" s="202"/>
      <c r="BM107" s="203">
        <f t="shared" si="107"/>
        <v>0</v>
      </c>
      <c r="BN107" s="204">
        <f t="shared" si="108"/>
        <v>0</v>
      </c>
      <c r="BO107" s="16">
        <f t="shared" si="109"/>
        <v>82000</v>
      </c>
      <c r="BP107" s="205">
        <f t="shared" si="110"/>
        <v>9020</v>
      </c>
      <c r="BQ107" s="206">
        <f t="shared" si="111"/>
        <v>91020</v>
      </c>
      <c r="BR107" s="55">
        <f t="shared" si="112"/>
        <v>0.99635479951397332</v>
      </c>
      <c r="BS107" s="64">
        <f t="shared" si="113"/>
        <v>0</v>
      </c>
      <c r="BT107" s="53">
        <f t="shared" si="114"/>
        <v>0</v>
      </c>
      <c r="BU107" s="65">
        <f t="shared" si="115"/>
        <v>0</v>
      </c>
      <c r="BV107" s="206">
        <f t="shared" si="116"/>
        <v>82000</v>
      </c>
      <c r="BW107" s="207">
        <f t="shared" si="117"/>
        <v>41.5</v>
      </c>
      <c r="BX107" s="199"/>
      <c r="BY107" s="206">
        <f t="shared" si="118"/>
        <v>91020</v>
      </c>
      <c r="BZ107" s="208" t="s">
        <v>687</v>
      </c>
      <c r="CA107" s="199"/>
      <c r="CB107" s="199"/>
      <c r="CC107" s="200" t="str">
        <f t="shared" si="119"/>
        <v/>
      </c>
      <c r="CD107" s="197"/>
      <c r="CE107" s="197"/>
      <c r="CF107" s="10" t="str">
        <f>IFERROR(INDEX('[4]Lookup_Rem Ranges'!$D:$D,MATCH($CC:$CC,'[4]Lookup_Rem Ranges'!$C:$C,0)),"")</f>
        <v/>
      </c>
      <c r="CG107" s="307"/>
      <c r="CH107" s="307"/>
      <c r="CI107" s="210"/>
      <c r="CJ107" s="122" t="s">
        <v>701</v>
      </c>
      <c r="CK107" s="206">
        <f t="shared" si="120"/>
        <v>0</v>
      </c>
      <c r="CL107" s="206">
        <f t="shared" si="121"/>
        <v>0</v>
      </c>
      <c r="CM107" s="123"/>
      <c r="CN107" s="124">
        <f t="shared" si="122"/>
        <v>0</v>
      </c>
      <c r="CO107" s="124" t="s">
        <v>1374</v>
      </c>
      <c r="CP107" s="125">
        <f t="shared" si="123"/>
        <v>0</v>
      </c>
      <c r="CQ107" s="126">
        <f t="shared" si="124"/>
        <v>0</v>
      </c>
      <c r="CR107" s="127">
        <f t="shared" si="125"/>
        <v>0</v>
      </c>
      <c r="CS107" s="128">
        <f t="shared" si="126"/>
        <v>0</v>
      </c>
      <c r="CT107" s="127">
        <f t="shared" si="127"/>
        <v>0</v>
      </c>
      <c r="CU107" s="128">
        <f t="shared" si="128"/>
        <v>0</v>
      </c>
      <c r="CV107" s="127">
        <f t="shared" si="129"/>
        <v>0</v>
      </c>
      <c r="CW107" s="128">
        <f t="shared" si="130"/>
        <v>0</v>
      </c>
      <c r="CX107" s="127">
        <f t="shared" si="131"/>
        <v>0</v>
      </c>
      <c r="CY107" s="128">
        <f t="shared" si="132"/>
        <v>0</v>
      </c>
      <c r="CZ107" s="127">
        <f>$CR:$CR+$CT:CT+$CV:$CV+$CX:$CX</f>
        <v>0</v>
      </c>
      <c r="DA107" s="127">
        <f t="shared" si="133"/>
        <v>0</v>
      </c>
      <c r="DB107" s="127"/>
      <c r="DC107" s="127">
        <f t="shared" si="134"/>
        <v>0</v>
      </c>
      <c r="DD107" s="128">
        <f t="shared" si="135"/>
        <v>0</v>
      </c>
      <c r="DE107" s="129">
        <f t="shared" si="136"/>
        <v>0</v>
      </c>
      <c r="DF107" s="128">
        <f t="shared" si="137"/>
        <v>0</v>
      </c>
      <c r="DG107" s="129">
        <f t="shared" si="138"/>
        <v>0</v>
      </c>
      <c r="DH107" s="128">
        <f t="shared" si="139"/>
        <v>0</v>
      </c>
      <c r="DI107" s="127">
        <f t="shared" si="140"/>
        <v>0</v>
      </c>
      <c r="DJ107" s="128">
        <f t="shared" si="141"/>
        <v>0</v>
      </c>
      <c r="DK107" s="127">
        <f t="shared" si="142"/>
        <v>0</v>
      </c>
      <c r="DL107" s="128">
        <f t="shared" si="143"/>
        <v>0</v>
      </c>
      <c r="DM107" s="130"/>
      <c r="DN107" s="131"/>
      <c r="DO107" s="131"/>
      <c r="DP107" s="131"/>
      <c r="DQ107" s="131"/>
      <c r="DR107" s="131"/>
      <c r="DS107" s="131"/>
      <c r="DT107" s="131"/>
      <c r="DU107" s="131"/>
      <c r="DV107" s="131"/>
      <c r="DW107" s="131" t="s">
        <v>1381</v>
      </c>
    </row>
    <row r="108" spans="1:127" ht="24">
      <c r="A108" s="134"/>
      <c r="B108" s="121" t="s">
        <v>490</v>
      </c>
      <c r="C108" s="121" t="s">
        <v>858</v>
      </c>
      <c r="D108" s="121">
        <v>19012</v>
      </c>
      <c r="E108" s="192" t="s">
        <v>859</v>
      </c>
      <c r="F108" s="192" t="s">
        <v>860</v>
      </c>
      <c r="G108" s="192" t="s">
        <v>537</v>
      </c>
      <c r="H108" s="193" t="s">
        <v>861</v>
      </c>
      <c r="I108" s="192" t="s">
        <v>862</v>
      </c>
      <c r="J108" s="192" t="s">
        <v>533</v>
      </c>
      <c r="K108" s="194">
        <v>43773</v>
      </c>
      <c r="L108" s="194"/>
      <c r="M108" s="194">
        <v>44713</v>
      </c>
      <c r="N108" s="195" t="s">
        <v>539</v>
      </c>
      <c r="O108" s="195">
        <v>38</v>
      </c>
      <c r="P108" s="196">
        <f t="shared" si="97"/>
        <v>1</v>
      </c>
      <c r="Q108" s="192" t="s">
        <v>613</v>
      </c>
      <c r="R108" s="192">
        <v>21062</v>
      </c>
      <c r="S108" s="192" t="s">
        <v>863</v>
      </c>
      <c r="T108" s="192" t="s">
        <v>864</v>
      </c>
      <c r="U108" s="192" t="s">
        <v>865</v>
      </c>
      <c r="V108" s="193" t="s">
        <v>543</v>
      </c>
      <c r="W108" s="193" t="s">
        <v>626</v>
      </c>
      <c r="X108" s="193" t="s">
        <v>823</v>
      </c>
      <c r="Y108" s="52" t="s">
        <v>824</v>
      </c>
      <c r="Z108" s="193" t="s">
        <v>1371</v>
      </c>
      <c r="AA108" s="193" t="s">
        <v>876</v>
      </c>
      <c r="AB108" s="57" t="s">
        <v>1372</v>
      </c>
      <c r="AC108" s="193" t="s">
        <v>825</v>
      </c>
      <c r="AD108" s="52" t="s">
        <v>826</v>
      </c>
      <c r="AE108" s="10">
        <f>IFERROR(INDEX('[3]Lookup_Rem Ranges'!$D:$D,MATCH($AL:$AL,'[3]Lookup_Rem Ranges'!$C:$C,0)),0)</f>
        <v>88700</v>
      </c>
      <c r="AF108" s="10">
        <f>IFERROR(INDEX('[3]Lookup_Rem Ranges'!$E:$E,MATCH($AL:$AL,'[3]Lookup_Rem Ranges'!$C:$C,0)),0)</f>
        <v>104300</v>
      </c>
      <c r="AG108" s="10">
        <f>IFERROR(INDEX('[3]Lookup_Rem Ranges'!$F:$F,MATCH($AL:$AL,'[3]Lookup_Rem Ranges'!$C:$C,0)),)</f>
        <v>119900</v>
      </c>
      <c r="AH108" s="193" t="s">
        <v>622</v>
      </c>
      <c r="AI108" s="197"/>
      <c r="AJ108" s="198">
        <v>0</v>
      </c>
      <c r="AK108" s="199"/>
      <c r="AL108" s="200" t="str">
        <f t="shared" si="98"/>
        <v>GI5</v>
      </c>
      <c r="AM108" s="200" t="s">
        <v>486</v>
      </c>
      <c r="AN108" s="197">
        <v>5</v>
      </c>
      <c r="AO108" s="199" t="s">
        <v>701</v>
      </c>
      <c r="AP108" s="5">
        <v>107100</v>
      </c>
      <c r="AQ108" s="10">
        <f t="shared" si="99"/>
        <v>107100</v>
      </c>
      <c r="AR108" s="10">
        <f t="shared" si="100"/>
        <v>107100</v>
      </c>
      <c r="AS108" s="53">
        <v>0.02</v>
      </c>
      <c r="AT108" s="53">
        <v>0</v>
      </c>
      <c r="AU108" s="201"/>
      <c r="AV108" s="10"/>
      <c r="AW108" s="54">
        <v>0</v>
      </c>
      <c r="AX108" s="10">
        <v>0</v>
      </c>
      <c r="AY108" s="10">
        <v>107100</v>
      </c>
      <c r="AZ108" s="55">
        <f t="shared" si="101"/>
        <v>1.0268456375838926</v>
      </c>
      <c r="BA108" s="37" t="s">
        <v>23</v>
      </c>
      <c r="BB108" s="38">
        <v>3</v>
      </c>
      <c r="BC108" s="53">
        <f t="shared" si="102"/>
        <v>0</v>
      </c>
      <c r="BD108" s="65">
        <f t="shared" si="144"/>
        <v>0</v>
      </c>
      <c r="BE108" s="44">
        <v>3.2500000000000001E-2</v>
      </c>
      <c r="BF108" s="179">
        <f t="shared" si="103"/>
        <v>3481</v>
      </c>
      <c r="BG108" s="402">
        <v>0</v>
      </c>
      <c r="BH108" s="403">
        <f t="shared" si="104"/>
        <v>0</v>
      </c>
      <c r="BI108" s="44">
        <v>0</v>
      </c>
      <c r="BJ108" s="179">
        <f t="shared" si="105"/>
        <v>0</v>
      </c>
      <c r="BK108" s="179">
        <f t="shared" si="106"/>
        <v>0</v>
      </c>
      <c r="BL108" s="202"/>
      <c r="BM108" s="203">
        <f t="shared" si="107"/>
        <v>3.2500000000000001E-2</v>
      </c>
      <c r="BN108" s="204">
        <f t="shared" si="108"/>
        <v>3481</v>
      </c>
      <c r="BO108" s="16">
        <f t="shared" si="109"/>
        <v>110581</v>
      </c>
      <c r="BP108" s="205">
        <f t="shared" si="110"/>
        <v>12164</v>
      </c>
      <c r="BQ108" s="206">
        <f t="shared" si="111"/>
        <v>122745</v>
      </c>
      <c r="BR108" s="55">
        <f t="shared" si="112"/>
        <v>1.0602205177372963</v>
      </c>
      <c r="BS108" s="64">
        <f t="shared" si="113"/>
        <v>549</v>
      </c>
      <c r="BT108" s="53">
        <f t="shared" si="114"/>
        <v>3.2500000000000001E-2</v>
      </c>
      <c r="BU108" s="65">
        <f t="shared" si="115"/>
        <v>3481</v>
      </c>
      <c r="BV108" s="206">
        <f t="shared" si="116"/>
        <v>110581</v>
      </c>
      <c r="BW108" s="207">
        <f t="shared" si="117"/>
        <v>55.96</v>
      </c>
      <c r="BX108" s="199"/>
      <c r="BY108" s="206">
        <f t="shared" si="118"/>
        <v>122745</v>
      </c>
      <c r="BZ108" s="208" t="s">
        <v>687</v>
      </c>
      <c r="CA108" s="199"/>
      <c r="CB108" s="199"/>
      <c r="CC108" s="200" t="str">
        <f t="shared" si="119"/>
        <v/>
      </c>
      <c r="CD108" s="197"/>
      <c r="CE108" s="197"/>
      <c r="CF108" s="10" t="str">
        <f>IFERROR(INDEX('[4]Lookup_Rem Ranges'!$D:$D,MATCH($CC:$CC,'[4]Lookup_Rem Ranges'!$C:$C,0)),"")</f>
        <v/>
      </c>
      <c r="CG108" s="306"/>
      <c r="CH108" s="306"/>
      <c r="CI108" s="209"/>
      <c r="CJ108" s="122" t="s">
        <v>701</v>
      </c>
      <c r="CK108" s="206">
        <f t="shared" si="120"/>
        <v>0</v>
      </c>
      <c r="CL108" s="206">
        <f t="shared" si="121"/>
        <v>0</v>
      </c>
      <c r="CM108" s="123"/>
      <c r="CN108" s="124">
        <f t="shared" si="122"/>
        <v>0</v>
      </c>
      <c r="CO108" s="124" t="s">
        <v>1375</v>
      </c>
      <c r="CP108" s="125">
        <f t="shared" si="123"/>
        <v>3.2500000000000001E-2</v>
      </c>
      <c r="CQ108" s="126">
        <f t="shared" si="124"/>
        <v>3481</v>
      </c>
      <c r="CR108" s="127">
        <f t="shared" si="125"/>
        <v>0</v>
      </c>
      <c r="CS108" s="128">
        <f t="shared" si="126"/>
        <v>0</v>
      </c>
      <c r="CT108" s="127">
        <f t="shared" si="127"/>
        <v>0</v>
      </c>
      <c r="CU108" s="128">
        <f t="shared" si="128"/>
        <v>0</v>
      </c>
      <c r="CV108" s="127">
        <f t="shared" si="129"/>
        <v>0</v>
      </c>
      <c r="CW108" s="128">
        <f t="shared" si="130"/>
        <v>0</v>
      </c>
      <c r="CX108" s="127">
        <f t="shared" si="131"/>
        <v>0</v>
      </c>
      <c r="CY108" s="128">
        <f t="shared" si="132"/>
        <v>0</v>
      </c>
      <c r="CZ108" s="127">
        <f>$CR:$CR+$CT:CT+$CV:$CV+$CX:$CX</f>
        <v>0</v>
      </c>
      <c r="DA108" s="127">
        <f t="shared" si="133"/>
        <v>0</v>
      </c>
      <c r="DB108" s="127"/>
      <c r="DC108" s="127">
        <f t="shared" si="134"/>
        <v>3.2500000000000001E-2</v>
      </c>
      <c r="DD108" s="128">
        <f t="shared" si="135"/>
        <v>3481</v>
      </c>
      <c r="DE108" s="129">
        <f t="shared" si="136"/>
        <v>0</v>
      </c>
      <c r="DF108" s="128">
        <f t="shared" si="137"/>
        <v>0</v>
      </c>
      <c r="DG108" s="129">
        <f t="shared" si="138"/>
        <v>0</v>
      </c>
      <c r="DH108" s="128">
        <f t="shared" si="139"/>
        <v>0</v>
      </c>
      <c r="DI108" s="127">
        <f t="shared" si="140"/>
        <v>3.2500000000000001E-2</v>
      </c>
      <c r="DJ108" s="128">
        <f t="shared" si="141"/>
        <v>3481</v>
      </c>
      <c r="DK108" s="127">
        <f t="shared" si="142"/>
        <v>0</v>
      </c>
      <c r="DL108" s="128">
        <f t="shared" si="143"/>
        <v>0</v>
      </c>
      <c r="DM108" s="130"/>
      <c r="DN108" s="131"/>
      <c r="DO108" s="131"/>
      <c r="DP108" s="131"/>
      <c r="DQ108" s="131"/>
      <c r="DR108" s="131"/>
      <c r="DS108" s="131"/>
      <c r="DT108" s="131"/>
      <c r="DU108" s="131"/>
      <c r="DV108" s="131"/>
      <c r="DW108" s="131" t="s">
        <v>1381</v>
      </c>
    </row>
    <row r="109" spans="1:127" ht="33.75">
      <c r="A109" s="134"/>
      <c r="B109" s="121" t="s">
        <v>490</v>
      </c>
      <c r="C109" s="121" t="s">
        <v>1061</v>
      </c>
      <c r="D109" s="121">
        <v>21035</v>
      </c>
      <c r="E109" s="192" t="s">
        <v>982</v>
      </c>
      <c r="F109" s="192" t="s">
        <v>1062</v>
      </c>
      <c r="G109" s="192" t="s">
        <v>537</v>
      </c>
      <c r="H109" s="193" t="s">
        <v>1063</v>
      </c>
      <c r="I109" s="192" t="s">
        <v>1064</v>
      </c>
      <c r="J109" s="192" t="s">
        <v>1065</v>
      </c>
      <c r="K109" s="194">
        <v>44718</v>
      </c>
      <c r="L109" s="194"/>
      <c r="M109" s="194">
        <v>44718</v>
      </c>
      <c r="N109" s="195" t="s">
        <v>539</v>
      </c>
      <c r="O109" s="195">
        <v>38</v>
      </c>
      <c r="P109" s="196">
        <f t="shared" si="97"/>
        <v>1</v>
      </c>
      <c r="Q109" s="192" t="s">
        <v>613</v>
      </c>
      <c r="R109" s="192">
        <v>21062</v>
      </c>
      <c r="S109" s="192" t="s">
        <v>863</v>
      </c>
      <c r="T109" s="192" t="s">
        <v>864</v>
      </c>
      <c r="U109" s="192" t="s">
        <v>865</v>
      </c>
      <c r="V109" s="193" t="s">
        <v>543</v>
      </c>
      <c r="W109" s="193" t="s">
        <v>626</v>
      </c>
      <c r="X109" s="193" t="s">
        <v>823</v>
      </c>
      <c r="Y109" s="56" t="s">
        <v>824</v>
      </c>
      <c r="Z109" s="193" t="s">
        <v>1371</v>
      </c>
      <c r="AA109" s="193" t="s">
        <v>876</v>
      </c>
      <c r="AB109" s="57" t="s">
        <v>1372</v>
      </c>
      <c r="AC109" s="193" t="s">
        <v>825</v>
      </c>
      <c r="AD109" s="56" t="s">
        <v>826</v>
      </c>
      <c r="AE109" s="10">
        <f>IFERROR(INDEX('[3]Lookup_Rem Ranges'!$D:$D,MATCH($AL:$AL,'[3]Lookup_Rem Ranges'!$C:$C,0)),0)</f>
        <v>88700</v>
      </c>
      <c r="AF109" s="10">
        <f>IFERROR(INDEX('[3]Lookup_Rem Ranges'!$E:$E,MATCH($AL:$AL,'[3]Lookup_Rem Ranges'!$C:$C,0)),0)</f>
        <v>104300</v>
      </c>
      <c r="AG109" s="10">
        <f>IFERROR(INDEX('[3]Lookup_Rem Ranges'!$F:$F,MATCH($AL:$AL,'[3]Lookup_Rem Ranges'!$C:$C,0)),)</f>
        <v>119900</v>
      </c>
      <c r="AH109" s="193" t="s">
        <v>622</v>
      </c>
      <c r="AI109" s="197"/>
      <c r="AJ109" s="198">
        <v>0</v>
      </c>
      <c r="AK109" s="199"/>
      <c r="AL109" s="200" t="str">
        <f t="shared" si="98"/>
        <v>GI5</v>
      </c>
      <c r="AM109" s="200" t="s">
        <v>486</v>
      </c>
      <c r="AN109" s="197">
        <v>5</v>
      </c>
      <c r="AO109" s="199" t="s">
        <v>701</v>
      </c>
      <c r="AP109" s="5">
        <v>106100</v>
      </c>
      <c r="AQ109" s="10">
        <f t="shared" si="99"/>
        <v>106100</v>
      </c>
      <c r="AR109" s="10">
        <f t="shared" si="100"/>
        <v>106100</v>
      </c>
      <c r="AS109" s="53">
        <v>1.0476190476190476E-2</v>
      </c>
      <c r="AT109" s="53">
        <v>0</v>
      </c>
      <c r="AU109" s="201"/>
      <c r="AV109" s="10"/>
      <c r="AW109" s="54">
        <v>0</v>
      </c>
      <c r="AX109" s="10">
        <v>0</v>
      </c>
      <c r="AY109" s="10">
        <v>106100</v>
      </c>
      <c r="AZ109" s="55">
        <f t="shared" si="101"/>
        <v>1.0172579098753596</v>
      </c>
      <c r="BA109" s="37" t="s">
        <v>23</v>
      </c>
      <c r="BB109" s="38">
        <v>3</v>
      </c>
      <c r="BC109" s="53">
        <f t="shared" si="102"/>
        <v>0</v>
      </c>
      <c r="BD109" s="65">
        <f t="shared" si="144"/>
        <v>0</v>
      </c>
      <c r="BE109" s="44">
        <v>3.2500000000000001E-2</v>
      </c>
      <c r="BF109" s="179">
        <f t="shared" si="103"/>
        <v>3448</v>
      </c>
      <c r="BG109" s="402">
        <v>0</v>
      </c>
      <c r="BH109" s="403">
        <f t="shared" si="104"/>
        <v>0</v>
      </c>
      <c r="BI109" s="44">
        <v>0</v>
      </c>
      <c r="BJ109" s="179">
        <f t="shared" si="105"/>
        <v>0</v>
      </c>
      <c r="BK109" s="179">
        <f t="shared" si="106"/>
        <v>0</v>
      </c>
      <c r="BL109" s="202"/>
      <c r="BM109" s="203">
        <f t="shared" si="107"/>
        <v>3.2500000000000001E-2</v>
      </c>
      <c r="BN109" s="204">
        <f t="shared" si="108"/>
        <v>3448</v>
      </c>
      <c r="BO109" s="16">
        <f t="shared" si="109"/>
        <v>109548</v>
      </c>
      <c r="BP109" s="205">
        <f t="shared" si="110"/>
        <v>12050</v>
      </c>
      <c r="BQ109" s="206">
        <f t="shared" si="111"/>
        <v>121598</v>
      </c>
      <c r="BR109" s="55">
        <f t="shared" si="112"/>
        <v>1.0503163950143817</v>
      </c>
      <c r="BS109" s="64">
        <f t="shared" si="113"/>
        <v>544</v>
      </c>
      <c r="BT109" s="53">
        <f t="shared" si="114"/>
        <v>3.2500000000000001E-2</v>
      </c>
      <c r="BU109" s="65">
        <f t="shared" si="115"/>
        <v>3448</v>
      </c>
      <c r="BV109" s="206">
        <f t="shared" si="116"/>
        <v>109548</v>
      </c>
      <c r="BW109" s="207">
        <f t="shared" si="117"/>
        <v>55.44</v>
      </c>
      <c r="BX109" s="199"/>
      <c r="BY109" s="206">
        <f t="shared" si="118"/>
        <v>121598</v>
      </c>
      <c r="BZ109" s="208" t="s">
        <v>687</v>
      </c>
      <c r="CA109" s="199"/>
      <c r="CB109" s="199"/>
      <c r="CC109" s="200" t="str">
        <f t="shared" si="119"/>
        <v/>
      </c>
      <c r="CD109" s="197"/>
      <c r="CE109" s="197"/>
      <c r="CF109" s="10" t="str">
        <f>IFERROR(INDEX('[4]Lookup_Rem Ranges'!$D:$D,MATCH($CC:$CC,'[4]Lookup_Rem Ranges'!$C:$C,0)),"")</f>
        <v/>
      </c>
      <c r="CG109" s="307"/>
      <c r="CH109" s="307"/>
      <c r="CI109" s="210"/>
      <c r="CJ109" s="122" t="s">
        <v>701</v>
      </c>
      <c r="CK109" s="206">
        <f t="shared" si="120"/>
        <v>0</v>
      </c>
      <c r="CL109" s="206">
        <f t="shared" si="121"/>
        <v>0</v>
      </c>
      <c r="CM109" s="123"/>
      <c r="CN109" s="124">
        <f t="shared" si="122"/>
        <v>0</v>
      </c>
      <c r="CO109" s="124" t="s">
        <v>1376</v>
      </c>
      <c r="CP109" s="125">
        <f t="shared" si="123"/>
        <v>3.2500000000000001E-2</v>
      </c>
      <c r="CQ109" s="126">
        <f t="shared" si="124"/>
        <v>3448</v>
      </c>
      <c r="CR109" s="127">
        <f t="shared" si="125"/>
        <v>0</v>
      </c>
      <c r="CS109" s="128">
        <f t="shared" si="126"/>
        <v>0</v>
      </c>
      <c r="CT109" s="127">
        <f t="shared" si="127"/>
        <v>0</v>
      </c>
      <c r="CU109" s="128">
        <f t="shared" si="128"/>
        <v>0</v>
      </c>
      <c r="CV109" s="127">
        <f t="shared" si="129"/>
        <v>0</v>
      </c>
      <c r="CW109" s="128">
        <f t="shared" si="130"/>
        <v>0</v>
      </c>
      <c r="CX109" s="127">
        <f t="shared" si="131"/>
        <v>0</v>
      </c>
      <c r="CY109" s="128">
        <f t="shared" si="132"/>
        <v>0</v>
      </c>
      <c r="CZ109" s="127">
        <f>$CR:$CR+$CT:CT+$CV:$CV+$CX:$CX</f>
        <v>0</v>
      </c>
      <c r="DA109" s="127">
        <f t="shared" si="133"/>
        <v>0</v>
      </c>
      <c r="DB109" s="127"/>
      <c r="DC109" s="127">
        <f t="shared" si="134"/>
        <v>3.2500000000000001E-2</v>
      </c>
      <c r="DD109" s="128">
        <f t="shared" si="135"/>
        <v>3448</v>
      </c>
      <c r="DE109" s="129">
        <f t="shared" si="136"/>
        <v>0</v>
      </c>
      <c r="DF109" s="128">
        <f t="shared" si="137"/>
        <v>0</v>
      </c>
      <c r="DG109" s="129">
        <f t="shared" si="138"/>
        <v>0</v>
      </c>
      <c r="DH109" s="128">
        <f t="shared" si="139"/>
        <v>0</v>
      </c>
      <c r="DI109" s="127">
        <f t="shared" si="140"/>
        <v>3.2500000000000001E-2</v>
      </c>
      <c r="DJ109" s="128">
        <f t="shared" si="141"/>
        <v>3448</v>
      </c>
      <c r="DK109" s="127">
        <f t="shared" si="142"/>
        <v>0</v>
      </c>
      <c r="DL109" s="128">
        <f t="shared" si="143"/>
        <v>0</v>
      </c>
      <c r="DM109" s="130"/>
      <c r="DN109" s="131"/>
      <c r="DO109" s="131"/>
      <c r="DP109" s="131"/>
      <c r="DQ109" s="131"/>
      <c r="DR109" s="131"/>
      <c r="DS109" s="131"/>
      <c r="DT109" s="131"/>
      <c r="DU109" s="131"/>
      <c r="DV109" s="131"/>
      <c r="DW109" s="131" t="s">
        <v>1381</v>
      </c>
    </row>
    <row r="110" spans="1:127" ht="24">
      <c r="A110" s="134"/>
      <c r="B110" s="121" t="s">
        <v>490</v>
      </c>
      <c r="C110" s="121" t="s">
        <v>867</v>
      </c>
      <c r="D110" s="121">
        <v>19860</v>
      </c>
      <c r="E110" s="192" t="s">
        <v>868</v>
      </c>
      <c r="F110" s="192" t="s">
        <v>869</v>
      </c>
      <c r="G110" s="192" t="s">
        <v>537</v>
      </c>
      <c r="H110" s="193" t="s">
        <v>861</v>
      </c>
      <c r="I110" s="192" t="s">
        <v>870</v>
      </c>
      <c r="J110" s="192" t="s">
        <v>533</v>
      </c>
      <c r="K110" s="194">
        <v>44235</v>
      </c>
      <c r="L110" s="194"/>
      <c r="M110" s="194">
        <v>44713</v>
      </c>
      <c r="N110" s="195" t="s">
        <v>539</v>
      </c>
      <c r="O110" s="195">
        <v>38</v>
      </c>
      <c r="P110" s="196">
        <f t="shared" si="97"/>
        <v>1</v>
      </c>
      <c r="Q110" s="192" t="s">
        <v>613</v>
      </c>
      <c r="R110" s="192">
        <v>21062</v>
      </c>
      <c r="S110" s="192" t="s">
        <v>863</v>
      </c>
      <c r="T110" s="192" t="s">
        <v>864</v>
      </c>
      <c r="U110" s="192" t="s">
        <v>865</v>
      </c>
      <c r="V110" s="193" t="s">
        <v>543</v>
      </c>
      <c r="W110" s="193" t="s">
        <v>626</v>
      </c>
      <c r="X110" s="193" t="s">
        <v>823</v>
      </c>
      <c r="Y110" s="52" t="s">
        <v>824</v>
      </c>
      <c r="Z110" s="193" t="s">
        <v>1371</v>
      </c>
      <c r="AA110" s="193" t="s">
        <v>876</v>
      </c>
      <c r="AB110" s="57" t="s">
        <v>1372</v>
      </c>
      <c r="AC110" s="193" t="s">
        <v>825</v>
      </c>
      <c r="AD110" s="52" t="s">
        <v>826</v>
      </c>
      <c r="AE110" s="10">
        <f>IFERROR(INDEX('[3]Lookup_Rem Ranges'!$D:$D,MATCH($AL:$AL,'[3]Lookup_Rem Ranges'!$C:$C,0)),0)</f>
        <v>88700</v>
      </c>
      <c r="AF110" s="10">
        <f>IFERROR(INDEX('[3]Lookup_Rem Ranges'!$E:$E,MATCH($AL:$AL,'[3]Lookup_Rem Ranges'!$C:$C,0)),0)</f>
        <v>104300</v>
      </c>
      <c r="AG110" s="10">
        <f>IFERROR(INDEX('[3]Lookup_Rem Ranges'!$F:$F,MATCH($AL:$AL,'[3]Lookup_Rem Ranges'!$C:$C,0)),)</f>
        <v>119900</v>
      </c>
      <c r="AH110" s="193" t="s">
        <v>622</v>
      </c>
      <c r="AI110" s="197"/>
      <c r="AJ110" s="198">
        <v>0</v>
      </c>
      <c r="AK110" s="199"/>
      <c r="AL110" s="200" t="str">
        <f t="shared" si="98"/>
        <v>GI5</v>
      </c>
      <c r="AM110" s="200" t="s">
        <v>486</v>
      </c>
      <c r="AN110" s="197">
        <v>5</v>
      </c>
      <c r="AO110" s="199" t="s">
        <v>701</v>
      </c>
      <c r="AP110" s="5">
        <v>108200</v>
      </c>
      <c r="AQ110" s="10">
        <f t="shared" si="99"/>
        <v>108200</v>
      </c>
      <c r="AR110" s="10">
        <f t="shared" si="100"/>
        <v>108200</v>
      </c>
      <c r="AS110" s="53">
        <v>3.0476190476190476E-2</v>
      </c>
      <c r="AT110" s="53">
        <v>0</v>
      </c>
      <c r="AU110" s="201"/>
      <c r="AV110" s="10"/>
      <c r="AW110" s="54">
        <v>0</v>
      </c>
      <c r="AX110" s="10">
        <v>0</v>
      </c>
      <c r="AY110" s="10">
        <v>108200</v>
      </c>
      <c r="AZ110" s="55">
        <f t="shared" si="101"/>
        <v>1.0373921380632789</v>
      </c>
      <c r="BA110" s="37" t="s">
        <v>23</v>
      </c>
      <c r="BB110" s="38">
        <v>3</v>
      </c>
      <c r="BC110" s="53">
        <f t="shared" si="102"/>
        <v>0</v>
      </c>
      <c r="BD110" s="65">
        <f t="shared" si="144"/>
        <v>0</v>
      </c>
      <c r="BE110" s="44">
        <v>3.2500000000000001E-2</v>
      </c>
      <c r="BF110" s="179">
        <f t="shared" si="103"/>
        <v>3517</v>
      </c>
      <c r="BG110" s="402">
        <v>0</v>
      </c>
      <c r="BH110" s="403">
        <f t="shared" si="104"/>
        <v>0</v>
      </c>
      <c r="BI110" s="44">
        <v>0</v>
      </c>
      <c r="BJ110" s="179">
        <f t="shared" si="105"/>
        <v>0</v>
      </c>
      <c r="BK110" s="179">
        <f t="shared" si="106"/>
        <v>0</v>
      </c>
      <c r="BL110" s="202"/>
      <c r="BM110" s="203">
        <f t="shared" si="107"/>
        <v>3.2500000000000001E-2</v>
      </c>
      <c r="BN110" s="204">
        <f t="shared" si="108"/>
        <v>3517</v>
      </c>
      <c r="BO110" s="16">
        <f t="shared" si="109"/>
        <v>111717</v>
      </c>
      <c r="BP110" s="205">
        <f t="shared" si="110"/>
        <v>12289</v>
      </c>
      <c r="BQ110" s="206">
        <f t="shared" si="111"/>
        <v>124006</v>
      </c>
      <c r="BR110" s="55">
        <f t="shared" si="112"/>
        <v>1.0711121764141898</v>
      </c>
      <c r="BS110" s="64">
        <f t="shared" si="113"/>
        <v>555</v>
      </c>
      <c r="BT110" s="53">
        <f t="shared" si="114"/>
        <v>3.2500000000000001E-2</v>
      </c>
      <c r="BU110" s="65">
        <f t="shared" si="115"/>
        <v>3517</v>
      </c>
      <c r="BV110" s="206">
        <f t="shared" si="116"/>
        <v>111717</v>
      </c>
      <c r="BW110" s="207">
        <f t="shared" si="117"/>
        <v>56.54</v>
      </c>
      <c r="BX110" s="199"/>
      <c r="BY110" s="206">
        <f t="shared" si="118"/>
        <v>124006</v>
      </c>
      <c r="BZ110" s="208" t="s">
        <v>687</v>
      </c>
      <c r="CA110" s="199"/>
      <c r="CB110" s="199"/>
      <c r="CC110" s="200" t="str">
        <f t="shared" si="119"/>
        <v/>
      </c>
      <c r="CD110" s="197"/>
      <c r="CE110" s="197"/>
      <c r="CF110" s="10" t="str">
        <f>IFERROR(INDEX('[4]Lookup_Rem Ranges'!$D:$D,MATCH($CC:$CC,'[4]Lookup_Rem Ranges'!$C:$C,0)),"")</f>
        <v/>
      </c>
      <c r="CG110" s="306"/>
      <c r="CH110" s="306"/>
      <c r="CI110" s="209"/>
      <c r="CJ110" s="122" t="s">
        <v>701</v>
      </c>
      <c r="CK110" s="206">
        <f t="shared" si="120"/>
        <v>0</v>
      </c>
      <c r="CL110" s="206">
        <f t="shared" si="121"/>
        <v>0</v>
      </c>
      <c r="CM110" s="123"/>
      <c r="CN110" s="124">
        <f t="shared" si="122"/>
        <v>0</v>
      </c>
      <c r="CO110" s="124"/>
      <c r="CP110" s="125">
        <f t="shared" si="123"/>
        <v>3.2500000000000001E-2</v>
      </c>
      <c r="CQ110" s="126">
        <f t="shared" si="124"/>
        <v>3517</v>
      </c>
      <c r="CR110" s="127">
        <f t="shared" si="125"/>
        <v>0</v>
      </c>
      <c r="CS110" s="128">
        <f t="shared" si="126"/>
        <v>0</v>
      </c>
      <c r="CT110" s="127">
        <f t="shared" si="127"/>
        <v>0</v>
      </c>
      <c r="CU110" s="128">
        <f t="shared" si="128"/>
        <v>0</v>
      </c>
      <c r="CV110" s="127">
        <f t="shared" si="129"/>
        <v>0</v>
      </c>
      <c r="CW110" s="128">
        <f t="shared" si="130"/>
        <v>0</v>
      </c>
      <c r="CX110" s="127">
        <f t="shared" si="131"/>
        <v>0</v>
      </c>
      <c r="CY110" s="128">
        <f t="shared" si="132"/>
        <v>0</v>
      </c>
      <c r="CZ110" s="127">
        <f>$CR:$CR+$CT:CT+$CV:$CV+$CX:$CX</f>
        <v>0</v>
      </c>
      <c r="DA110" s="127">
        <f t="shared" si="133"/>
        <v>0</v>
      </c>
      <c r="DB110" s="127"/>
      <c r="DC110" s="127">
        <f t="shared" si="134"/>
        <v>3.2500000000000001E-2</v>
      </c>
      <c r="DD110" s="128">
        <f t="shared" si="135"/>
        <v>3517</v>
      </c>
      <c r="DE110" s="129">
        <f t="shared" si="136"/>
        <v>0</v>
      </c>
      <c r="DF110" s="128">
        <f t="shared" si="137"/>
        <v>0</v>
      </c>
      <c r="DG110" s="129">
        <f t="shared" si="138"/>
        <v>0</v>
      </c>
      <c r="DH110" s="128">
        <f t="shared" si="139"/>
        <v>0</v>
      </c>
      <c r="DI110" s="127">
        <f t="shared" si="140"/>
        <v>3.2500000000000001E-2</v>
      </c>
      <c r="DJ110" s="128">
        <f t="shared" si="141"/>
        <v>3517</v>
      </c>
      <c r="DK110" s="127">
        <f t="shared" si="142"/>
        <v>0</v>
      </c>
      <c r="DL110" s="128">
        <f t="shared" si="143"/>
        <v>0</v>
      </c>
      <c r="DM110" s="130"/>
      <c r="DN110" s="131"/>
      <c r="DO110" s="131"/>
      <c r="DP110" s="131"/>
      <c r="DQ110" s="131"/>
      <c r="DR110" s="131"/>
      <c r="DS110" s="131"/>
      <c r="DT110" s="131"/>
      <c r="DU110" s="131"/>
      <c r="DV110" s="131"/>
      <c r="DW110" s="131" t="s">
        <v>1381</v>
      </c>
    </row>
    <row r="111" spans="1:127" ht="24">
      <c r="A111" s="134"/>
      <c r="B111" s="121" t="s">
        <v>490</v>
      </c>
      <c r="C111" s="121" t="s">
        <v>1066</v>
      </c>
      <c r="D111" s="121">
        <v>20270</v>
      </c>
      <c r="E111" s="192" t="s">
        <v>507</v>
      </c>
      <c r="F111" s="192" t="s">
        <v>794</v>
      </c>
      <c r="G111" s="192" t="s">
        <v>537</v>
      </c>
      <c r="H111" s="193" t="s">
        <v>1063</v>
      </c>
      <c r="I111" s="192" t="s">
        <v>1067</v>
      </c>
      <c r="J111" s="192" t="s">
        <v>1065</v>
      </c>
      <c r="K111" s="194">
        <v>44431</v>
      </c>
      <c r="L111" s="194"/>
      <c r="M111" s="194">
        <v>44713</v>
      </c>
      <c r="N111" s="195" t="s">
        <v>540</v>
      </c>
      <c r="O111" s="195">
        <v>30.4</v>
      </c>
      <c r="P111" s="196">
        <f t="shared" si="97"/>
        <v>0.79999999999999993</v>
      </c>
      <c r="Q111" s="192" t="s">
        <v>613</v>
      </c>
      <c r="R111" s="192">
        <v>21062</v>
      </c>
      <c r="S111" s="192" t="s">
        <v>863</v>
      </c>
      <c r="T111" s="192" t="s">
        <v>864</v>
      </c>
      <c r="U111" s="192" t="s">
        <v>865</v>
      </c>
      <c r="V111" s="193" t="s">
        <v>543</v>
      </c>
      <c r="W111" s="193" t="s">
        <v>626</v>
      </c>
      <c r="X111" s="193" t="s">
        <v>823</v>
      </c>
      <c r="Y111" s="56" t="s">
        <v>824</v>
      </c>
      <c r="Z111" s="193" t="s">
        <v>1371</v>
      </c>
      <c r="AA111" s="193" t="s">
        <v>876</v>
      </c>
      <c r="AB111" s="57" t="s">
        <v>1372</v>
      </c>
      <c r="AC111" s="193" t="s">
        <v>825</v>
      </c>
      <c r="AD111" s="56" t="s">
        <v>826</v>
      </c>
      <c r="AE111" s="10">
        <f>IFERROR(INDEX('[3]Lookup_Rem Ranges'!$D:$D,MATCH($AL:$AL,'[3]Lookup_Rem Ranges'!$C:$C,0)),0)</f>
        <v>88700</v>
      </c>
      <c r="AF111" s="10">
        <f>IFERROR(INDEX('[3]Lookup_Rem Ranges'!$E:$E,MATCH($AL:$AL,'[3]Lookup_Rem Ranges'!$C:$C,0)),0)</f>
        <v>104300</v>
      </c>
      <c r="AG111" s="10">
        <f>IFERROR(INDEX('[3]Lookup_Rem Ranges'!$F:$F,MATCH($AL:$AL,'[3]Lookup_Rem Ranges'!$C:$C,0)),)</f>
        <v>119900</v>
      </c>
      <c r="AH111" s="193" t="s">
        <v>622</v>
      </c>
      <c r="AI111" s="197"/>
      <c r="AJ111" s="198">
        <v>0</v>
      </c>
      <c r="AK111" s="199"/>
      <c r="AL111" s="200" t="str">
        <f t="shared" si="98"/>
        <v>GI5</v>
      </c>
      <c r="AM111" s="200" t="s">
        <v>486</v>
      </c>
      <c r="AN111" s="197">
        <v>5</v>
      </c>
      <c r="AO111" s="199" t="s">
        <v>701</v>
      </c>
      <c r="AP111" s="5">
        <v>108200</v>
      </c>
      <c r="AQ111" s="10">
        <f t="shared" si="99"/>
        <v>86560</v>
      </c>
      <c r="AR111" s="10">
        <f t="shared" si="100"/>
        <v>108200</v>
      </c>
      <c r="AS111" s="53">
        <v>3.0476190476190476E-2</v>
      </c>
      <c r="AT111" s="53">
        <v>0</v>
      </c>
      <c r="AU111" s="201"/>
      <c r="AV111" s="10"/>
      <c r="AW111" s="54">
        <v>0</v>
      </c>
      <c r="AX111" s="10">
        <v>0</v>
      </c>
      <c r="AY111" s="10">
        <v>108200</v>
      </c>
      <c r="AZ111" s="55">
        <f t="shared" si="101"/>
        <v>1.0373921380632789</v>
      </c>
      <c r="BA111" s="37" t="s">
        <v>23</v>
      </c>
      <c r="BB111" s="38">
        <v>3</v>
      </c>
      <c r="BC111" s="53">
        <f t="shared" si="102"/>
        <v>0</v>
      </c>
      <c r="BD111" s="65">
        <f t="shared" si="144"/>
        <v>0</v>
      </c>
      <c r="BE111" s="44">
        <v>3.2500000000000001E-2</v>
      </c>
      <c r="BF111" s="179">
        <f t="shared" si="103"/>
        <v>3517</v>
      </c>
      <c r="BG111" s="402">
        <v>0</v>
      </c>
      <c r="BH111" s="403">
        <f t="shared" si="104"/>
        <v>0</v>
      </c>
      <c r="BI111" s="44">
        <v>0</v>
      </c>
      <c r="BJ111" s="179">
        <f t="shared" si="105"/>
        <v>0</v>
      </c>
      <c r="BK111" s="179">
        <f t="shared" si="106"/>
        <v>0</v>
      </c>
      <c r="BL111" s="202"/>
      <c r="BM111" s="203">
        <f t="shared" si="107"/>
        <v>3.2500000000000001E-2</v>
      </c>
      <c r="BN111" s="204">
        <f t="shared" si="108"/>
        <v>3517</v>
      </c>
      <c r="BO111" s="16">
        <f t="shared" si="109"/>
        <v>111717</v>
      </c>
      <c r="BP111" s="205">
        <f t="shared" si="110"/>
        <v>12289</v>
      </c>
      <c r="BQ111" s="206">
        <f t="shared" si="111"/>
        <v>124006</v>
      </c>
      <c r="BR111" s="55">
        <f t="shared" si="112"/>
        <v>1.0711121764141898</v>
      </c>
      <c r="BS111" s="64">
        <f t="shared" si="113"/>
        <v>443.99999999999994</v>
      </c>
      <c r="BT111" s="53">
        <f t="shared" si="114"/>
        <v>3.2500000000000001E-2</v>
      </c>
      <c r="BU111" s="65">
        <f t="shared" si="115"/>
        <v>3517</v>
      </c>
      <c r="BV111" s="206">
        <f t="shared" si="116"/>
        <v>89373.599999999991</v>
      </c>
      <c r="BW111" s="207">
        <f t="shared" si="117"/>
        <v>56.54</v>
      </c>
      <c r="BX111" s="199"/>
      <c r="BY111" s="206">
        <f t="shared" si="118"/>
        <v>124006</v>
      </c>
      <c r="BZ111" s="208" t="s">
        <v>687</v>
      </c>
      <c r="CA111" s="199"/>
      <c r="CB111" s="199"/>
      <c r="CC111" s="200" t="str">
        <f t="shared" si="119"/>
        <v/>
      </c>
      <c r="CD111" s="197"/>
      <c r="CE111" s="197"/>
      <c r="CF111" s="10" t="str">
        <f>IFERROR(INDEX('[4]Lookup_Rem Ranges'!$D:$D,MATCH($CC:$CC,'[4]Lookup_Rem Ranges'!$C:$C,0)),"")</f>
        <v/>
      </c>
      <c r="CG111" s="307"/>
      <c r="CH111" s="307"/>
      <c r="CI111" s="210"/>
      <c r="CJ111" s="122" t="s">
        <v>701</v>
      </c>
      <c r="CK111" s="206">
        <f t="shared" si="120"/>
        <v>0</v>
      </c>
      <c r="CL111" s="206">
        <f t="shared" si="121"/>
        <v>0</v>
      </c>
      <c r="CM111" s="123"/>
      <c r="CN111" s="124">
        <f t="shared" si="122"/>
        <v>0</v>
      </c>
      <c r="CO111" s="124" t="s">
        <v>1377</v>
      </c>
      <c r="CP111" s="125">
        <f t="shared" si="123"/>
        <v>3.2500000000000001E-2</v>
      </c>
      <c r="CQ111" s="126">
        <f t="shared" si="124"/>
        <v>3517</v>
      </c>
      <c r="CR111" s="127">
        <f t="shared" si="125"/>
        <v>0</v>
      </c>
      <c r="CS111" s="128">
        <f t="shared" si="126"/>
        <v>0</v>
      </c>
      <c r="CT111" s="127">
        <f t="shared" si="127"/>
        <v>0</v>
      </c>
      <c r="CU111" s="128">
        <f t="shared" si="128"/>
        <v>0</v>
      </c>
      <c r="CV111" s="127">
        <f t="shared" si="129"/>
        <v>0</v>
      </c>
      <c r="CW111" s="128">
        <f t="shared" si="130"/>
        <v>0</v>
      </c>
      <c r="CX111" s="127">
        <f t="shared" si="131"/>
        <v>0</v>
      </c>
      <c r="CY111" s="128">
        <f t="shared" si="132"/>
        <v>0</v>
      </c>
      <c r="CZ111" s="127">
        <f>$CR:$CR+$CT:CT+$CV:$CV+$CX:$CX</f>
        <v>0</v>
      </c>
      <c r="DA111" s="127">
        <f t="shared" si="133"/>
        <v>0</v>
      </c>
      <c r="DB111" s="127"/>
      <c r="DC111" s="127">
        <f t="shared" si="134"/>
        <v>3.2500000000000001E-2</v>
      </c>
      <c r="DD111" s="128">
        <f t="shared" si="135"/>
        <v>3517</v>
      </c>
      <c r="DE111" s="129">
        <f t="shared" si="136"/>
        <v>0</v>
      </c>
      <c r="DF111" s="128">
        <f t="shared" si="137"/>
        <v>0</v>
      </c>
      <c r="DG111" s="129">
        <f t="shared" si="138"/>
        <v>0</v>
      </c>
      <c r="DH111" s="128">
        <f t="shared" si="139"/>
        <v>0</v>
      </c>
      <c r="DI111" s="127">
        <f t="shared" si="140"/>
        <v>3.2500000000000001E-2</v>
      </c>
      <c r="DJ111" s="128">
        <f t="shared" si="141"/>
        <v>3517</v>
      </c>
      <c r="DK111" s="127">
        <f t="shared" si="142"/>
        <v>0</v>
      </c>
      <c r="DL111" s="128">
        <f t="shared" si="143"/>
        <v>0</v>
      </c>
      <c r="DM111" s="130"/>
      <c r="DN111" s="131"/>
      <c r="DO111" s="131"/>
      <c r="DP111" s="131"/>
      <c r="DQ111" s="131"/>
      <c r="DR111" s="131"/>
      <c r="DS111" s="131"/>
      <c r="DT111" s="131"/>
      <c r="DU111" s="131"/>
      <c r="DV111" s="131"/>
      <c r="DW111" s="131" t="s">
        <v>1381</v>
      </c>
    </row>
    <row r="112" spans="1:127" ht="36">
      <c r="A112" s="134"/>
      <c r="B112" s="121" t="s">
        <v>490</v>
      </c>
      <c r="C112" s="121" t="s">
        <v>1323</v>
      </c>
      <c r="D112" s="121">
        <v>18450</v>
      </c>
      <c r="E112" s="192" t="s">
        <v>810</v>
      </c>
      <c r="F112" s="192" t="s">
        <v>1324</v>
      </c>
      <c r="G112" s="192" t="s">
        <v>537</v>
      </c>
      <c r="H112" s="193" t="s">
        <v>1325</v>
      </c>
      <c r="I112" s="192" t="s">
        <v>883</v>
      </c>
      <c r="J112" s="192" t="s">
        <v>1326</v>
      </c>
      <c r="K112" s="194">
        <v>43535</v>
      </c>
      <c r="L112" s="194"/>
      <c r="M112" s="194">
        <v>43535</v>
      </c>
      <c r="N112" s="195" t="s">
        <v>539</v>
      </c>
      <c r="O112" s="195">
        <v>38</v>
      </c>
      <c r="P112" s="196">
        <f t="shared" si="97"/>
        <v>1</v>
      </c>
      <c r="Q112" s="192" t="s">
        <v>795</v>
      </c>
      <c r="R112" s="192">
        <v>20741</v>
      </c>
      <c r="S112" s="192" t="s">
        <v>866</v>
      </c>
      <c r="T112" s="192" t="s">
        <v>875</v>
      </c>
      <c r="U112" s="192" t="s">
        <v>876</v>
      </c>
      <c r="V112" s="193" t="s">
        <v>543</v>
      </c>
      <c r="W112" s="193" t="s">
        <v>626</v>
      </c>
      <c r="X112" s="193" t="s">
        <v>823</v>
      </c>
      <c r="Y112" s="56" t="s">
        <v>824</v>
      </c>
      <c r="Z112" s="193" t="s">
        <v>1371</v>
      </c>
      <c r="AA112" s="193" t="s">
        <v>876</v>
      </c>
      <c r="AB112" s="57" t="s">
        <v>1372</v>
      </c>
      <c r="AC112" s="193" t="s">
        <v>825</v>
      </c>
      <c r="AD112" s="56" t="s">
        <v>826</v>
      </c>
      <c r="AE112" s="10">
        <f>IFERROR(INDEX('[3]Lookup_Rem Ranges'!$D:$D,MATCH($AL:$AL,'[3]Lookup_Rem Ranges'!$C:$C,0)),0)</f>
        <v>64900</v>
      </c>
      <c r="AF112" s="10">
        <f>IFERROR(INDEX('[3]Lookup_Rem Ranges'!$E:$E,MATCH($AL:$AL,'[3]Lookup_Rem Ranges'!$C:$C,0)),0)</f>
        <v>76300</v>
      </c>
      <c r="AG112" s="10">
        <f>IFERROR(INDEX('[3]Lookup_Rem Ranges'!$F:$F,MATCH($AL:$AL,'[3]Lookup_Rem Ranges'!$C:$C,0)),)</f>
        <v>87700</v>
      </c>
      <c r="AH112" s="193" t="s">
        <v>622</v>
      </c>
      <c r="AI112" s="197"/>
      <c r="AJ112" s="198">
        <v>0</v>
      </c>
      <c r="AK112" s="199"/>
      <c r="AL112" s="200" t="str">
        <f t="shared" si="98"/>
        <v>GI3</v>
      </c>
      <c r="AM112" s="200" t="s">
        <v>486</v>
      </c>
      <c r="AN112" s="197">
        <v>3</v>
      </c>
      <c r="AO112" s="199" t="s">
        <v>792</v>
      </c>
      <c r="AP112" s="5">
        <v>108200</v>
      </c>
      <c r="AQ112" s="10">
        <f t="shared" si="99"/>
        <v>108200</v>
      </c>
      <c r="AR112" s="10">
        <f t="shared" si="100"/>
        <v>108200</v>
      </c>
      <c r="AS112" s="53">
        <v>3.0476190476190476E-2</v>
      </c>
      <c r="AT112" s="53">
        <v>0</v>
      </c>
      <c r="AU112" s="201"/>
      <c r="AV112" s="10"/>
      <c r="AW112" s="54">
        <v>0</v>
      </c>
      <c r="AX112" s="10">
        <v>0</v>
      </c>
      <c r="AY112" s="10">
        <v>108200</v>
      </c>
      <c r="AZ112" s="55">
        <f t="shared" si="101"/>
        <v>1.4180865006553081</v>
      </c>
      <c r="BA112" s="37" t="s">
        <v>23</v>
      </c>
      <c r="BB112" s="38">
        <v>3</v>
      </c>
      <c r="BC112" s="53">
        <f t="shared" si="102"/>
        <v>0</v>
      </c>
      <c r="BD112" s="65">
        <f t="shared" si="144"/>
        <v>0</v>
      </c>
      <c r="BE112" s="44">
        <v>0</v>
      </c>
      <c r="BF112" s="179">
        <f t="shared" si="103"/>
        <v>0</v>
      </c>
      <c r="BG112" s="402">
        <v>0</v>
      </c>
      <c r="BH112" s="403">
        <f t="shared" si="104"/>
        <v>0</v>
      </c>
      <c r="BI112" s="44">
        <v>3.2500000000000001E-2</v>
      </c>
      <c r="BJ112" s="179">
        <f t="shared" si="105"/>
        <v>3517</v>
      </c>
      <c r="BK112" s="179">
        <f t="shared" si="106"/>
        <v>3517</v>
      </c>
      <c r="BL112" s="202"/>
      <c r="BM112" s="203">
        <f t="shared" si="107"/>
        <v>0</v>
      </c>
      <c r="BN112" s="204">
        <f t="shared" si="108"/>
        <v>0</v>
      </c>
      <c r="BO112" s="16">
        <f t="shared" si="109"/>
        <v>108200</v>
      </c>
      <c r="BP112" s="205">
        <f t="shared" si="110"/>
        <v>11902</v>
      </c>
      <c r="BQ112" s="206">
        <f t="shared" si="111"/>
        <v>120102</v>
      </c>
      <c r="BR112" s="55">
        <f t="shared" si="112"/>
        <v>1.4180865006553081</v>
      </c>
      <c r="BS112" s="64">
        <f t="shared" si="113"/>
        <v>0</v>
      </c>
      <c r="BT112" s="53">
        <f t="shared" si="114"/>
        <v>3.2500000000000001E-2</v>
      </c>
      <c r="BU112" s="65">
        <f t="shared" si="115"/>
        <v>3517</v>
      </c>
      <c r="BV112" s="206">
        <f t="shared" si="116"/>
        <v>108200</v>
      </c>
      <c r="BW112" s="207">
        <f t="shared" si="117"/>
        <v>54.76</v>
      </c>
      <c r="BX112" s="199"/>
      <c r="BY112" s="206">
        <f t="shared" si="118"/>
        <v>120102</v>
      </c>
      <c r="BZ112" s="208" t="s">
        <v>23</v>
      </c>
      <c r="CA112" s="199" t="s">
        <v>1327</v>
      </c>
      <c r="CB112" s="199" t="s">
        <v>534</v>
      </c>
      <c r="CC112" s="200" t="str">
        <f t="shared" si="119"/>
        <v>GI6</v>
      </c>
      <c r="CD112" s="197" t="s">
        <v>486</v>
      </c>
      <c r="CE112" s="197">
        <v>6</v>
      </c>
      <c r="CF112" s="10">
        <f>IFERROR(INDEX('[4]Lookup_Rem Ranges'!$D:$D,MATCH($CC:$CC,'[4]Lookup_Rem Ranges'!$C:$C,0)),"")</f>
        <v>114200</v>
      </c>
      <c r="CG112" s="307">
        <v>44970</v>
      </c>
      <c r="CH112" s="307"/>
      <c r="CI112" s="210">
        <v>120000</v>
      </c>
      <c r="CJ112" s="122">
        <v>0</v>
      </c>
      <c r="CK112" s="206">
        <f t="shared" si="120"/>
        <v>0</v>
      </c>
      <c r="CL112" s="206">
        <f t="shared" si="121"/>
        <v>120000</v>
      </c>
      <c r="CM112" s="123"/>
      <c r="CN112" s="124">
        <f t="shared" si="122"/>
        <v>13200</v>
      </c>
      <c r="CO112" s="124" t="s">
        <v>1377</v>
      </c>
      <c r="CP112" s="125">
        <f t="shared" si="123"/>
        <v>3.2500000000000001E-2</v>
      </c>
      <c r="CQ112" s="126">
        <f t="shared" si="124"/>
        <v>3517</v>
      </c>
      <c r="CR112" s="127">
        <f t="shared" si="125"/>
        <v>0</v>
      </c>
      <c r="CS112" s="128">
        <f t="shared" si="126"/>
        <v>0</v>
      </c>
      <c r="CT112" s="127">
        <f t="shared" si="127"/>
        <v>0</v>
      </c>
      <c r="CU112" s="128">
        <f t="shared" si="128"/>
        <v>0</v>
      </c>
      <c r="CV112" s="127">
        <f t="shared" si="129"/>
        <v>0</v>
      </c>
      <c r="CW112" s="128">
        <f t="shared" si="130"/>
        <v>0</v>
      </c>
      <c r="CX112" s="127">
        <f t="shared" si="131"/>
        <v>0</v>
      </c>
      <c r="CY112" s="128">
        <f t="shared" si="132"/>
        <v>0</v>
      </c>
      <c r="CZ112" s="127">
        <f>$CR:$CR+$CT:CT+$CV:$CV+$CX:$CX</f>
        <v>0</v>
      </c>
      <c r="DA112" s="127">
        <f t="shared" si="133"/>
        <v>0</v>
      </c>
      <c r="DB112" s="127"/>
      <c r="DC112" s="127">
        <f t="shared" si="134"/>
        <v>0</v>
      </c>
      <c r="DD112" s="128">
        <f t="shared" si="135"/>
        <v>0</v>
      </c>
      <c r="DE112" s="129">
        <f t="shared" si="136"/>
        <v>3.2500000000000001E-2</v>
      </c>
      <c r="DF112" s="128">
        <f t="shared" si="137"/>
        <v>3517</v>
      </c>
      <c r="DG112" s="129">
        <f t="shared" si="138"/>
        <v>0</v>
      </c>
      <c r="DH112" s="128">
        <f t="shared" si="139"/>
        <v>0</v>
      </c>
      <c r="DI112" s="127">
        <f t="shared" si="140"/>
        <v>3.2500000000000001E-2</v>
      </c>
      <c r="DJ112" s="128">
        <f t="shared" si="141"/>
        <v>3517</v>
      </c>
      <c r="DK112" s="127">
        <f t="shared" si="142"/>
        <v>0</v>
      </c>
      <c r="DL112" s="128">
        <f t="shared" si="143"/>
        <v>0</v>
      </c>
      <c r="DM112" s="130"/>
      <c r="DN112" s="131"/>
      <c r="DO112" s="131"/>
      <c r="DP112" s="131"/>
      <c r="DQ112" s="131"/>
      <c r="DR112" s="131"/>
      <c r="DS112" s="131"/>
      <c r="DT112" s="131"/>
      <c r="DU112" s="131"/>
      <c r="DV112" s="131"/>
      <c r="DW112" s="131" t="s">
        <v>1381</v>
      </c>
    </row>
    <row r="113" spans="1:127" ht="24">
      <c r="A113" s="134"/>
      <c r="B113" s="121" t="s">
        <v>490</v>
      </c>
      <c r="C113" s="121" t="s">
        <v>899</v>
      </c>
      <c r="D113" s="121">
        <v>21411</v>
      </c>
      <c r="E113" s="192" t="s">
        <v>29</v>
      </c>
      <c r="F113" s="192" t="s">
        <v>512</v>
      </c>
      <c r="G113" s="192" t="s">
        <v>538</v>
      </c>
      <c r="H113" s="193" t="s">
        <v>900</v>
      </c>
      <c r="I113" s="192" t="s">
        <v>901</v>
      </c>
      <c r="J113" s="192" t="s">
        <v>902</v>
      </c>
      <c r="K113" s="194">
        <v>44841</v>
      </c>
      <c r="L113" s="194"/>
      <c r="M113" s="194">
        <v>44841</v>
      </c>
      <c r="N113" s="195" t="s">
        <v>541</v>
      </c>
      <c r="O113" s="195">
        <v>38</v>
      </c>
      <c r="P113" s="196">
        <f t="shared" ref="P113:P121" si="145">$O:$O/38</f>
        <v>1</v>
      </c>
      <c r="Q113" s="192" t="s">
        <v>613</v>
      </c>
      <c r="R113" s="192">
        <v>20741</v>
      </c>
      <c r="S113" s="192" t="s">
        <v>866</v>
      </c>
      <c r="T113" s="192" t="s">
        <v>875</v>
      </c>
      <c r="U113" s="192" t="s">
        <v>876</v>
      </c>
      <c r="V113" s="193" t="s">
        <v>543</v>
      </c>
      <c r="W113" s="193" t="s">
        <v>626</v>
      </c>
      <c r="X113" s="193" t="s">
        <v>823</v>
      </c>
      <c r="Y113" s="52" t="s">
        <v>824</v>
      </c>
      <c r="Z113" s="193" t="s">
        <v>1371</v>
      </c>
      <c r="AA113" s="193" t="s">
        <v>876</v>
      </c>
      <c r="AB113" s="57" t="s">
        <v>1372</v>
      </c>
      <c r="AC113" s="193" t="s">
        <v>825</v>
      </c>
      <c r="AD113" s="52" t="s">
        <v>826</v>
      </c>
      <c r="AE113" s="10">
        <f>IFERROR(INDEX('[3]Lookup_Rem Ranges'!$D:$D,MATCH($AL:$AL,'[3]Lookup_Rem Ranges'!$C:$C,0)),0)</f>
        <v>114200</v>
      </c>
      <c r="AF113" s="10">
        <f>IFERROR(INDEX('[3]Lookup_Rem Ranges'!$E:$E,MATCH($AL:$AL,'[3]Lookup_Rem Ranges'!$C:$C,0)),0)</f>
        <v>134400</v>
      </c>
      <c r="AG113" s="10">
        <f>IFERROR(INDEX('[3]Lookup_Rem Ranges'!$F:$F,MATCH($AL:$AL,'[3]Lookup_Rem Ranges'!$C:$C,0)),)</f>
        <v>154600</v>
      </c>
      <c r="AH113" s="193" t="s">
        <v>627</v>
      </c>
      <c r="AI113" s="197"/>
      <c r="AJ113" s="198">
        <v>0</v>
      </c>
      <c r="AK113" s="199"/>
      <c r="AL113" s="200" t="str">
        <f t="shared" ref="AL113:AL121" si="146">CONCATENATE(AM113,"",AN113)</f>
        <v>GI6</v>
      </c>
      <c r="AM113" s="200" t="s">
        <v>486</v>
      </c>
      <c r="AN113" s="197">
        <v>6</v>
      </c>
      <c r="AO113" s="199" t="s">
        <v>701</v>
      </c>
      <c r="AP113" s="5">
        <v>197600</v>
      </c>
      <c r="AQ113" s="10">
        <f t="shared" ref="AQ113:AQ121" si="147">ROUND(IF($P:$P&gt;1,$AP:$AP*1,$AP:$AP*$P:$P),0)</f>
        <v>197600</v>
      </c>
      <c r="AR113" s="10">
        <f t="shared" ref="AR113:AR121" si="148">IF(BA113="Yes",AP113,0)</f>
        <v>197600</v>
      </c>
      <c r="AS113" s="53" t="s">
        <v>790</v>
      </c>
      <c r="AT113" s="53">
        <v>0</v>
      </c>
      <c r="AU113" s="201"/>
      <c r="AV113" s="10"/>
      <c r="AW113" s="54">
        <v>0</v>
      </c>
      <c r="AX113" s="10">
        <v>0</v>
      </c>
      <c r="AY113" s="10">
        <v>197600</v>
      </c>
      <c r="AZ113" s="55">
        <f t="shared" ref="AZ113:AZ121" si="149">IFERROR(($AY:$AY+$AJ:$AJ+$AK:$AK)/$AF:$AF,0)</f>
        <v>1.4702380952380953</v>
      </c>
      <c r="BA113" s="37" t="s">
        <v>23</v>
      </c>
      <c r="BB113" s="38">
        <v>3</v>
      </c>
      <c r="BC113" s="53">
        <f t="shared" ref="BC113:BC121" si="150">IFERROR($BD:$BD/$AY:$AY,0)</f>
        <v>0</v>
      </c>
      <c r="BD113" s="65">
        <f t="shared" si="144"/>
        <v>0</v>
      </c>
      <c r="BE113" s="44">
        <v>0</v>
      </c>
      <c r="BF113" s="179">
        <f t="shared" ref="BF113:BF121" si="151">ROUND($AR:$AR*$BE:$BE,0)</f>
        <v>0</v>
      </c>
      <c r="BG113" s="402">
        <v>0</v>
      </c>
      <c r="BH113" s="403">
        <f t="shared" ref="BH113:BH121" si="152">ROUND($AR:$AR*$BG:$BG,0)</f>
        <v>0</v>
      </c>
      <c r="BI113" s="44">
        <v>3.2500000000000001E-2</v>
      </c>
      <c r="BJ113" s="179">
        <f t="shared" ref="BJ113:BJ121" si="153">ROUND($AR:$AR*$BI:$BI,0)</f>
        <v>6422</v>
      </c>
      <c r="BK113" s="179">
        <f t="shared" ref="BK113:BK121" si="154">ROUND(IF($P:$P&gt;1,$BJ:$BJ*1,$BJ:$BJ*$P:$P),0)</f>
        <v>6422</v>
      </c>
      <c r="BL113" s="202"/>
      <c r="BM113" s="203">
        <f t="shared" ref="BM113:BM121" si="155">$BC:$BC+$BE:$BE+$BG:$BG</f>
        <v>0</v>
      </c>
      <c r="BN113" s="204">
        <f t="shared" ref="BN113:BN121" si="156">$BD:$BD+$BF:$BF+$BH:$BH</f>
        <v>0</v>
      </c>
      <c r="BO113" s="16">
        <f t="shared" ref="BO113:BO121" si="157">IFERROR(ROUND($AY:$AY+$BN:$BN,0),0)</f>
        <v>197600</v>
      </c>
      <c r="BP113" s="205">
        <f t="shared" ref="BP113:BP121" si="158">ROUND(IF(SUM($BO:$BO&lt;249080),SUM(ROUND($BO:$BO*11%,0)),27398.8),0)</f>
        <v>21736</v>
      </c>
      <c r="BQ113" s="206">
        <f t="shared" ref="BQ113:BQ121" si="159">$BO:$BO+$BP:$BP</f>
        <v>219336</v>
      </c>
      <c r="BR113" s="55">
        <f t="shared" ref="BR113:BR121" si="160">IFERROR(($BO:$BO+$AJ:$AJ+$AK:$AK)/$AF:$AF,0)</f>
        <v>1.4702380952380953</v>
      </c>
      <c r="BS113" s="64" t="str">
        <f t="shared" ref="BS113:BS121" si="161">IF($N:$N="CASUAL","TBC",ROUND($BN:$BN/(NETWORKDAYS("01/07/2023","30/06/2024"))*NETWORKDAYS("10/07/2023","04/09/2023"),0)*$P:$P)</f>
        <v>TBC</v>
      </c>
      <c r="BT113" s="53">
        <f t="shared" ref="BT113:BT121" si="162">$BM113+$BI113</f>
        <v>3.2500000000000001E-2</v>
      </c>
      <c r="BU113" s="65">
        <f t="shared" ref="BU113:BU121" si="163">$BN:$BN+$BJ:$BJ</f>
        <v>6422</v>
      </c>
      <c r="BV113" s="206">
        <f t="shared" ref="BV113:BV121" si="164">$BO:$BO*$P:$P</f>
        <v>197600</v>
      </c>
      <c r="BW113" s="207">
        <f t="shared" ref="BW113:BW121" si="165">ROUND($BO:$BO/1976,2)</f>
        <v>100</v>
      </c>
      <c r="BX113" s="199"/>
      <c r="BY113" s="206">
        <f t="shared" ref="BY113:BY121" si="166">$BQ:$BQ+$BX:$BX</f>
        <v>219336</v>
      </c>
      <c r="BZ113" s="208" t="s">
        <v>687</v>
      </c>
      <c r="CA113" s="199"/>
      <c r="CB113" s="199"/>
      <c r="CC113" s="200" t="str">
        <f t="shared" ref="CC113:CC121" si="167">CONCATENATE(CD113,"",CE113)</f>
        <v/>
      </c>
      <c r="CD113" s="197"/>
      <c r="CE113" s="197"/>
      <c r="CF113" s="10" t="str">
        <f>IFERROR(INDEX('[4]Lookup_Rem Ranges'!$D:$D,MATCH($CC:$CC,'[4]Lookup_Rem Ranges'!$C:$C,0)),"")</f>
        <v/>
      </c>
      <c r="CG113" s="306"/>
      <c r="CH113" s="306"/>
      <c r="CI113" s="209"/>
      <c r="CJ113" s="122" t="s">
        <v>701</v>
      </c>
      <c r="CK113" s="206">
        <f t="shared" ref="CK113:CK121" si="168">IFERROR(ROUND($CI:$CI*$CJ:$CJ,0),0)</f>
        <v>0</v>
      </c>
      <c r="CL113" s="206">
        <f t="shared" ref="CL113:CL121" si="169">$CI:$CI+$CK:$CK</f>
        <v>0</v>
      </c>
      <c r="CM113" s="123"/>
      <c r="CN113" s="124">
        <f t="shared" ref="CN113:CN121" si="170">IF(SUM($CL:$CL&lt;249080),SUM(ROUND($CL:$CL*11%,0)),27398.8)</f>
        <v>0</v>
      </c>
      <c r="CO113" s="124" t="s">
        <v>1377</v>
      </c>
      <c r="CP113" s="125">
        <f t="shared" ref="CP113:CP121" si="171">IF(BA113="Yes",3.25%,0)</f>
        <v>3.2500000000000001E-2</v>
      </c>
      <c r="CQ113" s="126">
        <f t="shared" ref="CQ113:CQ121" si="172">ROUND(AR113*CP113,0)</f>
        <v>6422</v>
      </c>
      <c r="CR113" s="127">
        <f t="shared" ref="CR113:CR121" si="173">IF($AW:$AW&lt;3.25%,$AW:$AW,3.25%)</f>
        <v>0</v>
      </c>
      <c r="CS113" s="128">
        <f t="shared" ref="CS113:CS121" si="174">ROUND($AR:$AR*$CR:$CR,0)</f>
        <v>0</v>
      </c>
      <c r="CT113" s="127">
        <f t="shared" ref="CT113:CT121" si="175">IF($AW:$AW&gt;=3.25%,$AW:$AW-$CR:$CR,0)</f>
        <v>0</v>
      </c>
      <c r="CU113" s="128">
        <f t="shared" ref="CU113:CU121" si="176">ROUND($AR:$AR*$CT:$CT,0)</f>
        <v>0</v>
      </c>
      <c r="CV113" s="127">
        <f t="shared" ref="CV113:CV121" si="177">IF($CR:$CR=3.25%,0,IF($BC:$BC&lt;3.25%,$BC:$BC,IF($BC:$BC&gt;3.25%,3.25%-$CR:$CR,0)))</f>
        <v>0</v>
      </c>
      <c r="CW113" s="128">
        <f t="shared" ref="CW113:CW121" si="178">IFERROR(ROUND($AY:$AY*$CV:$CV,0),0)</f>
        <v>0</v>
      </c>
      <c r="CX113" s="127">
        <f t="shared" ref="CX113:CX121" si="179">IF($CV:$CV=0,$BC:$BC,BC:BC-$CV:$CV)</f>
        <v>0</v>
      </c>
      <c r="CY113" s="128">
        <f t="shared" ref="CY113:CY121" si="180">IFERROR(ROUND($AY:$AY*$CX:$CX,0),0)</f>
        <v>0</v>
      </c>
      <c r="CZ113" s="127">
        <f>$CR:$CR+$CT:CT+$CV:$CV+$CX:$CX</f>
        <v>0</v>
      </c>
      <c r="DA113" s="127">
        <f t="shared" ref="DA113:DA121" si="181">(SUM($AW:$AW+$BC:$BC)-$CZ:$CZ)</f>
        <v>0</v>
      </c>
      <c r="DB113" s="127"/>
      <c r="DC113" s="127">
        <f t="shared" ref="DC113:DC121" si="182">$BE:$BE</f>
        <v>0</v>
      </c>
      <c r="DD113" s="128">
        <f t="shared" ref="DD113:DD121" si="183">$BF:$BF</f>
        <v>0</v>
      </c>
      <c r="DE113" s="129">
        <f t="shared" ref="DE113:DE121" si="184">$BI:$BI</f>
        <v>3.2500000000000001E-2</v>
      </c>
      <c r="DF113" s="128">
        <f t="shared" ref="DF113:DF121" si="185">$BJ:$BJ</f>
        <v>6422</v>
      </c>
      <c r="DG113" s="129">
        <f t="shared" ref="DG113:DG121" si="186">$BG:$BG</f>
        <v>0</v>
      </c>
      <c r="DH113" s="128">
        <f t="shared" ref="DH113:DH121" si="187">IFERROR(ROUND($AP:$AP*$DG:$DG,0),0)</f>
        <v>0</v>
      </c>
      <c r="DI113" s="127">
        <f t="shared" ref="DI113:DI121" si="188">$CR:$CR+$CV:$CV+$DC:$DC+$DE:$DE+$DG:$DG</f>
        <v>3.2500000000000001E-2</v>
      </c>
      <c r="DJ113" s="128">
        <f t="shared" ref="DJ113:DJ121" si="189">$CS:$CS+$CW:$CW+$DD:$DD+$DF:$DF+$DH:$DH</f>
        <v>6422</v>
      </c>
      <c r="DK113" s="127">
        <f t="shared" ref="DK113:DK121" si="190">$CT:$CT+$CX:$CX</f>
        <v>0</v>
      </c>
      <c r="DL113" s="128">
        <f t="shared" ref="DL113:DL121" si="191">$CU:$CU+$CY:$CY</f>
        <v>0</v>
      </c>
      <c r="DM113" s="130"/>
      <c r="DN113" s="131"/>
      <c r="DO113" s="131"/>
      <c r="DP113" s="131"/>
      <c r="DQ113" s="131"/>
      <c r="DR113" s="131"/>
      <c r="DS113" s="131"/>
      <c r="DT113" s="131"/>
      <c r="DU113" s="131"/>
      <c r="DV113" s="131"/>
      <c r="DW113" s="131" t="s">
        <v>1381</v>
      </c>
    </row>
    <row r="114" spans="1:127" ht="24">
      <c r="A114" s="134"/>
      <c r="B114" s="121" t="s">
        <v>490</v>
      </c>
      <c r="C114" s="121" t="s">
        <v>871</v>
      </c>
      <c r="D114" s="121">
        <v>21062</v>
      </c>
      <c r="E114" s="192" t="s">
        <v>872</v>
      </c>
      <c r="F114" s="192" t="s">
        <v>873</v>
      </c>
      <c r="G114" s="192" t="s">
        <v>538</v>
      </c>
      <c r="H114" s="193" t="s">
        <v>874</v>
      </c>
      <c r="I114" s="192" t="s">
        <v>864</v>
      </c>
      <c r="J114" s="192" t="s">
        <v>865</v>
      </c>
      <c r="K114" s="194">
        <v>44711</v>
      </c>
      <c r="L114" s="194"/>
      <c r="M114" s="194">
        <v>44711</v>
      </c>
      <c r="N114" s="195" t="s">
        <v>539</v>
      </c>
      <c r="O114" s="195">
        <v>38</v>
      </c>
      <c r="P114" s="196">
        <f t="shared" si="145"/>
        <v>1</v>
      </c>
      <c r="Q114" s="192" t="s">
        <v>613</v>
      </c>
      <c r="R114" s="192">
        <v>20741</v>
      </c>
      <c r="S114" s="192" t="s">
        <v>866</v>
      </c>
      <c r="T114" s="192" t="s">
        <v>875</v>
      </c>
      <c r="U114" s="192" t="s">
        <v>876</v>
      </c>
      <c r="V114" s="193" t="s">
        <v>543</v>
      </c>
      <c r="W114" s="193" t="s">
        <v>626</v>
      </c>
      <c r="X114" s="193" t="s">
        <v>823</v>
      </c>
      <c r="Y114" s="52" t="s">
        <v>824</v>
      </c>
      <c r="Z114" s="193" t="s">
        <v>1371</v>
      </c>
      <c r="AA114" s="193" t="s">
        <v>876</v>
      </c>
      <c r="AB114" s="57" t="s">
        <v>1372</v>
      </c>
      <c r="AC114" s="193" t="s">
        <v>825</v>
      </c>
      <c r="AD114" s="52" t="s">
        <v>826</v>
      </c>
      <c r="AE114" s="10">
        <f>IFERROR(INDEX('[3]Lookup_Rem Ranges'!$D:$D,MATCH($AL:$AL,'[3]Lookup_Rem Ranges'!$C:$C,0)),0)</f>
        <v>114200</v>
      </c>
      <c r="AF114" s="10">
        <f>IFERROR(INDEX('[3]Lookup_Rem Ranges'!$E:$E,MATCH($AL:$AL,'[3]Lookup_Rem Ranges'!$C:$C,0)),0)</f>
        <v>134400</v>
      </c>
      <c r="AG114" s="10">
        <f>IFERROR(INDEX('[3]Lookup_Rem Ranges'!$F:$F,MATCH($AL:$AL,'[3]Lookup_Rem Ranges'!$C:$C,0)),)</f>
        <v>154600</v>
      </c>
      <c r="AH114" s="193" t="s">
        <v>622</v>
      </c>
      <c r="AI114" s="197"/>
      <c r="AJ114" s="198">
        <v>0</v>
      </c>
      <c r="AK114" s="199"/>
      <c r="AL114" s="200" t="str">
        <f t="shared" si="146"/>
        <v>GI6</v>
      </c>
      <c r="AM114" s="200" t="s">
        <v>486</v>
      </c>
      <c r="AN114" s="197">
        <v>6</v>
      </c>
      <c r="AO114" s="199" t="s">
        <v>701</v>
      </c>
      <c r="AP114" s="5">
        <v>130000</v>
      </c>
      <c r="AQ114" s="10">
        <f t="shared" si="147"/>
        <v>130000</v>
      </c>
      <c r="AR114" s="10">
        <f t="shared" si="148"/>
        <v>130000</v>
      </c>
      <c r="AS114" s="53">
        <v>0</v>
      </c>
      <c r="AT114" s="53">
        <v>0</v>
      </c>
      <c r="AU114" s="201"/>
      <c r="AV114" s="10"/>
      <c r="AW114" s="54">
        <v>0</v>
      </c>
      <c r="AX114" s="10">
        <v>0</v>
      </c>
      <c r="AY114" s="10">
        <v>130000</v>
      </c>
      <c r="AZ114" s="55">
        <f t="shared" si="149"/>
        <v>0.96726190476190477</v>
      </c>
      <c r="BA114" s="37" t="s">
        <v>23</v>
      </c>
      <c r="BB114" s="38">
        <v>4</v>
      </c>
      <c r="BC114" s="53">
        <f t="shared" si="150"/>
        <v>0</v>
      </c>
      <c r="BD114" s="65">
        <f t="shared" si="144"/>
        <v>0</v>
      </c>
      <c r="BE114" s="44">
        <v>3.2500000000000001E-2</v>
      </c>
      <c r="BF114" s="179">
        <f t="shared" si="151"/>
        <v>4225</v>
      </c>
      <c r="BG114" s="402">
        <v>0</v>
      </c>
      <c r="BH114" s="403">
        <f t="shared" si="152"/>
        <v>0</v>
      </c>
      <c r="BI114" s="44">
        <v>0</v>
      </c>
      <c r="BJ114" s="179">
        <f t="shared" si="153"/>
        <v>0</v>
      </c>
      <c r="BK114" s="179">
        <f t="shared" si="154"/>
        <v>0</v>
      </c>
      <c r="BL114" s="202"/>
      <c r="BM114" s="203">
        <f t="shared" si="155"/>
        <v>3.2500000000000001E-2</v>
      </c>
      <c r="BN114" s="204">
        <f t="shared" si="156"/>
        <v>4225</v>
      </c>
      <c r="BO114" s="16">
        <f t="shared" si="157"/>
        <v>134225</v>
      </c>
      <c r="BP114" s="205">
        <f t="shared" si="158"/>
        <v>14765</v>
      </c>
      <c r="BQ114" s="206">
        <f t="shared" si="159"/>
        <v>148990</v>
      </c>
      <c r="BR114" s="55">
        <f t="shared" si="160"/>
        <v>0.99869791666666663</v>
      </c>
      <c r="BS114" s="64">
        <f t="shared" si="161"/>
        <v>666</v>
      </c>
      <c r="BT114" s="53">
        <f t="shared" si="162"/>
        <v>3.2500000000000001E-2</v>
      </c>
      <c r="BU114" s="65">
        <f t="shared" si="163"/>
        <v>4225</v>
      </c>
      <c r="BV114" s="206">
        <f t="shared" si="164"/>
        <v>134225</v>
      </c>
      <c r="BW114" s="207">
        <f t="shared" si="165"/>
        <v>67.930000000000007</v>
      </c>
      <c r="BX114" s="199"/>
      <c r="BY114" s="206">
        <f t="shared" si="166"/>
        <v>148990</v>
      </c>
      <c r="BZ114" s="208" t="s">
        <v>687</v>
      </c>
      <c r="CA114" s="199"/>
      <c r="CB114" s="199"/>
      <c r="CC114" s="200" t="str">
        <f t="shared" si="167"/>
        <v/>
      </c>
      <c r="CD114" s="197"/>
      <c r="CE114" s="197"/>
      <c r="CF114" s="10" t="str">
        <f>IFERROR(INDEX('[4]Lookup_Rem Ranges'!$D:$D,MATCH($CC:$CC,'[4]Lookup_Rem Ranges'!$C:$C,0)),"")</f>
        <v/>
      </c>
      <c r="CG114" s="306"/>
      <c r="CH114" s="306"/>
      <c r="CI114" s="209"/>
      <c r="CJ114" s="122" t="s">
        <v>701</v>
      </c>
      <c r="CK114" s="206">
        <f t="shared" si="168"/>
        <v>0</v>
      </c>
      <c r="CL114" s="206">
        <f t="shared" si="169"/>
        <v>0</v>
      </c>
      <c r="CM114" s="123"/>
      <c r="CN114" s="124">
        <f t="shared" si="170"/>
        <v>0</v>
      </c>
      <c r="CO114" s="124" t="s">
        <v>1377</v>
      </c>
      <c r="CP114" s="125">
        <f t="shared" si="171"/>
        <v>3.2500000000000001E-2</v>
      </c>
      <c r="CQ114" s="126">
        <f t="shared" si="172"/>
        <v>4225</v>
      </c>
      <c r="CR114" s="127">
        <f t="shared" si="173"/>
        <v>0</v>
      </c>
      <c r="CS114" s="128">
        <f t="shared" si="174"/>
        <v>0</v>
      </c>
      <c r="CT114" s="127">
        <f t="shared" si="175"/>
        <v>0</v>
      </c>
      <c r="CU114" s="128">
        <f t="shared" si="176"/>
        <v>0</v>
      </c>
      <c r="CV114" s="127">
        <f t="shared" si="177"/>
        <v>0</v>
      </c>
      <c r="CW114" s="128">
        <f t="shared" si="178"/>
        <v>0</v>
      </c>
      <c r="CX114" s="127">
        <f t="shared" si="179"/>
        <v>0</v>
      </c>
      <c r="CY114" s="128">
        <f t="shared" si="180"/>
        <v>0</v>
      </c>
      <c r="CZ114" s="127">
        <f>$CR:$CR+$CT:CT+$CV:$CV+$CX:$CX</f>
        <v>0</v>
      </c>
      <c r="DA114" s="127">
        <f t="shared" si="181"/>
        <v>0</v>
      </c>
      <c r="DB114" s="127"/>
      <c r="DC114" s="127">
        <f t="shared" si="182"/>
        <v>3.2500000000000001E-2</v>
      </c>
      <c r="DD114" s="128">
        <f t="shared" si="183"/>
        <v>4225</v>
      </c>
      <c r="DE114" s="129">
        <f t="shared" si="184"/>
        <v>0</v>
      </c>
      <c r="DF114" s="128">
        <f t="shared" si="185"/>
        <v>0</v>
      </c>
      <c r="DG114" s="129">
        <f t="shared" si="186"/>
        <v>0</v>
      </c>
      <c r="DH114" s="128">
        <f t="shared" si="187"/>
        <v>0</v>
      </c>
      <c r="DI114" s="127">
        <f t="shared" si="188"/>
        <v>3.2500000000000001E-2</v>
      </c>
      <c r="DJ114" s="128">
        <f t="shared" si="189"/>
        <v>4225</v>
      </c>
      <c r="DK114" s="127">
        <f t="shared" si="190"/>
        <v>0</v>
      </c>
      <c r="DL114" s="128">
        <f t="shared" si="191"/>
        <v>0</v>
      </c>
      <c r="DM114" s="130"/>
      <c r="DN114" s="131"/>
      <c r="DO114" s="131"/>
      <c r="DP114" s="131"/>
      <c r="DQ114" s="131"/>
      <c r="DR114" s="131"/>
      <c r="DS114" s="131"/>
      <c r="DT114" s="131"/>
      <c r="DU114" s="131"/>
      <c r="DV114" s="131"/>
      <c r="DW114" s="131" t="s">
        <v>1381</v>
      </c>
    </row>
    <row r="115" spans="1:127" ht="24">
      <c r="A115" s="134"/>
      <c r="B115" s="121" t="s">
        <v>490</v>
      </c>
      <c r="C115" s="121" t="s">
        <v>877</v>
      </c>
      <c r="D115" s="121">
        <v>8450</v>
      </c>
      <c r="E115" s="192" t="s">
        <v>502</v>
      </c>
      <c r="F115" s="192" t="s">
        <v>878</v>
      </c>
      <c r="G115" s="192" t="s">
        <v>537</v>
      </c>
      <c r="H115" s="193" t="s">
        <v>879</v>
      </c>
      <c r="I115" s="192" t="s">
        <v>880</v>
      </c>
      <c r="J115" s="192" t="s">
        <v>881</v>
      </c>
      <c r="K115" s="194">
        <v>39456</v>
      </c>
      <c r="L115" s="194"/>
      <c r="M115" s="194">
        <v>44537</v>
      </c>
      <c r="N115" s="195" t="s">
        <v>539</v>
      </c>
      <c r="O115" s="195">
        <v>38</v>
      </c>
      <c r="P115" s="196">
        <f t="shared" si="145"/>
        <v>1</v>
      </c>
      <c r="Q115" s="192" t="s">
        <v>613</v>
      </c>
      <c r="R115" s="192">
        <v>20741</v>
      </c>
      <c r="S115" s="192" t="s">
        <v>866</v>
      </c>
      <c r="T115" s="192" t="s">
        <v>875</v>
      </c>
      <c r="U115" s="192" t="s">
        <v>876</v>
      </c>
      <c r="V115" s="193" t="s">
        <v>543</v>
      </c>
      <c r="W115" s="193" t="s">
        <v>626</v>
      </c>
      <c r="X115" s="193" t="s">
        <v>823</v>
      </c>
      <c r="Y115" s="52" t="s">
        <v>824</v>
      </c>
      <c r="Z115" s="193" t="s">
        <v>1371</v>
      </c>
      <c r="AA115" s="193" t="s">
        <v>876</v>
      </c>
      <c r="AB115" s="57" t="s">
        <v>1372</v>
      </c>
      <c r="AC115" s="193" t="s">
        <v>825</v>
      </c>
      <c r="AD115" s="52" t="s">
        <v>826</v>
      </c>
      <c r="AE115" s="10">
        <f>IFERROR(INDEX('[3]Lookup_Rem Ranges'!$D:$D,MATCH($AL:$AL,'[3]Lookup_Rem Ranges'!$C:$C,0)),0)</f>
        <v>83400</v>
      </c>
      <c r="AF115" s="10">
        <f>IFERROR(INDEX('[3]Lookup_Rem Ranges'!$E:$E,MATCH($AL:$AL,'[3]Lookup_Rem Ranges'!$C:$C,0)),0)</f>
        <v>98100</v>
      </c>
      <c r="AG115" s="10">
        <f>IFERROR(INDEX('[3]Lookup_Rem Ranges'!$F:$F,MATCH($AL:$AL,'[3]Lookup_Rem Ranges'!$C:$C,0)),)</f>
        <v>112800</v>
      </c>
      <c r="AH115" s="193" t="s">
        <v>622</v>
      </c>
      <c r="AI115" s="197"/>
      <c r="AJ115" s="198">
        <v>0</v>
      </c>
      <c r="AK115" s="199"/>
      <c r="AL115" s="200" t="str">
        <f t="shared" si="146"/>
        <v>CASS5</v>
      </c>
      <c r="AM115" s="200" t="s">
        <v>487</v>
      </c>
      <c r="AN115" s="197">
        <v>5</v>
      </c>
      <c r="AO115" s="199" t="s">
        <v>882</v>
      </c>
      <c r="AP115" s="5">
        <v>94200</v>
      </c>
      <c r="AQ115" s="10">
        <f t="shared" si="147"/>
        <v>94200</v>
      </c>
      <c r="AR115" s="10">
        <f t="shared" si="148"/>
        <v>0</v>
      </c>
      <c r="AS115" s="53">
        <v>3.5164835164835165E-2</v>
      </c>
      <c r="AT115" s="53">
        <v>0</v>
      </c>
      <c r="AU115" s="201"/>
      <c r="AV115" s="10"/>
      <c r="AW115" s="54">
        <v>0</v>
      </c>
      <c r="AX115" s="10">
        <v>0</v>
      </c>
      <c r="AY115" s="10">
        <v>94200</v>
      </c>
      <c r="AZ115" s="55">
        <f t="shared" si="149"/>
        <v>0.96024464831804279</v>
      </c>
      <c r="BA115" s="37" t="s">
        <v>687</v>
      </c>
      <c r="BB115" s="38">
        <v>3</v>
      </c>
      <c r="BC115" s="53">
        <f t="shared" si="150"/>
        <v>0</v>
      </c>
      <c r="BD115" s="65">
        <f t="shared" si="144"/>
        <v>0</v>
      </c>
      <c r="BE115" s="44">
        <v>0</v>
      </c>
      <c r="BF115" s="179">
        <f t="shared" si="151"/>
        <v>0</v>
      </c>
      <c r="BG115" s="402">
        <v>0</v>
      </c>
      <c r="BH115" s="403">
        <f t="shared" si="152"/>
        <v>0</v>
      </c>
      <c r="BI115" s="44">
        <v>0</v>
      </c>
      <c r="BJ115" s="179">
        <f t="shared" si="153"/>
        <v>0</v>
      </c>
      <c r="BK115" s="179">
        <f t="shared" si="154"/>
        <v>0</v>
      </c>
      <c r="BL115" s="202"/>
      <c r="BM115" s="203">
        <f t="shared" si="155"/>
        <v>0</v>
      </c>
      <c r="BN115" s="204">
        <f t="shared" si="156"/>
        <v>0</v>
      </c>
      <c r="BO115" s="16">
        <f t="shared" si="157"/>
        <v>94200</v>
      </c>
      <c r="BP115" s="205">
        <f t="shared" si="158"/>
        <v>10362</v>
      </c>
      <c r="BQ115" s="206">
        <f t="shared" si="159"/>
        <v>104562</v>
      </c>
      <c r="BR115" s="55">
        <f t="shared" si="160"/>
        <v>0.96024464831804279</v>
      </c>
      <c r="BS115" s="64">
        <f t="shared" si="161"/>
        <v>0</v>
      </c>
      <c r="BT115" s="53">
        <f t="shared" si="162"/>
        <v>0</v>
      </c>
      <c r="BU115" s="65">
        <f t="shared" si="163"/>
        <v>0</v>
      </c>
      <c r="BV115" s="206">
        <f t="shared" si="164"/>
        <v>94200</v>
      </c>
      <c r="BW115" s="207">
        <f t="shared" si="165"/>
        <v>47.67</v>
      </c>
      <c r="BX115" s="199"/>
      <c r="BY115" s="206">
        <f t="shared" si="166"/>
        <v>104562</v>
      </c>
      <c r="BZ115" s="208" t="s">
        <v>23</v>
      </c>
      <c r="CA115" s="199" t="s">
        <v>883</v>
      </c>
      <c r="CB115" s="199" t="s">
        <v>884</v>
      </c>
      <c r="CC115" s="200" t="str">
        <f t="shared" si="167"/>
        <v>GI3</v>
      </c>
      <c r="CD115" s="197" t="s">
        <v>486</v>
      </c>
      <c r="CE115" s="197">
        <v>3</v>
      </c>
      <c r="CF115" s="10">
        <f>IFERROR(INDEX('[4]Lookup_Rem Ranges'!$D:$D,MATCH($CC:$CC,'[4]Lookup_Rem Ranges'!$C:$C,0)),"")</f>
        <v>64900</v>
      </c>
      <c r="CG115" s="306">
        <v>44977</v>
      </c>
      <c r="CH115" s="306"/>
      <c r="CI115" s="209">
        <v>97500</v>
      </c>
      <c r="CJ115" s="122">
        <v>0</v>
      </c>
      <c r="CK115" s="206">
        <f t="shared" si="168"/>
        <v>0</v>
      </c>
      <c r="CL115" s="206">
        <f t="shared" si="169"/>
        <v>97500</v>
      </c>
      <c r="CM115" s="123"/>
      <c r="CN115" s="124">
        <f t="shared" si="170"/>
        <v>10725</v>
      </c>
      <c r="CO115" s="124" t="s">
        <v>1377</v>
      </c>
      <c r="CP115" s="125">
        <f t="shared" si="171"/>
        <v>0</v>
      </c>
      <c r="CQ115" s="126">
        <f t="shared" si="172"/>
        <v>0</v>
      </c>
      <c r="CR115" s="127">
        <f t="shared" si="173"/>
        <v>0</v>
      </c>
      <c r="CS115" s="128">
        <f t="shared" si="174"/>
        <v>0</v>
      </c>
      <c r="CT115" s="127">
        <f t="shared" si="175"/>
        <v>0</v>
      </c>
      <c r="CU115" s="128">
        <f t="shared" si="176"/>
        <v>0</v>
      </c>
      <c r="CV115" s="127">
        <f t="shared" si="177"/>
        <v>0</v>
      </c>
      <c r="CW115" s="128">
        <f t="shared" si="178"/>
        <v>0</v>
      </c>
      <c r="CX115" s="127">
        <f t="shared" si="179"/>
        <v>0</v>
      </c>
      <c r="CY115" s="128">
        <f t="shared" si="180"/>
        <v>0</v>
      </c>
      <c r="CZ115" s="127">
        <f>$CR:$CR+$CT:CT+$CV:$CV+$CX:$CX</f>
        <v>0</v>
      </c>
      <c r="DA115" s="127">
        <f t="shared" si="181"/>
        <v>0</v>
      </c>
      <c r="DB115" s="127"/>
      <c r="DC115" s="127">
        <f t="shared" si="182"/>
        <v>0</v>
      </c>
      <c r="DD115" s="128">
        <f t="shared" si="183"/>
        <v>0</v>
      </c>
      <c r="DE115" s="129">
        <f t="shared" si="184"/>
        <v>0</v>
      </c>
      <c r="DF115" s="128">
        <f t="shared" si="185"/>
        <v>0</v>
      </c>
      <c r="DG115" s="129">
        <f t="shared" si="186"/>
        <v>0</v>
      </c>
      <c r="DH115" s="128">
        <f t="shared" si="187"/>
        <v>0</v>
      </c>
      <c r="DI115" s="127">
        <f t="shared" si="188"/>
        <v>0</v>
      </c>
      <c r="DJ115" s="128">
        <f t="shared" si="189"/>
        <v>0</v>
      </c>
      <c r="DK115" s="127">
        <f t="shared" si="190"/>
        <v>0</v>
      </c>
      <c r="DL115" s="128">
        <f t="shared" si="191"/>
        <v>0</v>
      </c>
      <c r="DM115" s="130"/>
      <c r="DN115" s="131"/>
      <c r="DO115" s="131"/>
      <c r="DP115" s="131"/>
      <c r="DQ115" s="131"/>
      <c r="DR115" s="131"/>
      <c r="DS115" s="131"/>
      <c r="DT115" s="131"/>
      <c r="DU115" s="131"/>
      <c r="DV115" s="131"/>
      <c r="DW115" s="131" t="s">
        <v>1381</v>
      </c>
    </row>
    <row r="116" spans="1:127" ht="24">
      <c r="A116" s="134"/>
      <c r="B116" s="121" t="s">
        <v>490</v>
      </c>
      <c r="C116" s="121" t="s">
        <v>1294</v>
      </c>
      <c r="D116" s="121">
        <v>6389</v>
      </c>
      <c r="E116" s="192" t="s">
        <v>492</v>
      </c>
      <c r="F116" s="192" t="s">
        <v>1295</v>
      </c>
      <c r="G116" s="192" t="s">
        <v>537</v>
      </c>
      <c r="H116" s="193" t="s">
        <v>1296</v>
      </c>
      <c r="I116" s="192" t="s">
        <v>1297</v>
      </c>
      <c r="J116" s="192" t="s">
        <v>1298</v>
      </c>
      <c r="K116" s="194">
        <v>38656</v>
      </c>
      <c r="L116" s="194"/>
      <c r="M116" s="194">
        <v>45075</v>
      </c>
      <c r="N116" s="195" t="s">
        <v>539</v>
      </c>
      <c r="O116" s="195">
        <v>38</v>
      </c>
      <c r="P116" s="196">
        <f t="shared" si="145"/>
        <v>1</v>
      </c>
      <c r="Q116" s="192" t="s">
        <v>614</v>
      </c>
      <c r="R116" s="192">
        <v>16308</v>
      </c>
      <c r="S116" s="192" t="s">
        <v>1293</v>
      </c>
      <c r="T116" s="192" t="s">
        <v>925</v>
      </c>
      <c r="U116" s="192" t="s">
        <v>926</v>
      </c>
      <c r="V116" s="193" t="s">
        <v>543</v>
      </c>
      <c r="W116" s="193" t="s">
        <v>567</v>
      </c>
      <c r="X116" s="193" t="s">
        <v>823</v>
      </c>
      <c r="Y116" s="56" t="s">
        <v>824</v>
      </c>
      <c r="Z116" s="193" t="s">
        <v>1293</v>
      </c>
      <c r="AA116" s="193" t="s">
        <v>926</v>
      </c>
      <c r="AB116" s="57" t="s">
        <v>1370</v>
      </c>
      <c r="AC116" s="193" t="s">
        <v>825</v>
      </c>
      <c r="AD116" s="56" t="s">
        <v>826</v>
      </c>
      <c r="AE116" s="10">
        <f>IFERROR(INDEX('[3]Lookup_Rem Ranges'!$D:$D,MATCH($AL:$AL,'[3]Lookup_Rem Ranges'!$C:$C,0)),0)</f>
        <v>133400</v>
      </c>
      <c r="AF116" s="10">
        <f>IFERROR(INDEX('[3]Lookup_Rem Ranges'!$E:$E,MATCH($AL:$AL,'[3]Lookup_Rem Ranges'!$C:$C,0)),0)</f>
        <v>156900</v>
      </c>
      <c r="AG116" s="10">
        <f>IFERROR(INDEX('[3]Lookup_Rem Ranges'!$F:$F,MATCH($AL:$AL,'[3]Lookup_Rem Ranges'!$C:$C,0)),)</f>
        <v>180400</v>
      </c>
      <c r="AH116" s="193" t="s">
        <v>622</v>
      </c>
      <c r="AI116" s="197"/>
      <c r="AJ116" s="198">
        <v>0</v>
      </c>
      <c r="AK116" s="199"/>
      <c r="AL116" s="200" t="str">
        <f t="shared" si="146"/>
        <v>CASS7</v>
      </c>
      <c r="AM116" s="200" t="s">
        <v>487</v>
      </c>
      <c r="AN116" s="197">
        <v>7</v>
      </c>
      <c r="AO116" s="199" t="s">
        <v>701</v>
      </c>
      <c r="AP116" s="5">
        <v>134600</v>
      </c>
      <c r="AQ116" s="10">
        <f t="shared" si="147"/>
        <v>134600</v>
      </c>
      <c r="AR116" s="10">
        <f t="shared" si="148"/>
        <v>134600</v>
      </c>
      <c r="AS116" s="53">
        <v>3.5384615384615382E-2</v>
      </c>
      <c r="AT116" s="53">
        <v>0</v>
      </c>
      <c r="AU116" s="201"/>
      <c r="AV116" s="10"/>
      <c r="AW116" s="54">
        <v>0</v>
      </c>
      <c r="AX116" s="10">
        <v>0</v>
      </c>
      <c r="AY116" s="10">
        <v>134600</v>
      </c>
      <c r="AZ116" s="55">
        <f t="shared" si="149"/>
        <v>0.85787125557680055</v>
      </c>
      <c r="BA116" s="37" t="s">
        <v>23</v>
      </c>
      <c r="BB116" s="38">
        <v>3</v>
      </c>
      <c r="BC116" s="53">
        <f t="shared" si="150"/>
        <v>0</v>
      </c>
      <c r="BD116" s="65">
        <f t="shared" si="144"/>
        <v>0</v>
      </c>
      <c r="BE116" s="44">
        <v>3.2500000000000001E-2</v>
      </c>
      <c r="BF116" s="179">
        <f t="shared" si="151"/>
        <v>4375</v>
      </c>
      <c r="BG116" s="402">
        <v>0</v>
      </c>
      <c r="BH116" s="403">
        <f t="shared" si="152"/>
        <v>0</v>
      </c>
      <c r="BI116" s="44">
        <v>0</v>
      </c>
      <c r="BJ116" s="179">
        <f t="shared" si="153"/>
        <v>0</v>
      </c>
      <c r="BK116" s="179">
        <f t="shared" si="154"/>
        <v>0</v>
      </c>
      <c r="BL116" s="202"/>
      <c r="BM116" s="203">
        <f t="shared" si="155"/>
        <v>3.2500000000000001E-2</v>
      </c>
      <c r="BN116" s="204">
        <f t="shared" si="156"/>
        <v>4375</v>
      </c>
      <c r="BO116" s="16">
        <f t="shared" si="157"/>
        <v>138975</v>
      </c>
      <c r="BP116" s="205">
        <f t="shared" si="158"/>
        <v>15287</v>
      </c>
      <c r="BQ116" s="206">
        <f t="shared" si="159"/>
        <v>154262</v>
      </c>
      <c r="BR116" s="55">
        <f t="shared" si="160"/>
        <v>0.88575525812619504</v>
      </c>
      <c r="BS116" s="64">
        <f t="shared" si="161"/>
        <v>690</v>
      </c>
      <c r="BT116" s="53">
        <f t="shared" si="162"/>
        <v>3.2500000000000001E-2</v>
      </c>
      <c r="BU116" s="65">
        <f t="shared" si="163"/>
        <v>4375</v>
      </c>
      <c r="BV116" s="206">
        <f t="shared" si="164"/>
        <v>138975</v>
      </c>
      <c r="BW116" s="207">
        <f t="shared" si="165"/>
        <v>70.33</v>
      </c>
      <c r="BX116" s="199"/>
      <c r="BY116" s="206">
        <f t="shared" si="166"/>
        <v>154262</v>
      </c>
      <c r="BZ116" s="208" t="s">
        <v>687</v>
      </c>
      <c r="CA116" s="199"/>
      <c r="CB116" s="199"/>
      <c r="CC116" s="200" t="str">
        <f t="shared" si="167"/>
        <v/>
      </c>
      <c r="CD116" s="197"/>
      <c r="CE116" s="197"/>
      <c r="CF116" s="10" t="str">
        <f>IFERROR(INDEX('[4]Lookup_Rem Ranges'!$D:$D,MATCH($CC:$CC,'[4]Lookup_Rem Ranges'!$C:$C,0)),"")</f>
        <v/>
      </c>
      <c r="CG116" s="307"/>
      <c r="CH116" s="307"/>
      <c r="CI116" s="210"/>
      <c r="CJ116" s="122" t="s">
        <v>701</v>
      </c>
      <c r="CK116" s="206">
        <f t="shared" si="168"/>
        <v>0</v>
      </c>
      <c r="CL116" s="206">
        <f t="shared" si="169"/>
        <v>0</v>
      </c>
      <c r="CM116" s="123"/>
      <c r="CN116" s="124">
        <f t="shared" si="170"/>
        <v>0</v>
      </c>
      <c r="CO116" s="124" t="s">
        <v>1374</v>
      </c>
      <c r="CP116" s="125">
        <f t="shared" si="171"/>
        <v>3.2500000000000001E-2</v>
      </c>
      <c r="CQ116" s="126">
        <f t="shared" si="172"/>
        <v>4375</v>
      </c>
      <c r="CR116" s="127">
        <f t="shared" si="173"/>
        <v>0</v>
      </c>
      <c r="CS116" s="128">
        <f t="shared" si="174"/>
        <v>0</v>
      </c>
      <c r="CT116" s="127">
        <f t="shared" si="175"/>
        <v>0</v>
      </c>
      <c r="CU116" s="128">
        <f t="shared" si="176"/>
        <v>0</v>
      </c>
      <c r="CV116" s="127">
        <f t="shared" si="177"/>
        <v>0</v>
      </c>
      <c r="CW116" s="128">
        <f t="shared" si="178"/>
        <v>0</v>
      </c>
      <c r="CX116" s="127">
        <f t="shared" si="179"/>
        <v>0</v>
      </c>
      <c r="CY116" s="128">
        <f t="shared" si="180"/>
        <v>0</v>
      </c>
      <c r="CZ116" s="127">
        <f>$CR:$CR+$CT:CT+$CV:$CV+$CX:$CX</f>
        <v>0</v>
      </c>
      <c r="DA116" s="127">
        <f t="shared" si="181"/>
        <v>0</v>
      </c>
      <c r="DB116" s="127"/>
      <c r="DC116" s="127">
        <f t="shared" si="182"/>
        <v>3.2500000000000001E-2</v>
      </c>
      <c r="DD116" s="128">
        <f t="shared" si="183"/>
        <v>4375</v>
      </c>
      <c r="DE116" s="129">
        <f t="shared" si="184"/>
        <v>0</v>
      </c>
      <c r="DF116" s="128">
        <f t="shared" si="185"/>
        <v>0</v>
      </c>
      <c r="DG116" s="129">
        <f t="shared" si="186"/>
        <v>0</v>
      </c>
      <c r="DH116" s="128">
        <f t="shared" si="187"/>
        <v>0</v>
      </c>
      <c r="DI116" s="127">
        <f t="shared" si="188"/>
        <v>3.2500000000000001E-2</v>
      </c>
      <c r="DJ116" s="128">
        <f t="shared" si="189"/>
        <v>4375</v>
      </c>
      <c r="DK116" s="127">
        <f t="shared" si="190"/>
        <v>0</v>
      </c>
      <c r="DL116" s="128">
        <f t="shared" si="191"/>
        <v>0</v>
      </c>
      <c r="DM116" s="130"/>
      <c r="DN116" s="131"/>
      <c r="DO116" s="131"/>
      <c r="DP116" s="131"/>
      <c r="DQ116" s="131"/>
      <c r="DR116" s="131"/>
      <c r="DS116" s="131"/>
      <c r="DT116" s="131"/>
      <c r="DU116" s="131"/>
      <c r="DV116" s="131"/>
      <c r="DW116" s="131" t="s">
        <v>1381</v>
      </c>
    </row>
    <row r="117" spans="1:127" ht="36">
      <c r="A117" s="134"/>
      <c r="B117" s="121" t="s">
        <v>490</v>
      </c>
      <c r="C117" s="121" t="s">
        <v>1289</v>
      </c>
      <c r="D117" s="121">
        <v>13839</v>
      </c>
      <c r="E117" s="192" t="s">
        <v>507</v>
      </c>
      <c r="F117" s="192" t="s">
        <v>1290</v>
      </c>
      <c r="G117" s="192" t="s">
        <v>537</v>
      </c>
      <c r="H117" s="193" t="s">
        <v>1274</v>
      </c>
      <c r="I117" s="192" t="s">
        <v>1291</v>
      </c>
      <c r="J117" s="192" t="s">
        <v>1292</v>
      </c>
      <c r="K117" s="194">
        <v>41386</v>
      </c>
      <c r="L117" s="194"/>
      <c r="M117" s="194">
        <v>44929</v>
      </c>
      <c r="N117" s="195" t="s">
        <v>539</v>
      </c>
      <c r="O117" s="195">
        <v>38</v>
      </c>
      <c r="P117" s="196">
        <f t="shared" si="145"/>
        <v>1</v>
      </c>
      <c r="Q117" s="192" t="s">
        <v>614</v>
      </c>
      <c r="R117" s="192">
        <v>16308</v>
      </c>
      <c r="S117" s="192" t="s">
        <v>1293</v>
      </c>
      <c r="T117" s="192" t="s">
        <v>925</v>
      </c>
      <c r="U117" s="192" t="s">
        <v>926</v>
      </c>
      <c r="V117" s="193" t="s">
        <v>543</v>
      </c>
      <c r="W117" s="193" t="s">
        <v>567</v>
      </c>
      <c r="X117" s="193" t="s">
        <v>823</v>
      </c>
      <c r="Y117" s="56" t="s">
        <v>824</v>
      </c>
      <c r="Z117" s="193" t="s">
        <v>1293</v>
      </c>
      <c r="AA117" s="193" t="s">
        <v>926</v>
      </c>
      <c r="AB117" s="57" t="s">
        <v>1370</v>
      </c>
      <c r="AC117" s="193" t="s">
        <v>825</v>
      </c>
      <c r="AD117" s="56" t="s">
        <v>826</v>
      </c>
      <c r="AE117" s="10">
        <f>IFERROR(INDEX('[3]Lookup_Rem Ranges'!$D:$D,MATCH($AL:$AL,'[3]Lookup_Rem Ranges'!$C:$C,0)),0)</f>
        <v>133400</v>
      </c>
      <c r="AF117" s="10">
        <f>IFERROR(INDEX('[3]Lookup_Rem Ranges'!$E:$E,MATCH($AL:$AL,'[3]Lookup_Rem Ranges'!$C:$C,0)),0)</f>
        <v>156900</v>
      </c>
      <c r="AG117" s="10">
        <f>IFERROR(INDEX('[3]Lookup_Rem Ranges'!$F:$F,MATCH($AL:$AL,'[3]Lookup_Rem Ranges'!$C:$C,0)),)</f>
        <v>180400</v>
      </c>
      <c r="AH117" s="193" t="s">
        <v>622</v>
      </c>
      <c r="AI117" s="197"/>
      <c r="AJ117" s="198">
        <v>0</v>
      </c>
      <c r="AK117" s="199"/>
      <c r="AL117" s="200" t="str">
        <f t="shared" si="146"/>
        <v>CASS7</v>
      </c>
      <c r="AM117" s="200" t="s">
        <v>487</v>
      </c>
      <c r="AN117" s="197">
        <v>7</v>
      </c>
      <c r="AO117" s="199" t="s">
        <v>1280</v>
      </c>
      <c r="AP117" s="5">
        <v>131500</v>
      </c>
      <c r="AQ117" s="10">
        <f t="shared" si="147"/>
        <v>131500</v>
      </c>
      <c r="AR117" s="10">
        <f t="shared" si="148"/>
        <v>131500</v>
      </c>
      <c r="AS117" s="53">
        <v>3.5433070866141732E-2</v>
      </c>
      <c r="AT117" s="53">
        <v>0</v>
      </c>
      <c r="AU117" s="201"/>
      <c r="AV117" s="10"/>
      <c r="AW117" s="54">
        <v>0</v>
      </c>
      <c r="AX117" s="10">
        <v>0</v>
      </c>
      <c r="AY117" s="10">
        <v>131500</v>
      </c>
      <c r="AZ117" s="55">
        <f t="shared" si="149"/>
        <v>0.83811344805608667</v>
      </c>
      <c r="BA117" s="37" t="s">
        <v>23</v>
      </c>
      <c r="BB117" s="38">
        <v>3</v>
      </c>
      <c r="BC117" s="53">
        <f t="shared" si="150"/>
        <v>1.4448669201520912E-2</v>
      </c>
      <c r="BD117" s="65">
        <f t="shared" si="144"/>
        <v>1900</v>
      </c>
      <c r="BE117" s="44">
        <v>1.8051330798479089E-2</v>
      </c>
      <c r="BF117" s="179">
        <f t="shared" si="151"/>
        <v>2374</v>
      </c>
      <c r="BG117" s="402">
        <v>0</v>
      </c>
      <c r="BH117" s="403">
        <f t="shared" si="152"/>
        <v>0</v>
      </c>
      <c r="BI117" s="44">
        <v>0</v>
      </c>
      <c r="BJ117" s="179">
        <f t="shared" si="153"/>
        <v>0</v>
      </c>
      <c r="BK117" s="179">
        <f t="shared" si="154"/>
        <v>0</v>
      </c>
      <c r="BL117" s="202"/>
      <c r="BM117" s="203">
        <f t="shared" si="155"/>
        <v>3.2500000000000001E-2</v>
      </c>
      <c r="BN117" s="204">
        <f t="shared" si="156"/>
        <v>4274</v>
      </c>
      <c r="BO117" s="16">
        <f t="shared" si="157"/>
        <v>135774</v>
      </c>
      <c r="BP117" s="205">
        <f t="shared" si="158"/>
        <v>14935</v>
      </c>
      <c r="BQ117" s="206">
        <f t="shared" si="159"/>
        <v>150709</v>
      </c>
      <c r="BR117" s="55">
        <f t="shared" si="160"/>
        <v>0.86535372848948378</v>
      </c>
      <c r="BS117" s="64">
        <f t="shared" si="161"/>
        <v>674</v>
      </c>
      <c r="BT117" s="53">
        <f t="shared" si="162"/>
        <v>3.2500000000000001E-2</v>
      </c>
      <c r="BU117" s="65">
        <f t="shared" si="163"/>
        <v>4274</v>
      </c>
      <c r="BV117" s="206">
        <f t="shared" si="164"/>
        <v>135774</v>
      </c>
      <c r="BW117" s="207">
        <f t="shared" si="165"/>
        <v>68.709999999999994</v>
      </c>
      <c r="BX117" s="199"/>
      <c r="BY117" s="206">
        <f t="shared" si="166"/>
        <v>150709</v>
      </c>
      <c r="BZ117" s="208" t="s">
        <v>687</v>
      </c>
      <c r="CA117" s="199"/>
      <c r="CB117" s="199"/>
      <c r="CC117" s="200" t="str">
        <f t="shared" si="167"/>
        <v/>
      </c>
      <c r="CD117" s="197"/>
      <c r="CE117" s="197"/>
      <c r="CF117" s="10" t="str">
        <f>IFERROR(INDEX('[4]Lookup_Rem Ranges'!$D:$D,MATCH($CC:$CC,'[4]Lookup_Rem Ranges'!$C:$C,0)),"")</f>
        <v/>
      </c>
      <c r="CG117" s="307"/>
      <c r="CH117" s="307"/>
      <c r="CI117" s="210"/>
      <c r="CJ117" s="122" t="s">
        <v>701</v>
      </c>
      <c r="CK117" s="206">
        <f t="shared" si="168"/>
        <v>0</v>
      </c>
      <c r="CL117" s="206">
        <f t="shared" si="169"/>
        <v>0</v>
      </c>
      <c r="CM117" s="123"/>
      <c r="CN117" s="124">
        <f t="shared" si="170"/>
        <v>0</v>
      </c>
      <c r="CO117" s="124" t="s">
        <v>1375</v>
      </c>
      <c r="CP117" s="125">
        <f t="shared" si="171"/>
        <v>3.2500000000000001E-2</v>
      </c>
      <c r="CQ117" s="126">
        <f t="shared" si="172"/>
        <v>4274</v>
      </c>
      <c r="CR117" s="127">
        <f t="shared" si="173"/>
        <v>0</v>
      </c>
      <c r="CS117" s="128">
        <f t="shared" si="174"/>
        <v>0</v>
      </c>
      <c r="CT117" s="127">
        <f t="shared" si="175"/>
        <v>0</v>
      </c>
      <c r="CU117" s="128">
        <f t="shared" si="176"/>
        <v>0</v>
      </c>
      <c r="CV117" s="127">
        <f t="shared" si="177"/>
        <v>1.4448669201520912E-2</v>
      </c>
      <c r="CW117" s="128">
        <f t="shared" si="178"/>
        <v>1900</v>
      </c>
      <c r="CX117" s="127">
        <f t="shared" si="179"/>
        <v>0</v>
      </c>
      <c r="CY117" s="128">
        <f t="shared" si="180"/>
        <v>0</v>
      </c>
      <c r="CZ117" s="127">
        <f>$CR:$CR+$CT:CT+$CV:$CV+$CX:$CX</f>
        <v>1.4448669201520912E-2</v>
      </c>
      <c r="DA117" s="127">
        <f t="shared" si="181"/>
        <v>0</v>
      </c>
      <c r="DB117" s="127"/>
      <c r="DC117" s="127">
        <f t="shared" si="182"/>
        <v>1.8051330798479089E-2</v>
      </c>
      <c r="DD117" s="128">
        <f t="shared" si="183"/>
        <v>2374</v>
      </c>
      <c r="DE117" s="129">
        <f t="shared" si="184"/>
        <v>0</v>
      </c>
      <c r="DF117" s="128">
        <f t="shared" si="185"/>
        <v>0</v>
      </c>
      <c r="DG117" s="129">
        <f t="shared" si="186"/>
        <v>0</v>
      </c>
      <c r="DH117" s="128">
        <f t="shared" si="187"/>
        <v>0</v>
      </c>
      <c r="DI117" s="127">
        <f t="shared" si="188"/>
        <v>3.2500000000000001E-2</v>
      </c>
      <c r="DJ117" s="128">
        <f t="shared" si="189"/>
        <v>4274</v>
      </c>
      <c r="DK117" s="127">
        <f t="shared" si="190"/>
        <v>0</v>
      </c>
      <c r="DL117" s="128">
        <f t="shared" si="191"/>
        <v>0</v>
      </c>
      <c r="DM117" s="130"/>
      <c r="DN117" s="131"/>
      <c r="DO117" s="131"/>
      <c r="DP117" s="131"/>
      <c r="DQ117" s="131"/>
      <c r="DR117" s="131"/>
      <c r="DS117" s="131"/>
      <c r="DT117" s="131"/>
      <c r="DU117" s="131"/>
      <c r="DV117" s="131"/>
      <c r="DW117" s="131" t="s">
        <v>1381</v>
      </c>
    </row>
    <row r="118" spans="1:127" ht="36">
      <c r="A118" s="134"/>
      <c r="B118" s="121" t="s">
        <v>490</v>
      </c>
      <c r="C118" s="121" t="s">
        <v>1299</v>
      </c>
      <c r="D118" s="121">
        <v>14970</v>
      </c>
      <c r="E118" s="192" t="s">
        <v>511</v>
      </c>
      <c r="F118" s="192" t="s">
        <v>1300</v>
      </c>
      <c r="G118" s="192" t="s">
        <v>538</v>
      </c>
      <c r="H118" s="193" t="s">
        <v>1274</v>
      </c>
      <c r="I118" s="192" t="s">
        <v>1301</v>
      </c>
      <c r="J118" s="192" t="s">
        <v>1302</v>
      </c>
      <c r="K118" s="194">
        <v>42009</v>
      </c>
      <c r="L118" s="194"/>
      <c r="M118" s="194">
        <v>44856</v>
      </c>
      <c r="N118" s="195" t="s">
        <v>539</v>
      </c>
      <c r="O118" s="195">
        <v>38</v>
      </c>
      <c r="P118" s="196">
        <f t="shared" si="145"/>
        <v>1</v>
      </c>
      <c r="Q118" s="192" t="s">
        <v>614</v>
      </c>
      <c r="R118" s="192">
        <v>16308</v>
      </c>
      <c r="S118" s="192" t="s">
        <v>1293</v>
      </c>
      <c r="T118" s="192" t="s">
        <v>925</v>
      </c>
      <c r="U118" s="192" t="s">
        <v>926</v>
      </c>
      <c r="V118" s="193" t="s">
        <v>543</v>
      </c>
      <c r="W118" s="193" t="s">
        <v>567</v>
      </c>
      <c r="X118" s="193" t="s">
        <v>823</v>
      </c>
      <c r="Y118" s="56" t="s">
        <v>824</v>
      </c>
      <c r="Z118" s="193" t="s">
        <v>1293</v>
      </c>
      <c r="AA118" s="193" t="s">
        <v>926</v>
      </c>
      <c r="AB118" s="57" t="s">
        <v>1370</v>
      </c>
      <c r="AC118" s="193" t="s">
        <v>825</v>
      </c>
      <c r="AD118" s="56" t="s">
        <v>826</v>
      </c>
      <c r="AE118" s="10">
        <f>IFERROR(INDEX('[3]Lookup_Rem Ranges'!$D:$D,MATCH($AL:$AL,'[3]Lookup_Rem Ranges'!$C:$C,0)),0)</f>
        <v>133400</v>
      </c>
      <c r="AF118" s="10">
        <f>IFERROR(INDEX('[3]Lookup_Rem Ranges'!$E:$E,MATCH($AL:$AL,'[3]Lookup_Rem Ranges'!$C:$C,0)),0)</f>
        <v>156900</v>
      </c>
      <c r="AG118" s="10">
        <f>IFERROR(INDEX('[3]Lookup_Rem Ranges'!$F:$F,MATCH($AL:$AL,'[3]Lookup_Rem Ranges'!$C:$C,0)),)</f>
        <v>180400</v>
      </c>
      <c r="AH118" s="193" t="s">
        <v>622</v>
      </c>
      <c r="AI118" s="197"/>
      <c r="AJ118" s="198">
        <v>0</v>
      </c>
      <c r="AK118" s="199"/>
      <c r="AL118" s="200" t="str">
        <f t="shared" si="146"/>
        <v>CASS7</v>
      </c>
      <c r="AM118" s="200" t="s">
        <v>487</v>
      </c>
      <c r="AN118" s="197">
        <v>7</v>
      </c>
      <c r="AO118" s="199" t="s">
        <v>1280</v>
      </c>
      <c r="AP118" s="5">
        <v>131500</v>
      </c>
      <c r="AQ118" s="10">
        <f t="shared" si="147"/>
        <v>131500</v>
      </c>
      <c r="AR118" s="10">
        <f t="shared" si="148"/>
        <v>131500</v>
      </c>
      <c r="AS118" s="53">
        <v>3.5433070866141732E-2</v>
      </c>
      <c r="AT118" s="53">
        <v>0</v>
      </c>
      <c r="AU118" s="201"/>
      <c r="AV118" s="10"/>
      <c r="AW118" s="54">
        <v>0</v>
      </c>
      <c r="AX118" s="10">
        <v>0</v>
      </c>
      <c r="AY118" s="10">
        <v>131500</v>
      </c>
      <c r="AZ118" s="55">
        <f t="shared" si="149"/>
        <v>0.83811344805608667</v>
      </c>
      <c r="BA118" s="37" t="s">
        <v>23</v>
      </c>
      <c r="BB118" s="38">
        <v>3</v>
      </c>
      <c r="BC118" s="53">
        <f t="shared" si="150"/>
        <v>1.4448669201520912E-2</v>
      </c>
      <c r="BD118" s="65">
        <f t="shared" si="144"/>
        <v>1900</v>
      </c>
      <c r="BE118" s="44">
        <v>1.8051330798479089E-2</v>
      </c>
      <c r="BF118" s="179">
        <f t="shared" si="151"/>
        <v>2374</v>
      </c>
      <c r="BG118" s="402">
        <v>0</v>
      </c>
      <c r="BH118" s="403">
        <f t="shared" si="152"/>
        <v>0</v>
      </c>
      <c r="BI118" s="44">
        <v>0</v>
      </c>
      <c r="BJ118" s="179">
        <f t="shared" si="153"/>
        <v>0</v>
      </c>
      <c r="BK118" s="179">
        <f t="shared" si="154"/>
        <v>0</v>
      </c>
      <c r="BL118" s="202"/>
      <c r="BM118" s="203">
        <f t="shared" si="155"/>
        <v>3.2500000000000001E-2</v>
      </c>
      <c r="BN118" s="204">
        <f t="shared" si="156"/>
        <v>4274</v>
      </c>
      <c r="BO118" s="16">
        <f t="shared" si="157"/>
        <v>135774</v>
      </c>
      <c r="BP118" s="205">
        <f t="shared" si="158"/>
        <v>14935</v>
      </c>
      <c r="BQ118" s="206">
        <f t="shared" si="159"/>
        <v>150709</v>
      </c>
      <c r="BR118" s="55">
        <f t="shared" si="160"/>
        <v>0.86535372848948378</v>
      </c>
      <c r="BS118" s="64">
        <f t="shared" si="161"/>
        <v>674</v>
      </c>
      <c r="BT118" s="53">
        <f t="shared" si="162"/>
        <v>3.2500000000000001E-2</v>
      </c>
      <c r="BU118" s="65">
        <f t="shared" si="163"/>
        <v>4274</v>
      </c>
      <c r="BV118" s="206">
        <f t="shared" si="164"/>
        <v>135774</v>
      </c>
      <c r="BW118" s="207">
        <f t="shared" si="165"/>
        <v>68.709999999999994</v>
      </c>
      <c r="BX118" s="199"/>
      <c r="BY118" s="206">
        <f t="shared" si="166"/>
        <v>150709</v>
      </c>
      <c r="BZ118" s="208" t="s">
        <v>687</v>
      </c>
      <c r="CA118" s="199"/>
      <c r="CB118" s="199"/>
      <c r="CC118" s="200" t="str">
        <f t="shared" si="167"/>
        <v/>
      </c>
      <c r="CD118" s="197"/>
      <c r="CE118" s="197"/>
      <c r="CF118" s="10" t="str">
        <f>IFERROR(INDEX('[4]Lookup_Rem Ranges'!$D:$D,MATCH($CC:$CC,'[4]Lookup_Rem Ranges'!$C:$C,0)),"")</f>
        <v/>
      </c>
      <c r="CG118" s="307"/>
      <c r="CH118" s="307"/>
      <c r="CI118" s="210"/>
      <c r="CJ118" s="122" t="s">
        <v>701</v>
      </c>
      <c r="CK118" s="206">
        <f t="shared" si="168"/>
        <v>0</v>
      </c>
      <c r="CL118" s="206">
        <f t="shared" si="169"/>
        <v>0</v>
      </c>
      <c r="CM118" s="123"/>
      <c r="CN118" s="124">
        <f t="shared" si="170"/>
        <v>0</v>
      </c>
      <c r="CO118" s="124" t="s">
        <v>1376</v>
      </c>
      <c r="CP118" s="125">
        <f t="shared" si="171"/>
        <v>3.2500000000000001E-2</v>
      </c>
      <c r="CQ118" s="126">
        <f t="shared" si="172"/>
        <v>4274</v>
      </c>
      <c r="CR118" s="127">
        <f t="shared" si="173"/>
        <v>0</v>
      </c>
      <c r="CS118" s="128">
        <f t="shared" si="174"/>
        <v>0</v>
      </c>
      <c r="CT118" s="127">
        <f t="shared" si="175"/>
        <v>0</v>
      </c>
      <c r="CU118" s="128">
        <f t="shared" si="176"/>
        <v>0</v>
      </c>
      <c r="CV118" s="127">
        <f t="shared" si="177"/>
        <v>1.4448669201520912E-2</v>
      </c>
      <c r="CW118" s="128">
        <f t="shared" si="178"/>
        <v>1900</v>
      </c>
      <c r="CX118" s="127">
        <f t="shared" si="179"/>
        <v>0</v>
      </c>
      <c r="CY118" s="128">
        <f t="shared" si="180"/>
        <v>0</v>
      </c>
      <c r="CZ118" s="127">
        <f>$CR:$CR+$CT:CT+$CV:$CV+$CX:$CX</f>
        <v>1.4448669201520912E-2</v>
      </c>
      <c r="DA118" s="127">
        <f t="shared" si="181"/>
        <v>0</v>
      </c>
      <c r="DB118" s="127"/>
      <c r="DC118" s="127">
        <f t="shared" si="182"/>
        <v>1.8051330798479089E-2</v>
      </c>
      <c r="DD118" s="128">
        <f t="shared" si="183"/>
        <v>2374</v>
      </c>
      <c r="DE118" s="129">
        <f t="shared" si="184"/>
        <v>0</v>
      </c>
      <c r="DF118" s="128">
        <f t="shared" si="185"/>
        <v>0</v>
      </c>
      <c r="DG118" s="129">
        <f t="shared" si="186"/>
        <v>0</v>
      </c>
      <c r="DH118" s="128">
        <f t="shared" si="187"/>
        <v>0</v>
      </c>
      <c r="DI118" s="127">
        <f t="shared" si="188"/>
        <v>3.2500000000000001E-2</v>
      </c>
      <c r="DJ118" s="128">
        <f t="shared" si="189"/>
        <v>4274</v>
      </c>
      <c r="DK118" s="127">
        <f t="shared" si="190"/>
        <v>0</v>
      </c>
      <c r="DL118" s="128">
        <f t="shared" si="191"/>
        <v>0</v>
      </c>
      <c r="DM118" s="130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 t="s">
        <v>1381</v>
      </c>
    </row>
    <row r="119" spans="1:127" ht="36">
      <c r="A119" s="134"/>
      <c r="B119" s="121" t="s">
        <v>490</v>
      </c>
      <c r="C119" s="121" t="s">
        <v>1312</v>
      </c>
      <c r="D119" s="121">
        <v>15536</v>
      </c>
      <c r="E119" s="192" t="s">
        <v>514</v>
      </c>
      <c r="F119" s="192" t="s">
        <v>806</v>
      </c>
      <c r="G119" s="192" t="s">
        <v>538</v>
      </c>
      <c r="H119" s="193" t="s">
        <v>1274</v>
      </c>
      <c r="I119" s="192" t="s">
        <v>1313</v>
      </c>
      <c r="J119" s="192" t="s">
        <v>1314</v>
      </c>
      <c r="K119" s="194">
        <v>42254</v>
      </c>
      <c r="L119" s="194"/>
      <c r="M119" s="194">
        <v>44970</v>
      </c>
      <c r="N119" s="195" t="s">
        <v>539</v>
      </c>
      <c r="O119" s="195">
        <v>38</v>
      </c>
      <c r="P119" s="196">
        <f t="shared" si="145"/>
        <v>1</v>
      </c>
      <c r="Q119" s="192" t="s">
        <v>614</v>
      </c>
      <c r="R119" s="192">
        <v>16308</v>
      </c>
      <c r="S119" s="192" t="s">
        <v>1293</v>
      </c>
      <c r="T119" s="192" t="s">
        <v>925</v>
      </c>
      <c r="U119" s="192" t="s">
        <v>926</v>
      </c>
      <c r="V119" s="193" t="s">
        <v>543</v>
      </c>
      <c r="W119" s="193" t="s">
        <v>567</v>
      </c>
      <c r="X119" s="193" t="s">
        <v>823</v>
      </c>
      <c r="Y119" s="56" t="s">
        <v>824</v>
      </c>
      <c r="Z119" s="193" t="s">
        <v>1293</v>
      </c>
      <c r="AA119" s="193" t="s">
        <v>926</v>
      </c>
      <c r="AB119" s="57" t="s">
        <v>1370</v>
      </c>
      <c r="AC119" s="193" t="s">
        <v>825</v>
      </c>
      <c r="AD119" s="56" t="s">
        <v>826</v>
      </c>
      <c r="AE119" s="10">
        <f>IFERROR(INDEX('[3]Lookup_Rem Ranges'!$D:$D,MATCH($AL:$AL,'[3]Lookup_Rem Ranges'!$C:$C,0)),0)</f>
        <v>133400</v>
      </c>
      <c r="AF119" s="10">
        <f>IFERROR(INDEX('[3]Lookup_Rem Ranges'!$E:$E,MATCH($AL:$AL,'[3]Lookup_Rem Ranges'!$C:$C,0)),0)</f>
        <v>156900</v>
      </c>
      <c r="AG119" s="10">
        <f>IFERROR(INDEX('[3]Lookup_Rem Ranges'!$F:$F,MATCH($AL:$AL,'[3]Lookup_Rem Ranges'!$C:$C,0)),)</f>
        <v>180400</v>
      </c>
      <c r="AH119" s="193" t="s">
        <v>622</v>
      </c>
      <c r="AI119" s="197"/>
      <c r="AJ119" s="198">
        <v>0</v>
      </c>
      <c r="AK119" s="199"/>
      <c r="AL119" s="200" t="str">
        <f t="shared" si="146"/>
        <v>CASS7</v>
      </c>
      <c r="AM119" s="200" t="s">
        <v>487</v>
      </c>
      <c r="AN119" s="197">
        <v>7</v>
      </c>
      <c r="AO119" s="199" t="s">
        <v>1280</v>
      </c>
      <c r="AP119" s="5">
        <v>135900</v>
      </c>
      <c r="AQ119" s="10">
        <f t="shared" si="147"/>
        <v>135900</v>
      </c>
      <c r="AR119" s="10">
        <f t="shared" si="148"/>
        <v>135900</v>
      </c>
      <c r="AS119" s="53">
        <v>4.5384615384615384E-2</v>
      </c>
      <c r="AT119" s="53">
        <v>0</v>
      </c>
      <c r="AU119" s="201"/>
      <c r="AV119" s="10"/>
      <c r="AW119" s="54">
        <v>0</v>
      </c>
      <c r="AX119" s="10">
        <v>0</v>
      </c>
      <c r="AY119" s="10">
        <v>135900</v>
      </c>
      <c r="AZ119" s="55">
        <f t="shared" si="149"/>
        <v>0.86615678776290628</v>
      </c>
      <c r="BA119" s="37" t="s">
        <v>23</v>
      </c>
      <c r="BB119" s="38">
        <v>3</v>
      </c>
      <c r="BC119" s="53">
        <f t="shared" si="150"/>
        <v>0</v>
      </c>
      <c r="BD119" s="65">
        <f t="shared" si="144"/>
        <v>0</v>
      </c>
      <c r="BE119" s="44">
        <v>3.2500000000000001E-2</v>
      </c>
      <c r="BF119" s="179">
        <f t="shared" si="151"/>
        <v>4417</v>
      </c>
      <c r="BG119" s="402">
        <v>0</v>
      </c>
      <c r="BH119" s="403">
        <f t="shared" si="152"/>
        <v>0</v>
      </c>
      <c r="BI119" s="44">
        <v>0</v>
      </c>
      <c r="BJ119" s="179">
        <f t="shared" si="153"/>
        <v>0</v>
      </c>
      <c r="BK119" s="179">
        <f t="shared" si="154"/>
        <v>0</v>
      </c>
      <c r="BL119" s="202"/>
      <c r="BM119" s="203">
        <f t="shared" si="155"/>
        <v>3.2500000000000001E-2</v>
      </c>
      <c r="BN119" s="204">
        <f t="shared" si="156"/>
        <v>4417</v>
      </c>
      <c r="BO119" s="16">
        <f t="shared" si="157"/>
        <v>140317</v>
      </c>
      <c r="BP119" s="205">
        <f t="shared" si="158"/>
        <v>15435</v>
      </c>
      <c r="BQ119" s="206">
        <f t="shared" si="159"/>
        <v>155752</v>
      </c>
      <c r="BR119" s="55">
        <f t="shared" si="160"/>
        <v>0.89430847673677505</v>
      </c>
      <c r="BS119" s="64">
        <f t="shared" si="161"/>
        <v>697</v>
      </c>
      <c r="BT119" s="53">
        <f t="shared" si="162"/>
        <v>3.2500000000000001E-2</v>
      </c>
      <c r="BU119" s="65">
        <f t="shared" si="163"/>
        <v>4417</v>
      </c>
      <c r="BV119" s="206">
        <f t="shared" si="164"/>
        <v>140317</v>
      </c>
      <c r="BW119" s="207">
        <f t="shared" si="165"/>
        <v>71.010000000000005</v>
      </c>
      <c r="BX119" s="199"/>
      <c r="BY119" s="206">
        <f t="shared" si="166"/>
        <v>155752</v>
      </c>
      <c r="BZ119" s="208" t="s">
        <v>687</v>
      </c>
      <c r="CA119" s="199"/>
      <c r="CB119" s="199"/>
      <c r="CC119" s="200" t="str">
        <f t="shared" si="167"/>
        <v/>
      </c>
      <c r="CD119" s="197"/>
      <c r="CE119" s="197"/>
      <c r="CF119" s="10" t="str">
        <f>IFERROR(INDEX('[4]Lookup_Rem Ranges'!$D:$D,MATCH($CC:$CC,'[4]Lookup_Rem Ranges'!$C:$C,0)),"")</f>
        <v/>
      </c>
      <c r="CG119" s="307"/>
      <c r="CH119" s="307"/>
      <c r="CI119" s="210"/>
      <c r="CJ119" s="122" t="s">
        <v>701</v>
      </c>
      <c r="CK119" s="206">
        <f t="shared" si="168"/>
        <v>0</v>
      </c>
      <c r="CL119" s="206">
        <f t="shared" si="169"/>
        <v>0</v>
      </c>
      <c r="CM119" s="123"/>
      <c r="CN119" s="124">
        <f t="shared" si="170"/>
        <v>0</v>
      </c>
      <c r="CO119" s="124" t="s">
        <v>1376</v>
      </c>
      <c r="CP119" s="125">
        <f t="shared" si="171"/>
        <v>3.2500000000000001E-2</v>
      </c>
      <c r="CQ119" s="126">
        <f t="shared" si="172"/>
        <v>4417</v>
      </c>
      <c r="CR119" s="127">
        <f t="shared" si="173"/>
        <v>0</v>
      </c>
      <c r="CS119" s="128">
        <f t="shared" si="174"/>
        <v>0</v>
      </c>
      <c r="CT119" s="127">
        <f t="shared" si="175"/>
        <v>0</v>
      </c>
      <c r="CU119" s="128">
        <f t="shared" si="176"/>
        <v>0</v>
      </c>
      <c r="CV119" s="127">
        <f t="shared" si="177"/>
        <v>0</v>
      </c>
      <c r="CW119" s="128">
        <f t="shared" si="178"/>
        <v>0</v>
      </c>
      <c r="CX119" s="127">
        <f t="shared" si="179"/>
        <v>0</v>
      </c>
      <c r="CY119" s="128">
        <f t="shared" si="180"/>
        <v>0</v>
      </c>
      <c r="CZ119" s="127">
        <f>$CR:$CR+$CT:CT+$CV:$CV+$CX:$CX</f>
        <v>0</v>
      </c>
      <c r="DA119" s="127">
        <f t="shared" si="181"/>
        <v>0</v>
      </c>
      <c r="DB119" s="127"/>
      <c r="DC119" s="127">
        <f t="shared" si="182"/>
        <v>3.2500000000000001E-2</v>
      </c>
      <c r="DD119" s="128">
        <f t="shared" si="183"/>
        <v>4417</v>
      </c>
      <c r="DE119" s="129">
        <f t="shared" si="184"/>
        <v>0</v>
      </c>
      <c r="DF119" s="128">
        <f t="shared" si="185"/>
        <v>0</v>
      </c>
      <c r="DG119" s="129">
        <f t="shared" si="186"/>
        <v>0</v>
      </c>
      <c r="DH119" s="128">
        <f t="shared" si="187"/>
        <v>0</v>
      </c>
      <c r="DI119" s="127">
        <f t="shared" si="188"/>
        <v>3.2500000000000001E-2</v>
      </c>
      <c r="DJ119" s="128">
        <f t="shared" si="189"/>
        <v>4417</v>
      </c>
      <c r="DK119" s="127">
        <f t="shared" si="190"/>
        <v>0</v>
      </c>
      <c r="DL119" s="128">
        <f t="shared" si="191"/>
        <v>0</v>
      </c>
      <c r="DM119" s="130"/>
      <c r="DN119" s="131"/>
      <c r="DO119" s="131"/>
      <c r="DP119" s="131"/>
      <c r="DQ119" s="131"/>
      <c r="DR119" s="131"/>
      <c r="DS119" s="131"/>
      <c r="DT119" s="131"/>
      <c r="DU119" s="131"/>
      <c r="DV119" s="131"/>
      <c r="DW119" s="131" t="s">
        <v>1381</v>
      </c>
    </row>
    <row r="120" spans="1:127" ht="36">
      <c r="A120" s="134"/>
      <c r="B120" s="121" t="s">
        <v>490</v>
      </c>
      <c r="C120" s="121" t="s">
        <v>1303</v>
      </c>
      <c r="D120" s="121">
        <v>7015</v>
      </c>
      <c r="E120" s="192" t="s">
        <v>803</v>
      </c>
      <c r="F120" s="192" t="s">
        <v>1304</v>
      </c>
      <c r="G120" s="192" t="s">
        <v>537</v>
      </c>
      <c r="H120" s="193" t="s">
        <v>1274</v>
      </c>
      <c r="I120" s="192" t="s">
        <v>1305</v>
      </c>
      <c r="J120" s="192" t="s">
        <v>1306</v>
      </c>
      <c r="K120" s="194">
        <v>38910</v>
      </c>
      <c r="L120" s="194"/>
      <c r="M120" s="194">
        <v>44944</v>
      </c>
      <c r="N120" s="195" t="s">
        <v>539</v>
      </c>
      <c r="O120" s="195">
        <v>38</v>
      </c>
      <c r="P120" s="196">
        <f t="shared" si="145"/>
        <v>1</v>
      </c>
      <c r="Q120" s="192" t="s">
        <v>614</v>
      </c>
      <c r="R120" s="192">
        <v>16308</v>
      </c>
      <c r="S120" s="192" t="s">
        <v>1293</v>
      </c>
      <c r="T120" s="192" t="s">
        <v>925</v>
      </c>
      <c r="U120" s="192" t="s">
        <v>926</v>
      </c>
      <c r="V120" s="193" t="s">
        <v>543</v>
      </c>
      <c r="W120" s="193" t="s">
        <v>567</v>
      </c>
      <c r="X120" s="193" t="s">
        <v>823</v>
      </c>
      <c r="Y120" s="56" t="s">
        <v>824</v>
      </c>
      <c r="Z120" s="193" t="s">
        <v>1293</v>
      </c>
      <c r="AA120" s="193" t="s">
        <v>926</v>
      </c>
      <c r="AB120" s="57" t="s">
        <v>1370</v>
      </c>
      <c r="AC120" s="193" t="s">
        <v>825</v>
      </c>
      <c r="AD120" s="56" t="s">
        <v>826</v>
      </c>
      <c r="AE120" s="10">
        <f>IFERROR(INDEX('[3]Lookup_Rem Ranges'!$D:$D,MATCH($AL:$AL,'[3]Lookup_Rem Ranges'!$C:$C,0)),0)</f>
        <v>133400</v>
      </c>
      <c r="AF120" s="10">
        <f>IFERROR(INDEX('[3]Lookup_Rem Ranges'!$E:$E,MATCH($AL:$AL,'[3]Lookup_Rem Ranges'!$C:$C,0)),0)</f>
        <v>156900</v>
      </c>
      <c r="AG120" s="10">
        <f>IFERROR(INDEX('[3]Lookup_Rem Ranges'!$F:$F,MATCH($AL:$AL,'[3]Lookup_Rem Ranges'!$C:$C,0)),)</f>
        <v>180400</v>
      </c>
      <c r="AH120" s="193" t="s">
        <v>622</v>
      </c>
      <c r="AI120" s="197"/>
      <c r="AJ120" s="198">
        <v>0</v>
      </c>
      <c r="AK120" s="199"/>
      <c r="AL120" s="200" t="str">
        <f t="shared" si="146"/>
        <v>CASS7</v>
      </c>
      <c r="AM120" s="200" t="s">
        <v>487</v>
      </c>
      <c r="AN120" s="197">
        <v>7</v>
      </c>
      <c r="AO120" s="199" t="s">
        <v>1280</v>
      </c>
      <c r="AP120" s="5">
        <v>130500</v>
      </c>
      <c r="AQ120" s="10">
        <f t="shared" si="147"/>
        <v>130500</v>
      </c>
      <c r="AR120" s="10">
        <f t="shared" si="148"/>
        <v>130500</v>
      </c>
      <c r="AS120" s="53">
        <v>3.5714285714285712E-2</v>
      </c>
      <c r="AT120" s="53">
        <v>0</v>
      </c>
      <c r="AU120" s="201"/>
      <c r="AV120" s="10"/>
      <c r="AW120" s="54">
        <v>0</v>
      </c>
      <c r="AX120" s="10">
        <v>0</v>
      </c>
      <c r="AY120" s="10">
        <v>130500</v>
      </c>
      <c r="AZ120" s="55">
        <f t="shared" si="149"/>
        <v>0.83173996175908227</v>
      </c>
      <c r="BA120" s="37" t="s">
        <v>23</v>
      </c>
      <c r="BB120" s="38">
        <v>3</v>
      </c>
      <c r="BC120" s="53">
        <f t="shared" si="150"/>
        <v>2.2222222222222223E-2</v>
      </c>
      <c r="BD120" s="65">
        <f t="shared" si="144"/>
        <v>2900</v>
      </c>
      <c r="BE120" s="44">
        <v>1.0277777777777778E-2</v>
      </c>
      <c r="BF120" s="179">
        <f t="shared" si="151"/>
        <v>1341</v>
      </c>
      <c r="BG120" s="402">
        <v>0</v>
      </c>
      <c r="BH120" s="403">
        <f t="shared" si="152"/>
        <v>0</v>
      </c>
      <c r="BI120" s="44">
        <v>0</v>
      </c>
      <c r="BJ120" s="179">
        <f t="shared" si="153"/>
        <v>0</v>
      </c>
      <c r="BK120" s="179">
        <f t="shared" si="154"/>
        <v>0</v>
      </c>
      <c r="BL120" s="202"/>
      <c r="BM120" s="203">
        <f t="shared" si="155"/>
        <v>3.2500000000000001E-2</v>
      </c>
      <c r="BN120" s="204">
        <f t="shared" si="156"/>
        <v>4241</v>
      </c>
      <c r="BO120" s="16">
        <f t="shared" si="157"/>
        <v>134741</v>
      </c>
      <c r="BP120" s="205">
        <f t="shared" si="158"/>
        <v>14822</v>
      </c>
      <c r="BQ120" s="206">
        <f t="shared" si="159"/>
        <v>149563</v>
      </c>
      <c r="BR120" s="55">
        <f t="shared" si="160"/>
        <v>0.8587699171446781</v>
      </c>
      <c r="BS120" s="64">
        <f t="shared" si="161"/>
        <v>669</v>
      </c>
      <c r="BT120" s="53">
        <f t="shared" si="162"/>
        <v>3.2500000000000001E-2</v>
      </c>
      <c r="BU120" s="65">
        <f t="shared" si="163"/>
        <v>4241</v>
      </c>
      <c r="BV120" s="206">
        <f t="shared" si="164"/>
        <v>134741</v>
      </c>
      <c r="BW120" s="207">
        <f t="shared" si="165"/>
        <v>68.19</v>
      </c>
      <c r="BX120" s="199"/>
      <c r="BY120" s="206">
        <f t="shared" si="166"/>
        <v>149563</v>
      </c>
      <c r="BZ120" s="208" t="s">
        <v>687</v>
      </c>
      <c r="CA120" s="199"/>
      <c r="CB120" s="199"/>
      <c r="CC120" s="200" t="str">
        <f t="shared" si="167"/>
        <v/>
      </c>
      <c r="CD120" s="197"/>
      <c r="CE120" s="197"/>
      <c r="CF120" s="10" t="str">
        <f>IFERROR(INDEX('[4]Lookup_Rem Ranges'!$D:$D,MATCH($CC:$CC,'[4]Lookup_Rem Ranges'!$C:$C,0)),"")</f>
        <v/>
      </c>
      <c r="CG120" s="307"/>
      <c r="CH120" s="307"/>
      <c r="CI120" s="210"/>
      <c r="CJ120" s="122" t="s">
        <v>701</v>
      </c>
      <c r="CK120" s="206">
        <f t="shared" si="168"/>
        <v>0</v>
      </c>
      <c r="CL120" s="206">
        <f t="shared" si="169"/>
        <v>0</v>
      </c>
      <c r="CM120" s="123"/>
      <c r="CN120" s="124">
        <f t="shared" si="170"/>
        <v>0</v>
      </c>
      <c r="CO120" s="124" t="s">
        <v>1376</v>
      </c>
      <c r="CP120" s="125">
        <f t="shared" si="171"/>
        <v>3.2500000000000001E-2</v>
      </c>
      <c r="CQ120" s="126">
        <f t="shared" si="172"/>
        <v>4241</v>
      </c>
      <c r="CR120" s="127">
        <f t="shared" si="173"/>
        <v>0</v>
      </c>
      <c r="CS120" s="128">
        <f t="shared" si="174"/>
        <v>0</v>
      </c>
      <c r="CT120" s="127">
        <f t="shared" si="175"/>
        <v>0</v>
      </c>
      <c r="CU120" s="128">
        <f t="shared" si="176"/>
        <v>0</v>
      </c>
      <c r="CV120" s="127">
        <f t="shared" si="177"/>
        <v>2.2222222222222223E-2</v>
      </c>
      <c r="CW120" s="128">
        <f t="shared" si="178"/>
        <v>2900</v>
      </c>
      <c r="CX120" s="127">
        <f t="shared" si="179"/>
        <v>0</v>
      </c>
      <c r="CY120" s="128">
        <f t="shared" si="180"/>
        <v>0</v>
      </c>
      <c r="CZ120" s="127">
        <f>$CR:$CR+$CT:CT+$CV:$CV+$CX:$CX</f>
        <v>2.2222222222222223E-2</v>
      </c>
      <c r="DA120" s="127">
        <f t="shared" si="181"/>
        <v>0</v>
      </c>
      <c r="DB120" s="127"/>
      <c r="DC120" s="127">
        <f t="shared" si="182"/>
        <v>1.0277777777777778E-2</v>
      </c>
      <c r="DD120" s="128">
        <f t="shared" si="183"/>
        <v>1341</v>
      </c>
      <c r="DE120" s="129">
        <f t="shared" si="184"/>
        <v>0</v>
      </c>
      <c r="DF120" s="128">
        <f t="shared" si="185"/>
        <v>0</v>
      </c>
      <c r="DG120" s="129">
        <f t="shared" si="186"/>
        <v>0</v>
      </c>
      <c r="DH120" s="128">
        <f t="shared" si="187"/>
        <v>0</v>
      </c>
      <c r="DI120" s="127">
        <f t="shared" si="188"/>
        <v>3.2500000000000001E-2</v>
      </c>
      <c r="DJ120" s="128">
        <f t="shared" si="189"/>
        <v>4241</v>
      </c>
      <c r="DK120" s="127">
        <f t="shared" si="190"/>
        <v>0</v>
      </c>
      <c r="DL120" s="128">
        <f t="shared" si="191"/>
        <v>0</v>
      </c>
      <c r="DM120" s="130"/>
      <c r="DN120" s="131"/>
      <c r="DO120" s="131"/>
      <c r="DP120" s="131"/>
      <c r="DQ120" s="131"/>
      <c r="DR120" s="131"/>
      <c r="DS120" s="131"/>
      <c r="DT120" s="131"/>
      <c r="DU120" s="131"/>
      <c r="DV120" s="131"/>
      <c r="DW120" s="131" t="s">
        <v>1382</v>
      </c>
    </row>
    <row r="121" spans="1:127" ht="36">
      <c r="A121" s="134"/>
      <c r="B121" s="121" t="s">
        <v>490</v>
      </c>
      <c r="C121" s="121" t="s">
        <v>1315</v>
      </c>
      <c r="D121" s="121">
        <v>8518</v>
      </c>
      <c r="E121" s="192" t="s">
        <v>809</v>
      </c>
      <c r="F121" s="192" t="s">
        <v>1191</v>
      </c>
      <c r="G121" s="192" t="s">
        <v>537</v>
      </c>
      <c r="H121" s="193" t="s">
        <v>1296</v>
      </c>
      <c r="I121" s="192" t="s">
        <v>1316</v>
      </c>
      <c r="J121" s="192" t="s">
        <v>1317</v>
      </c>
      <c r="K121" s="194">
        <v>41551</v>
      </c>
      <c r="L121" s="194"/>
      <c r="M121" s="194">
        <v>45034</v>
      </c>
      <c r="N121" s="195" t="s">
        <v>539</v>
      </c>
      <c r="O121" s="195">
        <v>38</v>
      </c>
      <c r="P121" s="196">
        <f t="shared" si="145"/>
        <v>1</v>
      </c>
      <c r="Q121" s="192" t="s">
        <v>617</v>
      </c>
      <c r="R121" s="192">
        <v>16308</v>
      </c>
      <c r="S121" s="192" t="s">
        <v>1293</v>
      </c>
      <c r="T121" s="192" t="s">
        <v>925</v>
      </c>
      <c r="U121" s="192" t="s">
        <v>926</v>
      </c>
      <c r="V121" s="193" t="s">
        <v>543</v>
      </c>
      <c r="W121" s="193" t="s">
        <v>567</v>
      </c>
      <c r="X121" s="193" t="s">
        <v>823</v>
      </c>
      <c r="Y121" s="56" t="s">
        <v>824</v>
      </c>
      <c r="Z121" s="193" t="s">
        <v>1293</v>
      </c>
      <c r="AA121" s="193" t="s">
        <v>926</v>
      </c>
      <c r="AB121" s="57" t="s">
        <v>1370</v>
      </c>
      <c r="AC121" s="193" t="s">
        <v>825</v>
      </c>
      <c r="AD121" s="56" t="s">
        <v>826</v>
      </c>
      <c r="AE121" s="10">
        <f>IFERROR(INDEX('[3]Lookup_Rem Ranges'!$D:$D,MATCH($AL:$AL,'[3]Lookup_Rem Ranges'!$C:$C,0)),0)</f>
        <v>133400</v>
      </c>
      <c r="AF121" s="10">
        <f>IFERROR(INDEX('[3]Lookup_Rem Ranges'!$E:$E,MATCH($AL:$AL,'[3]Lookup_Rem Ranges'!$C:$C,0)),0)</f>
        <v>156900</v>
      </c>
      <c r="AG121" s="10">
        <f>IFERROR(INDEX('[3]Lookup_Rem Ranges'!$F:$F,MATCH($AL:$AL,'[3]Lookup_Rem Ranges'!$C:$C,0)),)</f>
        <v>180400</v>
      </c>
      <c r="AH121" s="193" t="s">
        <v>622</v>
      </c>
      <c r="AI121" s="197"/>
      <c r="AJ121" s="198">
        <v>0</v>
      </c>
      <c r="AK121" s="199"/>
      <c r="AL121" s="200" t="str">
        <f t="shared" si="146"/>
        <v>CASS7</v>
      </c>
      <c r="AM121" s="200" t="s">
        <v>487</v>
      </c>
      <c r="AN121" s="197">
        <v>7</v>
      </c>
      <c r="AO121" s="199" t="s">
        <v>1280</v>
      </c>
      <c r="AP121" s="5">
        <v>133000</v>
      </c>
      <c r="AQ121" s="10">
        <f t="shared" si="147"/>
        <v>133000</v>
      </c>
      <c r="AR121" s="10">
        <f t="shared" si="148"/>
        <v>133000</v>
      </c>
      <c r="AS121" s="53" t="s">
        <v>790</v>
      </c>
      <c r="AT121" s="53">
        <v>0</v>
      </c>
      <c r="AU121" s="201"/>
      <c r="AV121" s="10"/>
      <c r="AW121" s="54">
        <v>0</v>
      </c>
      <c r="AX121" s="10">
        <v>0</v>
      </c>
      <c r="AY121" s="10">
        <v>133000</v>
      </c>
      <c r="AZ121" s="55">
        <f t="shared" si="149"/>
        <v>0.84767367750159339</v>
      </c>
      <c r="BA121" s="37" t="s">
        <v>23</v>
      </c>
      <c r="BB121" s="38">
        <v>3</v>
      </c>
      <c r="BC121" s="53">
        <f t="shared" si="150"/>
        <v>3.0075187969924814E-3</v>
      </c>
      <c r="BD121" s="65">
        <f t="shared" si="144"/>
        <v>400</v>
      </c>
      <c r="BE121" s="44">
        <v>2.9492481203007521E-2</v>
      </c>
      <c r="BF121" s="179">
        <f t="shared" si="151"/>
        <v>3923</v>
      </c>
      <c r="BG121" s="402">
        <v>0</v>
      </c>
      <c r="BH121" s="403">
        <f t="shared" si="152"/>
        <v>0</v>
      </c>
      <c r="BI121" s="44">
        <v>0</v>
      </c>
      <c r="BJ121" s="179">
        <f t="shared" si="153"/>
        <v>0</v>
      </c>
      <c r="BK121" s="179">
        <f t="shared" si="154"/>
        <v>0</v>
      </c>
      <c r="BL121" s="202"/>
      <c r="BM121" s="203">
        <f t="shared" si="155"/>
        <v>3.2500000000000001E-2</v>
      </c>
      <c r="BN121" s="204">
        <f t="shared" si="156"/>
        <v>4323</v>
      </c>
      <c r="BO121" s="16">
        <f t="shared" si="157"/>
        <v>137323</v>
      </c>
      <c r="BP121" s="205">
        <f t="shared" si="158"/>
        <v>15106</v>
      </c>
      <c r="BQ121" s="206">
        <f t="shared" si="159"/>
        <v>152429</v>
      </c>
      <c r="BR121" s="55">
        <f t="shared" si="160"/>
        <v>0.87522625876354365</v>
      </c>
      <c r="BS121" s="64">
        <f t="shared" si="161"/>
        <v>682</v>
      </c>
      <c r="BT121" s="53">
        <f t="shared" si="162"/>
        <v>3.2500000000000001E-2</v>
      </c>
      <c r="BU121" s="65">
        <f t="shared" si="163"/>
        <v>4323</v>
      </c>
      <c r="BV121" s="206">
        <f t="shared" si="164"/>
        <v>137323</v>
      </c>
      <c r="BW121" s="207">
        <f t="shared" si="165"/>
        <v>69.5</v>
      </c>
      <c r="BX121" s="199"/>
      <c r="BY121" s="206">
        <f t="shared" si="166"/>
        <v>152429</v>
      </c>
      <c r="BZ121" s="208" t="s">
        <v>687</v>
      </c>
      <c r="CA121" s="199"/>
      <c r="CB121" s="199"/>
      <c r="CC121" s="200" t="str">
        <f t="shared" si="167"/>
        <v/>
      </c>
      <c r="CD121" s="197"/>
      <c r="CE121" s="197"/>
      <c r="CF121" s="10" t="str">
        <f>IFERROR(INDEX('[4]Lookup_Rem Ranges'!$D:$D,MATCH($CC:$CC,'[4]Lookup_Rem Ranges'!$C:$C,0)),"")</f>
        <v/>
      </c>
      <c r="CG121" s="307"/>
      <c r="CH121" s="307"/>
      <c r="CI121" s="210"/>
      <c r="CJ121" s="122" t="s">
        <v>701</v>
      </c>
      <c r="CK121" s="206">
        <f t="shared" si="168"/>
        <v>0</v>
      </c>
      <c r="CL121" s="206">
        <f t="shared" si="169"/>
        <v>0</v>
      </c>
      <c r="CM121" s="123"/>
      <c r="CN121" s="124">
        <f t="shared" si="170"/>
        <v>0</v>
      </c>
      <c r="CO121" s="124" t="s">
        <v>1376</v>
      </c>
      <c r="CP121" s="125">
        <f t="shared" si="171"/>
        <v>3.2500000000000001E-2</v>
      </c>
      <c r="CQ121" s="126">
        <f t="shared" si="172"/>
        <v>4323</v>
      </c>
      <c r="CR121" s="127">
        <f t="shared" si="173"/>
        <v>0</v>
      </c>
      <c r="CS121" s="128">
        <f t="shared" si="174"/>
        <v>0</v>
      </c>
      <c r="CT121" s="127">
        <f t="shared" si="175"/>
        <v>0</v>
      </c>
      <c r="CU121" s="128">
        <f t="shared" si="176"/>
        <v>0</v>
      </c>
      <c r="CV121" s="127">
        <f t="shared" si="177"/>
        <v>3.0075187969924814E-3</v>
      </c>
      <c r="CW121" s="128">
        <f t="shared" si="178"/>
        <v>400</v>
      </c>
      <c r="CX121" s="127">
        <f t="shared" si="179"/>
        <v>0</v>
      </c>
      <c r="CY121" s="128">
        <f t="shared" si="180"/>
        <v>0</v>
      </c>
      <c r="CZ121" s="127">
        <f>$CR:$CR+$CT:CT+$CV:$CV+$CX:$CX</f>
        <v>3.0075187969924814E-3</v>
      </c>
      <c r="DA121" s="127">
        <f t="shared" si="181"/>
        <v>0</v>
      </c>
      <c r="DB121" s="127"/>
      <c r="DC121" s="127">
        <f t="shared" si="182"/>
        <v>2.9492481203007521E-2</v>
      </c>
      <c r="DD121" s="128">
        <f t="shared" si="183"/>
        <v>3923</v>
      </c>
      <c r="DE121" s="129">
        <f t="shared" si="184"/>
        <v>0</v>
      </c>
      <c r="DF121" s="128">
        <f t="shared" si="185"/>
        <v>0</v>
      </c>
      <c r="DG121" s="129">
        <f t="shared" si="186"/>
        <v>0</v>
      </c>
      <c r="DH121" s="128">
        <f t="shared" si="187"/>
        <v>0</v>
      </c>
      <c r="DI121" s="127">
        <f t="shared" si="188"/>
        <v>3.2500000000000001E-2</v>
      </c>
      <c r="DJ121" s="128">
        <f t="shared" si="189"/>
        <v>4323</v>
      </c>
      <c r="DK121" s="127">
        <f t="shared" si="190"/>
        <v>0</v>
      </c>
      <c r="DL121" s="128">
        <f t="shared" si="191"/>
        <v>0</v>
      </c>
      <c r="DM121" s="130"/>
      <c r="DN121" s="131"/>
      <c r="DO121" s="131"/>
      <c r="DP121" s="131"/>
      <c r="DQ121" s="131"/>
      <c r="DR121" s="131"/>
      <c r="DS121" s="131"/>
      <c r="DT121" s="131"/>
      <c r="DU121" s="131"/>
      <c r="DV121" s="131"/>
      <c r="DW121" s="131" t="s">
        <v>1383</v>
      </c>
    </row>
  </sheetData>
  <sheetProtection sort="0" autoFilter="0"/>
  <sortState xmlns:xlrd2="http://schemas.microsoft.com/office/spreadsheetml/2017/richdata2" ref="A17:DV121">
    <sortCondition ref="Z17:Z121"/>
    <sortCondition ref="S17:S121"/>
    <sortCondition ref="F17:F121"/>
  </sortState>
  <mergeCells count="10">
    <mergeCell ref="BI10:BJ12"/>
    <mergeCell ref="AW15:AX15"/>
    <mergeCell ref="CP15:DL15"/>
    <mergeCell ref="BM15:BS15"/>
    <mergeCell ref="BT15:BU15"/>
    <mergeCell ref="BV15:BW15"/>
    <mergeCell ref="BX15:BY15"/>
    <mergeCell ref="AY15:AZ15"/>
    <mergeCell ref="CB15:CM15"/>
    <mergeCell ref="BB12:BD12"/>
  </mergeCells>
  <conditionalFormatting sqref="BE8:BE13">
    <cfRule type="cellIs" dxfId="33" priority="14" operator="greaterThan">
      <formula>0.03251</formula>
    </cfRule>
  </conditionalFormatting>
  <conditionalFormatting sqref="BI13">
    <cfRule type="cellIs" dxfId="32" priority="10" operator="greaterThan">
      <formula>0.03255</formula>
    </cfRule>
  </conditionalFormatting>
  <conditionalFormatting sqref="CT17:CU121 CX17:CY121">
    <cfRule type="cellIs" dxfId="31" priority="2" operator="greaterThan">
      <formula>0</formula>
    </cfRule>
  </conditionalFormatting>
  <conditionalFormatting sqref="DC17:DC121 DE17:DE121 DG17:DG121">
    <cfRule type="cellIs" dxfId="30" priority="1" operator="greaterThan">
      <formula>0.0325</formula>
    </cfRule>
  </conditionalFormatting>
  <hyperlinks>
    <hyperlink ref="AB55" r:id="rId1" xr:uid="{F60D878D-4F56-4C02-80AB-D00D68D92BFF}"/>
    <hyperlink ref="AB18:AB21" r:id="rId2" display="jamie.mackay@uccommunity.org.au" xr:uid="{E58938FF-AEDF-4709-B8B1-26C1BAFE39A4}"/>
    <hyperlink ref="AB31:AB33" r:id="rId3" display="jamie.mackay@uccommunity.org.au" xr:uid="{8015686A-4231-4AAC-AF2F-CE437DE11562}"/>
    <hyperlink ref="AB27" r:id="rId4" xr:uid="{8CCF0D6F-7DA7-4F0D-A858-7E3B3EFC8FC9}"/>
    <hyperlink ref="AB38:AB39" r:id="rId5" display="jamie.mackay@uccommunity.org.au" xr:uid="{4D667CD7-A7A5-460F-9D49-3B626C5E0B5C}"/>
    <hyperlink ref="AB41:AB46" r:id="rId6" display="jamie.mackay@uccommunity.org.au" xr:uid="{B92C126F-4392-4ECE-96A7-E9F4FB038F27}"/>
    <hyperlink ref="AB45" r:id="rId7" xr:uid="{4B41C519-C638-49A6-B858-06180655171F}"/>
    <hyperlink ref="AB50:AB55" r:id="rId8" display="jamie.mackay@uccommunity.org.au" xr:uid="{67C28D09-4788-4709-AACC-6FDF7C9C263C}"/>
    <hyperlink ref="AB28" r:id="rId9" xr:uid="{75019556-BA89-411C-B602-F2CC359E4F94}"/>
    <hyperlink ref="AB86:AB88" r:id="rId10" display="jamie.mackay@uccommunity.org.au" xr:uid="{593DBB8E-E36F-49BA-9CAC-EC8E8A261088}"/>
    <hyperlink ref="AB39" r:id="rId11" xr:uid="{AB148CCC-6BB2-4918-B571-8EFB4C514BDD}"/>
    <hyperlink ref="AB44" r:id="rId12" xr:uid="{8524558A-76EA-4409-8E6A-A75E6DA9F403}"/>
    <hyperlink ref="AB107:AB108" r:id="rId13" display="jamie.mackay@uccommunity.org.au" xr:uid="{AACC7330-2F68-4A56-BA80-A8AF0ABAF244}"/>
    <hyperlink ref="AB69" r:id="rId14" xr:uid="{249B2989-2A83-4E75-A6F0-12FE87BA06A2}"/>
    <hyperlink ref="AB75" r:id="rId15" xr:uid="{193F3AEA-F93B-42D0-9002-90EA1D4F67EE}"/>
    <hyperlink ref="AB76" r:id="rId16" xr:uid="{6B88D615-FDF7-46BD-A0E1-E9CAA6651984}"/>
    <hyperlink ref="AB77" r:id="rId17" xr:uid="{DB3B7208-BF45-41E5-9555-D0A39E52DD46}"/>
    <hyperlink ref="AB56:AB60" r:id="rId18" display="Joanne.Trentin@uccommunity.org.au" xr:uid="{81F25225-838E-46F7-B84C-3655F41DD2D1}"/>
    <hyperlink ref="AB62:AB65" r:id="rId19" display="Joanne.Trentin@uccommunity.org.au" xr:uid="{D652F237-05C2-4122-A6EF-6943C014EBA9}"/>
    <hyperlink ref="AB67:AB72" r:id="rId20" display="Joanne.Trentin@uccommunity.org.au" xr:uid="{AAD7C5D7-00DD-49FE-99BA-8293639E6BE7}"/>
    <hyperlink ref="AB83:AB84" r:id="rId21" display="Joanne.Trentin@uccommunity.org.au" xr:uid="{0841762B-DF0A-4C7E-8DCC-065F5079A85C}"/>
    <hyperlink ref="AB67" r:id="rId22" xr:uid="{8402C42B-3FDD-40D4-8884-FDF9B1DC1C84}"/>
    <hyperlink ref="AB90" r:id="rId23" xr:uid="{8CCA560C-0CDB-4FB9-BA40-847BD0F950B2}"/>
    <hyperlink ref="AB73:AB79" r:id="rId24" display="luke.lindsay@uccommunity.org.au" xr:uid="{4F8FA991-3B35-4FAD-9CC7-691EF94793F6}"/>
    <hyperlink ref="AB78" r:id="rId25" xr:uid="{DA93AF98-FB74-4006-979B-51FBC16E1F26}"/>
    <hyperlink ref="AB109:AB112" r:id="rId26" display="luke.lindsay@uccommunity.org.au" xr:uid="{E81586DF-BC79-40B1-86D5-F0C288E989B9}"/>
    <hyperlink ref="AB88" r:id="rId27" xr:uid="{435996CB-59DE-42B3-8B33-C0E025449720}"/>
    <hyperlink ref="AB105" r:id="rId28" xr:uid="{34C4D90B-672A-430E-A682-49C37EE10027}"/>
    <hyperlink ref="AB91:AB95" r:id="rId29" display="Martin.Woollaston@uccommunity.org.au" xr:uid="{287FF1D6-3EE8-43A3-85B7-0B82A8878739}"/>
    <hyperlink ref="AB97:AB101" r:id="rId30" display="Martin.Woollaston@uccommunity.org.au" xr:uid="{A41D0F34-DFE6-45ED-B8D4-21F78E7EBB12}"/>
    <hyperlink ref="AB103:AB105" r:id="rId31" display="Martin.Woollaston@uccommunity.org.au" xr:uid="{0D4E236A-B823-4EC7-BD4A-3EC840E4A296}"/>
    <hyperlink ref="AB36:AB37" r:id="rId32" display="Martin.Woollaston@uccommunity.org.au" xr:uid="{31A06185-0C6B-4F08-8BB1-0FD445EE6BF6}"/>
    <hyperlink ref="AB117" r:id="rId33" xr:uid="{19EE3FBA-CC39-4A2C-9FCB-D1B12898EE5D}"/>
    <hyperlink ref="AB114:AB116" r:id="rId34" display="vivien.bull@uccommunity.org.au" xr:uid="{C25F3442-07FD-4E40-B4D9-4B18367EDDC7}"/>
    <hyperlink ref="AB118:AB119" r:id="rId35" display="vivien.bull@uccommunity.org.au" xr:uid="{B66F1158-747F-48CC-AA11-0FE5ABCDA077}"/>
    <hyperlink ref="AB109" r:id="rId36" xr:uid="{137520C4-C308-4D73-899F-413BA71506A2}"/>
    <hyperlink ref="AB111" r:id="rId37" xr:uid="{62C42B5D-4E8D-4ACC-8473-EEB147CE4BA7}"/>
    <hyperlink ref="AB120:AB121" r:id="rId38" display="Susan.Zhang@uccommunity.org.au" xr:uid="{7F2B4CA8-D6FD-418D-9CC8-7714FDCC03F1}"/>
    <hyperlink ref="AB22:AB25" r:id="rId39" display="Susan.Zhang@uccommunity.org.au" xr:uid="{31680085-227D-4565-8E4D-446E1C21B58F}"/>
  </hyperlinks>
  <pageMargins left="0.70866141732283472" right="0.70866141732283472" top="0.74803149606299213" bottom="1.1417322834645669" header="0.31496062992125984" footer="0.31496062992125984"/>
  <pageSetup paperSize="9" scale="10" fitToHeight="0" orientation="landscape" horizontalDpi="300" verticalDpi="300" r:id="rId40"/>
  <headerFooter>
    <oddHeader>&amp;C2021 UnitingCare Annual Remuneration Review</oddHeader>
    <oddFooter>&amp;L&amp;G</oddFooter>
  </headerFooter>
  <ignoredErrors>
    <ignoredError sqref="CL10" unlockedFormula="1"/>
  </ignoredErrors>
  <legacyDrawingHF r:id="rId4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409FB-B801-4D9D-9CB9-F3B1486D16F3}">
  <sheetPr codeName="Sheet6"/>
  <dimension ref="A1"/>
  <sheetViews>
    <sheetView workbookViewId="0">
      <selection activeCell="F12" sqref="F12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FB791-3816-4F96-A98E-FF9F5378C84F}">
  <sheetPr codeName="Sheet4"/>
  <dimension ref="A1:F34"/>
  <sheetViews>
    <sheetView topLeftCell="A4" workbookViewId="0">
      <selection activeCell="G11" sqref="G11"/>
    </sheetView>
  </sheetViews>
  <sheetFormatPr defaultColWidth="8.5703125" defaultRowHeight="15"/>
  <cols>
    <col min="1" max="1" width="14" style="230" customWidth="1"/>
    <col min="2" max="6" width="11.5703125" style="229" customWidth="1"/>
    <col min="7" max="16384" width="8.5703125" style="229"/>
  </cols>
  <sheetData>
    <row r="1" spans="1:6">
      <c r="B1" s="234"/>
      <c r="C1" s="234"/>
      <c r="D1" s="234"/>
      <c r="E1" s="234"/>
      <c r="F1" s="234"/>
    </row>
    <row r="2" spans="1:6">
      <c r="A2" s="231" t="s">
        <v>488</v>
      </c>
      <c r="B2" s="232" t="s">
        <v>41</v>
      </c>
      <c r="C2" s="232"/>
      <c r="D2" s="233" t="s">
        <v>42</v>
      </c>
      <c r="E2" s="233" t="s">
        <v>43</v>
      </c>
      <c r="F2" s="233" t="s">
        <v>44</v>
      </c>
    </row>
    <row r="3" spans="1:6" ht="15.75">
      <c r="A3" s="235" t="s">
        <v>641</v>
      </c>
      <c r="B3" s="235"/>
      <c r="C3" s="235"/>
      <c r="D3" s="235"/>
      <c r="E3" s="235"/>
      <c r="F3" s="235"/>
    </row>
    <row r="4" spans="1:6">
      <c r="A4" s="230" t="s">
        <v>486</v>
      </c>
      <c r="B4" s="230">
        <v>10</v>
      </c>
      <c r="C4" s="230" t="str">
        <f>CONCATENATE(A4,B4)</f>
        <v>GI10</v>
      </c>
      <c r="D4" s="236">
        <v>314300</v>
      </c>
      <c r="E4" s="236">
        <v>369800</v>
      </c>
      <c r="F4" s="236">
        <v>425300</v>
      </c>
    </row>
    <row r="5" spans="1:6">
      <c r="A5" s="230" t="s">
        <v>486</v>
      </c>
      <c r="B5" s="230">
        <v>9</v>
      </c>
      <c r="C5" s="230" t="str">
        <f t="shared" ref="C5:C34" si="0">CONCATENATE(A5,B5)</f>
        <v>GI9</v>
      </c>
      <c r="D5" s="236">
        <v>244000</v>
      </c>
      <c r="E5" s="236">
        <v>287100</v>
      </c>
      <c r="F5" s="236">
        <v>330200</v>
      </c>
    </row>
    <row r="6" spans="1:6">
      <c r="A6" s="230" t="s">
        <v>486</v>
      </c>
      <c r="B6" s="230">
        <v>8</v>
      </c>
      <c r="C6" s="230" t="str">
        <f t="shared" si="0"/>
        <v>GI8</v>
      </c>
      <c r="D6" s="236">
        <v>189500</v>
      </c>
      <c r="E6" s="236">
        <v>222900</v>
      </c>
      <c r="F6" s="236">
        <v>256300</v>
      </c>
    </row>
    <row r="7" spans="1:6">
      <c r="A7" s="230" t="s">
        <v>486</v>
      </c>
      <c r="B7" s="230">
        <v>7</v>
      </c>
      <c r="C7" s="230" t="str">
        <f t="shared" si="0"/>
        <v>GI7</v>
      </c>
      <c r="D7" s="236">
        <v>147100</v>
      </c>
      <c r="E7" s="236">
        <v>173100</v>
      </c>
      <c r="F7" s="236">
        <v>199100</v>
      </c>
    </row>
    <row r="8" spans="1:6">
      <c r="A8" s="230" t="s">
        <v>486</v>
      </c>
      <c r="B8" s="230">
        <v>6</v>
      </c>
      <c r="C8" s="230" t="str">
        <f t="shared" si="0"/>
        <v>GI6</v>
      </c>
      <c r="D8" s="236">
        <v>114200</v>
      </c>
      <c r="E8" s="236">
        <v>134400</v>
      </c>
      <c r="F8" s="236">
        <v>154600</v>
      </c>
    </row>
    <row r="9" spans="1:6">
      <c r="A9" s="230" t="s">
        <v>486</v>
      </c>
      <c r="B9" s="230">
        <v>5</v>
      </c>
      <c r="C9" s="230" t="str">
        <f t="shared" si="0"/>
        <v>GI5</v>
      </c>
      <c r="D9" s="236">
        <v>88700</v>
      </c>
      <c r="E9" s="236">
        <v>104300</v>
      </c>
      <c r="F9" s="236">
        <v>119900</v>
      </c>
    </row>
    <row r="10" spans="1:6">
      <c r="A10" s="230" t="s">
        <v>486</v>
      </c>
      <c r="B10" s="230">
        <v>4</v>
      </c>
      <c r="C10" s="230" t="str">
        <f t="shared" si="0"/>
        <v>GI4</v>
      </c>
      <c r="D10" s="236">
        <v>73500</v>
      </c>
      <c r="E10" s="236">
        <v>86500</v>
      </c>
      <c r="F10" s="236">
        <v>99500</v>
      </c>
    </row>
    <row r="11" spans="1:6">
      <c r="A11" s="230" t="s">
        <v>486</v>
      </c>
      <c r="B11" s="230">
        <v>3</v>
      </c>
      <c r="C11" s="230" t="str">
        <f t="shared" si="0"/>
        <v>GI3</v>
      </c>
      <c r="D11" s="236">
        <v>64900</v>
      </c>
      <c r="E11" s="236">
        <v>76300</v>
      </c>
      <c r="F11" s="236">
        <v>87700</v>
      </c>
    </row>
    <row r="12" spans="1:6">
      <c r="A12" s="230" t="s">
        <v>486</v>
      </c>
      <c r="B12" s="230">
        <v>2</v>
      </c>
      <c r="C12" s="230" t="str">
        <f t="shared" si="0"/>
        <v>GI2</v>
      </c>
      <c r="D12" s="236">
        <v>57100</v>
      </c>
      <c r="E12" s="236">
        <v>67200</v>
      </c>
      <c r="F12" s="236">
        <v>77300</v>
      </c>
    </row>
    <row r="13" spans="1:6">
      <c r="A13" s="230" t="s">
        <v>486</v>
      </c>
      <c r="B13" s="230">
        <v>1</v>
      </c>
      <c r="C13" s="230" t="str">
        <f t="shared" si="0"/>
        <v>GI1</v>
      </c>
      <c r="D13" s="236">
        <v>50400</v>
      </c>
      <c r="E13" s="236">
        <v>59300</v>
      </c>
      <c r="F13" s="236">
        <v>68200</v>
      </c>
    </row>
    <row r="14" spans="1:6" ht="15.75">
      <c r="A14" s="235" t="s">
        <v>642</v>
      </c>
      <c r="B14" s="235"/>
      <c r="C14" s="235"/>
      <c r="D14" s="235"/>
      <c r="E14" s="235"/>
      <c r="F14" s="235"/>
    </row>
    <row r="15" spans="1:6">
      <c r="A15" s="230" t="s">
        <v>487</v>
      </c>
      <c r="B15" s="230">
        <v>10</v>
      </c>
      <c r="C15" s="230" t="str">
        <f t="shared" si="0"/>
        <v>CASS10</v>
      </c>
      <c r="D15" s="236">
        <v>268800</v>
      </c>
      <c r="E15" s="236">
        <v>316200</v>
      </c>
      <c r="F15" s="236">
        <v>363600</v>
      </c>
    </row>
    <row r="16" spans="1:6">
      <c r="A16" s="230" t="s">
        <v>487</v>
      </c>
      <c r="B16" s="230">
        <v>9</v>
      </c>
      <c r="C16" s="230" t="str">
        <f t="shared" si="0"/>
        <v>CASS9</v>
      </c>
      <c r="D16" s="236">
        <v>213500</v>
      </c>
      <c r="E16" s="236">
        <v>251200</v>
      </c>
      <c r="F16" s="236">
        <v>288900</v>
      </c>
    </row>
    <row r="17" spans="1:6">
      <c r="A17" s="230" t="s">
        <v>487</v>
      </c>
      <c r="B17" s="230">
        <v>8</v>
      </c>
      <c r="C17" s="230" t="str">
        <f t="shared" si="0"/>
        <v>CASS8</v>
      </c>
      <c r="D17" s="236">
        <v>168700</v>
      </c>
      <c r="E17" s="236">
        <v>198500</v>
      </c>
      <c r="F17" s="236">
        <v>228300</v>
      </c>
    </row>
    <row r="18" spans="1:6">
      <c r="A18" s="230" t="s">
        <v>487</v>
      </c>
      <c r="B18" s="230">
        <v>7</v>
      </c>
      <c r="C18" s="230" t="str">
        <f t="shared" si="0"/>
        <v>CASS7</v>
      </c>
      <c r="D18" s="236">
        <v>133400</v>
      </c>
      <c r="E18" s="236">
        <v>156900</v>
      </c>
      <c r="F18" s="236">
        <v>180400</v>
      </c>
    </row>
    <row r="19" spans="1:6">
      <c r="A19" s="230" t="s">
        <v>487</v>
      </c>
      <c r="B19" s="230">
        <v>6</v>
      </c>
      <c r="C19" s="230" t="str">
        <f t="shared" si="0"/>
        <v>CASS6</v>
      </c>
      <c r="D19" s="236">
        <v>105500</v>
      </c>
      <c r="E19" s="236">
        <v>124100</v>
      </c>
      <c r="F19" s="236">
        <v>142700</v>
      </c>
    </row>
    <row r="20" spans="1:6">
      <c r="A20" s="230" t="s">
        <v>487</v>
      </c>
      <c r="B20" s="230">
        <v>5</v>
      </c>
      <c r="C20" s="230" t="str">
        <f t="shared" si="0"/>
        <v>CASS5</v>
      </c>
      <c r="D20" s="236">
        <v>83400</v>
      </c>
      <c r="E20" s="236">
        <v>98100</v>
      </c>
      <c r="F20" s="236">
        <v>112800</v>
      </c>
    </row>
    <row r="21" spans="1:6">
      <c r="A21" s="230" t="s">
        <v>487</v>
      </c>
      <c r="B21" s="230">
        <v>4</v>
      </c>
      <c r="C21" s="230" t="str">
        <f t="shared" si="0"/>
        <v>CASS4</v>
      </c>
      <c r="D21" s="236">
        <v>70000</v>
      </c>
      <c r="E21" s="236">
        <v>82300</v>
      </c>
      <c r="F21" s="236">
        <v>94600</v>
      </c>
    </row>
    <row r="22" spans="1:6">
      <c r="A22" s="230" t="s">
        <v>487</v>
      </c>
      <c r="B22" s="230">
        <v>3</v>
      </c>
      <c r="C22" s="230" t="str">
        <f t="shared" si="0"/>
        <v>CASS3</v>
      </c>
      <c r="D22" s="236">
        <v>62400</v>
      </c>
      <c r="E22" s="236">
        <v>73400</v>
      </c>
      <c r="F22" s="236">
        <v>84400</v>
      </c>
    </row>
    <row r="23" spans="1:6">
      <c r="A23" s="230" t="s">
        <v>487</v>
      </c>
      <c r="B23" s="230">
        <v>2</v>
      </c>
      <c r="C23" s="230" t="str">
        <f t="shared" si="0"/>
        <v>CASS2</v>
      </c>
      <c r="D23" s="236">
        <v>55700</v>
      </c>
      <c r="E23" s="236">
        <v>65500</v>
      </c>
      <c r="F23" s="236">
        <v>75300</v>
      </c>
    </row>
    <row r="24" spans="1:6">
      <c r="A24" s="230" t="s">
        <v>487</v>
      </c>
      <c r="B24" s="230">
        <v>1</v>
      </c>
      <c r="C24" s="230" t="str">
        <f t="shared" si="0"/>
        <v>CASS1</v>
      </c>
      <c r="D24" s="236">
        <v>49700</v>
      </c>
      <c r="E24" s="236">
        <v>58500</v>
      </c>
      <c r="F24" s="236">
        <v>67300</v>
      </c>
    </row>
    <row r="25" spans="1:6" ht="15.75">
      <c r="A25" s="235" t="s">
        <v>643</v>
      </c>
      <c r="B25" s="235"/>
      <c r="C25" s="235"/>
      <c r="D25" s="235"/>
      <c r="E25" s="235"/>
      <c r="F25" s="235"/>
    </row>
    <row r="26" spans="1:6">
      <c r="A26" s="230" t="s">
        <v>699</v>
      </c>
      <c r="B26" s="230">
        <v>8</v>
      </c>
      <c r="C26" s="230" t="str">
        <f t="shared" si="0"/>
        <v>HOS-CLIN8</v>
      </c>
      <c r="D26" s="236">
        <v>188000</v>
      </c>
      <c r="E26" s="236">
        <v>193000</v>
      </c>
      <c r="F26" s="236">
        <v>198000</v>
      </c>
    </row>
    <row r="27" spans="1:6">
      <c r="A27" s="230" t="s">
        <v>699</v>
      </c>
      <c r="B27" s="230">
        <v>7</v>
      </c>
      <c r="C27" s="230" t="str">
        <f t="shared" si="0"/>
        <v>HOS-CLIN7</v>
      </c>
      <c r="D27" s="236">
        <v>163000</v>
      </c>
      <c r="E27" s="236">
        <v>167500</v>
      </c>
      <c r="F27" s="236">
        <v>172000</v>
      </c>
    </row>
    <row r="28" spans="1:6">
      <c r="A28" s="230" t="s">
        <v>699</v>
      </c>
      <c r="B28" s="230">
        <v>6</v>
      </c>
      <c r="C28" s="230" t="str">
        <f t="shared" si="0"/>
        <v>HOS-CLIN6</v>
      </c>
      <c r="D28" s="236">
        <v>148000</v>
      </c>
      <c r="E28" s="236">
        <v>152000</v>
      </c>
      <c r="F28" s="236">
        <v>156000</v>
      </c>
    </row>
    <row r="29" spans="1:6">
      <c r="A29" s="230" t="s">
        <v>699</v>
      </c>
      <c r="B29" s="230">
        <v>5</v>
      </c>
      <c r="C29" s="230" t="str">
        <f t="shared" si="0"/>
        <v>HOS-CLIN5</v>
      </c>
      <c r="D29" s="236">
        <v>120000</v>
      </c>
      <c r="E29" s="236">
        <v>132500</v>
      </c>
      <c r="F29" s="236">
        <v>145000</v>
      </c>
    </row>
    <row r="30" spans="1:6" ht="15.75">
      <c r="A30" s="235" t="s">
        <v>644</v>
      </c>
      <c r="B30" s="235"/>
      <c r="C30" s="235"/>
      <c r="D30" s="235"/>
      <c r="E30" s="235"/>
      <c r="F30" s="235"/>
    </row>
    <row r="31" spans="1:6">
      <c r="A31" s="230" t="s">
        <v>700</v>
      </c>
      <c r="B31" s="230">
        <v>9</v>
      </c>
      <c r="C31" s="230" t="str">
        <f t="shared" ref="C31" si="1">CONCATENATE(A31,B31)</f>
        <v>HOS-MED9</v>
      </c>
      <c r="D31" s="236">
        <v>320000</v>
      </c>
      <c r="E31" s="236">
        <v>450000</v>
      </c>
      <c r="F31" s="236">
        <v>600000</v>
      </c>
    </row>
    <row r="32" spans="1:6">
      <c r="A32" s="230" t="s">
        <v>700</v>
      </c>
      <c r="B32" s="230">
        <v>8</v>
      </c>
      <c r="C32" s="230" t="str">
        <f t="shared" si="0"/>
        <v>HOS-MED8</v>
      </c>
      <c r="D32" s="236">
        <v>340000</v>
      </c>
      <c r="E32" s="236">
        <v>420000</v>
      </c>
      <c r="F32" s="236">
        <v>500000</v>
      </c>
    </row>
    <row r="33" spans="1:6">
      <c r="A33" s="230" t="s">
        <v>700</v>
      </c>
      <c r="B33" s="230">
        <v>7</v>
      </c>
      <c r="C33" s="230" t="str">
        <f t="shared" si="0"/>
        <v>HOS-MED7</v>
      </c>
      <c r="D33" s="236">
        <v>180000</v>
      </c>
      <c r="E33" s="236">
        <v>260000</v>
      </c>
      <c r="F33" s="236">
        <v>340000</v>
      </c>
    </row>
    <row r="34" spans="1:6">
      <c r="A34" s="230" t="s">
        <v>700</v>
      </c>
      <c r="B34" s="230">
        <v>6</v>
      </c>
      <c r="C34" s="230" t="str">
        <f t="shared" si="0"/>
        <v>HOS-MED6</v>
      </c>
      <c r="D34" s="236">
        <v>160000</v>
      </c>
      <c r="E34" s="236">
        <v>180000</v>
      </c>
      <c r="F34" s="236">
        <v>200000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64AE8-7393-4E71-80CE-508D4B0F302E}">
  <sheetPr codeName="Sheet1"/>
  <dimension ref="A2:F75"/>
  <sheetViews>
    <sheetView topLeftCell="F1" workbookViewId="0">
      <selection activeCell="N8" sqref="N8"/>
    </sheetView>
  </sheetViews>
  <sheetFormatPr defaultColWidth="8.5703125" defaultRowHeight="15" outlineLevelCol="1"/>
  <cols>
    <col min="1" max="1" width="43.140625" style="229" hidden="1" customWidth="1" outlineLevel="1"/>
    <col min="2" max="5" width="0" style="229" hidden="1" customWidth="1" outlineLevel="1"/>
    <col min="6" max="6" width="8.5703125" style="229" collapsed="1"/>
    <col min="7" max="16384" width="8.5703125" style="229"/>
  </cols>
  <sheetData>
    <row r="2" spans="1:1">
      <c r="A2" s="229" t="s">
        <v>722</v>
      </c>
    </row>
    <row r="3" spans="1:1">
      <c r="A3" s="237" t="s">
        <v>542</v>
      </c>
    </row>
    <row r="4" spans="1:1">
      <c r="A4" s="238" t="s">
        <v>691</v>
      </c>
    </row>
    <row r="5" spans="1:1">
      <c r="A5" s="238" t="s">
        <v>618</v>
      </c>
    </row>
    <row r="6" spans="1:1">
      <c r="A6" s="238" t="s">
        <v>693</v>
      </c>
    </row>
    <row r="7" spans="1:1">
      <c r="A7" s="238" t="s">
        <v>560</v>
      </c>
    </row>
    <row r="8" spans="1:1">
      <c r="A8" s="238" t="s">
        <v>695</v>
      </c>
    </row>
    <row r="9" spans="1:1">
      <c r="A9" s="238" t="s">
        <v>619</v>
      </c>
    </row>
    <row r="10" spans="1:1">
      <c r="A10" s="238" t="s">
        <v>694</v>
      </c>
    </row>
    <row r="11" spans="1:1">
      <c r="A11" s="238" t="s">
        <v>557</v>
      </c>
    </row>
    <row r="12" spans="1:1">
      <c r="A12" s="238" t="s">
        <v>692</v>
      </c>
    </row>
    <row r="13" spans="1:1">
      <c r="A13" s="237" t="s">
        <v>690</v>
      </c>
    </row>
    <row r="14" spans="1:1">
      <c r="A14" s="238" t="s">
        <v>571</v>
      </c>
    </row>
    <row r="15" spans="1:1">
      <c r="A15" s="238" t="s">
        <v>621</v>
      </c>
    </row>
    <row r="16" spans="1:1">
      <c r="A16" s="238" t="s">
        <v>554</v>
      </c>
    </row>
    <row r="17" spans="1:1">
      <c r="A17" s="238" t="s">
        <v>564</v>
      </c>
    </row>
    <row r="18" spans="1:1">
      <c r="A18" s="238" t="s">
        <v>568</v>
      </c>
    </row>
    <row r="19" spans="1:1">
      <c r="A19" s="238" t="s">
        <v>8</v>
      </c>
    </row>
    <row r="20" spans="1:1">
      <c r="A20" s="238" t="s">
        <v>7</v>
      </c>
    </row>
    <row r="21" spans="1:1">
      <c r="A21" s="238" t="s">
        <v>692</v>
      </c>
    </row>
    <row r="22" spans="1:1">
      <c r="A22" s="237" t="s">
        <v>9</v>
      </c>
    </row>
    <row r="23" spans="1:1">
      <c r="A23" s="238" t="s">
        <v>696</v>
      </c>
    </row>
    <row r="24" spans="1:1">
      <c r="A24" s="238" t="s">
        <v>623</v>
      </c>
    </row>
    <row r="25" spans="1:1">
      <c r="A25" s="238" t="s">
        <v>573</v>
      </c>
    </row>
    <row r="26" spans="1:1">
      <c r="A26" s="238" t="s">
        <v>575</v>
      </c>
    </row>
    <row r="27" spans="1:1">
      <c r="A27" s="238" t="s">
        <v>624</v>
      </c>
    </row>
    <row r="28" spans="1:1">
      <c r="A28" s="238" t="s">
        <v>569</v>
      </c>
    </row>
    <row r="29" spans="1:1">
      <c r="A29" s="238" t="s">
        <v>625</v>
      </c>
    </row>
    <row r="30" spans="1:1">
      <c r="A30" s="238" t="s">
        <v>692</v>
      </c>
    </row>
    <row r="31" spans="1:1">
      <c r="A31" s="237" t="s">
        <v>543</v>
      </c>
    </row>
    <row r="32" spans="1:1">
      <c r="A32" s="238" t="s">
        <v>626</v>
      </c>
    </row>
    <row r="33" spans="1:1">
      <c r="A33" s="238" t="s">
        <v>567</v>
      </c>
    </row>
    <row r="34" spans="1:1">
      <c r="A34" s="238" t="s">
        <v>2</v>
      </c>
    </row>
    <row r="35" spans="1:1">
      <c r="A35" s="238" t="s">
        <v>566</v>
      </c>
    </row>
    <row r="36" spans="1:1">
      <c r="A36" s="238" t="s">
        <v>544</v>
      </c>
    </row>
    <row r="37" spans="1:1">
      <c r="A37" s="238" t="s">
        <v>545</v>
      </c>
    </row>
    <row r="38" spans="1:1">
      <c r="A38" s="238" t="s">
        <v>692</v>
      </c>
    </row>
    <row r="39" spans="1:1">
      <c r="A39" s="237" t="s">
        <v>4</v>
      </c>
    </row>
    <row r="40" spans="1:1">
      <c r="A40" s="238" t="s">
        <v>576</v>
      </c>
    </row>
    <row r="41" spans="1:1">
      <c r="A41" s="238" t="s">
        <v>698</v>
      </c>
    </row>
    <row r="42" spans="1:1">
      <c r="A42" s="238" t="s">
        <v>572</v>
      </c>
    </row>
    <row r="43" spans="1:1">
      <c r="A43" s="238" t="s">
        <v>692</v>
      </c>
    </row>
    <row r="44" spans="1:1">
      <c r="A44" s="237" t="s">
        <v>50</v>
      </c>
    </row>
    <row r="45" spans="1:1">
      <c r="A45" s="238" t="s">
        <v>549</v>
      </c>
    </row>
    <row r="46" spans="1:1">
      <c r="A46" s="238" t="s">
        <v>628</v>
      </c>
    </row>
    <row r="47" spans="1:1">
      <c r="A47" s="238" t="s">
        <v>692</v>
      </c>
    </row>
    <row r="48" spans="1:1">
      <c r="A48" s="238" t="s">
        <v>548</v>
      </c>
    </row>
    <row r="49" spans="1:1">
      <c r="A49" s="238" t="s">
        <v>550</v>
      </c>
    </row>
    <row r="50" spans="1:1">
      <c r="A50" s="238" t="s">
        <v>51</v>
      </c>
    </row>
    <row r="51" spans="1:1">
      <c r="A51" s="237" t="s">
        <v>562</v>
      </c>
    </row>
    <row r="52" spans="1:1">
      <c r="A52" s="238" t="s">
        <v>629</v>
      </c>
    </row>
    <row r="53" spans="1:1">
      <c r="A53" s="238" t="s">
        <v>558</v>
      </c>
    </row>
    <row r="54" spans="1:1">
      <c r="A54" s="238" t="s">
        <v>559</v>
      </c>
    </row>
    <row r="55" spans="1:1">
      <c r="A55" s="238" t="s">
        <v>574</v>
      </c>
    </row>
    <row r="56" spans="1:1">
      <c r="A56" s="238" t="s">
        <v>563</v>
      </c>
    </row>
    <row r="57" spans="1:1">
      <c r="A57" s="238" t="s">
        <v>692</v>
      </c>
    </row>
    <row r="58" spans="1:1">
      <c r="A58" s="237" t="s">
        <v>1</v>
      </c>
    </row>
    <row r="59" spans="1:1">
      <c r="A59" s="238" t="s">
        <v>1</v>
      </c>
    </row>
    <row r="60" spans="1:1">
      <c r="A60" s="237" t="s">
        <v>547</v>
      </c>
    </row>
    <row r="61" spans="1:1">
      <c r="A61" s="238" t="s">
        <v>570</v>
      </c>
    </row>
    <row r="62" spans="1:1">
      <c r="A62" s="238" t="s">
        <v>697</v>
      </c>
    </row>
    <row r="63" spans="1:1">
      <c r="A63" s="238" t="s">
        <v>547</v>
      </c>
    </row>
    <row r="64" spans="1:1">
      <c r="A64" s="237" t="s">
        <v>546</v>
      </c>
    </row>
    <row r="65" spans="1:1">
      <c r="A65" s="238" t="s">
        <v>6</v>
      </c>
    </row>
    <row r="66" spans="1:1">
      <c r="A66" s="238" t="s">
        <v>556</v>
      </c>
    </row>
    <row r="67" spans="1:1">
      <c r="A67" s="238" t="s">
        <v>555</v>
      </c>
    </row>
    <row r="68" spans="1:1">
      <c r="A68" s="238" t="s">
        <v>561</v>
      </c>
    </row>
    <row r="69" spans="1:1">
      <c r="A69" s="238" t="s">
        <v>552</v>
      </c>
    </row>
    <row r="70" spans="1:1">
      <c r="A70" s="238" t="s">
        <v>692</v>
      </c>
    </row>
    <row r="71" spans="1:1">
      <c r="A71" s="238" t="s">
        <v>565</v>
      </c>
    </row>
    <row r="72" spans="1:1">
      <c r="A72" s="238" t="s">
        <v>30</v>
      </c>
    </row>
    <row r="73" spans="1:1">
      <c r="A73" s="237" t="s">
        <v>689</v>
      </c>
    </row>
    <row r="74" spans="1:1">
      <c r="A74" s="238" t="s">
        <v>689</v>
      </c>
    </row>
    <row r="75" spans="1:1">
      <c r="A75" s="237" t="s">
        <v>723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043F-BB80-41BD-AFF7-DE73AC6B1EA9}">
  <sheetPr codeName="Sheet5"/>
  <dimension ref="A1:S188"/>
  <sheetViews>
    <sheetView showGridLines="0" zoomScale="86" zoomScaleNormal="86" workbookViewId="0">
      <pane ySplit="1" topLeftCell="A2" activePane="bottomLeft" state="frozen"/>
      <selection pane="bottomLeft" activeCell="B27" sqref="B27"/>
    </sheetView>
  </sheetViews>
  <sheetFormatPr defaultColWidth="11.5703125" defaultRowHeight="15"/>
  <cols>
    <col min="1" max="1" width="40.5703125" style="229" customWidth="1"/>
    <col min="2" max="2" width="60.5703125" style="229" customWidth="1"/>
    <col min="3" max="4" width="12.5703125" style="229" customWidth="1"/>
    <col min="5" max="8" width="12.5703125" style="243" customWidth="1"/>
    <col min="9" max="19" width="12.5703125" style="229" customWidth="1"/>
    <col min="20" max="16384" width="11.5703125" style="229"/>
  </cols>
  <sheetData>
    <row r="1" spans="1:19" ht="110.25" customHeight="1">
      <c r="A1" s="240" t="s">
        <v>10</v>
      </c>
      <c r="B1" s="240" t="s">
        <v>11</v>
      </c>
      <c r="C1" s="240" t="s">
        <v>12</v>
      </c>
      <c r="D1" s="241" t="s">
        <v>13</v>
      </c>
      <c r="E1" s="241" t="s">
        <v>14</v>
      </c>
      <c r="F1" s="241" t="s">
        <v>40</v>
      </c>
      <c r="G1" s="241" t="s">
        <v>53</v>
      </c>
      <c r="H1" s="241" t="s">
        <v>54</v>
      </c>
      <c r="I1" s="241" t="s">
        <v>55</v>
      </c>
      <c r="J1" s="241"/>
      <c r="K1" s="241" t="s">
        <v>56</v>
      </c>
      <c r="L1" s="241" t="s">
        <v>57</v>
      </c>
      <c r="M1" s="241" t="s">
        <v>58</v>
      </c>
      <c r="N1" s="424" t="s">
        <v>59</v>
      </c>
      <c r="O1" s="424"/>
      <c r="P1" s="242" t="s">
        <v>60</v>
      </c>
      <c r="Q1" s="425" t="s">
        <v>61</v>
      </c>
      <c r="R1" s="425"/>
      <c r="S1" s="425"/>
    </row>
    <row r="2" spans="1:19">
      <c r="A2" s="229" t="s">
        <v>577</v>
      </c>
      <c r="B2" s="243"/>
      <c r="C2" s="244"/>
      <c r="D2" s="245"/>
      <c r="E2" s="245"/>
      <c r="F2" s="244"/>
      <c r="G2" s="245"/>
      <c r="H2" s="246"/>
      <c r="I2" s="245"/>
      <c r="J2" s="245"/>
      <c r="K2" s="245"/>
      <c r="L2" s="247"/>
      <c r="M2" s="245"/>
      <c r="O2" s="230"/>
      <c r="P2" s="248"/>
    </row>
    <row r="3" spans="1:19" ht="53.25">
      <c r="A3" s="249"/>
      <c r="B3" s="249" t="s">
        <v>62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30">
        <v>1</v>
      </c>
      <c r="O3" s="230" t="s">
        <v>63</v>
      </c>
      <c r="P3" s="248"/>
      <c r="Q3" s="250" t="s">
        <v>64</v>
      </c>
      <c r="R3" s="251"/>
      <c r="S3" s="252" t="s">
        <v>65</v>
      </c>
    </row>
    <row r="4" spans="1:19">
      <c r="A4" s="243" t="s">
        <v>66</v>
      </c>
      <c r="B4" s="251" t="s">
        <v>326</v>
      </c>
      <c r="C4" s="253" t="s">
        <v>67</v>
      </c>
      <c r="D4" s="254">
        <v>23.16</v>
      </c>
      <c r="E4" s="255">
        <v>45764.160000000003</v>
      </c>
      <c r="F4" s="253"/>
      <c r="G4" s="255">
        <v>0</v>
      </c>
      <c r="H4" s="256">
        <v>0.17499999999999999</v>
      </c>
      <c r="I4" s="255">
        <v>616.05599999999993</v>
      </c>
      <c r="J4" s="255"/>
      <c r="K4" s="255">
        <v>46380.216</v>
      </c>
      <c r="L4" s="257">
        <v>23.47176923076923</v>
      </c>
      <c r="M4" s="258">
        <v>46400</v>
      </c>
      <c r="N4" s="259">
        <v>48206</v>
      </c>
      <c r="O4" s="260">
        <v>3.8922413793103461E-2</v>
      </c>
      <c r="P4" s="248">
        <v>1806</v>
      </c>
      <c r="Q4" s="261"/>
      <c r="R4" s="259">
        <v>48206</v>
      </c>
      <c r="S4" s="262">
        <v>3.8922413793103461E-2</v>
      </c>
    </row>
    <row r="5" spans="1:19">
      <c r="A5" s="243" t="s">
        <v>68</v>
      </c>
      <c r="B5" s="251" t="s">
        <v>327</v>
      </c>
      <c r="C5" s="253" t="s">
        <v>69</v>
      </c>
      <c r="D5" s="254">
        <v>23.91</v>
      </c>
      <c r="E5" s="255">
        <v>47246.16</v>
      </c>
      <c r="F5" s="253"/>
      <c r="G5" s="255">
        <v>0</v>
      </c>
      <c r="H5" s="256">
        <v>0.17499999999999999</v>
      </c>
      <c r="I5" s="255">
        <v>636.00599999999986</v>
      </c>
      <c r="J5" s="255"/>
      <c r="K5" s="255">
        <v>47882.166000000005</v>
      </c>
      <c r="L5" s="257">
        <v>24.231865384615386</v>
      </c>
      <c r="M5" s="258">
        <v>47900</v>
      </c>
      <c r="N5" s="259">
        <v>49765</v>
      </c>
      <c r="O5" s="260">
        <v>3.8935281837160662E-2</v>
      </c>
      <c r="P5" s="248">
        <v>1865</v>
      </c>
      <c r="Q5" s="261"/>
      <c r="R5" s="259">
        <v>49765</v>
      </c>
      <c r="S5" s="262">
        <v>3.8935281837160662E-2</v>
      </c>
    </row>
    <row r="6" spans="1:19">
      <c r="A6" s="243" t="s">
        <v>70</v>
      </c>
      <c r="B6" s="251" t="s">
        <v>328</v>
      </c>
      <c r="C6" s="253" t="s">
        <v>71</v>
      </c>
      <c r="D6" s="254">
        <v>24.76</v>
      </c>
      <c r="E6" s="255">
        <v>48925.760000000002</v>
      </c>
      <c r="F6" s="253"/>
      <c r="G6" s="255">
        <v>0</v>
      </c>
      <c r="H6" s="256">
        <v>0.17499999999999999</v>
      </c>
      <c r="I6" s="255">
        <v>658.61599999999999</v>
      </c>
      <c r="J6" s="255"/>
      <c r="K6" s="255">
        <v>49584.376000000004</v>
      </c>
      <c r="L6" s="257">
        <v>25.093307692307693</v>
      </c>
      <c r="M6" s="258">
        <v>49600</v>
      </c>
      <c r="N6" s="259">
        <v>51531</v>
      </c>
      <c r="O6" s="260">
        <v>3.8931451612903123E-2</v>
      </c>
      <c r="P6" s="248">
        <v>1931</v>
      </c>
      <c r="Q6" s="261"/>
      <c r="R6" s="259">
        <v>51531</v>
      </c>
      <c r="S6" s="262">
        <v>3.8931451612903123E-2</v>
      </c>
    </row>
    <row r="7" spans="1:19">
      <c r="A7" s="243" t="s">
        <v>72</v>
      </c>
      <c r="B7" s="251" t="s">
        <v>329</v>
      </c>
      <c r="C7" s="253" t="s">
        <v>73</v>
      </c>
      <c r="D7" s="254">
        <v>30.46</v>
      </c>
      <c r="E7" s="255">
        <v>60188.959999999999</v>
      </c>
      <c r="F7" s="253"/>
      <c r="G7" s="255">
        <v>0</v>
      </c>
      <c r="H7" s="256">
        <v>0.17499999999999999</v>
      </c>
      <c r="I7" s="255">
        <v>810.23599999999999</v>
      </c>
      <c r="J7" s="255"/>
      <c r="K7" s="255">
        <v>60999.195999999996</v>
      </c>
      <c r="L7" s="257">
        <v>30.87003846153846</v>
      </c>
      <c r="M7" s="258">
        <v>61000</v>
      </c>
      <c r="N7" s="259">
        <v>63376</v>
      </c>
      <c r="O7" s="260">
        <v>3.8950819672131098E-2</v>
      </c>
      <c r="P7" s="248">
        <v>2376</v>
      </c>
      <c r="Q7" s="261"/>
      <c r="R7" s="259">
        <v>63376</v>
      </c>
      <c r="S7" s="262">
        <v>3.8950819672131098E-2</v>
      </c>
    </row>
    <row r="8" spans="1:19">
      <c r="A8" s="243" t="s">
        <v>74</v>
      </c>
      <c r="B8" s="251" t="s">
        <v>330</v>
      </c>
      <c r="C8" s="253" t="s">
        <v>75</v>
      </c>
      <c r="D8" s="254">
        <v>31.41</v>
      </c>
      <c r="E8" s="255">
        <v>62066.16</v>
      </c>
      <c r="F8" s="253"/>
      <c r="G8" s="255">
        <v>0</v>
      </c>
      <c r="H8" s="256">
        <v>0.17499999999999999</v>
      </c>
      <c r="I8" s="255">
        <v>835.50599999999986</v>
      </c>
      <c r="J8" s="255"/>
      <c r="K8" s="255">
        <v>62901.666000000005</v>
      </c>
      <c r="L8" s="257">
        <v>31.832826923076926</v>
      </c>
      <c r="M8" s="258">
        <v>63000</v>
      </c>
      <c r="N8" s="259">
        <v>65450</v>
      </c>
      <c r="O8" s="260">
        <v>3.8888888888888973E-2</v>
      </c>
      <c r="P8" s="248">
        <v>2450</v>
      </c>
      <c r="Q8" s="261"/>
      <c r="R8" s="259">
        <v>65450</v>
      </c>
      <c r="S8" s="262">
        <v>3.8888888888888973E-2</v>
      </c>
    </row>
    <row r="9" spans="1:19">
      <c r="A9" s="243" t="s">
        <v>76</v>
      </c>
      <c r="B9" s="251" t="s">
        <v>331</v>
      </c>
      <c r="C9" s="253" t="s">
        <v>77</v>
      </c>
      <c r="D9" s="254">
        <v>32.369999999999997</v>
      </c>
      <c r="E9" s="255">
        <v>63963.119999999995</v>
      </c>
      <c r="F9" s="253"/>
      <c r="G9" s="255">
        <v>0</v>
      </c>
      <c r="H9" s="256">
        <v>0.17499999999999999</v>
      </c>
      <c r="I9" s="255">
        <v>861.04199999999992</v>
      </c>
      <c r="J9" s="255"/>
      <c r="K9" s="255">
        <v>64824.161999999997</v>
      </c>
      <c r="L9" s="257">
        <v>32.805749999999996</v>
      </c>
      <c r="M9" s="258">
        <v>64900</v>
      </c>
      <c r="N9" s="259">
        <v>67425</v>
      </c>
      <c r="O9" s="260">
        <v>3.8906009244992212E-2</v>
      </c>
      <c r="P9" s="248">
        <v>2525</v>
      </c>
      <c r="Q9" s="261"/>
      <c r="R9" s="259">
        <v>67425</v>
      </c>
      <c r="S9" s="262">
        <v>3.8906009244992212E-2</v>
      </c>
    </row>
    <row r="10" spans="1:19">
      <c r="A10" s="243" t="s">
        <v>78</v>
      </c>
      <c r="B10" s="251" t="s">
        <v>332</v>
      </c>
      <c r="C10" s="253" t="s">
        <v>79</v>
      </c>
      <c r="D10" s="254">
        <v>33.229999999999997</v>
      </c>
      <c r="E10" s="255">
        <v>65662.48</v>
      </c>
      <c r="F10" s="253"/>
      <c r="G10" s="255">
        <v>0</v>
      </c>
      <c r="H10" s="256">
        <v>0.17499999999999999</v>
      </c>
      <c r="I10" s="255">
        <v>883.91799999999978</v>
      </c>
      <c r="J10" s="255"/>
      <c r="K10" s="255">
        <v>66546.398000000001</v>
      </c>
      <c r="L10" s="257">
        <v>33.677326923076926</v>
      </c>
      <c r="M10" s="258">
        <v>66600</v>
      </c>
      <c r="N10" s="259">
        <v>69192</v>
      </c>
      <c r="O10" s="260">
        <v>3.8918918918918965E-2</v>
      </c>
      <c r="P10" s="248">
        <v>2592</v>
      </c>
      <c r="Q10" s="261"/>
      <c r="R10" s="259">
        <v>69192</v>
      </c>
      <c r="S10" s="262">
        <v>3.8918918918918965E-2</v>
      </c>
    </row>
    <row r="11" spans="1:19">
      <c r="A11" s="243" t="s">
        <v>80</v>
      </c>
      <c r="B11" s="251" t="s">
        <v>333</v>
      </c>
      <c r="C11" s="253" t="s">
        <v>81</v>
      </c>
      <c r="D11" s="254">
        <v>34.04</v>
      </c>
      <c r="E11" s="255">
        <v>67263.039999999994</v>
      </c>
      <c r="F11" s="253"/>
      <c r="G11" s="255">
        <v>0</v>
      </c>
      <c r="H11" s="256">
        <v>0.17499999999999999</v>
      </c>
      <c r="I11" s="255">
        <v>905.46399999999994</v>
      </c>
      <c r="J11" s="255"/>
      <c r="K11" s="255">
        <v>68168.503999999986</v>
      </c>
      <c r="L11" s="257">
        <v>34.498230769230766</v>
      </c>
      <c r="M11" s="258">
        <v>68200</v>
      </c>
      <c r="N11" s="259">
        <v>70855</v>
      </c>
      <c r="O11" s="260">
        <v>3.8929618768328345E-2</v>
      </c>
      <c r="P11" s="248">
        <v>2655</v>
      </c>
      <c r="Q11" s="261"/>
      <c r="R11" s="259">
        <v>70855</v>
      </c>
      <c r="S11" s="262">
        <v>3.8929618768328345E-2</v>
      </c>
    </row>
    <row r="12" spans="1:19">
      <c r="A12" s="243" t="s">
        <v>82</v>
      </c>
      <c r="B12" s="251" t="s">
        <v>334</v>
      </c>
      <c r="C12" s="253" t="s">
        <v>83</v>
      </c>
      <c r="D12" s="254">
        <v>35.020000000000003</v>
      </c>
      <c r="E12" s="255">
        <v>69199.520000000004</v>
      </c>
      <c r="F12" s="253"/>
      <c r="G12" s="255">
        <v>0</v>
      </c>
      <c r="H12" s="256">
        <v>0.17499999999999999</v>
      </c>
      <c r="I12" s="255">
        <v>931.53199999999993</v>
      </c>
      <c r="J12" s="255"/>
      <c r="K12" s="255">
        <v>70131.052000000011</v>
      </c>
      <c r="L12" s="257">
        <v>35.491423076923084</v>
      </c>
      <c r="M12" s="258">
        <v>70200</v>
      </c>
      <c r="N12" s="259">
        <v>72932</v>
      </c>
      <c r="O12" s="260">
        <v>3.8917378917378898E-2</v>
      </c>
      <c r="P12" s="248">
        <v>2732</v>
      </c>
      <c r="Q12" s="261"/>
      <c r="R12" s="259">
        <v>72932</v>
      </c>
      <c r="S12" s="262">
        <v>3.8917378917378898E-2</v>
      </c>
    </row>
    <row r="13" spans="1:19">
      <c r="A13" s="243" t="s">
        <v>84</v>
      </c>
      <c r="B13" s="251" t="s">
        <v>335</v>
      </c>
      <c r="C13" s="253" t="s">
        <v>85</v>
      </c>
      <c r="D13" s="254">
        <v>35.770000000000003</v>
      </c>
      <c r="E13" s="255">
        <v>70681.52</v>
      </c>
      <c r="F13" s="253"/>
      <c r="G13" s="255">
        <v>0</v>
      </c>
      <c r="H13" s="256">
        <v>0.17499999999999999</v>
      </c>
      <c r="I13" s="255">
        <v>951.48200000000008</v>
      </c>
      <c r="J13" s="255"/>
      <c r="K13" s="255">
        <v>71633.002000000008</v>
      </c>
      <c r="L13" s="257">
        <v>36.251519230769233</v>
      </c>
      <c r="M13" s="258">
        <v>71700</v>
      </c>
      <c r="N13" s="259">
        <v>74490</v>
      </c>
      <c r="O13" s="260">
        <v>3.8912133891213285E-2</v>
      </c>
      <c r="P13" s="248">
        <v>2790</v>
      </c>
      <c r="Q13" s="261"/>
      <c r="R13" s="259">
        <v>74490</v>
      </c>
      <c r="S13" s="262">
        <v>3.8912133891213285E-2</v>
      </c>
    </row>
    <row r="14" spans="1:19">
      <c r="A14" s="243" t="s">
        <v>86</v>
      </c>
      <c r="B14" s="251" t="s">
        <v>336</v>
      </c>
      <c r="C14" s="253" t="s">
        <v>87</v>
      </c>
      <c r="D14" s="254">
        <v>36.5</v>
      </c>
      <c r="E14" s="255">
        <v>72124</v>
      </c>
      <c r="F14" s="253"/>
      <c r="G14" s="255">
        <v>0</v>
      </c>
      <c r="H14" s="256">
        <v>0.17499999999999999</v>
      </c>
      <c r="I14" s="255">
        <v>970.9</v>
      </c>
      <c r="J14" s="255"/>
      <c r="K14" s="255">
        <v>73094.899999999994</v>
      </c>
      <c r="L14" s="257">
        <v>36.991346153846152</v>
      </c>
      <c r="M14" s="258">
        <v>73100</v>
      </c>
      <c r="N14" s="259">
        <v>75947</v>
      </c>
      <c r="O14" s="260">
        <v>3.8946648426812613E-2</v>
      </c>
      <c r="P14" s="248">
        <v>2847</v>
      </c>
      <c r="Q14" s="261"/>
      <c r="R14" s="259">
        <v>75947</v>
      </c>
      <c r="S14" s="262">
        <v>3.8946648426812613E-2</v>
      </c>
    </row>
    <row r="15" spans="1:19">
      <c r="A15" s="243" t="s">
        <v>88</v>
      </c>
      <c r="B15" s="251" t="s">
        <v>337</v>
      </c>
      <c r="C15" s="253" t="s">
        <v>89</v>
      </c>
      <c r="D15" s="254">
        <v>39.26</v>
      </c>
      <c r="E15" s="255">
        <v>77577.759999999995</v>
      </c>
      <c r="F15" s="253"/>
      <c r="G15" s="255">
        <v>0</v>
      </c>
      <c r="H15" s="256">
        <v>0.17499999999999999</v>
      </c>
      <c r="I15" s="255">
        <v>1044.3159999999998</v>
      </c>
      <c r="J15" s="255"/>
      <c r="K15" s="255">
        <v>78622.076000000001</v>
      </c>
      <c r="L15" s="257">
        <v>39.788499999999999</v>
      </c>
      <c r="M15" s="258">
        <v>78700</v>
      </c>
      <c r="N15" s="259">
        <v>81762</v>
      </c>
      <c r="O15" s="260">
        <v>3.8907242693773769E-2</v>
      </c>
      <c r="P15" s="248">
        <v>3062</v>
      </c>
      <c r="Q15" s="261"/>
      <c r="R15" s="259">
        <v>81762</v>
      </c>
      <c r="S15" s="262">
        <v>3.8907242693773769E-2</v>
      </c>
    </row>
    <row r="16" spans="1:19">
      <c r="A16" s="243" t="s">
        <v>90</v>
      </c>
      <c r="B16" s="251" t="s">
        <v>338</v>
      </c>
      <c r="C16" s="253" t="s">
        <v>91</v>
      </c>
      <c r="D16" s="254">
        <v>40.29</v>
      </c>
      <c r="E16" s="255">
        <v>79613.039999999994</v>
      </c>
      <c r="F16" s="253"/>
      <c r="G16" s="255">
        <v>0</v>
      </c>
      <c r="H16" s="256">
        <v>0.17499999999999999</v>
      </c>
      <c r="I16" s="255">
        <v>1071.7139999999997</v>
      </c>
      <c r="J16" s="255"/>
      <c r="K16" s="255">
        <v>80684.753999999986</v>
      </c>
      <c r="L16" s="257">
        <v>40.832365384615379</v>
      </c>
      <c r="M16" s="258">
        <v>80700</v>
      </c>
      <c r="N16" s="259">
        <v>83843</v>
      </c>
      <c r="O16" s="260">
        <v>3.8946716232961531E-2</v>
      </c>
      <c r="P16" s="248">
        <v>3143</v>
      </c>
      <c r="Q16" s="261"/>
      <c r="R16" s="259">
        <v>83843</v>
      </c>
      <c r="S16" s="262">
        <v>3.8946716232961531E-2</v>
      </c>
    </row>
    <row r="17" spans="1:19">
      <c r="A17" s="243" t="s">
        <v>92</v>
      </c>
      <c r="B17" s="251" t="s">
        <v>339</v>
      </c>
      <c r="C17" s="253" t="s">
        <v>93</v>
      </c>
      <c r="D17" s="254">
        <v>41.32</v>
      </c>
      <c r="E17" s="255">
        <v>81648.320000000007</v>
      </c>
      <c r="F17" s="253"/>
      <c r="G17" s="255">
        <v>0</v>
      </c>
      <c r="H17" s="256">
        <v>0.17499999999999999</v>
      </c>
      <c r="I17" s="255">
        <v>1099.1119999999999</v>
      </c>
      <c r="J17" s="255"/>
      <c r="K17" s="255">
        <v>82747.432000000001</v>
      </c>
      <c r="L17" s="257">
        <v>41.876230769230773</v>
      </c>
      <c r="M17" s="258">
        <v>82800</v>
      </c>
      <c r="N17" s="259">
        <v>86023</v>
      </c>
      <c r="O17" s="260">
        <v>3.8925120772946853E-2</v>
      </c>
      <c r="P17" s="248">
        <v>3223</v>
      </c>
      <c r="Q17" s="261"/>
      <c r="R17" s="259">
        <v>86023</v>
      </c>
      <c r="S17" s="262">
        <v>3.8925120772946853E-2</v>
      </c>
    </row>
    <row r="18" spans="1:19">
      <c r="A18" s="243" t="s">
        <v>94</v>
      </c>
      <c r="B18" s="251" t="s">
        <v>340</v>
      </c>
      <c r="C18" s="253" t="s">
        <v>95</v>
      </c>
      <c r="D18" s="254">
        <v>42.25</v>
      </c>
      <c r="E18" s="255">
        <v>83486</v>
      </c>
      <c r="F18" s="253"/>
      <c r="G18" s="255">
        <v>0</v>
      </c>
      <c r="H18" s="256">
        <v>0.17499999999999999</v>
      </c>
      <c r="I18" s="255">
        <v>1123.8499999999997</v>
      </c>
      <c r="J18" s="255"/>
      <c r="K18" s="255">
        <v>84609.85</v>
      </c>
      <c r="L18" s="257">
        <v>42.818750000000001</v>
      </c>
      <c r="M18" s="258">
        <v>84700</v>
      </c>
      <c r="N18" s="259">
        <v>87996</v>
      </c>
      <c r="O18" s="260">
        <v>3.8913813459267921E-2</v>
      </c>
      <c r="P18" s="248">
        <v>3296</v>
      </c>
      <c r="Q18" s="261"/>
      <c r="R18" s="259">
        <v>87996</v>
      </c>
      <c r="S18" s="262">
        <v>3.8913813459267921E-2</v>
      </c>
    </row>
    <row r="19" spans="1:19">
      <c r="A19" s="243" t="s">
        <v>92</v>
      </c>
      <c r="B19" s="251" t="s">
        <v>341</v>
      </c>
      <c r="C19" s="253" t="s">
        <v>96</v>
      </c>
      <c r="D19" s="254">
        <v>44.92</v>
      </c>
      <c r="E19" s="255">
        <v>88761.919999999998</v>
      </c>
      <c r="F19" s="253"/>
      <c r="G19" s="255">
        <v>0</v>
      </c>
      <c r="H19" s="256">
        <v>0.17499999999999999</v>
      </c>
      <c r="I19" s="255">
        <v>1194.8719999999998</v>
      </c>
      <c r="J19" s="255"/>
      <c r="K19" s="255">
        <v>89956.792000000001</v>
      </c>
      <c r="L19" s="257">
        <v>45.524692307692305</v>
      </c>
      <c r="M19" s="258">
        <v>90000</v>
      </c>
      <c r="N19" s="259">
        <v>93504</v>
      </c>
      <c r="O19" s="260">
        <v>3.8933333333333264E-2</v>
      </c>
      <c r="P19" s="248">
        <v>3504</v>
      </c>
      <c r="Q19" s="261"/>
      <c r="R19" s="259">
        <v>93504</v>
      </c>
      <c r="S19" s="262">
        <v>3.8933333333333264E-2</v>
      </c>
    </row>
    <row r="20" spans="1:19">
      <c r="A20" s="243" t="s">
        <v>90</v>
      </c>
      <c r="B20" s="251" t="s">
        <v>342</v>
      </c>
      <c r="C20" s="253" t="s">
        <v>97</v>
      </c>
      <c r="D20" s="254">
        <v>45.88</v>
      </c>
      <c r="E20" s="255">
        <v>90658.880000000005</v>
      </c>
      <c r="F20" s="263"/>
      <c r="G20" s="255">
        <v>0</v>
      </c>
      <c r="H20" s="256">
        <v>0.17499999999999999</v>
      </c>
      <c r="I20" s="255">
        <v>1220.4079999999999</v>
      </c>
      <c r="J20" s="255"/>
      <c r="K20" s="255">
        <v>91879.288</v>
      </c>
      <c r="L20" s="257">
        <v>46.497615384615386</v>
      </c>
      <c r="M20" s="258">
        <v>91900</v>
      </c>
      <c r="N20" s="259">
        <v>95479</v>
      </c>
      <c r="O20" s="260">
        <v>3.8944504896626819E-2</v>
      </c>
      <c r="P20" s="248">
        <v>3579</v>
      </c>
      <c r="Q20" s="261"/>
      <c r="R20" s="259">
        <v>95479</v>
      </c>
      <c r="S20" s="262">
        <v>3.8944504896626819E-2</v>
      </c>
    </row>
    <row r="21" spans="1:19">
      <c r="A21" s="243" t="s">
        <v>88</v>
      </c>
      <c r="B21" s="251" t="s">
        <v>343</v>
      </c>
      <c r="C21" s="253" t="s">
        <v>98</v>
      </c>
      <c r="D21" s="254">
        <v>46.95</v>
      </c>
      <c r="E21" s="255">
        <v>92773.200000000012</v>
      </c>
      <c r="F21" s="263"/>
      <c r="G21" s="255">
        <v>0</v>
      </c>
      <c r="H21" s="256">
        <v>0.17499999999999999</v>
      </c>
      <c r="I21" s="255">
        <v>1248.8699999999999</v>
      </c>
      <c r="J21" s="255"/>
      <c r="K21" s="255">
        <v>94022.07</v>
      </c>
      <c r="L21" s="257">
        <v>47.582019230769234</v>
      </c>
      <c r="M21" s="258">
        <v>95000</v>
      </c>
      <c r="N21" s="259">
        <v>98662</v>
      </c>
      <c r="O21" s="260">
        <v>3.8547368421052663E-2</v>
      </c>
      <c r="P21" s="248">
        <v>3662</v>
      </c>
      <c r="Q21" s="261"/>
      <c r="R21" s="259">
        <v>98662</v>
      </c>
      <c r="S21" s="262">
        <v>3.8547368421052663E-2</v>
      </c>
    </row>
    <row r="22" spans="1:19">
      <c r="A22" s="243" t="s">
        <v>99</v>
      </c>
      <c r="B22" s="251" t="s">
        <v>344</v>
      </c>
      <c r="C22" s="253" t="s">
        <v>100</v>
      </c>
      <c r="D22" s="254">
        <v>49.07</v>
      </c>
      <c r="E22" s="255">
        <v>96962.32</v>
      </c>
      <c r="F22" s="263"/>
      <c r="G22" s="255">
        <v>0</v>
      </c>
      <c r="H22" s="256">
        <v>0.17499999999999999</v>
      </c>
      <c r="I22" s="255">
        <v>1305.2619999999997</v>
      </c>
      <c r="J22" s="255"/>
      <c r="K22" s="255">
        <v>98267.582000000009</v>
      </c>
      <c r="L22" s="257">
        <v>49.730557692307698</v>
      </c>
      <c r="M22" s="258">
        <v>99000</v>
      </c>
      <c r="N22" s="259">
        <v>102827</v>
      </c>
      <c r="O22" s="260">
        <v>3.8656565656565611E-2</v>
      </c>
      <c r="P22" s="248">
        <v>3827</v>
      </c>
      <c r="Q22" s="261"/>
      <c r="R22" s="259">
        <v>102827</v>
      </c>
      <c r="S22" s="262">
        <v>3.8656565656565611E-2</v>
      </c>
    </row>
    <row r="23" spans="1:19">
      <c r="A23" s="243" t="s">
        <v>101</v>
      </c>
      <c r="B23" s="251" t="s">
        <v>345</v>
      </c>
      <c r="C23" s="253" t="s">
        <v>102</v>
      </c>
      <c r="D23" s="254">
        <v>50.15</v>
      </c>
      <c r="E23" s="255">
        <v>99096.4</v>
      </c>
      <c r="F23" s="263"/>
      <c r="G23" s="255">
        <v>0</v>
      </c>
      <c r="H23" s="256">
        <v>0.17499999999999999</v>
      </c>
      <c r="I23" s="255">
        <v>1333.9899999999998</v>
      </c>
      <c r="J23" s="255"/>
      <c r="K23" s="255">
        <v>100430.39</v>
      </c>
      <c r="L23" s="257">
        <v>50.825096153846154</v>
      </c>
      <c r="M23" s="258">
        <v>101000</v>
      </c>
      <c r="N23" s="259">
        <v>104912</v>
      </c>
      <c r="O23" s="260">
        <v>3.8732673267326767E-2</v>
      </c>
      <c r="P23" s="248">
        <v>3912</v>
      </c>
      <c r="Q23" s="261"/>
      <c r="R23" s="259">
        <v>104912</v>
      </c>
      <c r="S23" s="262">
        <v>3.8732673267326767E-2</v>
      </c>
    </row>
    <row r="24" spans="1:19">
      <c r="A24" s="243" t="s">
        <v>103</v>
      </c>
      <c r="B24" s="251" t="s">
        <v>346</v>
      </c>
      <c r="C24" s="253" t="s">
        <v>104</v>
      </c>
      <c r="D24" s="254">
        <v>51.24</v>
      </c>
      <c r="E24" s="255">
        <v>101250.24000000001</v>
      </c>
      <c r="F24" s="263"/>
      <c r="G24" s="255">
        <v>0</v>
      </c>
      <c r="H24" s="256">
        <v>0.17499999999999999</v>
      </c>
      <c r="I24" s="255">
        <v>1362.9839999999999</v>
      </c>
      <c r="J24" s="255"/>
      <c r="K24" s="255">
        <v>102613.224</v>
      </c>
      <c r="L24" s="257">
        <v>51.929769230769232</v>
      </c>
      <c r="M24" s="258">
        <v>103000</v>
      </c>
      <c r="N24" s="259">
        <v>106997</v>
      </c>
      <c r="O24" s="260">
        <v>3.8805825242718361E-2</v>
      </c>
      <c r="P24" s="248">
        <v>3997</v>
      </c>
      <c r="Q24" s="261"/>
      <c r="R24" s="259">
        <v>106997</v>
      </c>
      <c r="S24" s="262">
        <v>3.8805825242718361E-2</v>
      </c>
    </row>
    <row r="25" spans="1:19">
      <c r="A25" s="243" t="s">
        <v>105</v>
      </c>
      <c r="B25" s="251" t="s">
        <v>347</v>
      </c>
      <c r="C25" s="253" t="s">
        <v>106</v>
      </c>
      <c r="D25" s="264">
        <v>53.07</v>
      </c>
      <c r="E25" s="255">
        <v>104866.32</v>
      </c>
      <c r="F25" s="263">
        <v>0</v>
      </c>
      <c r="G25" s="255">
        <v>0</v>
      </c>
      <c r="H25" s="256">
        <v>0.17499999999999999</v>
      </c>
      <c r="I25" s="255">
        <v>1411.6619999999998</v>
      </c>
      <c r="J25" s="255"/>
      <c r="K25" s="255">
        <v>106277.982</v>
      </c>
      <c r="L25" s="257">
        <v>53.78440384615385</v>
      </c>
      <c r="M25" s="258">
        <v>107000</v>
      </c>
      <c r="N25" s="259">
        <v>111139</v>
      </c>
      <c r="O25" s="260">
        <v>3.8682242990654148E-2</v>
      </c>
      <c r="P25" s="248">
        <v>4139</v>
      </c>
      <c r="Q25" s="261"/>
      <c r="R25" s="259">
        <v>111139</v>
      </c>
      <c r="S25" s="262">
        <v>3.8682242990654148E-2</v>
      </c>
    </row>
    <row r="26" spans="1:19">
      <c r="A26" s="243" t="s">
        <v>107</v>
      </c>
      <c r="B26" s="251" t="s">
        <v>348</v>
      </c>
      <c r="C26" s="253" t="s">
        <v>108</v>
      </c>
      <c r="D26" s="264">
        <v>54.19</v>
      </c>
      <c r="E26" s="255">
        <v>107079.44</v>
      </c>
      <c r="F26" s="263">
        <v>0</v>
      </c>
      <c r="G26" s="255">
        <v>0</v>
      </c>
      <c r="H26" s="256">
        <v>0.17499999999999999</v>
      </c>
      <c r="I26" s="255">
        <v>1441.4539999999997</v>
      </c>
      <c r="J26" s="255"/>
      <c r="K26" s="255">
        <v>108520.894</v>
      </c>
      <c r="L26" s="257">
        <v>54.919480769230766</v>
      </c>
      <c r="M26" s="258">
        <v>109000</v>
      </c>
      <c r="N26" s="259">
        <v>113227</v>
      </c>
      <c r="O26" s="260">
        <v>3.8779816513761389E-2</v>
      </c>
      <c r="P26" s="248">
        <v>4227</v>
      </c>
      <c r="Q26" s="261"/>
      <c r="R26" s="259">
        <v>113227</v>
      </c>
      <c r="S26" s="262">
        <v>3.8779816513761389E-2</v>
      </c>
    </row>
    <row r="27" spans="1:19">
      <c r="A27" s="243" t="s">
        <v>109</v>
      </c>
      <c r="B27" s="251" t="s">
        <v>349</v>
      </c>
      <c r="C27" s="253" t="s">
        <v>110</v>
      </c>
      <c r="D27" s="264">
        <v>55.29</v>
      </c>
      <c r="E27" s="255">
        <v>109253.04</v>
      </c>
      <c r="F27" s="263">
        <v>0</v>
      </c>
      <c r="G27" s="255">
        <v>0</v>
      </c>
      <c r="H27" s="256">
        <v>0.17499999999999999</v>
      </c>
      <c r="I27" s="255">
        <v>1470.7139999999995</v>
      </c>
      <c r="J27" s="255"/>
      <c r="K27" s="255">
        <v>110723.75399999999</v>
      </c>
      <c r="L27" s="257">
        <v>56.034288461538452</v>
      </c>
      <c r="M27" s="258">
        <v>111000</v>
      </c>
      <c r="N27" s="259">
        <v>115313</v>
      </c>
      <c r="O27" s="260">
        <v>3.8855855855855825E-2</v>
      </c>
      <c r="P27" s="248">
        <v>4313</v>
      </c>
      <c r="Q27" s="261"/>
      <c r="R27" s="259">
        <v>115313</v>
      </c>
      <c r="S27" s="262">
        <v>3.8855855855855825E-2</v>
      </c>
    </row>
    <row r="28" spans="1:19">
      <c r="A28" s="243" t="s">
        <v>111</v>
      </c>
      <c r="B28" s="251" t="s">
        <v>350</v>
      </c>
      <c r="C28" s="253" t="s">
        <v>112</v>
      </c>
      <c r="D28" s="264">
        <v>57.58</v>
      </c>
      <c r="E28" s="255">
        <v>113778.08</v>
      </c>
      <c r="F28" s="263">
        <v>0</v>
      </c>
      <c r="G28" s="255">
        <v>0</v>
      </c>
      <c r="H28" s="256">
        <v>0.17499999999999999</v>
      </c>
      <c r="I28" s="255">
        <v>1531.6279999999999</v>
      </c>
      <c r="J28" s="255"/>
      <c r="K28" s="255">
        <v>115309.708</v>
      </c>
      <c r="L28" s="257">
        <v>58.355115384615381</v>
      </c>
      <c r="M28" s="258">
        <v>116000</v>
      </c>
      <c r="N28" s="259">
        <v>120491</v>
      </c>
      <c r="O28" s="260">
        <v>3.8715517241379338E-2</v>
      </c>
      <c r="P28" s="248">
        <v>4491</v>
      </c>
      <c r="Q28" s="261"/>
      <c r="R28" s="259">
        <v>120491</v>
      </c>
      <c r="S28" s="262">
        <v>3.8715517241379338E-2</v>
      </c>
    </row>
    <row r="29" spans="1:19">
      <c r="A29" s="243" t="s">
        <v>113</v>
      </c>
      <c r="B29" s="251" t="s">
        <v>351</v>
      </c>
      <c r="C29" s="253" t="s">
        <v>114</v>
      </c>
      <c r="D29" s="264">
        <v>58.71</v>
      </c>
      <c r="E29" s="255">
        <v>116010.96</v>
      </c>
      <c r="F29" s="263"/>
      <c r="G29" s="255">
        <v>0</v>
      </c>
      <c r="H29" s="256">
        <v>0.17499999999999999</v>
      </c>
      <c r="I29" s="255">
        <v>1561.6859999999999</v>
      </c>
      <c r="J29" s="255"/>
      <c r="K29" s="255">
        <v>117572.64600000001</v>
      </c>
      <c r="L29" s="257">
        <v>59.500326923076926</v>
      </c>
      <c r="M29" s="258">
        <v>118000</v>
      </c>
      <c r="N29" s="259">
        <v>122579</v>
      </c>
      <c r="O29" s="260">
        <v>3.8805084745762608E-2</v>
      </c>
      <c r="P29" s="248">
        <v>4579</v>
      </c>
      <c r="Q29" s="261"/>
      <c r="R29" s="259">
        <v>122579</v>
      </c>
      <c r="S29" s="262">
        <v>3.8805084745762608E-2</v>
      </c>
    </row>
    <row r="30" spans="1:19">
      <c r="A30" s="243" t="s">
        <v>115</v>
      </c>
      <c r="B30" s="251" t="s">
        <v>352</v>
      </c>
      <c r="C30" s="253" t="s">
        <v>116</v>
      </c>
      <c r="D30" s="264">
        <v>59.85</v>
      </c>
      <c r="E30" s="255">
        <v>118263.6</v>
      </c>
      <c r="F30" s="263"/>
      <c r="G30" s="255">
        <v>0</v>
      </c>
      <c r="H30" s="256">
        <v>0.17499999999999999</v>
      </c>
      <c r="I30" s="255">
        <v>1592.01</v>
      </c>
      <c r="J30" s="255"/>
      <c r="K30" s="255">
        <v>119855.61</v>
      </c>
      <c r="L30" s="257">
        <v>60.65567307692308</v>
      </c>
      <c r="M30" s="258">
        <v>120000</v>
      </c>
      <c r="N30" s="259">
        <v>124668</v>
      </c>
      <c r="O30" s="260">
        <v>3.8899999999999935E-2</v>
      </c>
      <c r="P30" s="248">
        <v>4668</v>
      </c>
      <c r="Q30" s="261"/>
      <c r="R30" s="259">
        <v>124668</v>
      </c>
      <c r="S30" s="262">
        <v>3.8899999999999935E-2</v>
      </c>
    </row>
    <row r="31" spans="1:19">
      <c r="B31" s="243"/>
      <c r="C31" s="243"/>
      <c r="D31" s="243"/>
      <c r="I31" s="243"/>
      <c r="J31" s="243"/>
      <c r="K31" s="243"/>
      <c r="L31" s="243"/>
      <c r="M31" s="243"/>
      <c r="O31" s="230"/>
      <c r="P31" s="248"/>
    </row>
    <row r="32" spans="1:19" ht="53.25">
      <c r="A32" s="239"/>
      <c r="B32" s="239" t="s">
        <v>117</v>
      </c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0">
        <v>1</v>
      </c>
      <c r="O32" s="230" t="s">
        <v>63</v>
      </c>
      <c r="P32" s="248"/>
      <c r="Q32" s="250" t="s">
        <v>64</v>
      </c>
      <c r="R32" s="251"/>
      <c r="S32" s="252" t="s">
        <v>65</v>
      </c>
    </row>
    <row r="33" spans="1:19">
      <c r="A33" s="243" t="s">
        <v>118</v>
      </c>
      <c r="B33" s="243" t="s">
        <v>353</v>
      </c>
      <c r="C33" s="253" t="s">
        <v>119</v>
      </c>
      <c r="D33" s="254">
        <v>23.38</v>
      </c>
      <c r="E33" s="255">
        <v>46198.879999999997</v>
      </c>
      <c r="F33" s="263"/>
      <c r="G33" s="255">
        <v>0</v>
      </c>
      <c r="H33" s="256">
        <v>0.17499999999999999</v>
      </c>
      <c r="I33" s="255">
        <v>621.9079999999999</v>
      </c>
      <c r="J33" s="255"/>
      <c r="K33" s="255">
        <v>46820.788</v>
      </c>
      <c r="L33" s="257">
        <v>23.69473076923077</v>
      </c>
      <c r="M33" s="258">
        <v>47000</v>
      </c>
      <c r="N33" s="259">
        <v>48824</v>
      </c>
      <c r="O33" s="260">
        <v>3.8808510638297822E-2</v>
      </c>
      <c r="P33" s="248">
        <v>1824</v>
      </c>
      <c r="Q33" s="261"/>
      <c r="R33" s="259">
        <v>48824</v>
      </c>
      <c r="S33" s="262">
        <v>3.8808510638297822E-2</v>
      </c>
    </row>
    <row r="34" spans="1:19">
      <c r="A34" s="243" t="s">
        <v>120</v>
      </c>
      <c r="B34" s="243" t="s">
        <v>354</v>
      </c>
      <c r="C34" s="253" t="s">
        <v>121</v>
      </c>
      <c r="D34" s="254">
        <v>23.92</v>
      </c>
      <c r="E34" s="255">
        <v>47265.920000000006</v>
      </c>
      <c r="F34" s="263"/>
      <c r="G34" s="255">
        <v>0</v>
      </c>
      <c r="H34" s="256">
        <v>0.17499999999999999</v>
      </c>
      <c r="I34" s="255">
        <v>636.27199999999993</v>
      </c>
      <c r="J34" s="255"/>
      <c r="K34" s="255">
        <v>47902.192000000003</v>
      </c>
      <c r="L34" s="257">
        <v>24.242000000000001</v>
      </c>
      <c r="M34" s="258">
        <v>48000</v>
      </c>
      <c r="N34" s="259">
        <v>49866</v>
      </c>
      <c r="O34" s="260">
        <v>3.8874999999999993E-2</v>
      </c>
      <c r="P34" s="248">
        <v>1866</v>
      </c>
      <c r="Q34" s="261"/>
      <c r="R34" s="259">
        <v>49866</v>
      </c>
      <c r="S34" s="262">
        <v>3.8874999999999993E-2</v>
      </c>
    </row>
    <row r="35" spans="1:19">
      <c r="A35" s="243" t="s">
        <v>122</v>
      </c>
      <c r="B35" s="243" t="s">
        <v>355</v>
      </c>
      <c r="C35" s="253" t="s">
        <v>123</v>
      </c>
      <c r="D35" s="254">
        <v>24.29</v>
      </c>
      <c r="E35" s="255">
        <v>47997.04</v>
      </c>
      <c r="F35" s="263"/>
      <c r="G35" s="255">
        <v>0</v>
      </c>
      <c r="H35" s="256">
        <v>0.17499999999999999</v>
      </c>
      <c r="I35" s="255">
        <v>646.11399999999992</v>
      </c>
      <c r="J35" s="255"/>
      <c r="K35" s="255">
        <v>48643.154000000002</v>
      </c>
      <c r="L35" s="257">
        <v>24.616980769230771</v>
      </c>
      <c r="M35" s="258">
        <v>49000</v>
      </c>
      <c r="N35" s="259">
        <v>50895</v>
      </c>
      <c r="O35" s="260">
        <v>3.8673469387755066E-2</v>
      </c>
      <c r="P35" s="248">
        <v>1895</v>
      </c>
      <c r="Q35" s="261"/>
      <c r="R35" s="259">
        <v>50895</v>
      </c>
      <c r="S35" s="262">
        <v>3.8673469387755066E-2</v>
      </c>
    </row>
    <row r="36" spans="1:19">
      <c r="A36" s="243" t="s">
        <v>124</v>
      </c>
      <c r="B36" s="243" t="s">
        <v>356</v>
      </c>
      <c r="C36" s="253" t="s">
        <v>125</v>
      </c>
      <c r="D36" s="254">
        <v>24.76</v>
      </c>
      <c r="E36" s="255">
        <v>48925.760000000002</v>
      </c>
      <c r="F36" s="263"/>
      <c r="G36" s="255">
        <v>0</v>
      </c>
      <c r="H36" s="256">
        <v>0.17499999999999999</v>
      </c>
      <c r="I36" s="255">
        <v>658.61599999999999</v>
      </c>
      <c r="J36" s="255"/>
      <c r="K36" s="255">
        <v>49584.376000000004</v>
      </c>
      <c r="L36" s="257">
        <v>25.093307692307693</v>
      </c>
      <c r="M36" s="258">
        <v>50000</v>
      </c>
      <c r="N36" s="259">
        <v>51931</v>
      </c>
      <c r="O36" s="260">
        <v>3.8620000000000099E-2</v>
      </c>
      <c r="P36" s="248">
        <v>1931</v>
      </c>
      <c r="Q36" s="261"/>
      <c r="R36" s="259">
        <v>51931</v>
      </c>
      <c r="S36" s="262">
        <v>3.8620000000000099E-2</v>
      </c>
    </row>
    <row r="37" spans="1:19">
      <c r="A37" s="243" t="s">
        <v>126</v>
      </c>
      <c r="B37" s="243" t="s">
        <v>357</v>
      </c>
      <c r="C37" s="253" t="s">
        <v>127</v>
      </c>
      <c r="D37" s="254">
        <v>28.58</v>
      </c>
      <c r="E37" s="255">
        <v>56474.079999999994</v>
      </c>
      <c r="F37" s="263"/>
      <c r="G37" s="255">
        <v>0</v>
      </c>
      <c r="H37" s="256">
        <v>0.17499999999999999</v>
      </c>
      <c r="I37" s="255">
        <v>760.22799999999995</v>
      </c>
      <c r="J37" s="255"/>
      <c r="K37" s="255">
        <v>57234.307999999997</v>
      </c>
      <c r="L37" s="257">
        <v>28.964730769230769</v>
      </c>
      <c r="M37" s="258">
        <v>58000</v>
      </c>
      <c r="N37" s="259">
        <v>60229</v>
      </c>
      <c r="O37" s="260">
        <v>3.843103448275853E-2</v>
      </c>
      <c r="P37" s="248">
        <v>2229</v>
      </c>
      <c r="Q37" s="261"/>
      <c r="R37" s="259">
        <v>60229</v>
      </c>
      <c r="S37" s="262">
        <v>3.843103448275853E-2</v>
      </c>
    </row>
    <row r="38" spans="1:19">
      <c r="A38" s="243" t="s">
        <v>128</v>
      </c>
      <c r="B38" s="243" t="s">
        <v>358</v>
      </c>
      <c r="C38" s="253" t="s">
        <v>129</v>
      </c>
      <c r="D38" s="254">
        <v>24.76</v>
      </c>
      <c r="E38" s="255">
        <v>48925.760000000002</v>
      </c>
      <c r="F38" s="263"/>
      <c r="G38" s="255">
        <v>0</v>
      </c>
      <c r="H38" s="256">
        <v>0.17499999999999999</v>
      </c>
      <c r="I38" s="255">
        <v>658.61599999999999</v>
      </c>
      <c r="J38" s="255"/>
      <c r="K38" s="255">
        <v>49584.376000000004</v>
      </c>
      <c r="L38" s="257">
        <v>25.093307692307693</v>
      </c>
      <c r="M38" s="258">
        <v>50000</v>
      </c>
      <c r="N38" s="259">
        <v>51931</v>
      </c>
      <c r="O38" s="260">
        <v>3.8620000000000099E-2</v>
      </c>
      <c r="P38" s="248">
        <v>1931</v>
      </c>
      <c r="Q38" s="261"/>
      <c r="R38" s="259">
        <v>51931</v>
      </c>
      <c r="S38" s="262">
        <v>3.8620000000000099E-2</v>
      </c>
    </row>
    <row r="39" spans="1:19">
      <c r="A39" s="243" t="s">
        <v>130</v>
      </c>
      <c r="B39" s="243" t="s">
        <v>359</v>
      </c>
      <c r="C39" s="253" t="s">
        <v>131</v>
      </c>
      <c r="D39" s="254">
        <v>26.15</v>
      </c>
      <c r="E39" s="255">
        <v>51672.399999999994</v>
      </c>
      <c r="F39" s="263"/>
      <c r="G39" s="255">
        <v>0</v>
      </c>
      <c r="H39" s="256">
        <v>0.17499999999999999</v>
      </c>
      <c r="I39" s="255">
        <v>695.58999999999992</v>
      </c>
      <c r="J39" s="255"/>
      <c r="K39" s="255">
        <v>52367.989999999991</v>
      </c>
      <c r="L39" s="257">
        <v>26.502019230769225</v>
      </c>
      <c r="M39" s="258">
        <v>53000</v>
      </c>
      <c r="N39" s="259">
        <v>55040</v>
      </c>
      <c r="O39" s="260">
        <v>3.8490566037735929E-2</v>
      </c>
      <c r="P39" s="248">
        <v>2040</v>
      </c>
      <c r="Q39" s="261"/>
      <c r="R39" s="259">
        <v>55040</v>
      </c>
      <c r="S39" s="262">
        <v>3.8490566037735929E-2</v>
      </c>
    </row>
    <row r="40" spans="1:19">
      <c r="A40" s="243" t="s">
        <v>132</v>
      </c>
      <c r="B40" s="243" t="s">
        <v>360</v>
      </c>
      <c r="C40" s="253" t="s">
        <v>133</v>
      </c>
      <c r="D40" s="254">
        <v>27.46</v>
      </c>
      <c r="E40" s="255">
        <v>54260.959999999999</v>
      </c>
      <c r="F40" s="263"/>
      <c r="G40" s="255">
        <v>0</v>
      </c>
      <c r="H40" s="256">
        <v>0.17499999999999999</v>
      </c>
      <c r="I40" s="255">
        <v>730.43599999999992</v>
      </c>
      <c r="J40" s="255"/>
      <c r="K40" s="255">
        <v>54991.396000000001</v>
      </c>
      <c r="L40" s="257">
        <v>27.829653846153846</v>
      </c>
      <c r="M40" s="258">
        <v>55000</v>
      </c>
      <c r="N40" s="259">
        <v>57142</v>
      </c>
      <c r="O40" s="260">
        <v>3.8945454545454616E-2</v>
      </c>
      <c r="P40" s="248">
        <v>2142</v>
      </c>
      <c r="Q40" s="261"/>
      <c r="R40" s="259">
        <v>57142</v>
      </c>
      <c r="S40" s="262">
        <v>3.8945454545454616E-2</v>
      </c>
    </row>
    <row r="41" spans="1:19">
      <c r="A41" s="243" t="s">
        <v>134</v>
      </c>
      <c r="B41" s="243" t="s">
        <v>361</v>
      </c>
      <c r="C41" s="253" t="s">
        <v>135</v>
      </c>
      <c r="D41" s="254">
        <v>28.58</v>
      </c>
      <c r="E41" s="255">
        <v>56474.079999999994</v>
      </c>
      <c r="F41" s="263"/>
      <c r="G41" s="255">
        <v>0</v>
      </c>
      <c r="H41" s="256">
        <v>0.17499999999999999</v>
      </c>
      <c r="I41" s="255">
        <v>760.22799999999995</v>
      </c>
      <c r="J41" s="255"/>
      <c r="K41" s="255">
        <v>57234.307999999997</v>
      </c>
      <c r="L41" s="257">
        <v>28.964730769230769</v>
      </c>
      <c r="M41" s="258">
        <v>58000</v>
      </c>
      <c r="N41" s="259">
        <v>60229</v>
      </c>
      <c r="O41" s="260">
        <v>3.843103448275853E-2</v>
      </c>
      <c r="P41" s="248">
        <v>2229</v>
      </c>
      <c r="Q41" s="261"/>
      <c r="R41" s="259">
        <v>60229</v>
      </c>
      <c r="S41" s="262">
        <v>3.843103448275853E-2</v>
      </c>
    </row>
    <row r="42" spans="1:19">
      <c r="A42" s="243"/>
      <c r="B42" s="243"/>
      <c r="C42" s="253"/>
      <c r="D42" s="254"/>
      <c r="E42" s="255"/>
      <c r="F42" s="263"/>
      <c r="G42" s="263"/>
      <c r="H42" s="256"/>
      <c r="I42" s="255"/>
      <c r="J42" s="255"/>
      <c r="K42" s="255"/>
      <c r="L42" s="257"/>
      <c r="M42" s="258"/>
      <c r="N42" s="257"/>
      <c r="O42" s="265"/>
      <c r="P42" s="248"/>
    </row>
    <row r="43" spans="1:19" ht="53.25">
      <c r="A43" s="239"/>
      <c r="B43" s="239" t="s">
        <v>136</v>
      </c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30">
        <v>1</v>
      </c>
      <c r="O43" s="230" t="s">
        <v>63</v>
      </c>
      <c r="P43" s="248"/>
      <c r="Q43" s="250" t="s">
        <v>64</v>
      </c>
      <c r="R43" s="251"/>
      <c r="S43" s="252" t="s">
        <v>65</v>
      </c>
    </row>
    <row r="44" spans="1:19">
      <c r="A44" s="243" t="s">
        <v>137</v>
      </c>
      <c r="B44" s="243"/>
      <c r="C44" s="253" t="s">
        <v>138</v>
      </c>
      <c r="D44" s="254">
        <v>36.5</v>
      </c>
      <c r="E44" s="255">
        <v>72124</v>
      </c>
      <c r="F44" s="263"/>
      <c r="G44" s="255">
        <v>0</v>
      </c>
      <c r="H44" s="256">
        <v>0.17499999999999999</v>
      </c>
      <c r="I44" s="255">
        <v>970.9</v>
      </c>
      <c r="J44" s="255"/>
      <c r="K44" s="255">
        <v>73094.899999999994</v>
      </c>
      <c r="L44" s="257">
        <v>36.991346153846152</v>
      </c>
      <c r="M44" s="258">
        <v>74000</v>
      </c>
      <c r="N44" s="259">
        <v>76847</v>
      </c>
      <c r="O44" s="260">
        <v>3.8472972972972919E-2</v>
      </c>
      <c r="P44" s="248">
        <v>2847</v>
      </c>
      <c r="Q44" s="261"/>
      <c r="R44" s="259">
        <v>76847</v>
      </c>
      <c r="S44" s="262">
        <v>3.8472972972972919E-2</v>
      </c>
    </row>
    <row r="45" spans="1:19">
      <c r="B45" s="243"/>
      <c r="C45" s="243"/>
      <c r="D45" s="243"/>
      <c r="I45" s="243"/>
      <c r="J45" s="243"/>
      <c r="K45" s="243"/>
      <c r="L45" s="243"/>
      <c r="M45" s="243"/>
      <c r="O45" s="230"/>
      <c r="P45" s="248"/>
    </row>
    <row r="46" spans="1:19" ht="53.25">
      <c r="A46" s="239"/>
      <c r="B46" s="239" t="s">
        <v>139</v>
      </c>
      <c r="C46" s="239"/>
      <c r="D46" s="239"/>
      <c r="E46" s="239"/>
      <c r="F46" s="239"/>
      <c r="G46" s="239"/>
      <c r="H46" s="239"/>
      <c r="I46" s="239"/>
      <c r="J46" s="239"/>
      <c r="K46" s="239"/>
      <c r="L46" s="239"/>
      <c r="M46" s="239"/>
      <c r="N46" s="230">
        <v>1</v>
      </c>
      <c r="O46" s="230" t="s">
        <v>63</v>
      </c>
      <c r="P46" s="248"/>
      <c r="Q46" s="250" t="s">
        <v>64</v>
      </c>
      <c r="R46" s="251"/>
      <c r="S46" s="252" t="s">
        <v>65</v>
      </c>
    </row>
    <row r="47" spans="1:19">
      <c r="A47" s="243" t="s">
        <v>140</v>
      </c>
      <c r="B47" s="243" t="s">
        <v>362</v>
      </c>
      <c r="C47" s="253" t="s">
        <v>141</v>
      </c>
      <c r="D47" s="266">
        <v>22.59</v>
      </c>
      <c r="E47" s="267">
        <v>44637.84</v>
      </c>
      <c r="F47" s="268"/>
      <c r="G47" s="255">
        <v>0</v>
      </c>
      <c r="H47" s="256">
        <v>0.17499999999999999</v>
      </c>
      <c r="I47" s="255">
        <v>600.89399999999989</v>
      </c>
      <c r="J47" s="255"/>
      <c r="K47" s="255">
        <v>45238.733999999997</v>
      </c>
      <c r="L47" s="257">
        <v>22.894096153846153</v>
      </c>
      <c r="M47" s="258">
        <v>46000</v>
      </c>
      <c r="N47" s="259">
        <v>47762</v>
      </c>
      <c r="O47" s="260">
        <v>3.8304347826086937E-2</v>
      </c>
      <c r="P47" s="248">
        <v>1762</v>
      </c>
      <c r="Q47" s="261"/>
      <c r="R47" s="259">
        <v>47762</v>
      </c>
      <c r="S47" s="262">
        <v>3.8304347826086937E-2</v>
      </c>
    </row>
    <row r="48" spans="1:19">
      <c r="A48" s="243" t="s">
        <v>142</v>
      </c>
      <c r="B48" s="243" t="s">
        <v>363</v>
      </c>
      <c r="C48" s="253" t="s">
        <v>143</v>
      </c>
      <c r="D48" s="266">
        <v>23.13</v>
      </c>
      <c r="E48" s="267">
        <v>45704.88</v>
      </c>
      <c r="F48" s="269"/>
      <c r="G48" s="255">
        <v>0</v>
      </c>
      <c r="H48" s="256">
        <v>0.17499999999999999</v>
      </c>
      <c r="I48" s="255">
        <v>615.25799999999992</v>
      </c>
      <c r="J48" s="255"/>
      <c r="K48" s="255">
        <v>46320.137999999999</v>
      </c>
      <c r="L48" s="257">
        <v>23.441365384615384</v>
      </c>
      <c r="M48" s="258">
        <v>47000</v>
      </c>
      <c r="N48" s="259">
        <v>48804</v>
      </c>
      <c r="O48" s="260">
        <v>3.8382978723404237E-2</v>
      </c>
      <c r="P48" s="248">
        <v>1804</v>
      </c>
      <c r="Q48" s="261"/>
      <c r="R48" s="259">
        <v>48804</v>
      </c>
      <c r="S48" s="262">
        <v>3.8382978723404237E-2</v>
      </c>
    </row>
    <row r="49" spans="1:19">
      <c r="A49" s="243" t="s">
        <v>144</v>
      </c>
      <c r="B49" s="243" t="s">
        <v>364</v>
      </c>
      <c r="C49" s="253" t="s">
        <v>145</v>
      </c>
      <c r="D49" s="266">
        <v>23.4</v>
      </c>
      <c r="E49" s="267">
        <v>46238.399999999994</v>
      </c>
      <c r="F49" s="269"/>
      <c r="G49" s="255">
        <v>0</v>
      </c>
      <c r="H49" s="256">
        <v>0.17499999999999999</v>
      </c>
      <c r="I49" s="255">
        <v>622.43999999999983</v>
      </c>
      <c r="J49" s="255"/>
      <c r="K49" s="255">
        <v>46860.84</v>
      </c>
      <c r="L49" s="257">
        <v>23.715</v>
      </c>
      <c r="M49" s="258">
        <v>47000</v>
      </c>
      <c r="N49" s="259">
        <v>48825</v>
      </c>
      <c r="O49" s="260">
        <v>3.8829787234042623E-2</v>
      </c>
      <c r="P49" s="248">
        <v>1825</v>
      </c>
      <c r="Q49" s="261"/>
      <c r="R49" s="259">
        <v>48825</v>
      </c>
      <c r="S49" s="262">
        <v>3.8829787234042623E-2</v>
      </c>
    </row>
    <row r="50" spans="1:19">
      <c r="A50" s="243" t="s">
        <v>144</v>
      </c>
      <c r="B50" s="243" t="s">
        <v>365</v>
      </c>
      <c r="C50" s="253" t="s">
        <v>146</v>
      </c>
      <c r="D50" s="266">
        <v>23.4</v>
      </c>
      <c r="E50" s="267">
        <v>46238.399999999994</v>
      </c>
      <c r="F50" s="251"/>
      <c r="G50" s="255">
        <v>0</v>
      </c>
      <c r="H50" s="256">
        <v>0.17499999999999999</v>
      </c>
      <c r="I50" s="255">
        <v>622.43999999999983</v>
      </c>
      <c r="J50" s="255"/>
      <c r="K50" s="255">
        <v>46860.84</v>
      </c>
      <c r="L50" s="257">
        <v>23.715</v>
      </c>
      <c r="M50" s="258">
        <v>47000</v>
      </c>
      <c r="N50" s="259">
        <v>48825</v>
      </c>
      <c r="O50" s="260">
        <v>3.8829787234042623E-2</v>
      </c>
      <c r="P50" s="248">
        <v>1825</v>
      </c>
      <c r="Q50" s="261"/>
      <c r="R50" s="259">
        <v>48825</v>
      </c>
      <c r="S50" s="262">
        <v>3.8829787234042623E-2</v>
      </c>
    </row>
    <row r="51" spans="1:19">
      <c r="A51" s="243" t="s">
        <v>144</v>
      </c>
      <c r="B51" s="243" t="s">
        <v>366</v>
      </c>
      <c r="C51" s="253" t="s">
        <v>147</v>
      </c>
      <c r="D51" s="266">
        <v>23.4</v>
      </c>
      <c r="E51" s="267">
        <v>46238.399999999994</v>
      </c>
      <c r="F51" s="251"/>
      <c r="G51" s="255">
        <v>0</v>
      </c>
      <c r="H51" s="256">
        <v>0.17499999999999999</v>
      </c>
      <c r="I51" s="255">
        <v>622.43999999999983</v>
      </c>
      <c r="J51" s="255"/>
      <c r="K51" s="255">
        <v>46860.84</v>
      </c>
      <c r="L51" s="257">
        <v>23.715</v>
      </c>
      <c r="M51" s="258">
        <v>47000</v>
      </c>
      <c r="N51" s="259">
        <v>48825</v>
      </c>
      <c r="O51" s="260">
        <v>3.8829787234042623E-2</v>
      </c>
      <c r="P51" s="248">
        <v>1825</v>
      </c>
      <c r="Q51" s="261"/>
      <c r="R51" s="259">
        <v>48825</v>
      </c>
      <c r="S51" s="262">
        <v>3.8829787234042623E-2</v>
      </c>
    </row>
    <row r="52" spans="1:19">
      <c r="A52" s="243" t="s">
        <v>144</v>
      </c>
      <c r="B52" s="243" t="s">
        <v>367</v>
      </c>
      <c r="C52" s="253" t="s">
        <v>148</v>
      </c>
      <c r="D52" s="266">
        <v>23.4</v>
      </c>
      <c r="E52" s="267">
        <v>46238.399999999994</v>
      </c>
      <c r="F52" s="251"/>
      <c r="G52" s="255">
        <v>0</v>
      </c>
      <c r="H52" s="256">
        <v>0.17499999999999999</v>
      </c>
      <c r="I52" s="255">
        <v>622.43999999999983</v>
      </c>
      <c r="J52" s="255"/>
      <c r="K52" s="255">
        <v>46860.84</v>
      </c>
      <c r="L52" s="257">
        <v>23.715</v>
      </c>
      <c r="M52" s="258">
        <v>47000</v>
      </c>
      <c r="N52" s="259">
        <v>48825</v>
      </c>
      <c r="O52" s="260">
        <v>3.8829787234042623E-2</v>
      </c>
      <c r="P52" s="248">
        <v>1825</v>
      </c>
      <c r="Q52" s="261"/>
      <c r="R52" s="259">
        <v>48825</v>
      </c>
      <c r="S52" s="262">
        <v>3.8829787234042623E-2</v>
      </c>
    </row>
    <row r="53" spans="1:19">
      <c r="A53" s="243" t="s">
        <v>149</v>
      </c>
      <c r="B53" s="243" t="s">
        <v>368</v>
      </c>
      <c r="C53" s="253" t="s">
        <v>150</v>
      </c>
      <c r="D53" s="266">
        <v>23.81</v>
      </c>
      <c r="E53" s="267">
        <v>47048.56</v>
      </c>
      <c r="F53" s="251"/>
      <c r="G53" s="255">
        <v>0</v>
      </c>
      <c r="H53" s="256">
        <v>0.17499999999999999</v>
      </c>
      <c r="I53" s="255">
        <v>633.34599999999989</v>
      </c>
      <c r="J53" s="255"/>
      <c r="K53" s="255">
        <v>47681.905999999995</v>
      </c>
      <c r="L53" s="257">
        <v>24.130519230769227</v>
      </c>
      <c r="M53" s="258">
        <v>48000</v>
      </c>
      <c r="N53" s="259">
        <v>49857</v>
      </c>
      <c r="O53" s="260">
        <v>3.8687499999999986E-2</v>
      </c>
      <c r="P53" s="248">
        <v>1857</v>
      </c>
      <c r="Q53" s="261"/>
      <c r="R53" s="259">
        <v>49857</v>
      </c>
      <c r="S53" s="262">
        <v>3.8687499999999986E-2</v>
      </c>
    </row>
    <row r="54" spans="1:19">
      <c r="A54" s="243" t="s">
        <v>149</v>
      </c>
      <c r="B54" s="243" t="s">
        <v>369</v>
      </c>
      <c r="C54" s="253" t="s">
        <v>151</v>
      </c>
      <c r="D54" s="266">
        <v>23.81</v>
      </c>
      <c r="E54" s="267">
        <v>47048.56</v>
      </c>
      <c r="F54" s="251"/>
      <c r="G54" s="255">
        <v>0</v>
      </c>
      <c r="H54" s="256">
        <v>0.17499999999999999</v>
      </c>
      <c r="I54" s="255">
        <v>633.34599999999989</v>
      </c>
      <c r="J54" s="255"/>
      <c r="K54" s="255">
        <v>47681.905999999995</v>
      </c>
      <c r="L54" s="257">
        <v>24.130519230769227</v>
      </c>
      <c r="M54" s="258">
        <v>48000</v>
      </c>
      <c r="N54" s="259">
        <v>49857</v>
      </c>
      <c r="O54" s="260">
        <v>3.8687499999999986E-2</v>
      </c>
      <c r="P54" s="248">
        <v>1857</v>
      </c>
      <c r="Q54" s="261"/>
      <c r="R54" s="259">
        <v>49857</v>
      </c>
      <c r="S54" s="262">
        <v>3.8687499999999986E-2</v>
      </c>
    </row>
    <row r="55" spans="1:19">
      <c r="A55" s="243" t="s">
        <v>149</v>
      </c>
      <c r="B55" s="243" t="s">
        <v>370</v>
      </c>
      <c r="C55" s="253" t="s">
        <v>152</v>
      </c>
      <c r="D55" s="266">
        <v>23.81</v>
      </c>
      <c r="E55" s="267">
        <v>47048.56</v>
      </c>
      <c r="F55" s="251"/>
      <c r="G55" s="255">
        <v>0</v>
      </c>
      <c r="H55" s="256">
        <v>0.17499999999999999</v>
      </c>
      <c r="I55" s="255">
        <v>633.34599999999989</v>
      </c>
      <c r="J55" s="255"/>
      <c r="K55" s="255">
        <v>47681.905999999995</v>
      </c>
      <c r="L55" s="257">
        <v>24.130519230769227</v>
      </c>
      <c r="M55" s="258">
        <v>48000</v>
      </c>
      <c r="N55" s="259">
        <v>49857</v>
      </c>
      <c r="O55" s="260">
        <v>3.8687499999999986E-2</v>
      </c>
      <c r="P55" s="248">
        <v>1857</v>
      </c>
      <c r="Q55" s="261"/>
      <c r="R55" s="259">
        <v>49857</v>
      </c>
      <c r="S55" s="262">
        <v>3.8687499999999986E-2</v>
      </c>
    </row>
    <row r="56" spans="1:19">
      <c r="A56" s="243" t="s">
        <v>149</v>
      </c>
      <c r="B56" s="243" t="s">
        <v>371</v>
      </c>
      <c r="C56" s="253" t="s">
        <v>153</v>
      </c>
      <c r="D56" s="266">
        <v>23.81</v>
      </c>
      <c r="E56" s="267">
        <v>47048.56</v>
      </c>
      <c r="F56" s="251"/>
      <c r="G56" s="255">
        <v>0</v>
      </c>
      <c r="H56" s="256">
        <v>0.17499999999999999</v>
      </c>
      <c r="I56" s="255">
        <v>633.34599999999989</v>
      </c>
      <c r="J56" s="255"/>
      <c r="K56" s="255">
        <v>47681.905999999995</v>
      </c>
      <c r="L56" s="257">
        <v>24.130519230769227</v>
      </c>
      <c r="M56" s="258">
        <v>48000</v>
      </c>
      <c r="N56" s="259">
        <v>49857</v>
      </c>
      <c r="O56" s="260">
        <v>3.8687499999999986E-2</v>
      </c>
      <c r="P56" s="248">
        <v>1857</v>
      </c>
      <c r="Q56" s="261"/>
      <c r="R56" s="259">
        <v>49857</v>
      </c>
      <c r="S56" s="262">
        <v>3.8687499999999986E-2</v>
      </c>
    </row>
    <row r="57" spans="1:19">
      <c r="A57" s="243" t="s">
        <v>149</v>
      </c>
      <c r="B57" s="243" t="s">
        <v>372</v>
      </c>
      <c r="C57" s="253" t="s">
        <v>154</v>
      </c>
      <c r="D57" s="266">
        <v>23.81</v>
      </c>
      <c r="E57" s="267">
        <v>47048.56</v>
      </c>
      <c r="F57" s="252"/>
      <c r="G57" s="255">
        <v>0</v>
      </c>
      <c r="H57" s="256">
        <v>0.17499999999999999</v>
      </c>
      <c r="I57" s="255">
        <v>633.34599999999989</v>
      </c>
      <c r="J57" s="255"/>
      <c r="K57" s="255">
        <v>47681.905999999995</v>
      </c>
      <c r="L57" s="257">
        <v>24.130519230769227</v>
      </c>
      <c r="M57" s="258">
        <v>48000</v>
      </c>
      <c r="N57" s="259">
        <v>49857</v>
      </c>
      <c r="O57" s="260">
        <v>3.8687499999999986E-2</v>
      </c>
      <c r="P57" s="248">
        <v>1857</v>
      </c>
      <c r="Q57" s="261"/>
      <c r="R57" s="259">
        <v>49857</v>
      </c>
      <c r="S57" s="262">
        <v>3.8687499999999986E-2</v>
      </c>
    </row>
    <row r="58" spans="1:19">
      <c r="B58" s="243"/>
      <c r="C58" s="243"/>
      <c r="D58" s="243"/>
      <c r="I58" s="243"/>
      <c r="J58" s="243"/>
      <c r="K58" s="243"/>
      <c r="L58" s="243"/>
      <c r="M58" s="243"/>
      <c r="O58" s="230"/>
      <c r="P58" s="248"/>
    </row>
    <row r="59" spans="1:19" ht="53.25">
      <c r="A59" s="239"/>
      <c r="B59" s="239" t="s">
        <v>155</v>
      </c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0">
        <v>1</v>
      </c>
      <c r="O59" s="230" t="s">
        <v>63</v>
      </c>
      <c r="P59" s="248"/>
      <c r="Q59" s="250" t="s">
        <v>64</v>
      </c>
      <c r="R59" s="251"/>
      <c r="S59" s="252" t="s">
        <v>65</v>
      </c>
    </row>
    <row r="60" spans="1:19">
      <c r="A60" s="243" t="s">
        <v>156</v>
      </c>
      <c r="B60" s="243" t="s">
        <v>373</v>
      </c>
      <c r="C60" s="253" t="s">
        <v>157</v>
      </c>
      <c r="D60" s="254">
        <v>23.57</v>
      </c>
      <c r="E60" s="255">
        <v>46574.32</v>
      </c>
      <c r="F60" s="263">
        <v>5</v>
      </c>
      <c r="G60" s="255">
        <v>895.66000000000008</v>
      </c>
      <c r="H60" s="256">
        <v>0.17499999999999999</v>
      </c>
      <c r="I60" s="255">
        <v>783.70249999999999</v>
      </c>
      <c r="J60" s="255"/>
      <c r="K60" s="255">
        <v>48253.682500000003</v>
      </c>
      <c r="L60" s="257">
        <v>24.419879807692308</v>
      </c>
      <c r="M60" s="258">
        <v>49000</v>
      </c>
      <c r="N60" s="259">
        <v>50838</v>
      </c>
      <c r="O60" s="260">
        <v>3.7510204081632637E-2</v>
      </c>
      <c r="P60" s="248">
        <v>1838</v>
      </c>
      <c r="Q60" s="261"/>
      <c r="R60" s="259">
        <v>50838</v>
      </c>
      <c r="S60" s="262">
        <v>3.7510204081632637E-2</v>
      </c>
    </row>
    <row r="61" spans="1:19">
      <c r="A61" s="243" t="s">
        <v>156</v>
      </c>
      <c r="B61" s="243" t="s">
        <v>374</v>
      </c>
      <c r="C61" s="253" t="s">
        <v>158</v>
      </c>
      <c r="D61" s="254">
        <v>23.57</v>
      </c>
      <c r="E61" s="255">
        <v>46574.32</v>
      </c>
      <c r="F61" s="263">
        <v>5</v>
      </c>
      <c r="G61" s="255">
        <v>895.66000000000008</v>
      </c>
      <c r="H61" s="256">
        <v>0.17499999999999999</v>
      </c>
      <c r="I61" s="255">
        <v>783.70249999999999</v>
      </c>
      <c r="J61" s="255"/>
      <c r="K61" s="255">
        <v>48253.682500000003</v>
      </c>
      <c r="L61" s="257">
        <v>24.419879807692308</v>
      </c>
      <c r="M61" s="258">
        <v>49000</v>
      </c>
      <c r="N61" s="259">
        <v>50838</v>
      </c>
      <c r="O61" s="260">
        <v>3.7510204081632637E-2</v>
      </c>
      <c r="P61" s="248">
        <v>1838</v>
      </c>
      <c r="Q61" s="261"/>
      <c r="R61" s="259">
        <v>50838</v>
      </c>
      <c r="S61" s="262">
        <v>3.7510204081632637E-2</v>
      </c>
    </row>
    <row r="62" spans="1:19">
      <c r="A62" s="243" t="s">
        <v>159</v>
      </c>
      <c r="B62" s="243" t="s">
        <v>375</v>
      </c>
      <c r="C62" s="253" t="s">
        <v>160</v>
      </c>
      <c r="D62" s="254">
        <v>23.57</v>
      </c>
      <c r="E62" s="255">
        <v>46574.32</v>
      </c>
      <c r="F62" s="263">
        <v>5</v>
      </c>
      <c r="G62" s="255">
        <v>895.66000000000008</v>
      </c>
      <c r="H62" s="256">
        <v>0.17499999999999999</v>
      </c>
      <c r="I62" s="255">
        <v>783.70249999999999</v>
      </c>
      <c r="J62" s="255"/>
      <c r="K62" s="255">
        <v>48253.682500000003</v>
      </c>
      <c r="L62" s="257">
        <v>24.419879807692308</v>
      </c>
      <c r="M62" s="258">
        <v>49000</v>
      </c>
      <c r="N62" s="259">
        <v>50838</v>
      </c>
      <c r="O62" s="260">
        <v>3.7510204081632637E-2</v>
      </c>
      <c r="P62" s="248">
        <v>1838</v>
      </c>
      <c r="Q62" s="261"/>
      <c r="R62" s="259">
        <v>50838</v>
      </c>
      <c r="S62" s="262">
        <v>3.7510204081632637E-2</v>
      </c>
    </row>
    <row r="63" spans="1:19">
      <c r="A63" s="243" t="s">
        <v>15</v>
      </c>
      <c r="B63" s="243" t="s">
        <v>376</v>
      </c>
      <c r="C63" s="253" t="s">
        <v>161</v>
      </c>
      <c r="D63" s="254">
        <v>24.47</v>
      </c>
      <c r="E63" s="255">
        <v>48352.72</v>
      </c>
      <c r="F63" s="263">
        <v>5</v>
      </c>
      <c r="G63" s="255">
        <v>929.8599999999999</v>
      </c>
      <c r="H63" s="256">
        <v>0.17499999999999999</v>
      </c>
      <c r="I63" s="255">
        <v>813.62749999999983</v>
      </c>
      <c r="J63" s="255"/>
      <c r="K63" s="255">
        <v>50096.207500000004</v>
      </c>
      <c r="L63" s="257">
        <v>25.352331730769233</v>
      </c>
      <c r="M63" s="258">
        <v>51000</v>
      </c>
      <c r="N63" s="259">
        <v>52909</v>
      </c>
      <c r="O63" s="260">
        <v>3.7431372549019626E-2</v>
      </c>
      <c r="P63" s="248">
        <v>1909</v>
      </c>
      <c r="Q63" s="261"/>
      <c r="R63" s="259">
        <v>52909</v>
      </c>
      <c r="S63" s="262">
        <v>3.7431372549019626E-2</v>
      </c>
    </row>
    <row r="64" spans="1:19">
      <c r="A64" s="243" t="s">
        <v>15</v>
      </c>
      <c r="B64" s="243" t="s">
        <v>377</v>
      </c>
      <c r="C64" s="253" t="s">
        <v>162</v>
      </c>
      <c r="D64" s="254">
        <v>24.47</v>
      </c>
      <c r="E64" s="255">
        <v>48352.72</v>
      </c>
      <c r="F64" s="263">
        <v>5</v>
      </c>
      <c r="G64" s="255">
        <v>929.8599999999999</v>
      </c>
      <c r="H64" s="256">
        <v>0.17499999999999999</v>
      </c>
      <c r="I64" s="255">
        <v>813.62749999999983</v>
      </c>
      <c r="J64" s="255"/>
      <c r="K64" s="255">
        <v>50096.207500000004</v>
      </c>
      <c r="L64" s="257">
        <v>25.352331730769233</v>
      </c>
      <c r="M64" s="258">
        <v>51000</v>
      </c>
      <c r="N64" s="259">
        <v>52909</v>
      </c>
      <c r="O64" s="260">
        <v>3.7431372549019626E-2</v>
      </c>
      <c r="P64" s="248">
        <v>1909</v>
      </c>
      <c r="Q64" s="261"/>
      <c r="R64" s="259">
        <v>52909</v>
      </c>
      <c r="S64" s="262">
        <v>3.7431372549019626E-2</v>
      </c>
    </row>
    <row r="65" spans="1:19">
      <c r="A65" s="243" t="s">
        <v>15</v>
      </c>
      <c r="B65" s="243" t="s">
        <v>378</v>
      </c>
      <c r="C65" s="253" t="s">
        <v>163</v>
      </c>
      <c r="D65" s="254">
        <v>24.47</v>
      </c>
      <c r="E65" s="255">
        <v>48352.72</v>
      </c>
      <c r="F65" s="263">
        <v>5</v>
      </c>
      <c r="G65" s="255">
        <v>929.8599999999999</v>
      </c>
      <c r="H65" s="256">
        <v>0.17499999999999999</v>
      </c>
      <c r="I65" s="255">
        <v>813.62749999999983</v>
      </c>
      <c r="J65" s="255"/>
      <c r="K65" s="255">
        <v>50096.207500000004</v>
      </c>
      <c r="L65" s="257">
        <v>25.352331730769233</v>
      </c>
      <c r="M65" s="258">
        <v>51000</v>
      </c>
      <c r="N65" s="259">
        <v>52909</v>
      </c>
      <c r="O65" s="260">
        <v>3.7431372549019626E-2</v>
      </c>
      <c r="P65" s="248">
        <v>1909</v>
      </c>
      <c r="Q65" s="261"/>
      <c r="R65" s="259">
        <v>52909</v>
      </c>
      <c r="S65" s="262">
        <v>3.7431372549019626E-2</v>
      </c>
    </row>
    <row r="66" spans="1:19">
      <c r="A66" s="243" t="s">
        <v>15</v>
      </c>
      <c r="B66" s="243" t="s">
        <v>379</v>
      </c>
      <c r="C66" s="253" t="s">
        <v>164</v>
      </c>
      <c r="D66" s="254">
        <v>24.47</v>
      </c>
      <c r="E66" s="255">
        <v>48352.72</v>
      </c>
      <c r="F66" s="263">
        <v>5</v>
      </c>
      <c r="G66" s="255">
        <v>929.8599999999999</v>
      </c>
      <c r="H66" s="256">
        <v>0.17499999999999999</v>
      </c>
      <c r="I66" s="255">
        <v>813.62749999999983</v>
      </c>
      <c r="J66" s="255"/>
      <c r="K66" s="255">
        <v>50096.207500000004</v>
      </c>
      <c r="L66" s="257">
        <v>25.352331730769233</v>
      </c>
      <c r="M66" s="258">
        <v>51000</v>
      </c>
      <c r="N66" s="259">
        <v>52909</v>
      </c>
      <c r="O66" s="260">
        <v>3.7431372549019626E-2</v>
      </c>
      <c r="P66" s="248">
        <v>1909</v>
      </c>
      <c r="Q66" s="261"/>
      <c r="R66" s="259">
        <v>52909</v>
      </c>
      <c r="S66" s="262">
        <v>3.7431372549019626E-2</v>
      </c>
    </row>
    <row r="67" spans="1:19">
      <c r="A67" s="243" t="s">
        <v>15</v>
      </c>
      <c r="B67" s="243" t="s">
        <v>380</v>
      </c>
      <c r="C67" s="253" t="s">
        <v>165</v>
      </c>
      <c r="D67" s="254">
        <v>24.86816</v>
      </c>
      <c r="E67" s="255">
        <v>49139.48416</v>
      </c>
      <c r="F67" s="263">
        <v>5</v>
      </c>
      <c r="G67" s="255">
        <v>944.99007999999992</v>
      </c>
      <c r="H67" s="256">
        <v>0.17499999999999999</v>
      </c>
      <c r="I67" s="255">
        <v>826.86631999999986</v>
      </c>
      <c r="J67" s="255"/>
      <c r="K67" s="255">
        <v>50911.340560000004</v>
      </c>
      <c r="L67" s="257">
        <v>25.764848461538463</v>
      </c>
      <c r="M67" s="258">
        <v>51000</v>
      </c>
      <c r="N67" s="259">
        <v>52940</v>
      </c>
      <c r="O67" s="260">
        <v>3.8039215686274552E-2</v>
      </c>
      <c r="P67" s="248">
        <v>1940</v>
      </c>
      <c r="Q67" s="261"/>
      <c r="R67" s="259">
        <v>52940</v>
      </c>
      <c r="S67" s="262">
        <v>3.8039215686274552E-2</v>
      </c>
    </row>
    <row r="68" spans="1:19">
      <c r="A68" s="243" t="s">
        <v>16</v>
      </c>
      <c r="B68" s="243" t="s">
        <v>381</v>
      </c>
      <c r="C68" s="253" t="s">
        <v>166</v>
      </c>
      <c r="D68" s="254">
        <v>24.931709999999999</v>
      </c>
      <c r="E68" s="255">
        <v>49265.058959999995</v>
      </c>
      <c r="F68" s="263">
        <v>5</v>
      </c>
      <c r="G68" s="255">
        <v>947.40497999999991</v>
      </c>
      <c r="H68" s="256">
        <v>0.17499999999999999</v>
      </c>
      <c r="I68" s="255">
        <v>828.97935749999988</v>
      </c>
      <c r="J68" s="255"/>
      <c r="K68" s="255">
        <v>51041.443297499995</v>
      </c>
      <c r="L68" s="257">
        <v>25.830689927884613</v>
      </c>
      <c r="M68" s="258">
        <v>52000</v>
      </c>
      <c r="N68" s="259">
        <v>53945</v>
      </c>
      <c r="O68" s="260">
        <v>3.7403846153846176E-2</v>
      </c>
      <c r="P68" s="248">
        <v>1945</v>
      </c>
      <c r="Q68" s="261"/>
      <c r="R68" s="259">
        <v>53945</v>
      </c>
      <c r="S68" s="262">
        <v>3.7403846153846176E-2</v>
      </c>
    </row>
    <row r="69" spans="1:19">
      <c r="A69" s="243" t="s">
        <v>16</v>
      </c>
      <c r="B69" s="243" t="s">
        <v>382</v>
      </c>
      <c r="C69" s="253" t="s">
        <v>167</v>
      </c>
      <c r="D69" s="254">
        <v>25.450669999999999</v>
      </c>
      <c r="E69" s="255">
        <v>50290.52392</v>
      </c>
      <c r="F69" s="263">
        <v>5</v>
      </c>
      <c r="G69" s="255">
        <v>967.12545999999986</v>
      </c>
      <c r="H69" s="256">
        <v>0.17499999999999999</v>
      </c>
      <c r="I69" s="255">
        <v>846.23477749999984</v>
      </c>
      <c r="J69" s="255"/>
      <c r="K69" s="255">
        <v>52103.884157500004</v>
      </c>
      <c r="L69" s="257">
        <v>26.368362427884616</v>
      </c>
      <c r="M69" s="258">
        <v>53000</v>
      </c>
      <c r="N69" s="259">
        <v>54985</v>
      </c>
      <c r="O69" s="260">
        <v>3.7452830188679176E-2</v>
      </c>
      <c r="P69" s="248">
        <v>1985</v>
      </c>
      <c r="Q69" s="261"/>
      <c r="R69" s="259">
        <v>54985</v>
      </c>
      <c r="S69" s="262">
        <v>3.7452830188679176E-2</v>
      </c>
    </row>
    <row r="70" spans="1:19">
      <c r="A70" s="243" t="s">
        <v>16</v>
      </c>
      <c r="B70" s="243" t="s">
        <v>383</v>
      </c>
      <c r="C70" s="253" t="s">
        <v>168</v>
      </c>
      <c r="D70" s="254">
        <v>25.980239999999998</v>
      </c>
      <c r="E70" s="255">
        <v>51336.954239999999</v>
      </c>
      <c r="F70" s="263">
        <v>5</v>
      </c>
      <c r="G70" s="255">
        <v>987.24911999999995</v>
      </c>
      <c r="H70" s="256">
        <v>0.17499999999999999</v>
      </c>
      <c r="I70" s="255">
        <v>863.84297999999978</v>
      </c>
      <c r="J70" s="255"/>
      <c r="K70" s="255">
        <v>53188.046340000001</v>
      </c>
      <c r="L70" s="257">
        <v>26.9170275</v>
      </c>
      <c r="M70" s="258">
        <v>54000</v>
      </c>
      <c r="N70" s="259">
        <v>56026</v>
      </c>
      <c r="O70" s="260">
        <v>3.7518518518518507E-2</v>
      </c>
      <c r="P70" s="248">
        <v>2026</v>
      </c>
      <c r="Q70" s="261"/>
      <c r="R70" s="259">
        <v>56026</v>
      </c>
      <c r="S70" s="262">
        <v>3.7518518518518507E-2</v>
      </c>
    </row>
    <row r="71" spans="1:19">
      <c r="A71" s="243" t="s">
        <v>17</v>
      </c>
      <c r="B71" s="243" t="s">
        <v>384</v>
      </c>
      <c r="C71" s="253" t="s">
        <v>169</v>
      </c>
      <c r="D71" s="254">
        <v>26.24502</v>
      </c>
      <c r="E71" s="255">
        <v>51860.159520000001</v>
      </c>
      <c r="F71" s="263">
        <v>5</v>
      </c>
      <c r="G71" s="255">
        <v>997.31076000000007</v>
      </c>
      <c r="H71" s="256">
        <v>0.17499999999999999</v>
      </c>
      <c r="I71" s="255">
        <v>872.64691499999992</v>
      </c>
      <c r="J71" s="255"/>
      <c r="K71" s="255">
        <v>53730.117194999999</v>
      </c>
      <c r="L71" s="257">
        <v>27.19135485576923</v>
      </c>
      <c r="M71" s="258">
        <v>54000</v>
      </c>
      <c r="N71" s="259">
        <v>56047</v>
      </c>
      <c r="O71" s="260">
        <v>3.7907407407407501E-2</v>
      </c>
      <c r="P71" s="248">
        <v>2047</v>
      </c>
      <c r="Q71" s="261"/>
      <c r="R71" s="259">
        <v>56047</v>
      </c>
      <c r="S71" s="262">
        <v>3.7907407407407501E-2</v>
      </c>
    </row>
    <row r="72" spans="1:19">
      <c r="A72" s="243" t="s">
        <v>17</v>
      </c>
      <c r="B72" s="243" t="s">
        <v>385</v>
      </c>
      <c r="C72" s="253" t="s">
        <v>170</v>
      </c>
      <c r="D72" s="254">
        <v>26.509799999999998</v>
      </c>
      <c r="E72" s="255">
        <v>52383.364799999996</v>
      </c>
      <c r="F72" s="263">
        <v>5</v>
      </c>
      <c r="G72" s="255">
        <v>1007.3723999999999</v>
      </c>
      <c r="H72" s="256">
        <v>0.17499999999999999</v>
      </c>
      <c r="I72" s="255">
        <v>881.45084999999983</v>
      </c>
      <c r="J72" s="255"/>
      <c r="K72" s="255">
        <v>54272.188049999997</v>
      </c>
      <c r="L72" s="257">
        <v>27.465682211538461</v>
      </c>
      <c r="M72" s="258">
        <v>55000</v>
      </c>
      <c r="N72" s="259">
        <v>57068</v>
      </c>
      <c r="O72" s="260">
        <v>3.7600000000000078E-2</v>
      </c>
      <c r="P72" s="248">
        <v>2068</v>
      </c>
      <c r="Q72" s="261"/>
      <c r="R72" s="259">
        <v>57068</v>
      </c>
      <c r="S72" s="262">
        <v>3.7600000000000078E-2</v>
      </c>
    </row>
    <row r="73" spans="1:19">
      <c r="A73" s="243" t="s">
        <v>17</v>
      </c>
      <c r="B73" s="243" t="s">
        <v>386</v>
      </c>
      <c r="C73" s="253" t="s">
        <v>171</v>
      </c>
      <c r="D73" s="254">
        <v>27.028770000000002</v>
      </c>
      <c r="E73" s="255">
        <v>53408.849520000003</v>
      </c>
      <c r="F73" s="263">
        <v>5</v>
      </c>
      <c r="G73" s="255">
        <v>1027.0932600000001</v>
      </c>
      <c r="H73" s="256">
        <v>0.17499999999999999</v>
      </c>
      <c r="I73" s="255">
        <v>898.70660249999992</v>
      </c>
      <c r="J73" s="255"/>
      <c r="K73" s="255">
        <v>55334.649382500007</v>
      </c>
      <c r="L73" s="257">
        <v>28.00336507211539</v>
      </c>
      <c r="M73" s="258">
        <v>56000</v>
      </c>
      <c r="N73" s="259">
        <v>58108</v>
      </c>
      <c r="O73" s="260">
        <v>3.7642857142857089E-2</v>
      </c>
      <c r="P73" s="248">
        <v>2108</v>
      </c>
      <c r="Q73" s="261"/>
      <c r="R73" s="259">
        <v>58108</v>
      </c>
      <c r="S73" s="262">
        <v>3.7642857142857089E-2</v>
      </c>
    </row>
    <row r="74" spans="1:19">
      <c r="A74" s="243" t="s">
        <v>172</v>
      </c>
      <c r="B74" s="243" t="s">
        <v>387</v>
      </c>
      <c r="C74" s="253" t="s">
        <v>173</v>
      </c>
      <c r="D74" s="254">
        <v>27.29355</v>
      </c>
      <c r="E74" s="255">
        <v>53932.054799999998</v>
      </c>
      <c r="F74" s="263">
        <v>5</v>
      </c>
      <c r="G74" s="255">
        <v>1037.1549</v>
      </c>
      <c r="H74" s="256">
        <v>0.17499999999999999</v>
      </c>
      <c r="I74" s="255">
        <v>907.51053749999983</v>
      </c>
      <c r="J74" s="255"/>
      <c r="K74" s="255">
        <v>55876.720237499998</v>
      </c>
      <c r="L74" s="257">
        <v>28.277692427884613</v>
      </c>
      <c r="M74" s="258">
        <v>56000</v>
      </c>
      <c r="N74" s="259">
        <v>58129</v>
      </c>
      <c r="O74" s="260">
        <v>3.8017857142857103E-2</v>
      </c>
      <c r="P74" s="248">
        <v>2129</v>
      </c>
      <c r="Q74" s="261"/>
      <c r="R74" s="259">
        <v>58129</v>
      </c>
      <c r="S74" s="262">
        <v>3.8017857142857103E-2</v>
      </c>
    </row>
    <row r="75" spans="1:19">
      <c r="A75" s="243" t="s">
        <v>172</v>
      </c>
      <c r="B75" s="243" t="s">
        <v>388</v>
      </c>
      <c r="C75" s="253" t="s">
        <v>174</v>
      </c>
      <c r="D75" s="254">
        <v>27.844290000000001</v>
      </c>
      <c r="E75" s="255">
        <v>55020.317040000002</v>
      </c>
      <c r="F75" s="263">
        <v>5</v>
      </c>
      <c r="G75" s="255">
        <v>1058.08302</v>
      </c>
      <c r="H75" s="256">
        <v>0.17499999999999999</v>
      </c>
      <c r="I75" s="255">
        <v>925.82264249999992</v>
      </c>
      <c r="J75" s="255"/>
      <c r="K75" s="255">
        <v>57004.222702500003</v>
      </c>
      <c r="L75" s="257">
        <v>28.848290841346156</v>
      </c>
      <c r="M75" s="258">
        <v>58000</v>
      </c>
      <c r="N75" s="259">
        <v>60172</v>
      </c>
      <c r="O75" s="260">
        <v>3.7448275862068892E-2</v>
      </c>
      <c r="P75" s="248">
        <v>2172</v>
      </c>
      <c r="Q75" s="261"/>
      <c r="R75" s="259">
        <v>60172</v>
      </c>
      <c r="S75" s="262">
        <v>3.7448275862068892E-2</v>
      </c>
    </row>
    <row r="76" spans="1:19">
      <c r="A76" s="243" t="s">
        <v>172</v>
      </c>
      <c r="B76" s="243" t="s">
        <v>389</v>
      </c>
      <c r="C76" s="253" t="s">
        <v>175</v>
      </c>
      <c r="D76" s="254">
        <v>28.395040000000002</v>
      </c>
      <c r="E76" s="255">
        <v>56108.599040000001</v>
      </c>
      <c r="F76" s="263">
        <v>5</v>
      </c>
      <c r="G76" s="255">
        <v>1079.01152</v>
      </c>
      <c r="H76" s="256">
        <v>0.17499999999999999</v>
      </c>
      <c r="I76" s="255">
        <v>944.1350799999999</v>
      </c>
      <c r="J76" s="255"/>
      <c r="K76" s="255">
        <v>58131.745640000001</v>
      </c>
      <c r="L76" s="257">
        <v>29.418899615384618</v>
      </c>
      <c r="M76" s="258">
        <v>59000</v>
      </c>
      <c r="N76" s="259">
        <v>61215</v>
      </c>
      <c r="O76" s="260">
        <v>3.7542372881355979E-2</v>
      </c>
      <c r="P76" s="248">
        <v>2215</v>
      </c>
      <c r="Q76" s="261"/>
      <c r="R76" s="259">
        <v>61215</v>
      </c>
      <c r="S76" s="262">
        <v>3.7542372881355979E-2</v>
      </c>
    </row>
    <row r="77" spans="1:19">
      <c r="A77" s="243"/>
      <c r="B77" s="243"/>
      <c r="C77" s="253"/>
      <c r="D77" s="254"/>
      <c r="E77" s="255"/>
      <c r="F77" s="263"/>
      <c r="G77" s="263"/>
      <c r="H77" s="256"/>
      <c r="I77" s="255"/>
      <c r="J77" s="255"/>
      <c r="K77" s="255"/>
      <c r="L77" s="257"/>
      <c r="O77" s="270"/>
      <c r="P77" s="248"/>
    </row>
    <row r="78" spans="1:19" ht="53.25">
      <c r="A78" s="239"/>
      <c r="B78" s="239" t="s">
        <v>176</v>
      </c>
      <c r="C78" s="239"/>
      <c r="D78" s="239"/>
      <c r="E78" s="239"/>
      <c r="F78" s="239"/>
      <c r="G78" s="239"/>
      <c r="H78" s="239"/>
      <c r="I78" s="239"/>
      <c r="J78" s="239"/>
      <c r="K78" s="239"/>
      <c r="L78" s="239"/>
      <c r="M78" s="239"/>
      <c r="N78" s="230">
        <v>1</v>
      </c>
      <c r="O78" s="230" t="s">
        <v>63</v>
      </c>
      <c r="P78" s="248"/>
      <c r="Q78" s="250" t="s">
        <v>64</v>
      </c>
      <c r="R78" s="251"/>
      <c r="S78" s="252" t="s">
        <v>65</v>
      </c>
    </row>
    <row r="79" spans="1:19">
      <c r="A79" s="243" t="s">
        <v>177</v>
      </c>
      <c r="B79" s="243" t="s">
        <v>390</v>
      </c>
      <c r="C79" s="253" t="s">
        <v>178</v>
      </c>
      <c r="D79" s="254">
        <v>31.36</v>
      </c>
      <c r="E79" s="255">
        <v>61967.360000000001</v>
      </c>
      <c r="F79" s="263">
        <v>5</v>
      </c>
      <c r="G79" s="255">
        <v>1191.6799999999998</v>
      </c>
      <c r="H79" s="256">
        <v>0.17499999999999999</v>
      </c>
      <c r="I79" s="255">
        <v>1042.7199999999998</v>
      </c>
      <c r="J79" s="255"/>
      <c r="K79" s="255">
        <v>64201.760000000002</v>
      </c>
      <c r="L79" s="257">
        <v>32.490769230769232</v>
      </c>
      <c r="M79" s="258">
        <v>65000</v>
      </c>
      <c r="N79" s="259">
        <v>67446</v>
      </c>
      <c r="O79" s="260">
        <v>3.7630769230769134E-2</v>
      </c>
      <c r="P79" s="248">
        <v>2446</v>
      </c>
      <c r="Q79" s="261"/>
      <c r="R79" s="259">
        <v>67446</v>
      </c>
      <c r="S79" s="262">
        <v>3.7630769230769134E-2</v>
      </c>
    </row>
    <row r="80" spans="1:19">
      <c r="A80" s="243" t="s">
        <v>179</v>
      </c>
      <c r="B80" s="243" t="s">
        <v>391</v>
      </c>
      <c r="C80" s="253" t="s">
        <v>180</v>
      </c>
      <c r="D80" s="254">
        <v>34.15</v>
      </c>
      <c r="E80" s="255">
        <v>67480.399999999994</v>
      </c>
      <c r="F80" s="263">
        <v>5</v>
      </c>
      <c r="G80" s="255">
        <v>1297.6999999999998</v>
      </c>
      <c r="H80" s="256">
        <v>0.17499999999999999</v>
      </c>
      <c r="I80" s="255">
        <v>1135.4874999999997</v>
      </c>
      <c r="J80" s="255"/>
      <c r="K80" s="255">
        <v>69913.587499999994</v>
      </c>
      <c r="L80" s="257">
        <v>35.381370192307692</v>
      </c>
      <c r="M80" s="258">
        <v>70000</v>
      </c>
      <c r="N80" s="259">
        <v>72664</v>
      </c>
      <c r="O80" s="260">
        <v>3.8057142857142789E-2</v>
      </c>
      <c r="P80" s="248">
        <v>2664</v>
      </c>
      <c r="Q80" s="261"/>
      <c r="R80" s="259">
        <v>72664</v>
      </c>
      <c r="S80" s="262">
        <v>3.8057142857142789E-2</v>
      </c>
    </row>
    <row r="81" spans="1:19">
      <c r="A81" s="243" t="s">
        <v>181</v>
      </c>
      <c r="B81" s="243" t="s">
        <v>392</v>
      </c>
      <c r="C81" s="253" t="s">
        <v>182</v>
      </c>
      <c r="D81" s="254">
        <v>37</v>
      </c>
      <c r="E81" s="255">
        <v>73112</v>
      </c>
      <c r="F81" s="263">
        <v>5</v>
      </c>
      <c r="G81" s="255">
        <v>1406</v>
      </c>
      <c r="H81" s="256">
        <v>0.17499999999999999</v>
      </c>
      <c r="I81" s="255">
        <v>1230.25</v>
      </c>
      <c r="J81" s="255"/>
      <c r="K81" s="255">
        <v>75748.25</v>
      </c>
      <c r="L81" s="257">
        <v>38.334134615384613</v>
      </c>
      <c r="M81" s="258">
        <v>76000</v>
      </c>
      <c r="N81" s="259">
        <v>78886</v>
      </c>
      <c r="O81" s="260">
        <v>3.7973684210526271E-2</v>
      </c>
      <c r="P81" s="248">
        <v>2886</v>
      </c>
      <c r="Q81" s="261"/>
      <c r="R81" s="259">
        <v>78886</v>
      </c>
      <c r="S81" s="262">
        <v>3.7973684210526271E-2</v>
      </c>
    </row>
    <row r="82" spans="1:19">
      <c r="A82" s="243" t="s">
        <v>183</v>
      </c>
      <c r="B82" s="243" t="s">
        <v>393</v>
      </c>
      <c r="C82" s="253" t="s">
        <v>184</v>
      </c>
      <c r="D82" s="254">
        <v>39.82</v>
      </c>
      <c r="E82" s="255">
        <v>78684.320000000007</v>
      </c>
      <c r="F82" s="263">
        <v>5</v>
      </c>
      <c r="G82" s="255">
        <v>1513.16</v>
      </c>
      <c r="H82" s="256">
        <v>0.17499999999999999</v>
      </c>
      <c r="I82" s="255">
        <v>1324.0149999999999</v>
      </c>
      <c r="J82" s="255"/>
      <c r="K82" s="255">
        <v>81521.49500000001</v>
      </c>
      <c r="L82" s="257">
        <v>41.255817307692311</v>
      </c>
      <c r="M82" s="258">
        <v>82000</v>
      </c>
      <c r="N82" s="259">
        <v>85106</v>
      </c>
      <c r="O82" s="260">
        <v>3.7878048780487727E-2</v>
      </c>
      <c r="P82" s="248">
        <v>3106</v>
      </c>
      <c r="Q82" s="261"/>
      <c r="R82" s="259">
        <v>85106</v>
      </c>
      <c r="S82" s="262">
        <v>3.7878048780487727E-2</v>
      </c>
    </row>
    <row r="83" spans="1:19">
      <c r="A83" s="243" t="s">
        <v>185</v>
      </c>
      <c r="B83" s="243" t="s">
        <v>394</v>
      </c>
      <c r="C83" s="253" t="s">
        <v>186</v>
      </c>
      <c r="D83" s="254">
        <v>42.2</v>
      </c>
      <c r="E83" s="255">
        <v>83387.200000000012</v>
      </c>
      <c r="F83" s="263">
        <v>5</v>
      </c>
      <c r="G83" s="255">
        <v>1603.6000000000001</v>
      </c>
      <c r="H83" s="256">
        <v>0.17499999999999999</v>
      </c>
      <c r="I83" s="255">
        <v>1403.15</v>
      </c>
      <c r="J83" s="255"/>
      <c r="K83" s="255">
        <v>86393.950000000012</v>
      </c>
      <c r="L83" s="257">
        <v>43.721634615384623</v>
      </c>
      <c r="M83" s="258">
        <v>87000</v>
      </c>
      <c r="N83" s="259">
        <v>90292</v>
      </c>
      <c r="O83" s="260">
        <v>3.7839080459770136E-2</v>
      </c>
      <c r="P83" s="248">
        <v>3292</v>
      </c>
      <c r="Q83" s="261"/>
      <c r="R83" s="259">
        <v>90292</v>
      </c>
      <c r="S83" s="262">
        <v>3.7839080459770136E-2</v>
      </c>
    </row>
    <row r="84" spans="1:19">
      <c r="A84" s="243" t="s">
        <v>187</v>
      </c>
      <c r="B84" s="243" t="s">
        <v>395</v>
      </c>
      <c r="C84" s="253" t="s">
        <v>188</v>
      </c>
      <c r="D84" s="254">
        <v>44.1</v>
      </c>
      <c r="E84" s="255">
        <v>87141.6</v>
      </c>
      <c r="F84" s="263">
        <v>5</v>
      </c>
      <c r="G84" s="255">
        <v>1675.7999999999997</v>
      </c>
      <c r="H84" s="256">
        <v>0.17499999999999999</v>
      </c>
      <c r="I84" s="255">
        <v>1466.3249999999998</v>
      </c>
      <c r="J84" s="255"/>
      <c r="K84" s="255">
        <v>90283.725000000006</v>
      </c>
      <c r="L84" s="257">
        <v>45.690144230769235</v>
      </c>
      <c r="M84" s="258">
        <v>91000</v>
      </c>
      <c r="N84" s="259">
        <v>94440</v>
      </c>
      <c r="O84" s="260">
        <v>3.7802197802197846E-2</v>
      </c>
      <c r="P84" s="248">
        <v>3440</v>
      </c>
      <c r="Q84" s="261"/>
      <c r="R84" s="259">
        <v>94440</v>
      </c>
      <c r="S84" s="262">
        <v>3.7802197802197846E-2</v>
      </c>
    </row>
    <row r="85" spans="1:19">
      <c r="A85" s="243" t="s">
        <v>189</v>
      </c>
      <c r="B85" s="243" t="s">
        <v>396</v>
      </c>
      <c r="C85" s="253" t="s">
        <v>190</v>
      </c>
      <c r="D85" s="254">
        <v>46.95</v>
      </c>
      <c r="E85" s="255">
        <v>92773.200000000012</v>
      </c>
      <c r="F85" s="263">
        <v>5</v>
      </c>
      <c r="G85" s="255">
        <v>1784.1</v>
      </c>
      <c r="H85" s="256">
        <v>0.17499999999999999</v>
      </c>
      <c r="I85" s="255">
        <v>1561.0874999999999</v>
      </c>
      <c r="J85" s="255"/>
      <c r="K85" s="255">
        <v>96118.387500000012</v>
      </c>
      <c r="L85" s="257">
        <v>48.642908653846163</v>
      </c>
      <c r="M85" s="258">
        <v>97000</v>
      </c>
      <c r="N85" s="259">
        <v>100662</v>
      </c>
      <c r="O85" s="260">
        <v>3.7752577319587699E-2</v>
      </c>
      <c r="P85" s="248">
        <v>3662</v>
      </c>
      <c r="Q85" s="261"/>
      <c r="R85" s="259">
        <v>100662</v>
      </c>
      <c r="S85" s="262">
        <v>3.7752577319587699E-2</v>
      </c>
    </row>
    <row r="86" spans="1:19">
      <c r="A86" s="243" t="s">
        <v>191</v>
      </c>
      <c r="B86" s="243" t="s">
        <v>397</v>
      </c>
      <c r="C86" s="253" t="s">
        <v>192</v>
      </c>
      <c r="D86" s="254">
        <v>49.07</v>
      </c>
      <c r="E86" s="255">
        <v>96962.32</v>
      </c>
      <c r="F86" s="263">
        <v>5</v>
      </c>
      <c r="G86" s="255">
        <v>1864.6599999999999</v>
      </c>
      <c r="H86" s="256">
        <v>0.17499999999999999</v>
      </c>
      <c r="I86" s="255">
        <v>1631.5774999999999</v>
      </c>
      <c r="J86" s="255"/>
      <c r="K86" s="255">
        <v>100458.55750000001</v>
      </c>
      <c r="L86" s="257">
        <v>50.839350961538464</v>
      </c>
      <c r="M86" s="258">
        <v>101000</v>
      </c>
      <c r="N86" s="259">
        <v>104827</v>
      </c>
      <c r="O86" s="260">
        <v>3.7891089108910814E-2</v>
      </c>
      <c r="P86" s="248">
        <v>3827</v>
      </c>
      <c r="Q86" s="261"/>
      <c r="R86" s="259">
        <v>104827</v>
      </c>
      <c r="S86" s="262">
        <v>3.7891089108910814E-2</v>
      </c>
    </row>
    <row r="87" spans="1:19">
      <c r="A87" s="243" t="s">
        <v>193</v>
      </c>
      <c r="B87" s="243" t="s">
        <v>398</v>
      </c>
      <c r="C87" s="253" t="s">
        <v>194</v>
      </c>
      <c r="D87" s="254">
        <v>54.76</v>
      </c>
      <c r="E87" s="255">
        <v>108205.75999999999</v>
      </c>
      <c r="F87" s="263">
        <v>5</v>
      </c>
      <c r="G87" s="255">
        <v>2080.88</v>
      </c>
      <c r="H87" s="256">
        <v>0.17499999999999999</v>
      </c>
      <c r="I87" s="255">
        <v>1820.7699999999998</v>
      </c>
      <c r="J87" s="255"/>
      <c r="K87" s="255">
        <v>112107.41</v>
      </c>
      <c r="L87" s="257">
        <v>56.73451923076923</v>
      </c>
      <c r="M87" s="258">
        <v>113000</v>
      </c>
      <c r="N87" s="259">
        <v>117271</v>
      </c>
      <c r="O87" s="260">
        <v>3.779646017699112E-2</v>
      </c>
      <c r="P87" s="248">
        <v>4271</v>
      </c>
      <c r="Q87" s="261"/>
      <c r="R87" s="259">
        <v>117271</v>
      </c>
      <c r="S87" s="262">
        <v>3.779646017699112E-2</v>
      </c>
    </row>
    <row r="88" spans="1:19">
      <c r="A88" s="243" t="s">
        <v>195</v>
      </c>
      <c r="B88" s="243" t="s">
        <v>399</v>
      </c>
      <c r="C88" s="253" t="s">
        <v>196</v>
      </c>
      <c r="D88" s="254">
        <v>58.9</v>
      </c>
      <c r="E88" s="255">
        <v>116386.4</v>
      </c>
      <c r="F88" s="263">
        <v>5</v>
      </c>
      <c r="G88" s="255">
        <v>2238.1999999999998</v>
      </c>
      <c r="H88" s="256">
        <v>0.17499999999999999</v>
      </c>
      <c r="I88" s="255">
        <v>1958.425</v>
      </c>
      <c r="J88" s="255"/>
      <c r="K88" s="255">
        <v>120583.02499999999</v>
      </c>
      <c r="L88" s="257">
        <v>61.023798076923072</v>
      </c>
      <c r="M88" s="258">
        <v>121000</v>
      </c>
      <c r="N88" s="259">
        <v>125594</v>
      </c>
      <c r="O88" s="260">
        <v>3.7966942148760285E-2</v>
      </c>
      <c r="P88" s="248">
        <v>4594</v>
      </c>
      <c r="Q88" s="261"/>
      <c r="R88" s="259">
        <v>125594</v>
      </c>
      <c r="S88" s="262">
        <v>3.7966942148760285E-2</v>
      </c>
    </row>
    <row r="89" spans="1:19">
      <c r="A89" s="243" t="s">
        <v>197</v>
      </c>
      <c r="B89" s="243" t="s">
        <v>400</v>
      </c>
      <c r="C89" s="253" t="s">
        <v>198</v>
      </c>
      <c r="D89" s="254">
        <v>63.05</v>
      </c>
      <c r="E89" s="255">
        <v>124586.79999999999</v>
      </c>
      <c r="F89" s="263">
        <v>5</v>
      </c>
      <c r="G89" s="255">
        <v>2395.8999999999996</v>
      </c>
      <c r="H89" s="256">
        <v>0.17499999999999999</v>
      </c>
      <c r="I89" s="255">
        <v>2096.4124999999995</v>
      </c>
      <c r="J89" s="255"/>
      <c r="K89" s="255">
        <v>129079.11249999999</v>
      </c>
      <c r="L89" s="257">
        <v>65.323437499999997</v>
      </c>
      <c r="M89" s="258">
        <v>130000</v>
      </c>
      <c r="N89" s="259">
        <v>134918</v>
      </c>
      <c r="O89" s="260">
        <v>3.7830769230769334E-2</v>
      </c>
      <c r="P89" s="248">
        <v>4918</v>
      </c>
      <c r="Q89" s="261"/>
      <c r="R89" s="259">
        <v>134918</v>
      </c>
      <c r="S89" s="262">
        <v>3.7830769230769334E-2</v>
      </c>
    </row>
    <row r="90" spans="1:19">
      <c r="A90" s="243" t="s">
        <v>199</v>
      </c>
      <c r="B90" s="243" t="s">
        <v>401</v>
      </c>
      <c r="C90" s="253" t="s">
        <v>200</v>
      </c>
      <c r="D90" s="254">
        <v>54.76</v>
      </c>
      <c r="E90" s="255">
        <v>108205.75999999999</v>
      </c>
      <c r="F90" s="263">
        <v>5</v>
      </c>
      <c r="G90" s="255">
        <v>2080.88</v>
      </c>
      <c r="H90" s="256">
        <v>0.17499999999999999</v>
      </c>
      <c r="I90" s="255">
        <v>1820.7699999999998</v>
      </c>
      <c r="J90" s="255"/>
      <c r="K90" s="255">
        <v>112107.41</v>
      </c>
      <c r="L90" s="257">
        <v>56.73451923076923</v>
      </c>
      <c r="M90" s="258">
        <v>113000</v>
      </c>
      <c r="N90" s="259">
        <v>117271</v>
      </c>
      <c r="O90" s="260">
        <v>3.779646017699112E-2</v>
      </c>
      <c r="P90" s="248">
        <v>4271</v>
      </c>
      <c r="Q90" s="261"/>
      <c r="R90" s="259">
        <v>117271</v>
      </c>
      <c r="S90" s="262">
        <v>3.779646017699112E-2</v>
      </c>
    </row>
    <row r="91" spans="1:19">
      <c r="A91" s="243" t="s">
        <v>199</v>
      </c>
      <c r="B91" s="243" t="s">
        <v>402</v>
      </c>
      <c r="C91" s="253" t="s">
        <v>201</v>
      </c>
      <c r="D91" s="254">
        <v>52.55</v>
      </c>
      <c r="E91" s="255">
        <v>103838.79999999999</v>
      </c>
      <c r="F91" s="263">
        <v>5</v>
      </c>
      <c r="G91" s="255">
        <v>1996.8999999999996</v>
      </c>
      <c r="H91" s="256">
        <v>0.17499999999999999</v>
      </c>
      <c r="I91" s="255">
        <v>1747.2874999999997</v>
      </c>
      <c r="J91" s="255"/>
      <c r="K91" s="255">
        <v>107582.98749999999</v>
      </c>
      <c r="L91" s="257">
        <v>54.444831730769224</v>
      </c>
      <c r="M91" s="258">
        <v>108000</v>
      </c>
      <c r="N91" s="259">
        <v>112099</v>
      </c>
      <c r="O91" s="260">
        <v>3.7953703703703656E-2</v>
      </c>
      <c r="P91" s="248">
        <v>4099</v>
      </c>
      <c r="Q91" s="261"/>
      <c r="R91" s="259">
        <v>112099</v>
      </c>
      <c r="S91" s="262">
        <v>3.7953703703703656E-2</v>
      </c>
    </row>
    <row r="92" spans="1:19">
      <c r="A92" s="243" t="s">
        <v>199</v>
      </c>
      <c r="B92" s="243" t="s">
        <v>403</v>
      </c>
      <c r="C92" s="253" t="s">
        <v>202</v>
      </c>
      <c r="D92" s="254">
        <v>47.23</v>
      </c>
      <c r="E92" s="255">
        <v>93326.48</v>
      </c>
      <c r="F92" s="263">
        <v>5</v>
      </c>
      <c r="G92" s="255">
        <v>1794.7399999999998</v>
      </c>
      <c r="H92" s="256">
        <v>0.17499999999999999</v>
      </c>
      <c r="I92" s="255">
        <v>1570.3974999999998</v>
      </c>
      <c r="J92" s="255"/>
      <c r="K92" s="255">
        <v>96691.617500000008</v>
      </c>
      <c r="L92" s="257">
        <v>48.933004807692313</v>
      </c>
      <c r="M92" s="258">
        <v>97000</v>
      </c>
      <c r="N92" s="259">
        <v>100684</v>
      </c>
      <c r="O92" s="260">
        <v>3.7979381443298932E-2</v>
      </c>
      <c r="P92" s="248">
        <v>3684</v>
      </c>
      <c r="Q92" s="261"/>
      <c r="R92" s="259">
        <v>100684</v>
      </c>
      <c r="S92" s="262">
        <v>3.7979381443298932E-2</v>
      </c>
    </row>
    <row r="93" spans="1:19">
      <c r="A93" s="243" t="s">
        <v>203</v>
      </c>
      <c r="B93" s="243" t="s">
        <v>404</v>
      </c>
      <c r="C93" s="253" t="s">
        <v>204</v>
      </c>
      <c r="D93" s="254">
        <v>58.32</v>
      </c>
      <c r="E93" s="255">
        <v>115240.32000000001</v>
      </c>
      <c r="F93" s="263">
        <v>5</v>
      </c>
      <c r="G93" s="255">
        <v>2216.16</v>
      </c>
      <c r="H93" s="256">
        <v>0.17499999999999999</v>
      </c>
      <c r="I93" s="255">
        <v>1939.1399999999996</v>
      </c>
      <c r="J93" s="255"/>
      <c r="K93" s="255">
        <v>119395.62000000001</v>
      </c>
      <c r="L93" s="257">
        <v>60.422884615384618</v>
      </c>
      <c r="M93" s="258">
        <v>120000</v>
      </c>
      <c r="N93" s="259">
        <v>124549</v>
      </c>
      <c r="O93" s="260">
        <v>3.7908333333333433E-2</v>
      </c>
      <c r="P93" s="248">
        <v>4549</v>
      </c>
      <c r="Q93" s="261"/>
      <c r="R93" s="259">
        <v>124549</v>
      </c>
      <c r="S93" s="262">
        <v>3.7908333333333433E-2</v>
      </c>
    </row>
    <row r="94" spans="1:19">
      <c r="A94" s="243" t="s">
        <v>205</v>
      </c>
      <c r="B94" s="243" t="s">
        <v>405</v>
      </c>
      <c r="C94" s="253" t="s">
        <v>206</v>
      </c>
      <c r="D94" s="254">
        <v>63.05</v>
      </c>
      <c r="E94" s="255">
        <v>124586.79999999999</v>
      </c>
      <c r="F94" s="263">
        <v>5</v>
      </c>
      <c r="G94" s="255">
        <v>2395.8999999999996</v>
      </c>
      <c r="H94" s="256">
        <v>0.17499999999999999</v>
      </c>
      <c r="I94" s="255">
        <v>2096.4124999999995</v>
      </c>
      <c r="J94" s="255"/>
      <c r="K94" s="255">
        <v>129079.11249999999</v>
      </c>
      <c r="L94" s="257">
        <v>65.323437499999997</v>
      </c>
      <c r="M94" s="258">
        <v>130000</v>
      </c>
      <c r="N94" s="259">
        <v>134918</v>
      </c>
      <c r="O94" s="260">
        <v>3.7830769230769334E-2</v>
      </c>
      <c r="P94" s="248">
        <v>4918</v>
      </c>
      <c r="Q94" s="261"/>
      <c r="R94" s="259">
        <v>134918</v>
      </c>
      <c r="S94" s="262">
        <v>3.7830769230769334E-2</v>
      </c>
    </row>
    <row r="95" spans="1:19">
      <c r="A95" s="243" t="s">
        <v>207</v>
      </c>
      <c r="B95" s="243" t="s">
        <v>406</v>
      </c>
      <c r="C95" s="253" t="s">
        <v>208</v>
      </c>
      <c r="D95" s="254">
        <v>67.78</v>
      </c>
      <c r="E95" s="255">
        <v>133933.28</v>
      </c>
      <c r="F95" s="263">
        <v>5</v>
      </c>
      <c r="G95" s="255">
        <v>2575.6399999999994</v>
      </c>
      <c r="H95" s="256">
        <v>0.17499999999999999</v>
      </c>
      <c r="I95" s="255">
        <v>2253.6849999999995</v>
      </c>
      <c r="J95" s="255"/>
      <c r="K95" s="255">
        <v>138762.60499999998</v>
      </c>
      <c r="L95" s="257">
        <v>70.223990384615377</v>
      </c>
      <c r="M95" s="258">
        <v>139000</v>
      </c>
      <c r="N95" s="259">
        <v>144287</v>
      </c>
      <c r="O95" s="260">
        <v>3.8035971223021603E-2</v>
      </c>
      <c r="P95" s="248">
        <v>5287</v>
      </c>
      <c r="Q95" s="261"/>
      <c r="R95" s="259">
        <v>144287</v>
      </c>
      <c r="S95" s="262">
        <v>3.8035971223021603E-2</v>
      </c>
    </row>
    <row r="96" spans="1:19">
      <c r="A96" s="243"/>
      <c r="B96" s="243"/>
      <c r="C96" s="253"/>
      <c r="D96" s="254"/>
      <c r="E96" s="255"/>
      <c r="F96" s="263"/>
      <c r="G96" s="263"/>
      <c r="H96" s="256"/>
      <c r="I96" s="255"/>
      <c r="J96" s="255"/>
      <c r="K96" s="255"/>
      <c r="L96" s="257"/>
      <c r="M96" s="258"/>
      <c r="O96" s="270"/>
      <c r="P96" s="248"/>
    </row>
    <row r="97" spans="1:19" ht="53.25">
      <c r="A97" s="239"/>
      <c r="B97" s="239" t="s">
        <v>209</v>
      </c>
      <c r="C97" s="239"/>
      <c r="D97" s="239"/>
      <c r="E97" s="239"/>
      <c r="F97" s="239"/>
      <c r="G97" s="239"/>
      <c r="H97" s="239"/>
      <c r="I97" s="239"/>
      <c r="J97" s="239"/>
      <c r="K97" s="239"/>
      <c r="L97" s="239"/>
      <c r="M97" s="239"/>
      <c r="N97" s="230">
        <v>1</v>
      </c>
      <c r="O97" s="230" t="s">
        <v>63</v>
      </c>
      <c r="P97" s="248"/>
      <c r="Q97" s="250" t="s">
        <v>64</v>
      </c>
      <c r="R97" s="251"/>
      <c r="S97" s="252" t="s">
        <v>65</v>
      </c>
    </row>
    <row r="98" spans="1:19">
      <c r="A98" s="243" t="s">
        <v>210</v>
      </c>
      <c r="B98" s="243" t="s">
        <v>407</v>
      </c>
      <c r="C98" s="253" t="s">
        <v>211</v>
      </c>
      <c r="D98" s="254">
        <v>34.04</v>
      </c>
      <c r="E98" s="255">
        <v>67263.039999999994</v>
      </c>
      <c r="F98" s="263"/>
      <c r="G98" s="255">
        <v>0</v>
      </c>
      <c r="H98" s="256">
        <v>0.17499999999999999</v>
      </c>
      <c r="I98" s="255">
        <v>905.46399999999994</v>
      </c>
      <c r="J98" s="255"/>
      <c r="K98" s="255">
        <v>68168.503999999986</v>
      </c>
      <c r="L98" s="257">
        <v>34.498230769230766</v>
      </c>
      <c r="M98" s="258">
        <v>69000</v>
      </c>
      <c r="N98" s="259">
        <v>71655</v>
      </c>
      <c r="O98" s="260">
        <v>3.8478260869565295E-2</v>
      </c>
      <c r="P98" s="248">
        <v>2655</v>
      </c>
      <c r="Q98" s="261"/>
      <c r="R98" s="259">
        <v>71655</v>
      </c>
      <c r="S98" s="262">
        <v>3.8478260869565295E-2</v>
      </c>
    </row>
    <row r="99" spans="1:19">
      <c r="A99" s="243" t="s">
        <v>212</v>
      </c>
      <c r="B99" s="243" t="s">
        <v>408</v>
      </c>
      <c r="C99" s="253" t="s">
        <v>213</v>
      </c>
      <c r="D99" s="254">
        <v>35.020000000000003</v>
      </c>
      <c r="E99" s="255">
        <v>69199.520000000004</v>
      </c>
      <c r="F99" s="263"/>
      <c r="G99" s="255">
        <v>0</v>
      </c>
      <c r="H99" s="256">
        <v>0.17499999999999999</v>
      </c>
      <c r="I99" s="255">
        <v>931.53199999999993</v>
      </c>
      <c r="J99" s="255"/>
      <c r="K99" s="255">
        <v>70131.052000000011</v>
      </c>
      <c r="L99" s="257">
        <v>35.491423076923084</v>
      </c>
      <c r="M99" s="258">
        <v>71000</v>
      </c>
      <c r="N99" s="259">
        <v>73732</v>
      </c>
      <c r="O99" s="260">
        <v>3.8478873239436551E-2</v>
      </c>
      <c r="P99" s="248">
        <v>2732</v>
      </c>
      <c r="Q99" s="261"/>
      <c r="R99" s="259">
        <v>73732</v>
      </c>
      <c r="S99" s="262">
        <v>3.8478873239436551E-2</v>
      </c>
    </row>
    <row r="100" spans="1:19">
      <c r="A100" s="243" t="s">
        <v>214</v>
      </c>
      <c r="B100" s="243" t="s">
        <v>409</v>
      </c>
      <c r="C100" s="253" t="s">
        <v>215</v>
      </c>
      <c r="D100" s="254">
        <v>35.770000000000003</v>
      </c>
      <c r="E100" s="255">
        <v>70681.52</v>
      </c>
      <c r="F100" s="263"/>
      <c r="G100" s="255">
        <v>0</v>
      </c>
      <c r="H100" s="256">
        <v>0.17499999999999999</v>
      </c>
      <c r="I100" s="255">
        <v>951.48200000000008</v>
      </c>
      <c r="J100" s="255"/>
      <c r="K100" s="255">
        <v>71633.002000000008</v>
      </c>
      <c r="L100" s="257">
        <v>36.251519230769233</v>
      </c>
      <c r="M100" s="258">
        <v>72000</v>
      </c>
      <c r="N100" s="259">
        <v>74790</v>
      </c>
      <c r="O100" s="260">
        <v>3.8750000000000062E-2</v>
      </c>
      <c r="P100" s="248">
        <v>2790</v>
      </c>
      <c r="Q100" s="261"/>
      <c r="R100" s="259">
        <v>74790</v>
      </c>
      <c r="S100" s="262">
        <v>3.8750000000000062E-2</v>
      </c>
    </row>
    <row r="101" spans="1:19">
      <c r="A101" s="243" t="s">
        <v>216</v>
      </c>
      <c r="B101" s="243" t="s">
        <v>410</v>
      </c>
      <c r="C101" s="253" t="s">
        <v>217</v>
      </c>
      <c r="D101" s="254">
        <v>36.5</v>
      </c>
      <c r="E101" s="255">
        <v>72124</v>
      </c>
      <c r="F101" s="263"/>
      <c r="G101" s="255">
        <v>0</v>
      </c>
      <c r="H101" s="256">
        <v>0.17499999999999999</v>
      </c>
      <c r="I101" s="255">
        <v>970.9</v>
      </c>
      <c r="J101" s="255"/>
      <c r="K101" s="255">
        <v>73094.899999999994</v>
      </c>
      <c r="L101" s="257">
        <v>36.991346153846152</v>
      </c>
      <c r="M101" s="258">
        <v>74000</v>
      </c>
      <c r="N101" s="259">
        <v>76847</v>
      </c>
      <c r="O101" s="260">
        <v>3.8472972972972919E-2</v>
      </c>
      <c r="P101" s="248">
        <v>2847</v>
      </c>
      <c r="Q101" s="261"/>
      <c r="R101" s="259">
        <v>76847</v>
      </c>
      <c r="S101" s="262">
        <v>3.8472972972972919E-2</v>
      </c>
    </row>
    <row r="102" spans="1:19">
      <c r="A102" s="243" t="s">
        <v>218</v>
      </c>
      <c r="B102" s="243" t="s">
        <v>411</v>
      </c>
      <c r="C102" s="253" t="s">
        <v>219</v>
      </c>
      <c r="D102" s="254">
        <v>39.26</v>
      </c>
      <c r="E102" s="255">
        <v>77577.759999999995</v>
      </c>
      <c r="F102" s="263"/>
      <c r="G102" s="255">
        <v>0</v>
      </c>
      <c r="H102" s="256">
        <v>0.17499999999999999</v>
      </c>
      <c r="I102" s="255">
        <v>1044.3159999999998</v>
      </c>
      <c r="J102" s="255"/>
      <c r="K102" s="255">
        <v>78622.076000000001</v>
      </c>
      <c r="L102" s="257">
        <v>39.788499999999999</v>
      </c>
      <c r="M102" s="258">
        <v>79000</v>
      </c>
      <c r="N102" s="259">
        <v>82062</v>
      </c>
      <c r="O102" s="260">
        <v>3.8759493670886158E-2</v>
      </c>
      <c r="P102" s="248">
        <v>3062</v>
      </c>
      <c r="Q102" s="261"/>
      <c r="R102" s="259">
        <v>82062</v>
      </c>
      <c r="S102" s="262">
        <v>3.8759493670886158E-2</v>
      </c>
    </row>
    <row r="103" spans="1:19">
      <c r="A103" s="243" t="s">
        <v>220</v>
      </c>
      <c r="B103" s="243" t="s">
        <v>412</v>
      </c>
      <c r="C103" s="253" t="s">
        <v>221</v>
      </c>
      <c r="D103" s="254">
        <v>40.29</v>
      </c>
      <c r="E103" s="255">
        <v>79613.039999999994</v>
      </c>
      <c r="F103" s="263"/>
      <c r="G103" s="255">
        <v>0</v>
      </c>
      <c r="H103" s="256">
        <v>0.17499999999999999</v>
      </c>
      <c r="I103" s="255">
        <v>1071.7139999999997</v>
      </c>
      <c r="J103" s="255"/>
      <c r="K103" s="255">
        <v>80684.753999999986</v>
      </c>
      <c r="L103" s="257">
        <v>40.832365384615379</v>
      </c>
      <c r="M103" s="258">
        <v>81000</v>
      </c>
      <c r="N103" s="259">
        <v>84143</v>
      </c>
      <c r="O103" s="260">
        <v>3.8802469135802431E-2</v>
      </c>
      <c r="P103" s="248">
        <v>3143</v>
      </c>
      <c r="Q103" s="261"/>
      <c r="R103" s="259">
        <v>84143</v>
      </c>
      <c r="S103" s="262">
        <v>3.8802469135802431E-2</v>
      </c>
    </row>
    <row r="104" spans="1:19">
      <c r="A104" s="243" t="s">
        <v>222</v>
      </c>
      <c r="B104" s="243" t="s">
        <v>413</v>
      </c>
      <c r="C104" s="253" t="s">
        <v>223</v>
      </c>
      <c r="D104" s="254">
        <v>41.32</v>
      </c>
      <c r="E104" s="255">
        <v>81648.320000000007</v>
      </c>
      <c r="F104" s="263"/>
      <c r="G104" s="255">
        <v>0</v>
      </c>
      <c r="H104" s="256">
        <v>0.17499999999999999</v>
      </c>
      <c r="I104" s="255">
        <v>1099.1119999999999</v>
      </c>
      <c r="J104" s="255"/>
      <c r="K104" s="255">
        <v>82747.432000000001</v>
      </c>
      <c r="L104" s="257">
        <v>41.876230769230773</v>
      </c>
      <c r="M104" s="258">
        <v>83000</v>
      </c>
      <c r="N104" s="259">
        <v>86223</v>
      </c>
      <c r="O104" s="260">
        <v>3.8831325301204922E-2</v>
      </c>
      <c r="P104" s="248">
        <v>3223</v>
      </c>
      <c r="Q104" s="261"/>
      <c r="R104" s="259">
        <v>86223</v>
      </c>
      <c r="S104" s="262">
        <v>3.8831325301204922E-2</v>
      </c>
    </row>
    <row r="105" spans="1:19">
      <c r="A105" s="243" t="s">
        <v>224</v>
      </c>
      <c r="B105" s="243" t="s">
        <v>414</v>
      </c>
      <c r="C105" s="253" t="s">
        <v>225</v>
      </c>
      <c r="D105" s="254">
        <v>42.25</v>
      </c>
      <c r="E105" s="255">
        <v>83486</v>
      </c>
      <c r="F105" s="263"/>
      <c r="G105" s="255">
        <v>0</v>
      </c>
      <c r="H105" s="256">
        <v>0.17499999999999999</v>
      </c>
      <c r="I105" s="255">
        <v>1123.8499999999997</v>
      </c>
      <c r="J105" s="255"/>
      <c r="K105" s="255">
        <v>84609.85</v>
      </c>
      <c r="L105" s="257">
        <v>42.818750000000001</v>
      </c>
      <c r="M105" s="258">
        <v>85000</v>
      </c>
      <c r="N105" s="259">
        <v>88296</v>
      </c>
      <c r="O105" s="260">
        <v>3.877647058823519E-2</v>
      </c>
      <c r="P105" s="248">
        <v>3296</v>
      </c>
      <c r="Q105" s="261"/>
      <c r="R105" s="259">
        <v>88296</v>
      </c>
      <c r="S105" s="262">
        <v>3.877647058823519E-2</v>
      </c>
    </row>
    <row r="106" spans="1:19">
      <c r="A106" s="243" t="s">
        <v>226</v>
      </c>
      <c r="B106" s="243" t="s">
        <v>415</v>
      </c>
      <c r="C106" s="253" t="s">
        <v>227</v>
      </c>
      <c r="D106" s="254">
        <v>44.92</v>
      </c>
      <c r="E106" s="255">
        <v>88761.919999999998</v>
      </c>
      <c r="F106" s="263"/>
      <c r="G106" s="255">
        <v>0</v>
      </c>
      <c r="H106" s="256">
        <v>0.17499999999999999</v>
      </c>
      <c r="I106" s="255">
        <v>1194.8719999999998</v>
      </c>
      <c r="J106" s="255"/>
      <c r="K106" s="255">
        <v>89956.792000000001</v>
      </c>
      <c r="L106" s="257">
        <v>45.524692307692305</v>
      </c>
      <c r="M106" s="258">
        <v>90000</v>
      </c>
      <c r="N106" s="259">
        <v>93504</v>
      </c>
      <c r="O106" s="260">
        <v>3.8933333333333264E-2</v>
      </c>
      <c r="P106" s="248">
        <v>3504</v>
      </c>
      <c r="Q106" s="261"/>
      <c r="R106" s="259">
        <v>93504</v>
      </c>
      <c r="S106" s="262">
        <v>3.8933333333333264E-2</v>
      </c>
    </row>
    <row r="107" spans="1:19">
      <c r="A107" s="243" t="s">
        <v>228</v>
      </c>
      <c r="B107" s="243" t="s">
        <v>416</v>
      </c>
      <c r="C107" s="253" t="s">
        <v>229</v>
      </c>
      <c r="D107" s="254">
        <v>45.88</v>
      </c>
      <c r="E107" s="255">
        <v>90658.880000000005</v>
      </c>
      <c r="F107" s="263"/>
      <c r="G107" s="255">
        <v>0</v>
      </c>
      <c r="H107" s="256">
        <v>0.17499999999999999</v>
      </c>
      <c r="I107" s="255">
        <v>1220.4079999999999</v>
      </c>
      <c r="J107" s="255"/>
      <c r="K107" s="255">
        <v>91879.288</v>
      </c>
      <c r="L107" s="257">
        <v>46.497615384615386</v>
      </c>
      <c r="M107" s="258">
        <v>92000</v>
      </c>
      <c r="N107" s="259">
        <v>95579</v>
      </c>
      <c r="O107" s="260">
        <v>3.8902173913043514E-2</v>
      </c>
      <c r="P107" s="248">
        <v>3579</v>
      </c>
      <c r="Q107" s="261"/>
      <c r="R107" s="259">
        <v>95579</v>
      </c>
      <c r="S107" s="262">
        <v>3.8902173913043514E-2</v>
      </c>
    </row>
    <row r="108" spans="1:19">
      <c r="A108" s="243" t="s">
        <v>230</v>
      </c>
      <c r="B108" s="243" t="s">
        <v>417</v>
      </c>
      <c r="C108" s="253" t="s">
        <v>231</v>
      </c>
      <c r="D108" s="254">
        <v>46.95</v>
      </c>
      <c r="E108" s="255">
        <v>92773.200000000012</v>
      </c>
      <c r="F108" s="263"/>
      <c r="G108" s="255">
        <v>0</v>
      </c>
      <c r="H108" s="256">
        <v>0.17499999999999999</v>
      </c>
      <c r="I108" s="255">
        <v>1248.8699999999999</v>
      </c>
      <c r="J108" s="255"/>
      <c r="K108" s="255">
        <v>94022.07</v>
      </c>
      <c r="L108" s="257">
        <v>47.582019230769234</v>
      </c>
      <c r="M108" s="258">
        <v>95000</v>
      </c>
      <c r="N108" s="259">
        <v>98662</v>
      </c>
      <c r="O108" s="260">
        <v>3.8547368421052663E-2</v>
      </c>
      <c r="P108" s="248">
        <v>3662</v>
      </c>
      <c r="Q108" s="261"/>
      <c r="R108" s="259">
        <v>98662</v>
      </c>
      <c r="S108" s="262">
        <v>3.8547368421052663E-2</v>
      </c>
    </row>
    <row r="109" spans="1:19">
      <c r="A109" s="243" t="s">
        <v>232</v>
      </c>
      <c r="B109" s="243" t="s">
        <v>418</v>
      </c>
      <c r="C109" s="253" t="s">
        <v>233</v>
      </c>
      <c r="D109" s="254">
        <v>49.07</v>
      </c>
      <c r="E109" s="255">
        <v>96962.32</v>
      </c>
      <c r="F109" s="263"/>
      <c r="G109" s="255">
        <v>0</v>
      </c>
      <c r="H109" s="256">
        <v>0.17499999999999999</v>
      </c>
      <c r="I109" s="255">
        <v>1305.2619999999997</v>
      </c>
      <c r="J109" s="255"/>
      <c r="K109" s="255">
        <v>98267.582000000009</v>
      </c>
      <c r="L109" s="257">
        <v>49.730557692307698</v>
      </c>
      <c r="M109" s="258">
        <v>99000</v>
      </c>
      <c r="N109" s="259">
        <v>102827</v>
      </c>
      <c r="O109" s="260">
        <v>3.8656565656565611E-2</v>
      </c>
      <c r="P109" s="248">
        <v>3827</v>
      </c>
      <c r="Q109" s="261"/>
      <c r="R109" s="259">
        <v>102827</v>
      </c>
      <c r="S109" s="262">
        <v>3.8656565656565611E-2</v>
      </c>
    </row>
    <row r="110" spans="1:19">
      <c r="A110" s="243" t="s">
        <v>234</v>
      </c>
      <c r="B110" s="243" t="s">
        <v>419</v>
      </c>
      <c r="C110" s="253" t="s">
        <v>235</v>
      </c>
      <c r="D110" s="254">
        <v>50.15</v>
      </c>
      <c r="E110" s="255">
        <v>99096.4</v>
      </c>
      <c r="F110" s="263"/>
      <c r="G110" s="255">
        <v>0</v>
      </c>
      <c r="H110" s="256">
        <v>0.17499999999999999</v>
      </c>
      <c r="I110" s="255">
        <v>1333.9899999999998</v>
      </c>
      <c r="J110" s="255"/>
      <c r="K110" s="255">
        <v>100430.39</v>
      </c>
      <c r="L110" s="257">
        <v>50.825096153846154</v>
      </c>
      <c r="M110" s="258">
        <v>101000</v>
      </c>
      <c r="N110" s="259">
        <v>104912</v>
      </c>
      <c r="O110" s="260">
        <v>3.8732673267326767E-2</v>
      </c>
      <c r="P110" s="248">
        <v>3912</v>
      </c>
      <c r="Q110" s="261"/>
      <c r="R110" s="259">
        <v>104912</v>
      </c>
      <c r="S110" s="262">
        <v>3.8732673267326767E-2</v>
      </c>
    </row>
    <row r="111" spans="1:19">
      <c r="A111" s="243" t="s">
        <v>236</v>
      </c>
      <c r="B111" s="243" t="s">
        <v>420</v>
      </c>
      <c r="C111" s="253" t="s">
        <v>237</v>
      </c>
      <c r="D111" s="254">
        <v>51.24</v>
      </c>
      <c r="E111" s="255">
        <v>101250.24000000001</v>
      </c>
      <c r="F111" s="263"/>
      <c r="G111" s="255">
        <v>0</v>
      </c>
      <c r="H111" s="256">
        <v>0.17499999999999999</v>
      </c>
      <c r="I111" s="255">
        <v>1362.9839999999999</v>
      </c>
      <c r="J111" s="255"/>
      <c r="K111" s="255">
        <v>102613.224</v>
      </c>
      <c r="L111" s="257">
        <v>51.929769230769232</v>
      </c>
      <c r="M111" s="258">
        <v>103000</v>
      </c>
      <c r="N111" s="259">
        <v>106997</v>
      </c>
      <c r="O111" s="260">
        <v>3.8805825242718361E-2</v>
      </c>
      <c r="P111" s="248">
        <v>3997</v>
      </c>
      <c r="Q111" s="261"/>
      <c r="R111" s="259">
        <v>106997</v>
      </c>
      <c r="S111" s="262">
        <v>3.8805825242718361E-2</v>
      </c>
    </row>
    <row r="112" spans="1:19">
      <c r="A112" s="243"/>
      <c r="B112" s="243" t="s">
        <v>421</v>
      </c>
      <c r="C112" s="253" t="s">
        <v>238</v>
      </c>
      <c r="D112" s="254">
        <v>59.85</v>
      </c>
      <c r="E112" s="255">
        <v>118263.6</v>
      </c>
      <c r="F112" s="263"/>
      <c r="G112" s="255">
        <v>0</v>
      </c>
      <c r="H112" s="256">
        <v>0.17499999999999999</v>
      </c>
      <c r="I112" s="255">
        <v>1592.01</v>
      </c>
      <c r="J112" s="255"/>
      <c r="K112" s="255">
        <v>119855.61</v>
      </c>
      <c r="L112" s="257">
        <v>60.65567307692308</v>
      </c>
      <c r="M112" s="258">
        <v>120000</v>
      </c>
      <c r="N112" s="259">
        <v>124668</v>
      </c>
      <c r="O112" s="271">
        <v>3.8899999999999935E-2</v>
      </c>
      <c r="P112" s="248">
        <v>4668</v>
      </c>
      <c r="Q112" s="261"/>
      <c r="R112" s="259"/>
      <c r="S112" s="262"/>
    </row>
    <row r="113" spans="1:19">
      <c r="B113" s="243"/>
      <c r="C113" s="243"/>
      <c r="D113" s="243"/>
      <c r="I113" s="243"/>
      <c r="J113" s="243"/>
      <c r="K113" s="243"/>
      <c r="L113" s="243"/>
      <c r="M113" s="243"/>
      <c r="O113" s="230"/>
      <c r="P113" s="248"/>
    </row>
    <row r="114" spans="1:19" ht="53.25">
      <c r="A114" s="239"/>
      <c r="B114" s="239" t="s">
        <v>239</v>
      </c>
      <c r="C114" s="239"/>
      <c r="D114" s="239"/>
      <c r="E114" s="239"/>
      <c r="F114" s="239"/>
      <c r="G114" s="239"/>
      <c r="H114" s="239"/>
      <c r="I114" s="239"/>
      <c r="J114" s="239"/>
      <c r="K114" s="239"/>
      <c r="L114" s="239"/>
      <c r="M114" s="239"/>
      <c r="N114" s="230">
        <v>1</v>
      </c>
      <c r="O114" s="230" t="s">
        <v>63</v>
      </c>
      <c r="P114" s="248"/>
      <c r="Q114" s="250" t="s">
        <v>64</v>
      </c>
      <c r="R114" s="251"/>
      <c r="S114" s="252" t="s">
        <v>65</v>
      </c>
    </row>
    <row r="115" spans="1:19">
      <c r="A115" s="243" t="s">
        <v>240</v>
      </c>
      <c r="B115" s="243" t="s">
        <v>422</v>
      </c>
      <c r="C115" s="253" t="s">
        <v>241</v>
      </c>
      <c r="D115" s="254">
        <v>24.96</v>
      </c>
      <c r="E115" s="255">
        <v>49320.959999999999</v>
      </c>
      <c r="F115" s="263"/>
      <c r="G115" s="255">
        <v>0</v>
      </c>
      <c r="H115" s="256">
        <v>0.17499999999999999</v>
      </c>
      <c r="I115" s="255">
        <v>663.93599999999992</v>
      </c>
      <c r="J115" s="255"/>
      <c r="K115" s="255">
        <v>49984.896000000001</v>
      </c>
      <c r="L115" s="257">
        <v>25.295999999999999</v>
      </c>
      <c r="M115" s="258">
        <v>50000</v>
      </c>
      <c r="N115" s="259">
        <v>51947</v>
      </c>
      <c r="O115" s="260">
        <v>3.8939999999999975E-2</v>
      </c>
      <c r="P115" s="248">
        <v>1947</v>
      </c>
      <c r="Q115" s="261"/>
      <c r="R115" s="259">
        <v>51947</v>
      </c>
      <c r="S115" s="262">
        <v>3.8939999999999975E-2</v>
      </c>
    </row>
    <row r="116" spans="1:19">
      <c r="A116" s="243" t="s">
        <v>242</v>
      </c>
      <c r="B116" s="243" t="s">
        <v>423</v>
      </c>
      <c r="C116" s="253" t="s">
        <v>243</v>
      </c>
      <c r="D116" s="254">
        <v>25.37</v>
      </c>
      <c r="E116" s="255">
        <v>50131.12</v>
      </c>
      <c r="F116" s="263"/>
      <c r="G116" s="255">
        <v>0</v>
      </c>
      <c r="H116" s="256">
        <v>0.17499999999999999</v>
      </c>
      <c r="I116" s="255">
        <v>674.84199999999998</v>
      </c>
      <c r="J116" s="255"/>
      <c r="K116" s="255">
        <v>50805.962</v>
      </c>
      <c r="L116" s="257">
        <v>25.71151923076923</v>
      </c>
      <c r="M116" s="258">
        <v>51000</v>
      </c>
      <c r="N116" s="259">
        <v>52979</v>
      </c>
      <c r="O116" s="260">
        <v>3.8803921568627553E-2</v>
      </c>
      <c r="P116" s="248">
        <v>1979</v>
      </c>
      <c r="Q116" s="261"/>
      <c r="R116" s="259">
        <v>52979</v>
      </c>
      <c r="S116" s="262">
        <v>3.8803921568627553E-2</v>
      </c>
    </row>
    <row r="117" spans="1:19">
      <c r="A117" s="243" t="s">
        <v>244</v>
      </c>
      <c r="B117" s="243" t="s">
        <v>424</v>
      </c>
      <c r="C117" s="253" t="s">
        <v>245</v>
      </c>
      <c r="D117" s="254">
        <v>25.85</v>
      </c>
      <c r="E117" s="255">
        <v>51079.600000000006</v>
      </c>
      <c r="F117" s="263"/>
      <c r="G117" s="255">
        <v>0</v>
      </c>
      <c r="H117" s="256">
        <v>0.17499999999999999</v>
      </c>
      <c r="I117" s="255">
        <v>687.61</v>
      </c>
      <c r="J117" s="255"/>
      <c r="K117" s="255">
        <v>51767.210000000006</v>
      </c>
      <c r="L117" s="257">
        <v>26.197980769230771</v>
      </c>
      <c r="M117" s="258">
        <v>52000</v>
      </c>
      <c r="N117" s="259">
        <v>54016</v>
      </c>
      <c r="O117" s="260">
        <v>3.8769230769230667E-2</v>
      </c>
      <c r="P117" s="248">
        <v>2016</v>
      </c>
      <c r="Q117" s="261"/>
      <c r="R117" s="259">
        <v>54016</v>
      </c>
      <c r="S117" s="262">
        <v>3.8769230769230667E-2</v>
      </c>
    </row>
    <row r="118" spans="1:19">
      <c r="A118" s="243" t="s">
        <v>246</v>
      </c>
      <c r="B118" s="243" t="s">
        <v>425</v>
      </c>
      <c r="C118" s="253" t="s">
        <v>247</v>
      </c>
      <c r="D118" s="254">
        <v>27.25</v>
      </c>
      <c r="E118" s="255">
        <v>53846</v>
      </c>
      <c r="F118" s="263"/>
      <c r="G118" s="255">
        <v>0</v>
      </c>
      <c r="H118" s="256">
        <v>0.17499999999999999</v>
      </c>
      <c r="I118" s="255">
        <v>724.84999999999991</v>
      </c>
      <c r="J118" s="255"/>
      <c r="K118" s="255">
        <v>54570.85</v>
      </c>
      <c r="L118" s="257">
        <v>27.616826923076921</v>
      </c>
      <c r="M118" s="258">
        <v>55000</v>
      </c>
      <c r="N118" s="259">
        <v>57126</v>
      </c>
      <c r="O118" s="260">
        <v>3.8654545454545497E-2</v>
      </c>
      <c r="P118" s="248">
        <v>2126</v>
      </c>
      <c r="Q118" s="261"/>
      <c r="R118" s="259">
        <v>57126</v>
      </c>
      <c r="S118" s="262">
        <v>3.8654545454545497E-2</v>
      </c>
    </row>
    <row r="119" spans="1:19">
      <c r="A119" s="243" t="s">
        <v>246</v>
      </c>
      <c r="B119" s="243" t="s">
        <v>426</v>
      </c>
      <c r="C119" s="253" t="s">
        <v>248</v>
      </c>
      <c r="D119" s="254">
        <v>27.85</v>
      </c>
      <c r="E119" s="255">
        <v>55031.600000000006</v>
      </c>
      <c r="F119" s="263"/>
      <c r="G119" s="255">
        <v>0</v>
      </c>
      <c r="H119" s="256">
        <v>0.17499999999999999</v>
      </c>
      <c r="I119" s="255">
        <v>740.81</v>
      </c>
      <c r="J119" s="255"/>
      <c r="K119" s="255">
        <v>55772.41</v>
      </c>
      <c r="L119" s="257">
        <v>28.224903846153847</v>
      </c>
      <c r="M119" s="258">
        <v>56000</v>
      </c>
      <c r="N119" s="259">
        <v>58172</v>
      </c>
      <c r="O119" s="260">
        <v>3.8785714285714201E-2</v>
      </c>
      <c r="P119" s="248">
        <v>2172</v>
      </c>
      <c r="Q119" s="261"/>
      <c r="R119" s="259">
        <v>58172</v>
      </c>
      <c r="S119" s="262">
        <v>3.8785714285714201E-2</v>
      </c>
    </row>
    <row r="120" spans="1:19">
      <c r="A120" s="243" t="s">
        <v>16</v>
      </c>
      <c r="B120" s="243" t="s">
        <v>427</v>
      </c>
      <c r="C120" s="253" t="s">
        <v>249</v>
      </c>
      <c r="D120" s="254">
        <v>28.15</v>
      </c>
      <c r="E120" s="255">
        <v>55624.399999999994</v>
      </c>
      <c r="F120" s="263"/>
      <c r="G120" s="255">
        <v>0</v>
      </c>
      <c r="H120" s="256">
        <v>0.17499999999999999</v>
      </c>
      <c r="I120" s="255">
        <v>748.78999999999985</v>
      </c>
      <c r="J120" s="255"/>
      <c r="K120" s="255">
        <v>56373.189999999995</v>
      </c>
      <c r="L120" s="257">
        <v>28.528942307692304</v>
      </c>
      <c r="M120" s="258">
        <v>57000</v>
      </c>
      <c r="N120" s="259">
        <v>59196</v>
      </c>
      <c r="O120" s="260">
        <v>3.8526315789473742E-2</v>
      </c>
      <c r="P120" s="248">
        <v>2196</v>
      </c>
      <c r="Q120" s="261"/>
      <c r="R120" s="259">
        <v>59196</v>
      </c>
      <c r="S120" s="262">
        <v>3.8526315789473742E-2</v>
      </c>
    </row>
    <row r="121" spans="1:19">
      <c r="A121" s="243" t="s">
        <v>16</v>
      </c>
      <c r="B121" s="243" t="s">
        <v>428</v>
      </c>
      <c r="C121" s="253" t="s">
        <v>250</v>
      </c>
      <c r="D121" s="254">
        <v>28.75</v>
      </c>
      <c r="E121" s="255">
        <v>56810</v>
      </c>
      <c r="F121" s="263"/>
      <c r="G121" s="255">
        <v>0</v>
      </c>
      <c r="H121" s="256">
        <v>0.17499999999999999</v>
      </c>
      <c r="I121" s="255">
        <v>764.75</v>
      </c>
      <c r="J121" s="255"/>
      <c r="K121" s="255">
        <v>57574.75</v>
      </c>
      <c r="L121" s="257">
        <v>29.13701923076923</v>
      </c>
      <c r="M121" s="258">
        <v>58000</v>
      </c>
      <c r="N121" s="259">
        <v>60243</v>
      </c>
      <c r="O121" s="260">
        <v>3.8672413793103377E-2</v>
      </c>
      <c r="P121" s="248">
        <v>2243</v>
      </c>
      <c r="Q121" s="261"/>
      <c r="R121" s="259">
        <v>60243</v>
      </c>
      <c r="S121" s="262">
        <v>3.8672413793103377E-2</v>
      </c>
    </row>
    <row r="122" spans="1:19">
      <c r="A122" s="243" t="s">
        <v>17</v>
      </c>
      <c r="B122" s="243" t="s">
        <v>429</v>
      </c>
      <c r="C122" s="253" t="s">
        <v>251</v>
      </c>
      <c r="D122" s="254">
        <v>30.14</v>
      </c>
      <c r="E122" s="255">
        <v>59556.639999999999</v>
      </c>
      <c r="F122" s="263"/>
      <c r="G122" s="255">
        <v>0</v>
      </c>
      <c r="H122" s="256">
        <v>0.17499999999999999</v>
      </c>
      <c r="I122" s="255">
        <v>801.72399999999993</v>
      </c>
      <c r="J122" s="255"/>
      <c r="K122" s="255">
        <v>60358.364000000001</v>
      </c>
      <c r="L122" s="257">
        <v>30.545730769230769</v>
      </c>
      <c r="M122" s="258">
        <v>61000</v>
      </c>
      <c r="N122" s="259">
        <v>63351</v>
      </c>
      <c r="O122" s="260">
        <v>3.8540983606557333E-2</v>
      </c>
      <c r="P122" s="248">
        <v>2351</v>
      </c>
      <c r="Q122" s="261"/>
      <c r="R122" s="259">
        <v>63351</v>
      </c>
      <c r="S122" s="262">
        <v>3.8540983606557333E-2</v>
      </c>
    </row>
    <row r="123" spans="1:19">
      <c r="A123" s="243" t="s">
        <v>17</v>
      </c>
      <c r="B123" s="243" t="s">
        <v>430</v>
      </c>
      <c r="C123" s="253" t="s">
        <v>252</v>
      </c>
      <c r="D123" s="254">
        <v>30.74</v>
      </c>
      <c r="E123" s="255">
        <v>60742.239999999998</v>
      </c>
      <c r="F123" s="263"/>
      <c r="G123" s="255">
        <v>0</v>
      </c>
      <c r="H123" s="256">
        <v>0.17499999999999999</v>
      </c>
      <c r="I123" s="255">
        <v>817.68399999999986</v>
      </c>
      <c r="J123" s="255"/>
      <c r="K123" s="255">
        <v>61559.923999999999</v>
      </c>
      <c r="L123" s="257">
        <v>31.153807692307691</v>
      </c>
      <c r="M123" s="258">
        <v>62000</v>
      </c>
      <c r="N123" s="259">
        <v>64398</v>
      </c>
      <c r="O123" s="260">
        <v>3.8677419354838705E-2</v>
      </c>
      <c r="P123" s="248">
        <v>2398</v>
      </c>
      <c r="Q123" s="261"/>
      <c r="R123" s="259">
        <v>64398</v>
      </c>
      <c r="S123" s="262">
        <v>3.8677419354838705E-2</v>
      </c>
    </row>
    <row r="124" spans="1:19">
      <c r="A124" s="243" t="s">
        <v>253</v>
      </c>
      <c r="B124" s="243" t="s">
        <v>431</v>
      </c>
      <c r="C124" s="253" t="s">
        <v>254</v>
      </c>
      <c r="D124" s="254">
        <v>31.97</v>
      </c>
      <c r="E124" s="255">
        <v>63172.72</v>
      </c>
      <c r="F124" s="263"/>
      <c r="G124" s="255">
        <v>0</v>
      </c>
      <c r="H124" s="256">
        <v>0.17499999999999999</v>
      </c>
      <c r="I124" s="255">
        <v>850.40199999999993</v>
      </c>
      <c r="J124" s="255"/>
      <c r="K124" s="255">
        <v>64023.122000000003</v>
      </c>
      <c r="L124" s="257">
        <v>32.400365384615384</v>
      </c>
      <c r="M124" s="258">
        <v>65000</v>
      </c>
      <c r="N124" s="259">
        <v>67494</v>
      </c>
      <c r="O124" s="260">
        <v>3.8369230769230711E-2</v>
      </c>
      <c r="P124" s="248">
        <v>2494</v>
      </c>
      <c r="Q124" s="261"/>
      <c r="R124" s="259">
        <v>67494</v>
      </c>
      <c r="S124" s="262">
        <v>3.8369230769230711E-2</v>
      </c>
    </row>
    <row r="125" spans="1:19">
      <c r="B125" s="243"/>
      <c r="C125" s="243"/>
      <c r="D125" s="243"/>
      <c r="I125" s="243"/>
      <c r="J125" s="243"/>
      <c r="K125" s="243"/>
      <c r="L125" s="243"/>
      <c r="M125" s="243"/>
      <c r="O125" s="230"/>
      <c r="P125" s="248"/>
    </row>
    <row r="126" spans="1:19" ht="53.25">
      <c r="A126" s="239"/>
      <c r="B126" s="239" t="s">
        <v>255</v>
      </c>
      <c r="C126" s="239"/>
      <c r="D126" s="239"/>
      <c r="E126" s="239"/>
      <c r="F126" s="239"/>
      <c r="G126" s="239"/>
      <c r="H126" s="239"/>
      <c r="I126" s="239"/>
      <c r="J126" s="239"/>
      <c r="K126" s="239"/>
      <c r="L126" s="239"/>
      <c r="M126" s="239"/>
      <c r="N126" s="230">
        <v>1</v>
      </c>
      <c r="O126" s="230" t="s">
        <v>63</v>
      </c>
      <c r="P126" s="248"/>
      <c r="Q126" s="250" t="s">
        <v>64</v>
      </c>
      <c r="R126" s="251"/>
      <c r="S126" s="252" t="s">
        <v>65</v>
      </c>
    </row>
    <row r="127" spans="1:19">
      <c r="A127" s="243" t="s">
        <v>256</v>
      </c>
      <c r="B127" s="243" t="s">
        <v>432</v>
      </c>
      <c r="C127" s="253" t="s">
        <v>257</v>
      </c>
      <c r="D127" s="266">
        <v>63.325850000000003</v>
      </c>
      <c r="E127" s="267">
        <v>125131.8796</v>
      </c>
      <c r="F127" s="250">
        <v>5</v>
      </c>
      <c r="G127" s="255">
        <v>2406.3822999999998</v>
      </c>
      <c r="H127" s="256">
        <v>0.17499999999999999</v>
      </c>
      <c r="I127" s="255">
        <v>2105.5845125000001</v>
      </c>
      <c r="J127" s="255"/>
      <c r="K127" s="255">
        <v>129643.8464125</v>
      </c>
      <c r="L127" s="257">
        <v>65.60923401442308</v>
      </c>
      <c r="M127" s="258">
        <v>130000</v>
      </c>
      <c r="N127" s="259">
        <v>134939</v>
      </c>
      <c r="O127" s="260">
        <v>3.7992307692307659E-2</v>
      </c>
      <c r="P127" s="248">
        <v>4939</v>
      </c>
      <c r="Q127" s="261"/>
      <c r="R127" s="259">
        <v>134939</v>
      </c>
      <c r="S127" s="262">
        <v>3.7992307692307659E-2</v>
      </c>
    </row>
    <row r="128" spans="1:19">
      <c r="B128" s="243"/>
      <c r="C128" s="243"/>
      <c r="D128" s="243"/>
      <c r="I128" s="243"/>
      <c r="J128" s="243"/>
      <c r="K128" s="243"/>
      <c r="L128" s="243"/>
      <c r="M128" s="243"/>
      <c r="O128" s="230"/>
      <c r="P128" s="248"/>
    </row>
    <row r="129" spans="1:19" ht="53.25">
      <c r="A129" s="239"/>
      <c r="B129" s="239" t="s">
        <v>258</v>
      </c>
      <c r="C129" s="239"/>
      <c r="D129" s="239"/>
      <c r="E129" s="239"/>
      <c r="F129" s="239"/>
      <c r="G129" s="239"/>
      <c r="H129" s="239"/>
      <c r="I129" s="239"/>
      <c r="J129" s="239"/>
      <c r="K129" s="239"/>
      <c r="L129" s="239"/>
      <c r="M129" s="239"/>
      <c r="N129" s="230">
        <v>1</v>
      </c>
      <c r="O129" s="230" t="s">
        <v>63</v>
      </c>
      <c r="P129" s="248"/>
      <c r="Q129" s="250" t="s">
        <v>64</v>
      </c>
      <c r="R129" s="251"/>
      <c r="S129" s="252" t="s">
        <v>65</v>
      </c>
    </row>
    <row r="130" spans="1:19">
      <c r="A130" s="243" t="s">
        <v>259</v>
      </c>
      <c r="B130" s="243" t="s">
        <v>433</v>
      </c>
      <c r="C130" s="253" t="s">
        <v>260</v>
      </c>
      <c r="D130" s="266">
        <v>27.776800000000001</v>
      </c>
      <c r="E130" s="267">
        <v>54886.9568</v>
      </c>
      <c r="F130" s="252"/>
      <c r="G130" s="255">
        <v>0</v>
      </c>
      <c r="H130" s="256">
        <v>0.17499999999999999</v>
      </c>
      <c r="I130" s="255">
        <v>738.8628799999999</v>
      </c>
      <c r="J130" s="255"/>
      <c r="K130" s="255">
        <v>55625.819680000001</v>
      </c>
      <c r="L130" s="257">
        <v>28.15071846153846</v>
      </c>
      <c r="M130" s="258">
        <v>56000</v>
      </c>
      <c r="N130" s="259">
        <v>58167</v>
      </c>
      <c r="O130" s="260">
        <v>3.8696428571428632E-2</v>
      </c>
      <c r="P130" s="248">
        <v>2167</v>
      </c>
      <c r="Q130" s="261"/>
      <c r="R130" s="259">
        <v>58167</v>
      </c>
      <c r="S130" s="262">
        <v>3.8696428571428632E-2</v>
      </c>
    </row>
    <row r="131" spans="1:19">
      <c r="A131" s="243" t="s">
        <v>259</v>
      </c>
      <c r="B131" s="243" t="s">
        <v>434</v>
      </c>
      <c r="C131" s="253" t="s">
        <v>261</v>
      </c>
      <c r="D131" s="266">
        <v>28.34347</v>
      </c>
      <c r="E131" s="267">
        <v>56006.69672</v>
      </c>
      <c r="F131" s="252"/>
      <c r="G131" s="255">
        <v>0</v>
      </c>
      <c r="H131" s="256">
        <v>0.17499999999999999</v>
      </c>
      <c r="I131" s="255">
        <v>753.93630199999996</v>
      </c>
      <c r="J131" s="255"/>
      <c r="K131" s="255">
        <v>56760.633022000002</v>
      </c>
      <c r="L131" s="257">
        <v>28.725016711538462</v>
      </c>
      <c r="M131" s="258">
        <v>57000</v>
      </c>
      <c r="N131" s="259">
        <v>59211</v>
      </c>
      <c r="O131" s="260">
        <v>3.8789473684210485E-2</v>
      </c>
      <c r="P131" s="248">
        <v>2211</v>
      </c>
      <c r="Q131" s="261"/>
      <c r="R131" s="259">
        <v>59211</v>
      </c>
      <c r="S131" s="262">
        <v>3.8789473684210485E-2</v>
      </c>
    </row>
    <row r="132" spans="1:19">
      <c r="A132" s="243" t="s">
        <v>259</v>
      </c>
      <c r="B132" s="243" t="s">
        <v>435</v>
      </c>
      <c r="C132" s="253" t="s">
        <v>262</v>
      </c>
      <c r="D132" s="266">
        <v>28.89218</v>
      </c>
      <c r="E132" s="267">
        <v>57090.947679999997</v>
      </c>
      <c r="F132" s="252"/>
      <c r="G132" s="255">
        <v>0</v>
      </c>
      <c r="H132" s="256">
        <v>0.17499999999999999</v>
      </c>
      <c r="I132" s="255">
        <v>768.53198799999996</v>
      </c>
      <c r="J132" s="255"/>
      <c r="K132" s="255">
        <v>57859.479668</v>
      </c>
      <c r="L132" s="257">
        <v>29.281113192307693</v>
      </c>
      <c r="M132" s="258">
        <v>58000</v>
      </c>
      <c r="N132" s="259">
        <v>60254</v>
      </c>
      <c r="O132" s="260">
        <v>3.8862068965517249E-2</v>
      </c>
      <c r="P132" s="248">
        <v>2254</v>
      </c>
      <c r="Q132" s="261"/>
      <c r="R132" s="259">
        <v>60254</v>
      </c>
      <c r="S132" s="262">
        <v>3.8862068965517249E-2</v>
      </c>
    </row>
    <row r="133" spans="1:19">
      <c r="A133" s="243" t="s">
        <v>259</v>
      </c>
      <c r="B133" s="243" t="s">
        <v>436</v>
      </c>
      <c r="C133" s="253" t="s">
        <v>263</v>
      </c>
      <c r="D133" s="266">
        <v>29.177800000000001</v>
      </c>
      <c r="E133" s="267">
        <v>57655.332800000004</v>
      </c>
      <c r="F133" s="252"/>
      <c r="G133" s="255">
        <v>0</v>
      </c>
      <c r="H133" s="256">
        <v>0.17499999999999999</v>
      </c>
      <c r="I133" s="255">
        <v>776.12947999999994</v>
      </c>
      <c r="J133" s="255"/>
      <c r="K133" s="255">
        <v>58431.462280000007</v>
      </c>
      <c r="L133" s="257">
        <v>29.570578076923081</v>
      </c>
      <c r="M133" s="258">
        <v>59000</v>
      </c>
      <c r="N133" s="259">
        <v>61276</v>
      </c>
      <c r="O133" s="260">
        <v>3.8576271186440581E-2</v>
      </c>
      <c r="P133" s="248">
        <v>2276</v>
      </c>
      <c r="Q133" s="261"/>
      <c r="R133" s="259">
        <v>61276</v>
      </c>
      <c r="S133" s="262">
        <v>3.8576271186440581E-2</v>
      </c>
    </row>
    <row r="134" spans="1:19">
      <c r="A134" s="243" t="s">
        <v>264</v>
      </c>
      <c r="B134" s="243" t="s">
        <v>437</v>
      </c>
      <c r="C134" s="253" t="s">
        <v>265</v>
      </c>
      <c r="D134" s="266">
        <v>30.832360000000001</v>
      </c>
      <c r="E134" s="267">
        <v>60924.74336</v>
      </c>
      <c r="F134" s="252"/>
      <c r="G134" s="255">
        <v>0</v>
      </c>
      <c r="H134" s="256">
        <v>0.17499999999999999</v>
      </c>
      <c r="I134" s="255">
        <v>820.14077599999996</v>
      </c>
      <c r="J134" s="255"/>
      <c r="K134" s="255">
        <v>61744.884136000001</v>
      </c>
      <c r="L134" s="257">
        <v>31.247411</v>
      </c>
      <c r="M134" s="258">
        <v>62000</v>
      </c>
      <c r="N134" s="259">
        <v>64405</v>
      </c>
      <c r="O134" s="260">
        <v>3.8790322580645187E-2</v>
      </c>
      <c r="P134" s="248">
        <v>2405</v>
      </c>
      <c r="Q134" s="261"/>
      <c r="R134" s="259">
        <v>64405</v>
      </c>
      <c r="S134" s="262">
        <v>3.8790322580645187E-2</v>
      </c>
    </row>
    <row r="135" spans="1:19">
      <c r="A135" s="243" t="s">
        <v>264</v>
      </c>
      <c r="B135" s="243" t="s">
        <v>438</v>
      </c>
      <c r="C135" s="253" t="s">
        <v>266</v>
      </c>
      <c r="D135" s="266">
        <v>31.666989999999998</v>
      </c>
      <c r="E135" s="267">
        <v>62573.972239999996</v>
      </c>
      <c r="F135" s="252"/>
      <c r="G135" s="255">
        <v>0</v>
      </c>
      <c r="H135" s="256">
        <v>0.17499999999999999</v>
      </c>
      <c r="I135" s="255">
        <v>842.34193399999981</v>
      </c>
      <c r="J135" s="255"/>
      <c r="K135" s="255">
        <v>63416.314173999992</v>
      </c>
      <c r="L135" s="257">
        <v>32.093276403846147</v>
      </c>
      <c r="M135" s="258">
        <v>64000</v>
      </c>
      <c r="N135" s="259">
        <v>66470</v>
      </c>
      <c r="O135" s="260">
        <v>3.8593749999999982E-2</v>
      </c>
      <c r="P135" s="248">
        <v>2470</v>
      </c>
      <c r="Q135" s="261"/>
      <c r="R135" s="259">
        <v>66470</v>
      </c>
      <c r="S135" s="262">
        <v>3.8593749999999982E-2</v>
      </c>
    </row>
    <row r="136" spans="1:19">
      <c r="A136" s="243" t="s">
        <v>267</v>
      </c>
      <c r="B136" s="243" t="s">
        <v>439</v>
      </c>
      <c r="C136" s="253" t="s">
        <v>268</v>
      </c>
      <c r="D136" s="266">
        <v>32.224730000000001</v>
      </c>
      <c r="E136" s="267">
        <v>63676.066480000001</v>
      </c>
      <c r="F136" s="252"/>
      <c r="G136" s="255">
        <v>0</v>
      </c>
      <c r="H136" s="256">
        <v>0.17499999999999999</v>
      </c>
      <c r="I136" s="255">
        <v>857.17781799999989</v>
      </c>
      <c r="J136" s="255"/>
      <c r="K136" s="255">
        <v>64533.244297999998</v>
      </c>
      <c r="L136" s="257">
        <v>32.658524442307694</v>
      </c>
      <c r="M136" s="258">
        <v>65000</v>
      </c>
      <c r="N136" s="259">
        <v>67514</v>
      </c>
      <c r="O136" s="260">
        <v>3.8676923076923053E-2</v>
      </c>
      <c r="P136" s="248">
        <v>2514</v>
      </c>
      <c r="Q136" s="261"/>
      <c r="R136" s="259">
        <v>67514</v>
      </c>
      <c r="S136" s="262">
        <v>3.8676923076923053E-2</v>
      </c>
    </row>
    <row r="137" spans="1:19">
      <c r="A137" s="243" t="s">
        <v>267</v>
      </c>
      <c r="B137" s="243" t="s">
        <v>440</v>
      </c>
      <c r="C137" s="253" t="s">
        <v>269</v>
      </c>
      <c r="D137" s="266">
        <v>33.050130000000003</v>
      </c>
      <c r="E137" s="267">
        <v>65307.056880000004</v>
      </c>
      <c r="F137" s="252"/>
      <c r="G137" s="255">
        <v>0</v>
      </c>
      <c r="H137" s="256">
        <v>0.17499999999999999</v>
      </c>
      <c r="I137" s="255">
        <v>879.13345800000002</v>
      </c>
      <c r="J137" s="255"/>
      <c r="K137" s="255">
        <v>66186.190338</v>
      </c>
      <c r="L137" s="257">
        <v>33.495035596153848</v>
      </c>
      <c r="M137" s="258">
        <v>67000</v>
      </c>
      <c r="N137" s="259">
        <v>69578</v>
      </c>
      <c r="O137" s="260">
        <v>3.8477611940298528E-2</v>
      </c>
      <c r="P137" s="248">
        <v>2578</v>
      </c>
      <c r="Q137" s="261"/>
      <c r="R137" s="259">
        <v>69578</v>
      </c>
      <c r="S137" s="262">
        <v>3.8477611940298528E-2</v>
      </c>
    </row>
    <row r="138" spans="1:19">
      <c r="A138" s="243" t="s">
        <v>270</v>
      </c>
      <c r="B138" s="243" t="s">
        <v>441</v>
      </c>
      <c r="C138" s="253" t="s">
        <v>271</v>
      </c>
      <c r="D138" s="266">
        <v>34.999740000000003</v>
      </c>
      <c r="E138" s="267">
        <v>69159.486239999998</v>
      </c>
      <c r="F138" s="252"/>
      <c r="G138" s="255">
        <v>0</v>
      </c>
      <c r="H138" s="256">
        <v>0.17499999999999999</v>
      </c>
      <c r="I138" s="255">
        <v>930.99308399999984</v>
      </c>
      <c r="J138" s="255"/>
      <c r="K138" s="255">
        <v>70090.479324</v>
      </c>
      <c r="L138" s="257">
        <v>35.470890346153844</v>
      </c>
      <c r="M138" s="258">
        <v>71000</v>
      </c>
      <c r="N138" s="259">
        <v>73730</v>
      </c>
      <c r="O138" s="260">
        <v>3.8450704225352128E-2</v>
      </c>
      <c r="P138" s="248">
        <v>2730</v>
      </c>
      <c r="Q138" s="261"/>
      <c r="R138" s="259">
        <v>73730</v>
      </c>
      <c r="S138" s="262">
        <v>3.8450704225352128E-2</v>
      </c>
    </row>
    <row r="139" spans="1:19">
      <c r="A139" s="243" t="s">
        <v>270</v>
      </c>
      <c r="B139" s="243" t="s">
        <v>442</v>
      </c>
      <c r="C139" s="253" t="s">
        <v>272</v>
      </c>
      <c r="D139" s="266">
        <v>35.825040000000001</v>
      </c>
      <c r="E139" s="267">
        <v>70790.279040000009</v>
      </c>
      <c r="F139" s="252"/>
      <c r="G139" s="255">
        <v>0</v>
      </c>
      <c r="H139" s="256">
        <v>0.17499999999999999</v>
      </c>
      <c r="I139" s="255">
        <v>952.94606400000009</v>
      </c>
      <c r="J139" s="255"/>
      <c r="K139" s="255">
        <v>71743.225104000012</v>
      </c>
      <c r="L139" s="257">
        <v>36.307300153846157</v>
      </c>
      <c r="M139" s="258">
        <v>72000</v>
      </c>
      <c r="N139" s="259">
        <v>74794</v>
      </c>
      <c r="O139" s="260">
        <v>3.8805555555555538E-2</v>
      </c>
      <c r="P139" s="248">
        <v>2794</v>
      </c>
      <c r="Q139" s="261"/>
      <c r="R139" s="259">
        <v>74794</v>
      </c>
      <c r="S139" s="262">
        <v>3.8805555555555538E-2</v>
      </c>
    </row>
    <row r="140" spans="1:19">
      <c r="A140" s="243" t="s">
        <v>273</v>
      </c>
      <c r="B140" s="243" t="s">
        <v>443</v>
      </c>
      <c r="C140" s="253" t="s">
        <v>274</v>
      </c>
      <c r="D140" s="266">
        <v>37.539369999999998</v>
      </c>
      <c r="E140" s="267">
        <v>74177.795119999995</v>
      </c>
      <c r="F140" s="252"/>
      <c r="G140" s="255">
        <v>0</v>
      </c>
      <c r="H140" s="256">
        <v>0.17499999999999999</v>
      </c>
      <c r="I140" s="255">
        <v>998.54724199999976</v>
      </c>
      <c r="J140" s="255"/>
      <c r="K140" s="255">
        <v>75176.342361999996</v>
      </c>
      <c r="L140" s="257">
        <v>38.044707673076921</v>
      </c>
      <c r="M140" s="258">
        <v>76000</v>
      </c>
      <c r="N140" s="259">
        <v>78928</v>
      </c>
      <c r="O140" s="260">
        <v>3.8526315789473742E-2</v>
      </c>
      <c r="P140" s="248">
        <v>2928</v>
      </c>
      <c r="Q140" s="261"/>
      <c r="R140" s="259">
        <v>78928</v>
      </c>
      <c r="S140" s="262">
        <v>3.8526315789473742E-2</v>
      </c>
    </row>
    <row r="141" spans="1:19">
      <c r="A141" s="243" t="s">
        <v>264</v>
      </c>
      <c r="B141" s="243" t="s">
        <v>444</v>
      </c>
      <c r="C141" s="253" t="s">
        <v>275</v>
      </c>
      <c r="D141" s="266">
        <v>35.576259999999998</v>
      </c>
      <c r="E141" s="267">
        <v>70298.689759999994</v>
      </c>
      <c r="F141" s="252"/>
      <c r="G141" s="255">
        <v>0</v>
      </c>
      <c r="H141" s="256">
        <v>0.17499999999999999</v>
      </c>
      <c r="I141" s="255">
        <v>946.32851599999992</v>
      </c>
      <c r="J141" s="255"/>
      <c r="K141" s="255">
        <v>71245.018275999988</v>
      </c>
      <c r="L141" s="257">
        <v>36.055171192307689</v>
      </c>
      <c r="M141" s="258">
        <v>72000</v>
      </c>
      <c r="N141" s="259">
        <v>74775</v>
      </c>
      <c r="O141" s="260">
        <v>3.8541666666666696E-2</v>
      </c>
      <c r="P141" s="248">
        <v>2775</v>
      </c>
      <c r="Q141" s="261"/>
      <c r="R141" s="259">
        <v>74775</v>
      </c>
      <c r="S141" s="262">
        <v>3.8541666666666696E-2</v>
      </c>
    </row>
    <row r="142" spans="1:19">
      <c r="A142" s="243" t="s">
        <v>267</v>
      </c>
      <c r="B142" s="243" t="s">
        <v>445</v>
      </c>
      <c r="C142" s="253" t="s">
        <v>276</v>
      </c>
      <c r="D142" s="266">
        <v>39.862299999999998</v>
      </c>
      <c r="E142" s="267">
        <v>78767.904799999989</v>
      </c>
      <c r="F142" s="252"/>
      <c r="G142" s="255">
        <v>0</v>
      </c>
      <c r="H142" s="256">
        <v>0.17499999999999999</v>
      </c>
      <c r="I142" s="255">
        <v>1060.3371799999998</v>
      </c>
      <c r="J142" s="255"/>
      <c r="K142" s="255">
        <v>79828.241979999992</v>
      </c>
      <c r="L142" s="257">
        <v>40.398907884615383</v>
      </c>
      <c r="M142" s="258">
        <v>80000</v>
      </c>
      <c r="N142" s="259">
        <v>83109</v>
      </c>
      <c r="O142" s="260">
        <v>3.8862500000000022E-2</v>
      </c>
      <c r="P142" s="248">
        <v>3109</v>
      </c>
      <c r="Q142" s="261"/>
      <c r="R142" s="259">
        <v>83109</v>
      </c>
      <c r="S142" s="262">
        <v>3.8862500000000022E-2</v>
      </c>
    </row>
    <row r="143" spans="1:19">
      <c r="A143" s="243" t="s">
        <v>270</v>
      </c>
      <c r="B143" s="243" t="s">
        <v>446</v>
      </c>
      <c r="C143" s="253" t="s">
        <v>277</v>
      </c>
      <c r="D143" s="266">
        <v>48.465949999999999</v>
      </c>
      <c r="E143" s="267">
        <v>95768.717199999999</v>
      </c>
      <c r="F143" s="252"/>
      <c r="G143" s="255">
        <v>0</v>
      </c>
      <c r="H143" s="256">
        <v>0.17499999999999999</v>
      </c>
      <c r="I143" s="255">
        <v>1289.1942699999997</v>
      </c>
      <c r="J143" s="255"/>
      <c r="K143" s="255">
        <v>97057.911469999992</v>
      </c>
      <c r="L143" s="257">
        <v>49.118376249999997</v>
      </c>
      <c r="M143" s="258">
        <v>98000</v>
      </c>
      <c r="N143" s="259">
        <v>101780</v>
      </c>
      <c r="O143" s="260">
        <v>3.8571428571428479E-2</v>
      </c>
      <c r="P143" s="248">
        <v>3780</v>
      </c>
      <c r="Q143" s="261"/>
      <c r="R143" s="259">
        <v>101780</v>
      </c>
      <c r="S143" s="262">
        <v>3.8571428571428479E-2</v>
      </c>
    </row>
    <row r="144" spans="1:19">
      <c r="A144" s="243" t="s">
        <v>273</v>
      </c>
      <c r="B144" s="243" t="s">
        <v>447</v>
      </c>
      <c r="C144" s="253" t="s">
        <v>278</v>
      </c>
      <c r="D144" s="266">
        <v>50.54457</v>
      </c>
      <c r="E144" s="267">
        <v>99876.070319999999</v>
      </c>
      <c r="F144" s="252"/>
      <c r="G144" s="255">
        <v>0</v>
      </c>
      <c r="H144" s="256">
        <v>0.17499999999999999</v>
      </c>
      <c r="I144" s="255">
        <v>1344.4855619999998</v>
      </c>
      <c r="J144" s="255"/>
      <c r="K144" s="255">
        <v>101220.555882</v>
      </c>
      <c r="L144" s="257">
        <v>51.224977673076921</v>
      </c>
      <c r="M144" s="258">
        <v>102000</v>
      </c>
      <c r="N144" s="259">
        <v>105942</v>
      </c>
      <c r="O144" s="260">
        <v>3.8647058823529479E-2</v>
      </c>
      <c r="P144" s="248">
        <v>3942</v>
      </c>
      <c r="Q144" s="261"/>
      <c r="R144" s="259">
        <v>105942</v>
      </c>
      <c r="S144" s="262">
        <v>3.8647058823529479E-2</v>
      </c>
    </row>
    <row r="145" spans="1:19">
      <c r="A145" s="243" t="s">
        <v>259</v>
      </c>
      <c r="B145" s="243" t="s">
        <v>448</v>
      </c>
      <c r="C145" s="253" t="s">
        <v>279</v>
      </c>
      <c r="D145" s="266">
        <v>26.82574</v>
      </c>
      <c r="E145" s="267">
        <v>53007.662239999998</v>
      </c>
      <c r="F145" s="252"/>
      <c r="G145" s="255">
        <v>0</v>
      </c>
      <c r="H145" s="256">
        <v>0.17499999999999999</v>
      </c>
      <c r="I145" s="255">
        <v>713.56468399999994</v>
      </c>
      <c r="J145" s="255"/>
      <c r="K145" s="255">
        <v>53721.226923999995</v>
      </c>
      <c r="L145" s="257">
        <v>27.186855730769228</v>
      </c>
      <c r="M145" s="258">
        <v>54000</v>
      </c>
      <c r="N145" s="259">
        <v>56092</v>
      </c>
      <c r="O145" s="260">
        <v>3.8740740740740742E-2</v>
      </c>
      <c r="P145" s="248">
        <v>2092</v>
      </c>
      <c r="Q145" s="261"/>
      <c r="R145" s="259">
        <v>56092</v>
      </c>
      <c r="S145" s="262">
        <v>3.8740740740740742E-2</v>
      </c>
    </row>
    <row r="146" spans="1:19">
      <c r="A146" s="243" t="s">
        <v>264</v>
      </c>
      <c r="B146" s="243" t="s">
        <v>449</v>
      </c>
      <c r="C146" s="253" t="s">
        <v>280</v>
      </c>
      <c r="D146" s="266">
        <v>28.98434</v>
      </c>
      <c r="E146" s="267">
        <v>57273.055840000001</v>
      </c>
      <c r="F146" s="252"/>
      <c r="G146" s="255">
        <v>0</v>
      </c>
      <c r="H146" s="256">
        <v>0.17499999999999999</v>
      </c>
      <c r="I146" s="255">
        <v>770.98344399999996</v>
      </c>
      <c r="J146" s="255"/>
      <c r="K146" s="255">
        <v>58044.039283999999</v>
      </c>
      <c r="L146" s="257">
        <v>29.374513807692306</v>
      </c>
      <c r="M146" s="258">
        <v>59000</v>
      </c>
      <c r="N146" s="259">
        <v>61261</v>
      </c>
      <c r="O146" s="260">
        <v>3.8322033898305019E-2</v>
      </c>
      <c r="P146" s="248">
        <v>2261</v>
      </c>
      <c r="Q146" s="261"/>
      <c r="R146" s="259">
        <v>61261</v>
      </c>
      <c r="S146" s="262">
        <v>3.8322033898305019E-2</v>
      </c>
    </row>
    <row r="147" spans="1:19">
      <c r="A147" s="243" t="s">
        <v>264</v>
      </c>
      <c r="B147" s="243" t="s">
        <v>450</v>
      </c>
      <c r="C147" s="253" t="s">
        <v>281</v>
      </c>
      <c r="D147" s="266">
        <v>30.834489999999999</v>
      </c>
      <c r="E147" s="267">
        <v>60928.952239999999</v>
      </c>
      <c r="F147" s="252"/>
      <c r="G147" s="255">
        <v>0</v>
      </c>
      <c r="H147" s="256">
        <v>0.17499999999999999</v>
      </c>
      <c r="I147" s="255">
        <v>820.19743399999982</v>
      </c>
      <c r="J147" s="255"/>
      <c r="K147" s="255">
        <v>61749.149674</v>
      </c>
      <c r="L147" s="257">
        <v>31.249569673076923</v>
      </c>
      <c r="M147" s="258">
        <v>62000</v>
      </c>
      <c r="N147" s="259">
        <v>64405</v>
      </c>
      <c r="O147" s="260">
        <v>3.8790322580645187E-2</v>
      </c>
      <c r="P147" s="248">
        <v>2405</v>
      </c>
      <c r="Q147" s="261"/>
      <c r="R147" s="259">
        <v>64405</v>
      </c>
      <c r="S147" s="262">
        <v>3.8790322580645187E-2</v>
      </c>
    </row>
    <row r="148" spans="1:19">
      <c r="A148" s="243" t="s">
        <v>267</v>
      </c>
      <c r="B148" s="243" t="s">
        <v>451</v>
      </c>
      <c r="C148" s="253" t="s">
        <v>282</v>
      </c>
      <c r="D148" s="266">
        <v>35.398029999999999</v>
      </c>
      <c r="E148" s="267">
        <v>69946.507279999991</v>
      </c>
      <c r="F148" s="252"/>
      <c r="G148" s="255">
        <v>0</v>
      </c>
      <c r="H148" s="256">
        <v>0.17499999999999999</v>
      </c>
      <c r="I148" s="255">
        <v>941.58759799999984</v>
      </c>
      <c r="J148" s="255"/>
      <c r="K148" s="255">
        <v>70888.094877999989</v>
      </c>
      <c r="L148" s="257">
        <v>35.874541942307687</v>
      </c>
      <c r="M148" s="258">
        <v>71000</v>
      </c>
      <c r="N148" s="259">
        <v>73761</v>
      </c>
      <c r="O148" s="260">
        <v>3.8887323943662011E-2</v>
      </c>
      <c r="P148" s="248">
        <v>2761</v>
      </c>
      <c r="Q148" s="261"/>
      <c r="R148" s="259">
        <v>73761</v>
      </c>
      <c r="S148" s="262">
        <v>3.8887323943662011E-2</v>
      </c>
    </row>
    <row r="149" spans="1:19">
      <c r="A149" s="243" t="s">
        <v>270</v>
      </c>
      <c r="B149" s="243" t="s">
        <v>452</v>
      </c>
      <c r="C149" s="253" t="s">
        <v>283</v>
      </c>
      <c r="D149" s="266">
        <v>36.257330000000003</v>
      </c>
      <c r="E149" s="267">
        <v>71644.484080000009</v>
      </c>
      <c r="F149" s="252"/>
      <c r="G149" s="255">
        <v>0</v>
      </c>
      <c r="H149" s="256">
        <v>0.17499999999999999</v>
      </c>
      <c r="I149" s="255">
        <v>964.44497800000011</v>
      </c>
      <c r="J149" s="255"/>
      <c r="K149" s="255">
        <v>72608.929058000009</v>
      </c>
      <c r="L149" s="257">
        <v>36.745409442307697</v>
      </c>
      <c r="M149" s="258">
        <v>73000</v>
      </c>
      <c r="N149" s="259">
        <v>75828</v>
      </c>
      <c r="O149" s="260">
        <v>3.873972602739717E-2</v>
      </c>
      <c r="P149" s="248">
        <v>2828</v>
      </c>
      <c r="Q149" s="261"/>
      <c r="R149" s="259">
        <v>75828</v>
      </c>
      <c r="S149" s="262">
        <v>3.873972602739717E-2</v>
      </c>
    </row>
    <row r="150" spans="1:19">
      <c r="A150" s="243" t="s">
        <v>273</v>
      </c>
      <c r="B150" s="243" t="s">
        <v>453</v>
      </c>
      <c r="C150" s="253" t="s">
        <v>284</v>
      </c>
      <c r="D150" s="266">
        <v>36.619889999999998</v>
      </c>
      <c r="E150" s="267">
        <v>72360.90264</v>
      </c>
      <c r="F150" s="252"/>
      <c r="G150" s="255">
        <v>0</v>
      </c>
      <c r="H150" s="256">
        <v>0.17499999999999999</v>
      </c>
      <c r="I150" s="255">
        <v>974.08907399999975</v>
      </c>
      <c r="J150" s="255"/>
      <c r="K150" s="255">
        <v>73334.991714000003</v>
      </c>
      <c r="L150" s="257">
        <v>37.112850057692306</v>
      </c>
      <c r="M150" s="258">
        <v>74000</v>
      </c>
      <c r="N150" s="259">
        <v>76856</v>
      </c>
      <c r="O150" s="260">
        <v>3.8594594594594689E-2</v>
      </c>
      <c r="P150" s="248">
        <v>2856</v>
      </c>
      <c r="Q150" s="261"/>
      <c r="R150" s="259">
        <v>76856</v>
      </c>
      <c r="S150" s="262">
        <v>3.8594594594594689E-2</v>
      </c>
    </row>
    <row r="151" spans="1:19">
      <c r="A151" s="243" t="s">
        <v>285</v>
      </c>
      <c r="B151" s="243" t="s">
        <v>454</v>
      </c>
      <c r="C151" s="253" t="s">
        <v>286</v>
      </c>
      <c r="D151" s="266">
        <v>36.978180000000002</v>
      </c>
      <c r="E151" s="267">
        <v>73068.883679999999</v>
      </c>
      <c r="F151" s="252"/>
      <c r="G151" s="255">
        <v>0</v>
      </c>
      <c r="H151" s="256">
        <v>0.17499999999999999</v>
      </c>
      <c r="I151" s="255">
        <v>983.61958800000014</v>
      </c>
      <c r="J151" s="255"/>
      <c r="K151" s="255">
        <v>74052.503268</v>
      </c>
      <c r="L151" s="257">
        <v>37.475963192307695</v>
      </c>
      <c r="M151" s="258">
        <v>75000</v>
      </c>
      <c r="N151" s="259">
        <v>77884</v>
      </c>
      <c r="O151" s="260">
        <v>3.8453333333333228E-2</v>
      </c>
      <c r="P151" s="248">
        <v>2884</v>
      </c>
      <c r="Q151" s="261"/>
      <c r="R151" s="259">
        <v>77884</v>
      </c>
      <c r="S151" s="262">
        <v>3.8453333333333228E-2</v>
      </c>
    </row>
    <row r="152" spans="1:19">
      <c r="A152" s="243" t="s">
        <v>287</v>
      </c>
      <c r="B152" s="243" t="s">
        <v>455</v>
      </c>
      <c r="C152" s="253" t="s">
        <v>288</v>
      </c>
      <c r="D152" s="266">
        <v>37.902639999999998</v>
      </c>
      <c r="E152" s="267">
        <v>74895.616639999993</v>
      </c>
      <c r="F152" s="252"/>
      <c r="G152" s="255">
        <v>0</v>
      </c>
      <c r="H152" s="256">
        <v>0.17499999999999999</v>
      </c>
      <c r="I152" s="255">
        <v>1008.2102239999998</v>
      </c>
      <c r="J152" s="255"/>
      <c r="K152" s="255">
        <v>75903.826863999988</v>
      </c>
      <c r="L152" s="257">
        <v>38.412867846153837</v>
      </c>
      <c r="M152" s="258">
        <v>76000</v>
      </c>
      <c r="N152" s="259">
        <v>78956</v>
      </c>
      <c r="O152" s="260">
        <v>3.8894736842105315E-2</v>
      </c>
      <c r="P152" s="248">
        <v>2956</v>
      </c>
      <c r="Q152" s="261"/>
      <c r="R152" s="259">
        <v>78956</v>
      </c>
      <c r="S152" s="262">
        <v>3.8894736842105315E-2</v>
      </c>
    </row>
    <row r="153" spans="1:19">
      <c r="A153" s="243" t="s">
        <v>289</v>
      </c>
      <c r="B153" s="243" t="s">
        <v>456</v>
      </c>
      <c r="C153" s="253" t="s">
        <v>290</v>
      </c>
      <c r="D153" s="266">
        <v>38.281739999999999</v>
      </c>
      <c r="E153" s="267">
        <v>75644.718240000002</v>
      </c>
      <c r="F153" s="252"/>
      <c r="G153" s="255">
        <v>0</v>
      </c>
      <c r="H153" s="256">
        <v>0.17499999999999999</v>
      </c>
      <c r="I153" s="255">
        <v>1018.2942839999998</v>
      </c>
      <c r="J153" s="255"/>
      <c r="K153" s="255">
        <v>76663.012524000005</v>
      </c>
      <c r="L153" s="257">
        <v>38.797071115384618</v>
      </c>
      <c r="M153" s="258">
        <v>77000</v>
      </c>
      <c r="N153" s="259">
        <v>79986</v>
      </c>
      <c r="O153" s="260">
        <v>3.8779220779220802E-2</v>
      </c>
      <c r="P153" s="248">
        <v>2986</v>
      </c>
      <c r="Q153" s="261"/>
      <c r="R153" s="259">
        <v>79986</v>
      </c>
      <c r="S153" s="262">
        <v>3.8779220779220802E-2</v>
      </c>
    </row>
    <row r="154" spans="1:19">
      <c r="A154" s="243" t="s">
        <v>291</v>
      </c>
      <c r="B154" s="243" t="s">
        <v>457</v>
      </c>
      <c r="C154" s="253" t="s">
        <v>292</v>
      </c>
      <c r="D154" s="266">
        <v>39.506549999999997</v>
      </c>
      <c r="E154" s="267">
        <v>78064.94279999999</v>
      </c>
      <c r="F154" s="252"/>
      <c r="G154" s="255">
        <v>0</v>
      </c>
      <c r="H154" s="256">
        <v>0.17499999999999999</v>
      </c>
      <c r="I154" s="255">
        <v>1050.8742299999999</v>
      </c>
      <c r="J154" s="255"/>
      <c r="K154" s="255">
        <v>79115.817029999991</v>
      </c>
      <c r="L154" s="257">
        <v>40.038368942307685</v>
      </c>
      <c r="M154" s="258">
        <v>80000</v>
      </c>
      <c r="N154" s="259">
        <v>83082</v>
      </c>
      <c r="O154" s="260">
        <v>3.852499999999992E-2</v>
      </c>
      <c r="P154" s="248">
        <v>3082</v>
      </c>
      <c r="Q154" s="261"/>
      <c r="R154" s="259">
        <v>83082</v>
      </c>
      <c r="S154" s="262">
        <v>3.852499999999992E-2</v>
      </c>
    </row>
    <row r="155" spans="1:19">
      <c r="A155" s="243" t="s">
        <v>293</v>
      </c>
      <c r="B155" s="243" t="s">
        <v>458</v>
      </c>
      <c r="C155" s="253" t="s">
        <v>294</v>
      </c>
      <c r="D155" s="266">
        <v>40.494340000000001</v>
      </c>
      <c r="E155" s="267">
        <v>80016.815839999996</v>
      </c>
      <c r="F155" s="252"/>
      <c r="G155" s="255">
        <v>0</v>
      </c>
      <c r="H155" s="256">
        <v>0.17499999999999999</v>
      </c>
      <c r="I155" s="255">
        <v>1077.1494439999999</v>
      </c>
      <c r="J155" s="255"/>
      <c r="K155" s="255">
        <v>81093.965283999991</v>
      </c>
      <c r="L155" s="257">
        <v>41.03945611538461</v>
      </c>
      <c r="M155" s="258">
        <v>82000</v>
      </c>
      <c r="N155" s="259">
        <v>85159</v>
      </c>
      <c r="O155" s="260">
        <v>3.8524390243902529E-2</v>
      </c>
      <c r="P155" s="248">
        <v>3159</v>
      </c>
      <c r="Q155" s="261"/>
      <c r="R155" s="259">
        <v>85159</v>
      </c>
      <c r="S155" s="262">
        <v>3.8524390243902529E-2</v>
      </c>
    </row>
    <row r="156" spans="1:19">
      <c r="A156" s="243" t="s">
        <v>295</v>
      </c>
      <c r="B156" s="243" t="s">
        <v>459</v>
      </c>
      <c r="C156" s="253" t="s">
        <v>296</v>
      </c>
      <c r="D156" s="266">
        <v>40.899230000000003</v>
      </c>
      <c r="E156" s="267">
        <v>80816.878479999999</v>
      </c>
      <c r="F156" s="252"/>
      <c r="G156" s="255">
        <v>0</v>
      </c>
      <c r="H156" s="256">
        <v>0.17499999999999999</v>
      </c>
      <c r="I156" s="255">
        <v>1087.9195179999999</v>
      </c>
      <c r="J156" s="255"/>
      <c r="K156" s="255">
        <v>81904.797997999995</v>
      </c>
      <c r="L156" s="257">
        <v>41.449796557692302</v>
      </c>
      <c r="M156" s="258">
        <v>82000</v>
      </c>
      <c r="N156" s="259">
        <v>85190</v>
      </c>
      <c r="O156" s="260">
        <v>3.8902439024390167E-2</v>
      </c>
      <c r="P156" s="248">
        <v>3190</v>
      </c>
      <c r="Q156" s="261"/>
      <c r="R156" s="259">
        <v>85190</v>
      </c>
      <c r="S156" s="262">
        <v>3.8902439024390167E-2</v>
      </c>
    </row>
    <row r="157" spans="1:19">
      <c r="A157" s="243" t="s">
        <v>273</v>
      </c>
      <c r="B157" s="243" t="s">
        <v>460</v>
      </c>
      <c r="C157" s="253" t="s">
        <v>297</v>
      </c>
      <c r="D157" s="266">
        <v>30.283650000000002</v>
      </c>
      <c r="E157" s="267">
        <v>59840.492400000003</v>
      </c>
      <c r="F157" s="252"/>
      <c r="G157" s="255">
        <v>0</v>
      </c>
      <c r="H157" s="256">
        <v>0.17499999999999999</v>
      </c>
      <c r="I157" s="255">
        <v>805.54508999999996</v>
      </c>
      <c r="J157" s="255"/>
      <c r="K157" s="255">
        <v>60646.037490000002</v>
      </c>
      <c r="L157" s="257">
        <v>30.691314519230769</v>
      </c>
      <c r="M157" s="258">
        <v>61000</v>
      </c>
      <c r="N157" s="259">
        <v>63362</v>
      </c>
      <c r="O157" s="260">
        <v>3.8721311475409914E-2</v>
      </c>
      <c r="P157" s="248">
        <v>2362</v>
      </c>
      <c r="Q157" s="261"/>
      <c r="R157" s="259">
        <v>63362</v>
      </c>
      <c r="S157" s="262">
        <v>3.8721311475409914E-2</v>
      </c>
    </row>
    <row r="158" spans="1:19">
      <c r="B158" s="243"/>
      <c r="C158" s="243"/>
      <c r="D158" s="243"/>
      <c r="I158" s="243"/>
      <c r="J158" s="243"/>
      <c r="K158" s="243"/>
      <c r="L158" s="243"/>
      <c r="M158" s="243"/>
      <c r="O158" s="230"/>
      <c r="P158" s="248"/>
    </row>
    <row r="159" spans="1:19" ht="53.25">
      <c r="A159" s="239"/>
      <c r="B159" s="239" t="s">
        <v>298</v>
      </c>
      <c r="C159" s="239"/>
      <c r="D159" s="239"/>
      <c r="E159" s="239"/>
      <c r="F159" s="229" t="s">
        <v>299</v>
      </c>
      <c r="G159" s="239"/>
      <c r="H159" s="239"/>
      <c r="I159" s="239"/>
      <c r="J159" s="239"/>
      <c r="K159" s="239"/>
      <c r="L159" s="239"/>
      <c r="M159" s="239"/>
      <c r="N159" s="230">
        <v>1</v>
      </c>
      <c r="O159" s="230" t="s">
        <v>63</v>
      </c>
      <c r="P159" s="248"/>
      <c r="Q159" s="250" t="s">
        <v>64</v>
      </c>
      <c r="R159" s="251"/>
      <c r="S159" s="252" t="s">
        <v>65</v>
      </c>
    </row>
    <row r="160" spans="1:19">
      <c r="A160" s="243" t="s">
        <v>300</v>
      </c>
      <c r="B160" s="243" t="s">
        <v>461</v>
      </c>
      <c r="C160" s="253" t="s">
        <v>301</v>
      </c>
      <c r="D160" s="254">
        <v>38.58</v>
      </c>
      <c r="E160" s="255">
        <v>76234.080000000002</v>
      </c>
      <c r="F160" s="263"/>
      <c r="G160" s="255">
        <v>0</v>
      </c>
      <c r="H160" s="256">
        <v>0.17499999999999999</v>
      </c>
      <c r="I160" s="255">
        <v>1026.2279999999998</v>
      </c>
      <c r="J160" s="255"/>
      <c r="K160" s="255">
        <v>77260.308000000005</v>
      </c>
      <c r="L160" s="255">
        <v>39.099346153846156</v>
      </c>
      <c r="M160" s="258">
        <v>78000</v>
      </c>
      <c r="N160" s="259">
        <v>81009</v>
      </c>
      <c r="O160" s="260">
        <v>3.8576923076923064E-2</v>
      </c>
      <c r="P160" s="248">
        <v>3009</v>
      </c>
      <c r="Q160" s="261"/>
      <c r="R160" s="259">
        <v>81009</v>
      </c>
      <c r="S160" s="262">
        <v>3.8576923076923064E-2</v>
      </c>
    </row>
    <row r="161" spans="1:19">
      <c r="A161" s="243" t="s">
        <v>302</v>
      </c>
      <c r="B161" s="243" t="s">
        <v>462</v>
      </c>
      <c r="C161" s="253" t="s">
        <v>303</v>
      </c>
      <c r="D161" s="254">
        <v>39.659999999999997</v>
      </c>
      <c r="E161" s="255">
        <v>78368.159999999989</v>
      </c>
      <c r="F161" s="263"/>
      <c r="G161" s="255">
        <v>0</v>
      </c>
      <c r="H161" s="256">
        <v>0.17499999999999999</v>
      </c>
      <c r="I161" s="255">
        <v>1054.9559999999997</v>
      </c>
      <c r="J161" s="255"/>
      <c r="K161" s="255">
        <v>79423.115999999995</v>
      </c>
      <c r="L161" s="255">
        <v>40.193884615384611</v>
      </c>
      <c r="M161" s="258">
        <v>80000</v>
      </c>
      <c r="N161" s="259">
        <v>83093</v>
      </c>
      <c r="O161" s="260">
        <v>3.8662500000000044E-2</v>
      </c>
      <c r="P161" s="248">
        <v>3093</v>
      </c>
      <c r="Q161" s="261"/>
      <c r="R161" s="259">
        <v>83093</v>
      </c>
      <c r="S161" s="262">
        <v>3.8662500000000044E-2</v>
      </c>
    </row>
    <row r="162" spans="1:19">
      <c r="A162" s="243" t="s">
        <v>304</v>
      </c>
      <c r="B162" s="243" t="s">
        <v>463</v>
      </c>
      <c r="C162" s="253" t="s">
        <v>305</v>
      </c>
      <c r="D162" s="254">
        <v>40.520000000000003</v>
      </c>
      <c r="E162" s="255">
        <v>80067.520000000004</v>
      </c>
      <c r="F162" s="263"/>
      <c r="G162" s="255">
        <v>0</v>
      </c>
      <c r="H162" s="256">
        <v>0.17499999999999999</v>
      </c>
      <c r="I162" s="255">
        <v>1077.8319999999999</v>
      </c>
      <c r="J162" s="255"/>
      <c r="K162" s="255">
        <v>81145.351999999999</v>
      </c>
      <c r="L162" s="255">
        <v>41.065461538461541</v>
      </c>
      <c r="M162" s="258">
        <v>82000</v>
      </c>
      <c r="N162" s="259">
        <v>85161</v>
      </c>
      <c r="O162" s="260">
        <v>3.8548780487804857E-2</v>
      </c>
      <c r="P162" s="248">
        <v>3161</v>
      </c>
      <c r="Q162" s="261"/>
      <c r="R162" s="259">
        <v>85161</v>
      </c>
      <c r="S162" s="262">
        <v>3.8548780487804857E-2</v>
      </c>
    </row>
    <row r="163" spans="1:19">
      <c r="A163" s="243" t="s">
        <v>306</v>
      </c>
      <c r="B163" s="243" t="s">
        <v>464</v>
      </c>
      <c r="C163" s="253" t="s">
        <v>307</v>
      </c>
      <c r="D163" s="254">
        <v>42.31</v>
      </c>
      <c r="E163" s="255">
        <v>83604.56</v>
      </c>
      <c r="F163" s="263"/>
      <c r="G163" s="255">
        <v>0</v>
      </c>
      <c r="H163" s="256">
        <v>0.17499999999999999</v>
      </c>
      <c r="I163" s="255">
        <v>1125.4459999999999</v>
      </c>
      <c r="J163" s="255"/>
      <c r="K163" s="255">
        <v>84730.005999999994</v>
      </c>
      <c r="L163" s="255">
        <v>42.879557692307692</v>
      </c>
      <c r="M163" s="258">
        <v>85000</v>
      </c>
      <c r="N163" s="259">
        <v>88300</v>
      </c>
      <c r="O163" s="260">
        <v>3.8823529411764701E-2</v>
      </c>
      <c r="P163" s="248">
        <v>3300</v>
      </c>
      <c r="Q163" s="261"/>
      <c r="R163" s="259">
        <v>88300</v>
      </c>
      <c r="S163" s="262">
        <v>3.8823529411764701E-2</v>
      </c>
    </row>
    <row r="164" spans="1:19">
      <c r="A164" s="243" t="s">
        <v>308</v>
      </c>
      <c r="B164" s="243" t="s">
        <v>465</v>
      </c>
      <c r="C164" s="253" t="s">
        <v>309</v>
      </c>
      <c r="D164" s="254">
        <v>43.88</v>
      </c>
      <c r="E164" s="255">
        <v>86706.880000000005</v>
      </c>
      <c r="F164" s="263"/>
      <c r="G164" s="255">
        <v>0</v>
      </c>
      <c r="H164" s="256">
        <v>0.17499999999999999</v>
      </c>
      <c r="I164" s="255">
        <v>1167.2079999999999</v>
      </c>
      <c r="J164" s="255"/>
      <c r="K164" s="255">
        <v>87874.088000000003</v>
      </c>
      <c r="L164" s="255">
        <v>44.47069230769231</v>
      </c>
      <c r="M164" s="258">
        <v>88000</v>
      </c>
      <c r="N164" s="259">
        <v>91423</v>
      </c>
      <c r="O164" s="260">
        <v>3.8897727272727334E-2</v>
      </c>
      <c r="P164" s="248">
        <v>3423</v>
      </c>
      <c r="Q164" s="261"/>
      <c r="R164" s="259">
        <v>91423</v>
      </c>
      <c r="S164" s="262">
        <v>3.8897727272727334E-2</v>
      </c>
    </row>
    <row r="165" spans="1:19">
      <c r="A165" s="243" t="s">
        <v>310</v>
      </c>
      <c r="B165" s="243" t="s">
        <v>466</v>
      </c>
      <c r="C165" s="253" t="s">
        <v>311</v>
      </c>
      <c r="D165" s="254">
        <v>46.71</v>
      </c>
      <c r="E165" s="255">
        <v>92298.96</v>
      </c>
      <c r="F165" s="263"/>
      <c r="G165" s="255">
        <v>0</v>
      </c>
      <c r="H165" s="256">
        <v>0.17499999999999999</v>
      </c>
      <c r="I165" s="255">
        <v>1242.4859999999999</v>
      </c>
      <c r="J165" s="255"/>
      <c r="K165" s="255">
        <v>93541.446000000011</v>
      </c>
      <c r="L165" s="255">
        <v>47.338788461538464</v>
      </c>
      <c r="M165" s="258">
        <v>94000</v>
      </c>
      <c r="N165" s="259">
        <v>97643</v>
      </c>
      <c r="O165" s="260">
        <v>3.8755319148936263E-2</v>
      </c>
      <c r="P165" s="248">
        <v>3643</v>
      </c>
      <c r="Q165" s="261"/>
      <c r="R165" s="259">
        <v>97643</v>
      </c>
      <c r="S165" s="262">
        <v>3.8755319148936263E-2</v>
      </c>
    </row>
    <row r="166" spans="1:19">
      <c r="A166" s="243" t="s">
        <v>312</v>
      </c>
      <c r="B166" s="243" t="s">
        <v>467</v>
      </c>
      <c r="C166" s="253" t="s">
        <v>313</v>
      </c>
      <c r="D166" s="254">
        <v>49.85</v>
      </c>
      <c r="E166" s="255">
        <v>98503.6</v>
      </c>
      <c r="F166" s="263"/>
      <c r="G166" s="255">
        <v>0</v>
      </c>
      <c r="H166" s="256">
        <v>0.17499999999999999</v>
      </c>
      <c r="I166" s="255">
        <v>1326.01</v>
      </c>
      <c r="J166" s="255"/>
      <c r="K166" s="255">
        <v>99829.61</v>
      </c>
      <c r="L166" s="255">
        <v>50.521057692307693</v>
      </c>
      <c r="M166" s="258">
        <v>100000</v>
      </c>
      <c r="N166" s="259">
        <v>103888</v>
      </c>
      <c r="O166" s="260">
        <v>3.8880000000000026E-2</v>
      </c>
      <c r="P166" s="248">
        <v>3888</v>
      </c>
      <c r="Q166" s="261"/>
      <c r="R166" s="259">
        <v>103888</v>
      </c>
      <c r="S166" s="262">
        <v>3.8880000000000026E-2</v>
      </c>
    </row>
    <row r="167" spans="1:19">
      <c r="A167" s="243" t="s">
        <v>314</v>
      </c>
      <c r="B167" s="243" t="s">
        <v>468</v>
      </c>
      <c r="C167" s="253" t="s">
        <v>315</v>
      </c>
      <c r="D167" s="254">
        <v>54.21</v>
      </c>
      <c r="E167" s="255">
        <v>107118.96</v>
      </c>
      <c r="F167" s="263"/>
      <c r="G167" s="255">
        <v>0</v>
      </c>
      <c r="H167" s="256">
        <v>0.17499999999999999</v>
      </c>
      <c r="I167" s="255">
        <v>1441.9859999999999</v>
      </c>
      <c r="J167" s="255"/>
      <c r="K167" s="255">
        <v>108560.94600000001</v>
      </c>
      <c r="L167" s="255">
        <v>54.939750000000004</v>
      </c>
      <c r="M167" s="258">
        <v>109000</v>
      </c>
      <c r="N167" s="259">
        <v>113228</v>
      </c>
      <c r="O167" s="260">
        <v>3.8788990825687986E-2</v>
      </c>
      <c r="P167" s="248">
        <v>4228</v>
      </c>
      <c r="Q167" s="261"/>
      <c r="R167" s="259">
        <v>113228</v>
      </c>
      <c r="S167" s="262">
        <v>3.8788990825687986E-2</v>
      </c>
    </row>
    <row r="168" spans="1:19">
      <c r="A168" s="243" t="s">
        <v>316</v>
      </c>
      <c r="B168" s="243" t="s">
        <v>469</v>
      </c>
      <c r="C168" s="253" t="s">
        <v>317</v>
      </c>
      <c r="D168" s="254">
        <v>59.84</v>
      </c>
      <c r="E168" s="255">
        <v>118243.84000000001</v>
      </c>
      <c r="F168" s="263"/>
      <c r="G168" s="255">
        <v>0</v>
      </c>
      <c r="H168" s="256">
        <v>0.17499999999999999</v>
      </c>
      <c r="I168" s="255">
        <v>1591.7439999999999</v>
      </c>
      <c r="J168" s="255"/>
      <c r="K168" s="255">
        <v>119835.58400000002</v>
      </c>
      <c r="L168" s="255">
        <v>60.645538461538472</v>
      </c>
      <c r="M168" s="258">
        <v>120000</v>
      </c>
      <c r="N168" s="259">
        <v>124668</v>
      </c>
      <c r="O168" s="260">
        <v>3.8899999999999935E-2</v>
      </c>
      <c r="P168" s="248">
        <v>4668</v>
      </c>
      <c r="Q168" s="261"/>
      <c r="R168" s="259">
        <v>124668</v>
      </c>
      <c r="S168" s="262">
        <v>3.8899999999999935E-2</v>
      </c>
    </row>
    <row r="169" spans="1:19">
      <c r="B169" s="243"/>
      <c r="C169" s="243"/>
      <c r="D169" s="243"/>
      <c r="I169" s="243"/>
      <c r="J169" s="243"/>
      <c r="K169" s="243"/>
      <c r="L169" s="243"/>
      <c r="M169" s="243"/>
      <c r="O169" s="230"/>
      <c r="P169" s="248"/>
    </row>
    <row r="170" spans="1:19" ht="53.25">
      <c r="A170" s="239"/>
      <c r="B170" s="239" t="s">
        <v>318</v>
      </c>
      <c r="C170" s="239"/>
      <c r="D170" s="239"/>
      <c r="E170" s="239"/>
      <c r="F170" s="229" t="s">
        <v>299</v>
      </c>
      <c r="G170" s="239"/>
      <c r="H170" s="239"/>
      <c r="I170" s="239"/>
      <c r="J170" s="239"/>
      <c r="K170" s="239"/>
      <c r="L170" s="239"/>
      <c r="M170" s="239"/>
      <c r="N170" s="230">
        <v>1</v>
      </c>
      <c r="O170" s="230" t="s">
        <v>63</v>
      </c>
      <c r="P170" s="248"/>
      <c r="Q170" s="250" t="s">
        <v>64</v>
      </c>
      <c r="R170" s="251"/>
      <c r="S170" s="252" t="s">
        <v>65</v>
      </c>
    </row>
    <row r="171" spans="1:19">
      <c r="A171" s="243" t="s">
        <v>18</v>
      </c>
      <c r="B171" s="243" t="s">
        <v>470</v>
      </c>
      <c r="C171" s="253" t="s">
        <v>18</v>
      </c>
      <c r="D171" s="254">
        <v>22.67</v>
      </c>
      <c r="E171" s="255">
        <v>44795.920000000006</v>
      </c>
      <c r="F171" s="263"/>
      <c r="G171" s="255">
        <v>0</v>
      </c>
      <c r="H171" s="256">
        <v>0.17499999999999999</v>
      </c>
      <c r="I171" s="255">
        <v>603.02199999999993</v>
      </c>
      <c r="J171" s="255"/>
      <c r="K171" s="255">
        <v>45398.942000000003</v>
      </c>
      <c r="L171" s="257">
        <v>22.975173076923078</v>
      </c>
      <c r="M171" s="258">
        <v>46000</v>
      </c>
      <c r="N171" s="259">
        <v>47768</v>
      </c>
      <c r="O171" s="260">
        <v>3.8434782608695706E-2</v>
      </c>
      <c r="P171" s="248">
        <v>1768</v>
      </c>
      <c r="Q171" s="261"/>
      <c r="R171" s="259">
        <v>47768</v>
      </c>
      <c r="S171" s="262">
        <v>3.8434782608695706E-2</v>
      </c>
    </row>
    <row r="172" spans="1:19">
      <c r="A172" s="243" t="s">
        <v>19</v>
      </c>
      <c r="B172" s="243" t="s">
        <v>471</v>
      </c>
      <c r="C172" s="253" t="s">
        <v>19</v>
      </c>
      <c r="D172" s="254">
        <v>23.74</v>
      </c>
      <c r="E172" s="255">
        <v>46910.239999999998</v>
      </c>
      <c r="F172" s="263"/>
      <c r="G172" s="255">
        <v>0</v>
      </c>
      <c r="H172" s="256">
        <v>0.17499999999999999</v>
      </c>
      <c r="I172" s="255">
        <v>631.48399999999992</v>
      </c>
      <c r="J172" s="255"/>
      <c r="K172" s="255">
        <v>47541.723999999995</v>
      </c>
      <c r="L172" s="257">
        <v>24.059576923076921</v>
      </c>
      <c r="M172" s="258">
        <v>48000</v>
      </c>
      <c r="N172" s="259">
        <v>49852</v>
      </c>
      <c r="O172" s="260">
        <v>3.8583333333333414E-2</v>
      </c>
      <c r="P172" s="248">
        <v>1852</v>
      </c>
      <c r="Q172" s="261"/>
      <c r="R172" s="259">
        <v>49852</v>
      </c>
      <c r="S172" s="262">
        <v>3.8583333333333414E-2</v>
      </c>
    </row>
    <row r="173" spans="1:19">
      <c r="A173" s="243" t="s">
        <v>20</v>
      </c>
      <c r="B173" s="243" t="s">
        <v>472</v>
      </c>
      <c r="C173" s="253" t="s">
        <v>20</v>
      </c>
      <c r="D173" s="254">
        <v>24.47</v>
      </c>
      <c r="E173" s="255">
        <v>48352.72</v>
      </c>
      <c r="F173" s="263"/>
      <c r="G173" s="255">
        <v>0</v>
      </c>
      <c r="H173" s="256">
        <v>0.17499999999999999</v>
      </c>
      <c r="I173" s="255">
        <v>650.90199999999993</v>
      </c>
      <c r="J173" s="255"/>
      <c r="K173" s="255">
        <v>49003.622000000003</v>
      </c>
      <c r="L173" s="257">
        <v>24.799403846153847</v>
      </c>
      <c r="M173" s="258">
        <v>50000</v>
      </c>
      <c r="N173" s="259">
        <v>51909</v>
      </c>
      <c r="O173" s="260">
        <v>3.8180000000000103E-2</v>
      </c>
      <c r="P173" s="248">
        <v>1909</v>
      </c>
      <c r="Q173" s="261"/>
      <c r="R173" s="259">
        <v>51909</v>
      </c>
      <c r="S173" s="262">
        <v>3.8180000000000103E-2</v>
      </c>
    </row>
    <row r="174" spans="1:19">
      <c r="A174" s="243" t="s">
        <v>21</v>
      </c>
      <c r="B174" s="243" t="s">
        <v>473</v>
      </c>
      <c r="C174" s="253" t="s">
        <v>21</v>
      </c>
      <c r="D174" s="254">
        <v>24.76</v>
      </c>
      <c r="E174" s="255">
        <v>48925.760000000002</v>
      </c>
      <c r="F174" s="263"/>
      <c r="G174" s="255">
        <v>0</v>
      </c>
      <c r="H174" s="256">
        <v>0.17499999999999999</v>
      </c>
      <c r="I174" s="255">
        <v>658.61599999999999</v>
      </c>
      <c r="J174" s="255"/>
      <c r="K174" s="255">
        <v>49584.376000000004</v>
      </c>
      <c r="L174" s="257">
        <v>25.093307692307693</v>
      </c>
      <c r="M174" s="258">
        <v>50000</v>
      </c>
      <c r="N174" s="259">
        <v>51931</v>
      </c>
      <c r="O174" s="260">
        <v>3.8620000000000099E-2</v>
      </c>
      <c r="P174" s="248">
        <v>1931</v>
      </c>
      <c r="Q174" s="261"/>
      <c r="R174" s="259">
        <v>51931</v>
      </c>
      <c r="S174" s="262">
        <v>3.8620000000000099E-2</v>
      </c>
    </row>
    <row r="175" spans="1:19">
      <c r="A175" s="243" t="s">
        <v>22</v>
      </c>
      <c r="B175" s="243" t="s">
        <v>474</v>
      </c>
      <c r="C175" s="253" t="s">
        <v>22</v>
      </c>
      <c r="D175" s="254">
        <v>25.22</v>
      </c>
      <c r="E175" s="255">
        <v>49834.720000000001</v>
      </c>
      <c r="F175" s="263"/>
      <c r="G175" s="255">
        <v>0</v>
      </c>
      <c r="H175" s="256">
        <v>0.17499999999999999</v>
      </c>
      <c r="I175" s="255">
        <v>670.85199999999986</v>
      </c>
      <c r="J175" s="255"/>
      <c r="K175" s="255">
        <v>50505.572</v>
      </c>
      <c r="L175" s="257">
        <v>25.5595</v>
      </c>
      <c r="M175" s="258">
        <v>51000</v>
      </c>
      <c r="N175" s="259">
        <v>52967</v>
      </c>
      <c r="O175" s="260">
        <v>3.8568627450980442E-2</v>
      </c>
      <c r="P175" s="248">
        <v>1967</v>
      </c>
      <c r="Q175" s="261"/>
      <c r="R175" s="259">
        <v>52967</v>
      </c>
      <c r="S175" s="262">
        <v>3.8568627450980442E-2</v>
      </c>
    </row>
    <row r="176" spans="1:19">
      <c r="A176" s="243" t="s">
        <v>15</v>
      </c>
      <c r="B176" s="243" t="s">
        <v>475</v>
      </c>
      <c r="C176" s="253" t="s">
        <v>15</v>
      </c>
      <c r="D176" s="254">
        <v>26.15</v>
      </c>
      <c r="E176" s="255">
        <v>51672.399999999994</v>
      </c>
      <c r="F176" s="263"/>
      <c r="G176" s="255">
        <v>0</v>
      </c>
      <c r="H176" s="256">
        <v>0.17499999999999999</v>
      </c>
      <c r="I176" s="255">
        <v>695.58999999999992</v>
      </c>
      <c r="J176" s="255"/>
      <c r="K176" s="255">
        <v>52367.989999999991</v>
      </c>
      <c r="L176" s="257">
        <v>26.502019230769225</v>
      </c>
      <c r="M176" s="258">
        <v>53000</v>
      </c>
      <c r="N176" s="259">
        <v>55040</v>
      </c>
      <c r="O176" s="260">
        <v>3.8490566037735929E-2</v>
      </c>
      <c r="P176" s="248">
        <v>2040</v>
      </c>
      <c r="Q176" s="261"/>
      <c r="R176" s="259">
        <v>55040</v>
      </c>
      <c r="S176" s="262">
        <v>3.8490566037735929E-2</v>
      </c>
    </row>
    <row r="177" spans="1:19">
      <c r="A177" s="243" t="s">
        <v>16</v>
      </c>
      <c r="B177" s="243" t="s">
        <v>476</v>
      </c>
      <c r="C177" s="253" t="s">
        <v>16</v>
      </c>
      <c r="D177" s="254">
        <v>27.46</v>
      </c>
      <c r="E177" s="255">
        <v>54260.959999999999</v>
      </c>
      <c r="F177" s="263"/>
      <c r="G177" s="255">
        <v>0</v>
      </c>
      <c r="H177" s="256">
        <v>0.17499999999999999</v>
      </c>
      <c r="I177" s="255">
        <v>730.43599999999992</v>
      </c>
      <c r="J177" s="255"/>
      <c r="K177" s="255">
        <v>54991.396000000001</v>
      </c>
      <c r="L177" s="257">
        <v>27.829653846153846</v>
      </c>
      <c r="M177" s="258">
        <v>55000</v>
      </c>
      <c r="N177" s="259">
        <v>57142</v>
      </c>
      <c r="O177" s="260">
        <v>3.8945454545454616E-2</v>
      </c>
      <c r="P177" s="248">
        <v>2142</v>
      </c>
      <c r="Q177" s="261"/>
      <c r="R177" s="259">
        <v>57142</v>
      </c>
      <c r="S177" s="262">
        <v>3.8945454545454616E-2</v>
      </c>
    </row>
    <row r="178" spans="1:19">
      <c r="A178" s="243" t="s">
        <v>17</v>
      </c>
      <c r="B178" s="243" t="s">
        <v>477</v>
      </c>
      <c r="C178" s="253" t="s">
        <v>17</v>
      </c>
      <c r="D178" s="254">
        <v>28.58</v>
      </c>
      <c r="E178" s="255">
        <v>56474.079999999994</v>
      </c>
      <c r="F178" s="263"/>
      <c r="G178" s="255">
        <v>0</v>
      </c>
      <c r="H178" s="256">
        <v>0.17499999999999999</v>
      </c>
      <c r="I178" s="255">
        <v>760.22799999999995</v>
      </c>
      <c r="J178" s="255"/>
      <c r="K178" s="255">
        <v>57234.307999999997</v>
      </c>
      <c r="L178" s="257">
        <v>28.964730769230769</v>
      </c>
      <c r="M178" s="258">
        <v>58000</v>
      </c>
      <c r="N178" s="259">
        <v>60229</v>
      </c>
      <c r="O178" s="260">
        <v>3.843103448275853E-2</v>
      </c>
      <c r="P178" s="248">
        <v>2229</v>
      </c>
      <c r="Q178" s="261"/>
      <c r="R178" s="259">
        <v>60229</v>
      </c>
      <c r="S178" s="262">
        <v>3.843103448275853E-2</v>
      </c>
    </row>
    <row r="179" spans="1:19">
      <c r="B179" s="243"/>
      <c r="C179" s="243"/>
      <c r="D179" s="243"/>
      <c r="I179" s="243"/>
      <c r="J179" s="243"/>
      <c r="K179" s="243"/>
      <c r="L179" s="243"/>
      <c r="M179" s="243"/>
      <c r="O179" s="230"/>
      <c r="P179" s="248"/>
    </row>
    <row r="180" spans="1:19" ht="53.25">
      <c r="A180" s="239"/>
      <c r="B180" s="239" t="s">
        <v>319</v>
      </c>
      <c r="C180" s="239"/>
      <c r="D180" s="239"/>
      <c r="E180" s="239"/>
      <c r="F180" s="229" t="s">
        <v>299</v>
      </c>
      <c r="G180" s="239"/>
      <c r="H180" s="239"/>
      <c r="I180" s="239"/>
      <c r="J180" s="239"/>
      <c r="K180" s="239"/>
      <c r="L180" s="239"/>
      <c r="M180" s="239"/>
      <c r="N180" s="230">
        <v>1</v>
      </c>
      <c r="O180" s="230" t="s">
        <v>63</v>
      </c>
      <c r="P180" s="248"/>
      <c r="Q180" s="250" t="s">
        <v>64</v>
      </c>
      <c r="R180" s="251"/>
      <c r="S180" s="252" t="s">
        <v>65</v>
      </c>
    </row>
    <row r="181" spans="1:19">
      <c r="A181" s="243" t="s">
        <v>118</v>
      </c>
      <c r="B181" s="243" t="s">
        <v>478</v>
      </c>
      <c r="C181" s="253" t="s">
        <v>320</v>
      </c>
      <c r="D181" s="254">
        <v>23.38</v>
      </c>
      <c r="E181" s="255">
        <v>46198.879999999997</v>
      </c>
      <c r="F181" s="263"/>
      <c r="G181" s="255">
        <v>0</v>
      </c>
      <c r="H181" s="256">
        <v>0.17499999999999999</v>
      </c>
      <c r="I181" s="255">
        <v>621.9079999999999</v>
      </c>
      <c r="J181" s="255"/>
      <c r="K181" s="255">
        <v>46820.788</v>
      </c>
      <c r="L181" s="257">
        <v>23.69473076923077</v>
      </c>
      <c r="M181" s="258">
        <v>47000</v>
      </c>
      <c r="N181" s="259">
        <v>48824</v>
      </c>
      <c r="O181" s="260">
        <v>3.8808510638297822E-2</v>
      </c>
      <c r="P181" s="248">
        <v>1824</v>
      </c>
      <c r="Q181" s="261"/>
      <c r="R181" s="259">
        <v>48824</v>
      </c>
      <c r="S181" s="262">
        <v>3.8808510638297822E-2</v>
      </c>
    </row>
    <row r="182" spans="1:19">
      <c r="A182" s="243" t="s">
        <v>120</v>
      </c>
      <c r="B182" s="243" t="s">
        <v>479</v>
      </c>
      <c r="C182" s="253" t="s">
        <v>156</v>
      </c>
      <c r="D182" s="254">
        <v>23.92</v>
      </c>
      <c r="E182" s="255">
        <v>47265.920000000006</v>
      </c>
      <c r="F182" s="263"/>
      <c r="G182" s="255">
        <v>0</v>
      </c>
      <c r="H182" s="256">
        <v>0.17499999999999999</v>
      </c>
      <c r="I182" s="255">
        <v>636.27199999999993</v>
      </c>
      <c r="J182" s="255"/>
      <c r="K182" s="255">
        <v>47902.192000000003</v>
      </c>
      <c r="L182" s="257">
        <v>24.242000000000001</v>
      </c>
      <c r="M182" s="258">
        <v>48000</v>
      </c>
      <c r="N182" s="259">
        <v>49866</v>
      </c>
      <c r="O182" s="260">
        <v>3.8874999999999993E-2</v>
      </c>
      <c r="P182" s="248">
        <v>1866</v>
      </c>
      <c r="Q182" s="261"/>
      <c r="R182" s="259">
        <v>49866</v>
      </c>
      <c r="S182" s="262">
        <v>3.8874999999999993E-2</v>
      </c>
    </row>
    <row r="183" spans="1:19">
      <c r="A183" s="243" t="s">
        <v>122</v>
      </c>
      <c r="B183" s="243" t="s">
        <v>480</v>
      </c>
      <c r="C183" s="253" t="s">
        <v>15</v>
      </c>
      <c r="D183" s="254">
        <v>24.29</v>
      </c>
      <c r="E183" s="255">
        <v>47997.04</v>
      </c>
      <c r="F183" s="263"/>
      <c r="G183" s="255">
        <v>0</v>
      </c>
      <c r="H183" s="256">
        <v>0.17499999999999999</v>
      </c>
      <c r="I183" s="255">
        <v>646.11399999999992</v>
      </c>
      <c r="J183" s="255"/>
      <c r="K183" s="255">
        <v>48643.154000000002</v>
      </c>
      <c r="L183" s="257">
        <v>24.616980769230771</v>
      </c>
      <c r="M183" s="258">
        <v>49000</v>
      </c>
      <c r="N183" s="259">
        <v>50895</v>
      </c>
      <c r="O183" s="260">
        <v>3.8673469387755066E-2</v>
      </c>
      <c r="P183" s="248">
        <v>1895</v>
      </c>
      <c r="Q183" s="261"/>
      <c r="R183" s="259">
        <v>50895</v>
      </c>
      <c r="S183" s="262">
        <v>3.8673469387755066E-2</v>
      </c>
    </row>
    <row r="184" spans="1:19">
      <c r="A184" s="243" t="s">
        <v>124</v>
      </c>
      <c r="B184" s="243" t="s">
        <v>481</v>
      </c>
      <c r="C184" s="253" t="s">
        <v>16</v>
      </c>
      <c r="D184" s="254">
        <v>24.76</v>
      </c>
      <c r="E184" s="255">
        <v>48925.760000000002</v>
      </c>
      <c r="F184" s="263"/>
      <c r="G184" s="255">
        <v>0</v>
      </c>
      <c r="H184" s="256">
        <v>0.17499999999999999</v>
      </c>
      <c r="I184" s="255">
        <v>658.61599999999999</v>
      </c>
      <c r="J184" s="255"/>
      <c r="K184" s="255">
        <v>49584.376000000004</v>
      </c>
      <c r="L184" s="257">
        <v>25.093307692307693</v>
      </c>
      <c r="M184" s="258">
        <v>50000</v>
      </c>
      <c r="N184" s="259">
        <v>51931</v>
      </c>
      <c r="O184" s="260">
        <v>3.8620000000000099E-2</v>
      </c>
      <c r="P184" s="248">
        <v>1931</v>
      </c>
      <c r="Q184" s="261"/>
      <c r="R184" s="259">
        <v>51931</v>
      </c>
      <c r="S184" s="262">
        <v>3.8620000000000099E-2</v>
      </c>
    </row>
    <row r="185" spans="1:19">
      <c r="A185" s="243" t="s">
        <v>321</v>
      </c>
      <c r="B185" s="243" t="s">
        <v>482</v>
      </c>
      <c r="C185" s="253" t="s">
        <v>17</v>
      </c>
      <c r="D185" s="254">
        <v>25.78</v>
      </c>
      <c r="E185" s="255">
        <v>50941.279999999999</v>
      </c>
      <c r="F185" s="263"/>
      <c r="G185" s="255">
        <v>0</v>
      </c>
      <c r="H185" s="256">
        <v>0.17499999999999999</v>
      </c>
      <c r="I185" s="255">
        <v>685.74799999999993</v>
      </c>
      <c r="J185" s="255"/>
      <c r="K185" s="255">
        <v>51627.027999999998</v>
      </c>
      <c r="L185" s="257">
        <v>26.127038461538461</v>
      </c>
      <c r="M185" s="258">
        <v>52000</v>
      </c>
      <c r="N185" s="259">
        <v>54011</v>
      </c>
      <c r="O185" s="260">
        <v>3.8673076923076977E-2</v>
      </c>
      <c r="P185" s="248">
        <v>2011</v>
      </c>
      <c r="Q185" s="261"/>
      <c r="R185" s="259">
        <v>54011</v>
      </c>
      <c r="S185" s="262">
        <v>3.8673076923076977E-2</v>
      </c>
    </row>
    <row r="186" spans="1:19">
      <c r="A186" s="243" t="s">
        <v>322</v>
      </c>
      <c r="B186" s="243" t="s">
        <v>483</v>
      </c>
      <c r="C186" s="253" t="s">
        <v>172</v>
      </c>
      <c r="D186" s="254">
        <v>26.15</v>
      </c>
      <c r="E186" s="255">
        <v>51672.399999999994</v>
      </c>
      <c r="F186" s="263"/>
      <c r="G186" s="255">
        <v>0</v>
      </c>
      <c r="H186" s="256">
        <v>0.17499999999999999</v>
      </c>
      <c r="I186" s="255">
        <v>695.58999999999992</v>
      </c>
      <c r="J186" s="255"/>
      <c r="K186" s="255">
        <v>52367.989999999991</v>
      </c>
      <c r="L186" s="257">
        <v>26.502019230769225</v>
      </c>
      <c r="M186" s="258">
        <v>53000</v>
      </c>
      <c r="N186" s="259">
        <v>55040</v>
      </c>
      <c r="O186" s="260">
        <v>3.8490566037735929E-2</v>
      </c>
      <c r="P186" s="248">
        <v>2040</v>
      </c>
      <c r="Q186" s="261"/>
      <c r="R186" s="259">
        <v>55040</v>
      </c>
      <c r="S186" s="262">
        <v>3.8490566037735929E-2</v>
      </c>
    </row>
    <row r="187" spans="1:19">
      <c r="A187" s="243" t="s">
        <v>323</v>
      </c>
      <c r="B187" s="243" t="s">
        <v>484</v>
      </c>
      <c r="C187" s="253" t="s">
        <v>324</v>
      </c>
      <c r="D187" s="254">
        <v>27.46</v>
      </c>
      <c r="E187" s="255">
        <v>54260.959999999999</v>
      </c>
      <c r="F187" s="263"/>
      <c r="G187" s="255">
        <v>0</v>
      </c>
      <c r="H187" s="256">
        <v>0.17499999999999999</v>
      </c>
      <c r="I187" s="255">
        <v>730.43599999999992</v>
      </c>
      <c r="J187" s="255"/>
      <c r="K187" s="255">
        <v>54991.396000000001</v>
      </c>
      <c r="L187" s="257">
        <v>27.829653846153846</v>
      </c>
      <c r="M187" s="258">
        <v>55000</v>
      </c>
      <c r="N187" s="259">
        <v>57142</v>
      </c>
      <c r="O187" s="260">
        <v>3.8945454545454616E-2</v>
      </c>
      <c r="P187" s="248">
        <v>2142</v>
      </c>
      <c r="Q187" s="261"/>
      <c r="R187" s="259">
        <v>57142</v>
      </c>
      <c r="S187" s="262">
        <v>3.8945454545454616E-2</v>
      </c>
    </row>
    <row r="188" spans="1:19">
      <c r="A188" s="243" t="s">
        <v>126</v>
      </c>
      <c r="B188" s="243" t="s">
        <v>485</v>
      </c>
      <c r="C188" s="253" t="s">
        <v>325</v>
      </c>
      <c r="D188" s="254">
        <v>28.58</v>
      </c>
      <c r="E188" s="255">
        <v>56474.079999999994</v>
      </c>
      <c r="F188" s="263"/>
      <c r="G188" s="255">
        <v>0</v>
      </c>
      <c r="H188" s="256">
        <v>0.17499999999999999</v>
      </c>
      <c r="I188" s="255">
        <v>760.22799999999995</v>
      </c>
      <c r="J188" s="255"/>
      <c r="K188" s="255">
        <v>57234.307999999997</v>
      </c>
      <c r="L188" s="257">
        <v>28.964730769230769</v>
      </c>
      <c r="M188" s="258">
        <v>58000</v>
      </c>
      <c r="N188" s="259">
        <v>60229</v>
      </c>
      <c r="O188" s="260">
        <v>3.843103448275853E-2</v>
      </c>
      <c r="P188" s="248">
        <v>2229</v>
      </c>
      <c r="Q188" s="261"/>
      <c r="R188" s="259">
        <v>60229</v>
      </c>
      <c r="S188" s="262">
        <v>3.843103448275853E-2</v>
      </c>
    </row>
  </sheetData>
  <mergeCells count="2">
    <mergeCell ref="N1:O1"/>
    <mergeCell ref="Q1:S1"/>
  </mergeCells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A1CA4554089E479FBF6055E1380E28" ma:contentTypeVersion="4" ma:contentTypeDescription="Create a new document." ma:contentTypeScope="" ma:versionID="78d49d0734411169383c655017c35352">
  <xsd:schema xmlns:xsd="http://www.w3.org/2001/XMLSchema" xmlns:xs="http://www.w3.org/2001/XMLSchema" xmlns:p="http://schemas.microsoft.com/office/2006/metadata/properties" xmlns:ns3="bdf8b31f-01b1-409b-8d3e-6f0f3db09b77" targetNamespace="http://schemas.microsoft.com/office/2006/metadata/properties" ma:root="true" ma:fieldsID="d5c467ab4593f3ac4b4e1dc1374b5008" ns3:_="">
    <xsd:import namespace="bdf8b31f-01b1-409b-8d3e-6f0f3db09b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f8b31f-01b1-409b-8d3e-6f0f3db09b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FCF024-1520-401B-BB47-F4F159DED6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70D898-BFA5-483C-9993-5BA09BFD4A17}">
  <ds:schemaRefs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bdf8b31f-01b1-409b-8d3e-6f0f3db09b77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480FD65-88C4-4616-8430-80A5CB1335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f8b31f-01b1-409b-8d3e-6f0f3db09b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Macros</vt:lpstr>
      <vt:lpstr>2023 ARR Summary</vt:lpstr>
      <vt:lpstr>Employee Data</vt:lpstr>
      <vt:lpstr>Graphs</vt:lpstr>
      <vt:lpstr>Lookup_Rem Ranges</vt:lpstr>
      <vt:lpstr>Pivot_BU</vt:lpstr>
      <vt:lpstr>Lookup_EA Award Compliance</vt:lpstr>
      <vt:lpstr>'Employee Data'!Extract</vt:lpstr>
      <vt:lpstr>Macros!Extract</vt:lpstr>
      <vt:lpstr>'Employee Data'!Print_Area</vt:lpstr>
      <vt:lpstr>'Employee Data'!Print_Titles</vt:lpstr>
    </vt:vector>
  </TitlesOfParts>
  <Company>UCQ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Nina Da Silva</dc:creator>
  <cp:lastModifiedBy>DASGUPTA, Shivam (sdasg0)</cp:lastModifiedBy>
  <cp:lastPrinted>2021-11-04T00:33:07Z</cp:lastPrinted>
  <dcterms:created xsi:type="dcterms:W3CDTF">2017-07-21T02:02:27Z</dcterms:created>
  <dcterms:modified xsi:type="dcterms:W3CDTF">2023-08-18T05:28:21Z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0x01010013A1CA4554089E479FBF6055E1380E28</vt:lpwstr>
  </property>
</Properties>
</file>